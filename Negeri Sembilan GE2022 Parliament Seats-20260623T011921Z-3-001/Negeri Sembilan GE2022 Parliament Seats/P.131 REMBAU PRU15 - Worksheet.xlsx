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KM\Malaysian Elections\GE15 (National)\GE15 Results\SCORE SHEET PRU 15 (2022)\11. NEGERI SEMBILAN\"/>
    </mc:Choice>
  </mc:AlternateContent>
  <xr:revisionPtr revIDLastSave="0" documentId="13_ncr:1_{CEDB91AF-DBD8-41C8-890D-00EDA8DA778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aceWorksheet" sheetId="17" r:id="rId1"/>
    <sheet name="P131Rembau" sheetId="15" r:id="rId2"/>
    <sheet name="Race&amp;Age" sheetId="16" r:id="rId3"/>
    <sheet name="Table 1" sheetId="1" r:id="rId4"/>
    <sheet name="Table 2" sheetId="2" r:id="rId5"/>
    <sheet name="Table 3" sheetId="3" r:id="rId6"/>
    <sheet name="Table 4" sheetId="4" r:id="rId7"/>
    <sheet name="Table 5" sheetId="5" r:id="rId8"/>
    <sheet name="Table 6" sheetId="6" r:id="rId9"/>
    <sheet name="Table 7" sheetId="7" r:id="rId10"/>
    <sheet name="Table 8" sheetId="8" r:id="rId11"/>
    <sheet name="Table 9" sheetId="9" r:id="rId12"/>
    <sheet name="Table 10" sheetId="10" r:id="rId13"/>
    <sheet name="Table 11" sheetId="11" r:id="rId14"/>
    <sheet name="Table 12" sheetId="12" r:id="rId15"/>
    <sheet name="Table 13" sheetId="13" r:id="rId16"/>
    <sheet name="Table 14" sheetId="14" r:id="rId17"/>
  </sheets>
  <definedNames>
    <definedName name="_xlnm._FilterDatabase" localSheetId="1" hidden="1">P131Rembau!$A$1:$AB$243</definedName>
    <definedName name="_xlnm._FilterDatabase" localSheetId="2" hidden="1">'Race&amp;Age'!$A$1:$Y$234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50" i="15" l="1"/>
  <c r="Z250" i="15"/>
  <c r="Y250" i="15"/>
  <c r="X250" i="15"/>
  <c r="W250" i="15"/>
  <c r="AB249" i="15"/>
  <c r="Z249" i="15"/>
  <c r="Y249" i="15"/>
  <c r="X249" i="15"/>
  <c r="W249" i="15"/>
  <c r="AB248" i="15"/>
  <c r="Z248" i="15"/>
  <c r="Y248" i="15"/>
  <c r="X248" i="15"/>
  <c r="W248" i="15"/>
  <c r="AB247" i="15"/>
  <c r="Z247" i="15"/>
  <c r="Y247" i="15"/>
  <c r="X247" i="15"/>
  <c r="W247" i="15"/>
  <c r="Q250" i="15"/>
  <c r="P250" i="15"/>
  <c r="O250" i="15"/>
  <c r="Q249" i="15"/>
  <c r="P249" i="15"/>
  <c r="O249" i="15"/>
  <c r="Q248" i="15"/>
  <c r="P248" i="15"/>
  <c r="O248" i="15"/>
  <c r="Q247" i="15"/>
  <c r="P247" i="15"/>
  <c r="O247" i="15"/>
  <c r="V250" i="15"/>
  <c r="U250" i="15"/>
  <c r="T250" i="15"/>
  <c r="S250" i="15"/>
  <c r="R250" i="15"/>
  <c r="V249" i="15"/>
  <c r="U249" i="15"/>
  <c r="T249" i="15"/>
  <c r="S249" i="15"/>
  <c r="R249" i="15"/>
  <c r="V248" i="15"/>
  <c r="U248" i="15"/>
  <c r="T248" i="15"/>
  <c r="S248" i="15"/>
  <c r="R248" i="15"/>
  <c r="V247" i="15"/>
  <c r="U247" i="15"/>
  <c r="T247" i="15"/>
  <c r="S247" i="15"/>
  <c r="R247" i="15"/>
  <c r="N250" i="15"/>
  <c r="M250" i="15"/>
  <c r="L250" i="15"/>
  <c r="K250" i="15"/>
  <c r="J250" i="15"/>
  <c r="I250" i="15"/>
  <c r="H250" i="15"/>
  <c r="G250" i="15"/>
  <c r="F250" i="15"/>
  <c r="N249" i="15"/>
  <c r="M249" i="15"/>
  <c r="L249" i="15"/>
  <c r="K249" i="15"/>
  <c r="J249" i="15"/>
  <c r="I249" i="15"/>
  <c r="H249" i="15"/>
  <c r="G249" i="15"/>
  <c r="F249" i="15"/>
  <c r="N248" i="15"/>
  <c r="M248" i="15"/>
  <c r="L248" i="15"/>
  <c r="K248" i="15"/>
  <c r="J248" i="15"/>
  <c r="I248" i="15"/>
  <c r="H248" i="15"/>
  <c r="G248" i="15"/>
  <c r="F248" i="15"/>
  <c r="N247" i="15"/>
  <c r="M247" i="15"/>
  <c r="L247" i="15"/>
  <c r="K247" i="15"/>
  <c r="J247" i="15"/>
  <c r="I247" i="15"/>
  <c r="H247" i="15"/>
  <c r="G247" i="15"/>
  <c r="F247" i="15"/>
  <c r="E250" i="15"/>
  <c r="E249" i="15"/>
  <c r="E248" i="15"/>
  <c r="E247" i="15"/>
  <c r="AA245" i="15"/>
  <c r="V245" i="15"/>
  <c r="U245" i="15"/>
  <c r="Z245" i="15" s="1"/>
  <c r="T245" i="15"/>
  <c r="Y245" i="15" s="1"/>
  <c r="S245" i="15"/>
  <c r="X245" i="15" s="1"/>
  <c r="R245" i="15"/>
  <c r="W245" i="15" s="1"/>
  <c r="N245" i="15"/>
  <c r="L245" i="15"/>
  <c r="K245" i="15"/>
  <c r="AB245" i="15" s="1"/>
  <c r="J245" i="15"/>
  <c r="I245" i="15"/>
  <c r="H245" i="15"/>
  <c r="G245" i="15"/>
  <c r="F245" i="15"/>
  <c r="E245" i="15"/>
  <c r="AO48" i="17"/>
  <c r="AO9" i="17"/>
  <c r="AF9" i="17"/>
  <c r="W48" i="17"/>
  <c r="W27" i="17"/>
  <c r="W9" i="17"/>
  <c r="R263" i="16"/>
  <c r="W263" i="16" s="1"/>
  <c r="Q263" i="16"/>
  <c r="V263" i="16" s="1"/>
  <c r="N263" i="16"/>
  <c r="Y263" i="16" s="1"/>
  <c r="M263" i="16"/>
  <c r="L263" i="16"/>
  <c r="K263" i="16"/>
  <c r="P263" i="16" s="1"/>
  <c r="U263" i="16" s="1"/>
  <c r="J263" i="16"/>
  <c r="I263" i="16"/>
  <c r="H263" i="16"/>
  <c r="G263" i="16"/>
  <c r="F263" i="16"/>
  <c r="E263" i="16"/>
  <c r="D263" i="16"/>
  <c r="C263" i="16"/>
  <c r="N258" i="16"/>
  <c r="Y258" i="16" s="1"/>
  <c r="M258" i="16"/>
  <c r="L258" i="16"/>
  <c r="K258" i="16"/>
  <c r="P258" i="16" s="1"/>
  <c r="U258" i="16" s="1"/>
  <c r="J258" i="16"/>
  <c r="I258" i="16"/>
  <c r="R258" i="16" s="1"/>
  <c r="W258" i="16" s="1"/>
  <c r="H258" i="16"/>
  <c r="Q258" i="16" s="1"/>
  <c r="V258" i="16" s="1"/>
  <c r="G258" i="16"/>
  <c r="F258" i="16"/>
  <c r="E258" i="16"/>
  <c r="D258" i="16"/>
  <c r="C258" i="16"/>
  <c r="N250" i="16"/>
  <c r="Y250" i="16" s="1"/>
  <c r="M250" i="16"/>
  <c r="L250" i="16"/>
  <c r="K250" i="16"/>
  <c r="P250" i="16" s="1"/>
  <c r="U250" i="16" s="1"/>
  <c r="J250" i="16"/>
  <c r="I250" i="16"/>
  <c r="R250" i="16" s="1"/>
  <c r="W250" i="16" s="1"/>
  <c r="H250" i="16"/>
  <c r="Q250" i="16" s="1"/>
  <c r="V250" i="16" s="1"/>
  <c r="G250" i="16"/>
  <c r="F250" i="16"/>
  <c r="E250" i="16"/>
  <c r="Y233" i="16"/>
  <c r="R233" i="16"/>
  <c r="W233" i="16" s="1"/>
  <c r="Q233" i="16"/>
  <c r="P233" i="16"/>
  <c r="U233" i="16" s="1"/>
  <c r="Y249" i="16"/>
  <c r="R249" i="16"/>
  <c r="W249" i="16" s="1"/>
  <c r="Q249" i="16"/>
  <c r="V249" i="16" s="1"/>
  <c r="P249" i="16"/>
  <c r="U249" i="16" s="1"/>
  <c r="Y232" i="16"/>
  <c r="R232" i="16"/>
  <c r="W232" i="16" s="1"/>
  <c r="Q232" i="16"/>
  <c r="V232" i="16" s="1"/>
  <c r="P232" i="16"/>
  <c r="U232" i="16" s="1"/>
  <c r="Y231" i="16"/>
  <c r="R231" i="16"/>
  <c r="W231" i="16" s="1"/>
  <c r="Q231" i="16"/>
  <c r="V231" i="16" s="1"/>
  <c r="P231" i="16"/>
  <c r="U231" i="16" s="1"/>
  <c r="Y230" i="16"/>
  <c r="R230" i="16"/>
  <c r="W230" i="16" s="1"/>
  <c r="Q230" i="16"/>
  <c r="V230" i="16" s="1"/>
  <c r="P230" i="16"/>
  <c r="U230" i="16" s="1"/>
  <c r="Y229" i="16"/>
  <c r="R229" i="16"/>
  <c r="W229" i="16" s="1"/>
  <c r="Q229" i="16"/>
  <c r="V229" i="16" s="1"/>
  <c r="P229" i="16"/>
  <c r="Y248" i="16"/>
  <c r="R248" i="16"/>
  <c r="W248" i="16" s="1"/>
  <c r="Q248" i="16"/>
  <c r="V248" i="16" s="1"/>
  <c r="P248" i="16"/>
  <c r="U248" i="16" s="1"/>
  <c r="Y228" i="16"/>
  <c r="R228" i="16"/>
  <c r="W228" i="16" s="1"/>
  <c r="Q228" i="16"/>
  <c r="V228" i="16" s="1"/>
  <c r="P228" i="16"/>
  <c r="U228" i="16" s="1"/>
  <c r="Y227" i="16"/>
  <c r="R227" i="16"/>
  <c r="W227" i="16" s="1"/>
  <c r="Q227" i="16"/>
  <c r="V227" i="16" s="1"/>
  <c r="P227" i="16"/>
  <c r="U227" i="16" s="1"/>
  <c r="Y226" i="16"/>
  <c r="R226" i="16"/>
  <c r="Q226" i="16"/>
  <c r="V226" i="16" s="1"/>
  <c r="P226" i="16"/>
  <c r="U226" i="16" s="1"/>
  <c r="Y225" i="16"/>
  <c r="R225" i="16"/>
  <c r="W225" i="16" s="1"/>
  <c r="Q225" i="16"/>
  <c r="V225" i="16" s="1"/>
  <c r="P225" i="16"/>
  <c r="U225" i="16" s="1"/>
  <c r="Y224" i="16"/>
  <c r="R224" i="16"/>
  <c r="W224" i="16" s="1"/>
  <c r="Q224" i="16"/>
  <c r="V224" i="16" s="1"/>
  <c r="P224" i="16"/>
  <c r="Y223" i="16"/>
  <c r="R223" i="16"/>
  <c r="W223" i="16" s="1"/>
  <c r="Q223" i="16"/>
  <c r="V223" i="16" s="1"/>
  <c r="P223" i="16"/>
  <c r="U223" i="16" s="1"/>
  <c r="Y222" i="16"/>
  <c r="R222" i="16"/>
  <c r="W222" i="16" s="1"/>
  <c r="Q222" i="16"/>
  <c r="V222" i="16" s="1"/>
  <c r="P222" i="16"/>
  <c r="U222" i="16" s="1"/>
  <c r="Y221" i="16"/>
  <c r="R221" i="16"/>
  <c r="W221" i="16" s="1"/>
  <c r="Q221" i="16"/>
  <c r="V221" i="16" s="1"/>
  <c r="P221" i="16"/>
  <c r="U221" i="16" s="1"/>
  <c r="Y220" i="16"/>
  <c r="R220" i="16"/>
  <c r="W220" i="16" s="1"/>
  <c r="Q220" i="16"/>
  <c r="V220" i="16" s="1"/>
  <c r="P220" i="16"/>
  <c r="U220" i="16" s="1"/>
  <c r="Y219" i="16"/>
  <c r="R219" i="16"/>
  <c r="W219" i="16" s="1"/>
  <c r="Q219" i="16"/>
  <c r="V219" i="16" s="1"/>
  <c r="P219" i="16"/>
  <c r="U219" i="16" s="1"/>
  <c r="Y218" i="16"/>
  <c r="R218" i="16"/>
  <c r="W218" i="16" s="1"/>
  <c r="Q218" i="16"/>
  <c r="V218" i="16" s="1"/>
  <c r="P218" i="16"/>
  <c r="Y217" i="16"/>
  <c r="R217" i="16"/>
  <c r="W217" i="16" s="1"/>
  <c r="Q217" i="16"/>
  <c r="V217" i="16" s="1"/>
  <c r="P217" i="16"/>
  <c r="U217" i="16" s="1"/>
  <c r="Y216" i="16"/>
  <c r="R216" i="16"/>
  <c r="W216" i="16" s="1"/>
  <c r="Q216" i="16"/>
  <c r="V216" i="16" s="1"/>
  <c r="P216" i="16"/>
  <c r="U216" i="16" s="1"/>
  <c r="Y215" i="16"/>
  <c r="R215" i="16"/>
  <c r="W215" i="16" s="1"/>
  <c r="Q215" i="16"/>
  <c r="V215" i="16" s="1"/>
  <c r="P215" i="16"/>
  <c r="U215" i="16" s="1"/>
  <c r="Y214" i="16"/>
  <c r="R214" i="16"/>
  <c r="W214" i="16" s="1"/>
  <c r="Q214" i="16"/>
  <c r="V214" i="16" s="1"/>
  <c r="P214" i="16"/>
  <c r="U214" i="16" s="1"/>
  <c r="Y213" i="16"/>
  <c r="R213" i="16"/>
  <c r="W213" i="16" s="1"/>
  <c r="Q213" i="16"/>
  <c r="V213" i="16" s="1"/>
  <c r="P213" i="16"/>
  <c r="U213" i="16" s="1"/>
  <c r="Y264" i="16"/>
  <c r="R264" i="16"/>
  <c r="W264" i="16" s="1"/>
  <c r="Q264" i="16"/>
  <c r="V264" i="16" s="1"/>
  <c r="P264" i="16"/>
  <c r="Y212" i="16"/>
  <c r="R212" i="16"/>
  <c r="W212" i="16" s="1"/>
  <c r="Q212" i="16"/>
  <c r="V212" i="16" s="1"/>
  <c r="P212" i="16"/>
  <c r="U212" i="16" s="1"/>
  <c r="Y211" i="16"/>
  <c r="R211" i="16"/>
  <c r="W211" i="16" s="1"/>
  <c r="Q211" i="16"/>
  <c r="V211" i="16" s="1"/>
  <c r="P211" i="16"/>
  <c r="U211" i="16" s="1"/>
  <c r="Y210" i="16"/>
  <c r="R210" i="16"/>
  <c r="W210" i="16" s="1"/>
  <c r="Q210" i="16"/>
  <c r="V210" i="16" s="1"/>
  <c r="P210" i="16"/>
  <c r="U210" i="16" s="1"/>
  <c r="Y209" i="16"/>
  <c r="R209" i="16"/>
  <c r="W209" i="16" s="1"/>
  <c r="Q209" i="16"/>
  <c r="V209" i="16" s="1"/>
  <c r="P209" i="16"/>
  <c r="U209" i="16" s="1"/>
  <c r="Y208" i="16"/>
  <c r="R208" i="16"/>
  <c r="W208" i="16" s="1"/>
  <c r="Q208" i="16"/>
  <c r="V208" i="16" s="1"/>
  <c r="P208" i="16"/>
  <c r="U208" i="16" s="1"/>
  <c r="Y207" i="16"/>
  <c r="R207" i="16"/>
  <c r="W207" i="16" s="1"/>
  <c r="Q207" i="16"/>
  <c r="V207" i="16" s="1"/>
  <c r="P207" i="16"/>
  <c r="Y206" i="16"/>
  <c r="R206" i="16"/>
  <c r="W206" i="16" s="1"/>
  <c r="Q206" i="16"/>
  <c r="V206" i="16" s="1"/>
  <c r="P206" i="16"/>
  <c r="U206" i="16" s="1"/>
  <c r="Y247" i="16"/>
  <c r="R247" i="16"/>
  <c r="W247" i="16" s="1"/>
  <c r="Q247" i="16"/>
  <c r="V247" i="16" s="1"/>
  <c r="P247" i="16"/>
  <c r="U247" i="16" s="1"/>
  <c r="Y205" i="16"/>
  <c r="R205" i="16"/>
  <c r="W205" i="16" s="1"/>
  <c r="Q205" i="16"/>
  <c r="V205" i="16" s="1"/>
  <c r="P205" i="16"/>
  <c r="U205" i="16" s="1"/>
  <c r="Y204" i="16"/>
  <c r="R204" i="16"/>
  <c r="W204" i="16" s="1"/>
  <c r="Q204" i="16"/>
  <c r="V204" i="16" s="1"/>
  <c r="P204" i="16"/>
  <c r="U204" i="16" s="1"/>
  <c r="Y203" i="16"/>
  <c r="R203" i="16"/>
  <c r="W203" i="16" s="1"/>
  <c r="Q203" i="16"/>
  <c r="V203" i="16" s="1"/>
  <c r="P203" i="16"/>
  <c r="U203" i="16" s="1"/>
  <c r="Y202" i="16"/>
  <c r="R202" i="16"/>
  <c r="W202" i="16" s="1"/>
  <c r="Q202" i="16"/>
  <c r="V202" i="16" s="1"/>
  <c r="P202" i="16"/>
  <c r="Y201" i="16"/>
  <c r="R201" i="16"/>
  <c r="W201" i="16" s="1"/>
  <c r="Q201" i="16"/>
  <c r="V201" i="16" s="1"/>
  <c r="P201" i="16"/>
  <c r="U201" i="16" s="1"/>
  <c r="Y200" i="16"/>
  <c r="R200" i="16"/>
  <c r="W200" i="16" s="1"/>
  <c r="Q200" i="16"/>
  <c r="V200" i="16" s="1"/>
  <c r="P200" i="16"/>
  <c r="U200" i="16" s="1"/>
  <c r="Y199" i="16"/>
  <c r="R199" i="16"/>
  <c r="W199" i="16" s="1"/>
  <c r="Q199" i="16"/>
  <c r="V199" i="16" s="1"/>
  <c r="P199" i="16"/>
  <c r="U199" i="16" s="1"/>
  <c r="Y198" i="16"/>
  <c r="R198" i="16"/>
  <c r="W198" i="16" s="1"/>
  <c r="Q198" i="16"/>
  <c r="V198" i="16" s="1"/>
  <c r="P198" i="16"/>
  <c r="U198" i="16" s="1"/>
  <c r="Y197" i="16"/>
  <c r="R197" i="16"/>
  <c r="W197" i="16" s="1"/>
  <c r="Q197" i="16"/>
  <c r="V197" i="16" s="1"/>
  <c r="P197" i="16"/>
  <c r="U197" i="16" s="1"/>
  <c r="Y196" i="16"/>
  <c r="R196" i="16"/>
  <c r="W196" i="16" s="1"/>
  <c r="Q196" i="16"/>
  <c r="V196" i="16" s="1"/>
  <c r="P196" i="16"/>
  <c r="Y195" i="16"/>
  <c r="R195" i="16"/>
  <c r="W195" i="16" s="1"/>
  <c r="Q195" i="16"/>
  <c r="V195" i="16" s="1"/>
  <c r="P195" i="16"/>
  <c r="U195" i="16" s="1"/>
  <c r="Y194" i="16"/>
  <c r="R194" i="16"/>
  <c r="W194" i="16" s="1"/>
  <c r="Q194" i="16"/>
  <c r="V194" i="16" s="1"/>
  <c r="P194" i="16"/>
  <c r="U194" i="16" s="1"/>
  <c r="Y193" i="16"/>
  <c r="R193" i="16"/>
  <c r="W193" i="16" s="1"/>
  <c r="Q193" i="16"/>
  <c r="V193" i="16" s="1"/>
  <c r="P193" i="16"/>
  <c r="U193" i="16" s="1"/>
  <c r="Y192" i="16"/>
  <c r="R192" i="16"/>
  <c r="W192" i="16" s="1"/>
  <c r="Q192" i="16"/>
  <c r="V192" i="16" s="1"/>
  <c r="P192" i="16"/>
  <c r="Y191" i="16"/>
  <c r="R191" i="16"/>
  <c r="W191" i="16" s="1"/>
  <c r="Q191" i="16"/>
  <c r="V191" i="16" s="1"/>
  <c r="P191" i="16"/>
  <c r="U191" i="16" s="1"/>
  <c r="Y190" i="16"/>
  <c r="R190" i="16"/>
  <c r="W190" i="16" s="1"/>
  <c r="Q190" i="16"/>
  <c r="V190" i="16" s="1"/>
  <c r="P190" i="16"/>
  <c r="Y189" i="16"/>
  <c r="R189" i="16"/>
  <c r="W189" i="16" s="1"/>
  <c r="Q189" i="16"/>
  <c r="V189" i="16" s="1"/>
  <c r="P189" i="16"/>
  <c r="U189" i="16" s="1"/>
  <c r="Y188" i="16"/>
  <c r="R188" i="16"/>
  <c r="W188" i="16" s="1"/>
  <c r="Q188" i="16"/>
  <c r="V188" i="16" s="1"/>
  <c r="P188" i="16"/>
  <c r="U188" i="16" s="1"/>
  <c r="Y187" i="16"/>
  <c r="R187" i="16"/>
  <c r="W187" i="16" s="1"/>
  <c r="Q187" i="16"/>
  <c r="V187" i="16" s="1"/>
  <c r="P187" i="16"/>
  <c r="U187" i="16" s="1"/>
  <c r="Y186" i="16"/>
  <c r="R186" i="16"/>
  <c r="W186" i="16" s="1"/>
  <c r="Q186" i="16"/>
  <c r="V186" i="16" s="1"/>
  <c r="P186" i="16"/>
  <c r="U186" i="16" s="1"/>
  <c r="Y185" i="16"/>
  <c r="R185" i="16"/>
  <c r="W185" i="16" s="1"/>
  <c r="Q185" i="16"/>
  <c r="V185" i="16" s="1"/>
  <c r="P185" i="16"/>
  <c r="U185" i="16" s="1"/>
  <c r="Y184" i="16"/>
  <c r="R184" i="16"/>
  <c r="W184" i="16" s="1"/>
  <c r="Q184" i="16"/>
  <c r="V184" i="16" s="1"/>
  <c r="P184" i="16"/>
  <c r="Y183" i="16"/>
  <c r="R183" i="16"/>
  <c r="W183" i="16" s="1"/>
  <c r="Q183" i="16"/>
  <c r="P183" i="16"/>
  <c r="U183" i="16" s="1"/>
  <c r="Y182" i="16"/>
  <c r="R182" i="16"/>
  <c r="W182" i="16" s="1"/>
  <c r="Q182" i="16"/>
  <c r="V182" i="16" s="1"/>
  <c r="P182" i="16"/>
  <c r="U182" i="16" s="1"/>
  <c r="Y181" i="16"/>
  <c r="R181" i="16"/>
  <c r="W181" i="16" s="1"/>
  <c r="Q181" i="16"/>
  <c r="V181" i="16" s="1"/>
  <c r="P181" i="16"/>
  <c r="U181" i="16" s="1"/>
  <c r="Y180" i="16"/>
  <c r="R180" i="16"/>
  <c r="W180" i="16" s="1"/>
  <c r="Q180" i="16"/>
  <c r="V180" i="16" s="1"/>
  <c r="P180" i="16"/>
  <c r="U180" i="16" s="1"/>
  <c r="Y179" i="16"/>
  <c r="R179" i="16"/>
  <c r="W179" i="16" s="1"/>
  <c r="Q179" i="16"/>
  <c r="V179" i="16" s="1"/>
  <c r="P179" i="16"/>
  <c r="U179" i="16" s="1"/>
  <c r="Y178" i="16"/>
  <c r="R178" i="16"/>
  <c r="W178" i="16" s="1"/>
  <c r="Q178" i="16"/>
  <c r="V178" i="16" s="1"/>
  <c r="P178" i="16"/>
  <c r="Y262" i="16"/>
  <c r="R262" i="16"/>
  <c r="W262" i="16" s="1"/>
  <c r="Q262" i="16"/>
  <c r="P262" i="16"/>
  <c r="U262" i="16" s="1"/>
  <c r="Y177" i="16"/>
  <c r="R177" i="16"/>
  <c r="W177" i="16" s="1"/>
  <c r="Q177" i="16"/>
  <c r="V177" i="16" s="1"/>
  <c r="P177" i="16"/>
  <c r="U177" i="16" s="1"/>
  <c r="Y176" i="16"/>
  <c r="R176" i="16"/>
  <c r="W176" i="16" s="1"/>
  <c r="Q176" i="16"/>
  <c r="V176" i="16" s="1"/>
  <c r="P176" i="16"/>
  <c r="U176" i="16" s="1"/>
  <c r="Y175" i="16"/>
  <c r="R175" i="16"/>
  <c r="W175" i="16" s="1"/>
  <c r="Q175" i="16"/>
  <c r="P175" i="16"/>
  <c r="U175" i="16" s="1"/>
  <c r="Y174" i="16"/>
  <c r="R174" i="16"/>
  <c r="W174" i="16" s="1"/>
  <c r="Q174" i="16"/>
  <c r="V174" i="16" s="1"/>
  <c r="P174" i="16"/>
  <c r="U174" i="16" s="1"/>
  <c r="Y173" i="16"/>
  <c r="R173" i="16"/>
  <c r="W173" i="16" s="1"/>
  <c r="Q173" i="16"/>
  <c r="V173" i="16" s="1"/>
  <c r="P173" i="16"/>
  <c r="Y172" i="16"/>
  <c r="R172" i="16"/>
  <c r="W172" i="16" s="1"/>
  <c r="Q172" i="16"/>
  <c r="P172" i="16"/>
  <c r="U172" i="16" s="1"/>
  <c r="Y171" i="16"/>
  <c r="R171" i="16"/>
  <c r="W171" i="16" s="1"/>
  <c r="Q171" i="16"/>
  <c r="V171" i="16" s="1"/>
  <c r="P171" i="16"/>
  <c r="U171" i="16" s="1"/>
  <c r="Y170" i="16"/>
  <c r="R170" i="16"/>
  <c r="W170" i="16" s="1"/>
  <c r="Q170" i="16"/>
  <c r="V170" i="16" s="1"/>
  <c r="P170" i="16"/>
  <c r="U170" i="16" s="1"/>
  <c r="Y169" i="16"/>
  <c r="R169" i="16"/>
  <c r="W169" i="16" s="1"/>
  <c r="Q169" i="16"/>
  <c r="V169" i="16" s="1"/>
  <c r="P169" i="16"/>
  <c r="U169" i="16" s="1"/>
  <c r="Y168" i="16"/>
  <c r="R168" i="16"/>
  <c r="W168" i="16" s="1"/>
  <c r="Q168" i="16"/>
  <c r="V168" i="16" s="1"/>
  <c r="P168" i="16"/>
  <c r="U168" i="16" s="1"/>
  <c r="Y167" i="16"/>
  <c r="R167" i="16"/>
  <c r="W167" i="16" s="1"/>
  <c r="Q167" i="16"/>
  <c r="V167" i="16" s="1"/>
  <c r="P167" i="16"/>
  <c r="Y166" i="16"/>
  <c r="R166" i="16"/>
  <c r="W166" i="16" s="1"/>
  <c r="Q166" i="16"/>
  <c r="P166" i="16"/>
  <c r="U166" i="16" s="1"/>
  <c r="Y165" i="16"/>
  <c r="R165" i="16"/>
  <c r="W165" i="16" s="1"/>
  <c r="Q165" i="16"/>
  <c r="V165" i="16" s="1"/>
  <c r="P165" i="16"/>
  <c r="U165" i="16" s="1"/>
  <c r="Y164" i="16"/>
  <c r="R164" i="16"/>
  <c r="W164" i="16" s="1"/>
  <c r="Q164" i="16"/>
  <c r="P164" i="16"/>
  <c r="U164" i="16" s="1"/>
  <c r="Y261" i="16"/>
  <c r="R261" i="16"/>
  <c r="W261" i="16" s="1"/>
  <c r="Q261" i="16"/>
  <c r="V261" i="16" s="1"/>
  <c r="P261" i="16"/>
  <c r="Y163" i="16"/>
  <c r="R163" i="16"/>
  <c r="W163" i="16" s="1"/>
  <c r="Q163" i="16"/>
  <c r="V163" i="16" s="1"/>
  <c r="P163" i="16"/>
  <c r="U163" i="16" s="1"/>
  <c r="Y162" i="16"/>
  <c r="R162" i="16"/>
  <c r="W162" i="16" s="1"/>
  <c r="Q162" i="16"/>
  <c r="V162" i="16" s="1"/>
  <c r="P162" i="16"/>
  <c r="Y161" i="16"/>
  <c r="R161" i="16"/>
  <c r="W161" i="16" s="1"/>
  <c r="Q161" i="16"/>
  <c r="P161" i="16"/>
  <c r="U161" i="16" s="1"/>
  <c r="Y160" i="16"/>
  <c r="R160" i="16"/>
  <c r="W160" i="16" s="1"/>
  <c r="Q160" i="16"/>
  <c r="V160" i="16" s="1"/>
  <c r="P160" i="16"/>
  <c r="U160" i="16" s="1"/>
  <c r="Y159" i="16"/>
  <c r="R159" i="16"/>
  <c r="W159" i="16" s="1"/>
  <c r="Q159" i="16"/>
  <c r="P159" i="16"/>
  <c r="Y158" i="16"/>
  <c r="R158" i="16"/>
  <c r="W158" i="16" s="1"/>
  <c r="Q158" i="16"/>
  <c r="V158" i="16" s="1"/>
  <c r="P158" i="16"/>
  <c r="U158" i="16" s="1"/>
  <c r="Y157" i="16"/>
  <c r="R157" i="16"/>
  <c r="W157" i="16" s="1"/>
  <c r="Q157" i="16"/>
  <c r="V157" i="16" s="1"/>
  <c r="P157" i="16"/>
  <c r="U157" i="16" s="1"/>
  <c r="Y156" i="16"/>
  <c r="R156" i="16"/>
  <c r="W156" i="16" s="1"/>
  <c r="Q156" i="16"/>
  <c r="V156" i="16" s="1"/>
  <c r="P156" i="16"/>
  <c r="Y155" i="16"/>
  <c r="R155" i="16"/>
  <c r="W155" i="16" s="1"/>
  <c r="Q155" i="16"/>
  <c r="P155" i="16"/>
  <c r="U155" i="16" s="1"/>
  <c r="Y154" i="16"/>
  <c r="R154" i="16"/>
  <c r="W154" i="16" s="1"/>
  <c r="Q154" i="16"/>
  <c r="V154" i="16" s="1"/>
  <c r="P154" i="16"/>
  <c r="U154" i="16" s="1"/>
  <c r="Y153" i="16"/>
  <c r="R153" i="16"/>
  <c r="W153" i="16" s="1"/>
  <c r="Q153" i="16"/>
  <c r="V153" i="16" s="1"/>
  <c r="P153" i="16"/>
  <c r="Y152" i="16"/>
  <c r="R152" i="16"/>
  <c r="W152" i="16" s="1"/>
  <c r="Q152" i="16"/>
  <c r="V152" i="16" s="1"/>
  <c r="P152" i="16"/>
  <c r="U152" i="16" s="1"/>
  <c r="Y151" i="16"/>
  <c r="R151" i="16"/>
  <c r="W151" i="16" s="1"/>
  <c r="Q151" i="16"/>
  <c r="V151" i="16" s="1"/>
  <c r="P151" i="16"/>
  <c r="U151" i="16" s="1"/>
  <c r="Y150" i="16"/>
  <c r="R150" i="16"/>
  <c r="W150" i="16" s="1"/>
  <c r="Q150" i="16"/>
  <c r="V150" i="16" s="1"/>
  <c r="P150" i="16"/>
  <c r="Y149" i="16"/>
  <c r="R149" i="16"/>
  <c r="W149" i="16" s="1"/>
  <c r="Q149" i="16"/>
  <c r="P149" i="16"/>
  <c r="U149" i="16" s="1"/>
  <c r="Y246" i="16"/>
  <c r="R246" i="16"/>
  <c r="W246" i="16" s="1"/>
  <c r="Q246" i="16"/>
  <c r="V246" i="16" s="1"/>
  <c r="P246" i="16"/>
  <c r="Y260" i="16"/>
  <c r="R260" i="16"/>
  <c r="W260" i="16" s="1"/>
  <c r="Q260" i="16"/>
  <c r="P260" i="16"/>
  <c r="U260" i="16" s="1"/>
  <c r="Y259" i="16"/>
  <c r="R259" i="16"/>
  <c r="W259" i="16" s="1"/>
  <c r="Q259" i="16"/>
  <c r="V259" i="16" s="1"/>
  <c r="P259" i="16"/>
  <c r="U259" i="16" s="1"/>
  <c r="Y148" i="16"/>
  <c r="R148" i="16"/>
  <c r="W148" i="16" s="1"/>
  <c r="Q148" i="16"/>
  <c r="V148" i="16" s="1"/>
  <c r="P148" i="16"/>
  <c r="U148" i="16" s="1"/>
  <c r="Y147" i="16"/>
  <c r="R147" i="16"/>
  <c r="W147" i="16" s="1"/>
  <c r="Q147" i="16"/>
  <c r="V147" i="16" s="1"/>
  <c r="P147" i="16"/>
  <c r="U147" i="16" s="1"/>
  <c r="Y146" i="16"/>
  <c r="R146" i="16"/>
  <c r="W146" i="16" s="1"/>
  <c r="Q146" i="16"/>
  <c r="V146" i="16" s="1"/>
  <c r="P146" i="16"/>
  <c r="U146" i="16" s="1"/>
  <c r="Y145" i="16"/>
  <c r="R145" i="16"/>
  <c r="W145" i="16" s="1"/>
  <c r="Q145" i="16"/>
  <c r="V145" i="16" s="1"/>
  <c r="P145" i="16"/>
  <c r="Y144" i="16"/>
  <c r="R144" i="16"/>
  <c r="W144" i="16" s="1"/>
  <c r="Q144" i="16"/>
  <c r="V144" i="16" s="1"/>
  <c r="P144" i="16"/>
  <c r="Y143" i="16"/>
  <c r="R143" i="16"/>
  <c r="W143" i="16" s="1"/>
  <c r="Q143" i="16"/>
  <c r="V143" i="16" s="1"/>
  <c r="P143" i="16"/>
  <c r="Y142" i="16"/>
  <c r="R142" i="16"/>
  <c r="W142" i="16" s="1"/>
  <c r="Q142" i="16"/>
  <c r="V142" i="16" s="1"/>
  <c r="P142" i="16"/>
  <c r="U142" i="16" s="1"/>
  <c r="Y141" i="16"/>
  <c r="R141" i="16"/>
  <c r="W141" i="16" s="1"/>
  <c r="Q141" i="16"/>
  <c r="V141" i="16" s="1"/>
  <c r="P141" i="16"/>
  <c r="U141" i="16" s="1"/>
  <c r="Y140" i="16"/>
  <c r="R140" i="16"/>
  <c r="W140" i="16" s="1"/>
  <c r="Q140" i="16"/>
  <c r="V140" i="16" s="1"/>
  <c r="P140" i="16"/>
  <c r="U140" i="16" s="1"/>
  <c r="Y139" i="16"/>
  <c r="R139" i="16"/>
  <c r="W139" i="16" s="1"/>
  <c r="Q139" i="16"/>
  <c r="V139" i="16" s="1"/>
  <c r="P139" i="16"/>
  <c r="Y245" i="16"/>
  <c r="R245" i="16"/>
  <c r="W245" i="16" s="1"/>
  <c r="Q245" i="16"/>
  <c r="P245" i="16"/>
  <c r="U245" i="16" s="1"/>
  <c r="Y138" i="16"/>
  <c r="R138" i="16"/>
  <c r="W138" i="16" s="1"/>
  <c r="Q138" i="16"/>
  <c r="V138" i="16" s="1"/>
  <c r="P138" i="16"/>
  <c r="Y137" i="16"/>
  <c r="R137" i="16"/>
  <c r="W137" i="16" s="1"/>
  <c r="Q137" i="16"/>
  <c r="V137" i="16" s="1"/>
  <c r="P137" i="16"/>
  <c r="U137" i="16" s="1"/>
  <c r="Y136" i="16"/>
  <c r="R136" i="16"/>
  <c r="W136" i="16" s="1"/>
  <c r="Q136" i="16"/>
  <c r="V136" i="16" s="1"/>
  <c r="P136" i="16"/>
  <c r="U136" i="16" s="1"/>
  <c r="Y135" i="16"/>
  <c r="R135" i="16"/>
  <c r="W135" i="16" s="1"/>
  <c r="Q135" i="16"/>
  <c r="V135" i="16" s="1"/>
  <c r="P135" i="16"/>
  <c r="U135" i="16" s="1"/>
  <c r="Y134" i="16"/>
  <c r="R134" i="16"/>
  <c r="W134" i="16" s="1"/>
  <c r="Q134" i="16"/>
  <c r="V134" i="16" s="1"/>
  <c r="P134" i="16"/>
  <c r="Y133" i="16"/>
  <c r="R133" i="16"/>
  <c r="W133" i="16" s="1"/>
  <c r="Q133" i="16"/>
  <c r="V133" i="16" s="1"/>
  <c r="P133" i="16"/>
  <c r="U133" i="16" s="1"/>
  <c r="Y128" i="16"/>
  <c r="R128" i="16"/>
  <c r="Q128" i="16"/>
  <c r="V128" i="16" s="1"/>
  <c r="P128" i="16"/>
  <c r="U128" i="16" s="1"/>
  <c r="Y127" i="16"/>
  <c r="R127" i="16"/>
  <c r="W127" i="16" s="1"/>
  <c r="Q127" i="16"/>
  <c r="V127" i="16" s="1"/>
  <c r="P127" i="16"/>
  <c r="U127" i="16" s="1"/>
  <c r="Y126" i="16"/>
  <c r="R126" i="16"/>
  <c r="W126" i="16" s="1"/>
  <c r="Q126" i="16"/>
  <c r="V126" i="16" s="1"/>
  <c r="P126" i="16"/>
  <c r="U126" i="16" s="1"/>
  <c r="Y125" i="16"/>
  <c r="R125" i="16"/>
  <c r="W125" i="16" s="1"/>
  <c r="Q125" i="16"/>
  <c r="P125" i="16"/>
  <c r="U125" i="16" s="1"/>
  <c r="Y124" i="16"/>
  <c r="R124" i="16"/>
  <c r="W124" i="16" s="1"/>
  <c r="Q124" i="16"/>
  <c r="V124" i="16" s="1"/>
  <c r="P124" i="16"/>
  <c r="Y132" i="16"/>
  <c r="R132" i="16"/>
  <c r="W132" i="16" s="1"/>
  <c r="Q132" i="16"/>
  <c r="V132" i="16" s="1"/>
  <c r="P132" i="16"/>
  <c r="U132" i="16" s="1"/>
  <c r="Y131" i="16"/>
  <c r="R131" i="16"/>
  <c r="W131" i="16" s="1"/>
  <c r="Q131" i="16"/>
  <c r="V131" i="16" s="1"/>
  <c r="P131" i="16"/>
  <c r="U131" i="16" s="1"/>
  <c r="Y130" i="16"/>
  <c r="R130" i="16"/>
  <c r="W130" i="16" s="1"/>
  <c r="Q130" i="16"/>
  <c r="V130" i="16" s="1"/>
  <c r="P130" i="16"/>
  <c r="U130" i="16" s="1"/>
  <c r="Y129" i="16"/>
  <c r="R129" i="16"/>
  <c r="W129" i="16" s="1"/>
  <c r="Q129" i="16"/>
  <c r="V129" i="16" s="1"/>
  <c r="P129" i="16"/>
  <c r="U129" i="16" s="1"/>
  <c r="Y257" i="16"/>
  <c r="R257" i="16"/>
  <c r="W257" i="16" s="1"/>
  <c r="Q257" i="16"/>
  <c r="P257" i="16"/>
  <c r="U257" i="16" s="1"/>
  <c r="Y244" i="16"/>
  <c r="R244" i="16"/>
  <c r="W244" i="16" s="1"/>
  <c r="Q244" i="16"/>
  <c r="V244" i="16" s="1"/>
  <c r="P244" i="16"/>
  <c r="Y123" i="16"/>
  <c r="R123" i="16"/>
  <c r="W123" i="16" s="1"/>
  <c r="Q123" i="16"/>
  <c r="V123" i="16" s="1"/>
  <c r="P123" i="16"/>
  <c r="U123" i="16" s="1"/>
  <c r="Y122" i="16"/>
  <c r="R122" i="16"/>
  <c r="W122" i="16" s="1"/>
  <c r="Q122" i="16"/>
  <c r="V122" i="16" s="1"/>
  <c r="P122" i="16"/>
  <c r="U122" i="16" s="1"/>
  <c r="Y121" i="16"/>
  <c r="R121" i="16"/>
  <c r="W121" i="16" s="1"/>
  <c r="Q121" i="16"/>
  <c r="V121" i="16" s="1"/>
  <c r="P121" i="16"/>
  <c r="U121" i="16" s="1"/>
  <c r="Y120" i="16"/>
  <c r="R120" i="16"/>
  <c r="W120" i="16" s="1"/>
  <c r="Q120" i="16"/>
  <c r="V120" i="16" s="1"/>
  <c r="P120" i="16"/>
  <c r="U120" i="16" s="1"/>
  <c r="Y119" i="16"/>
  <c r="R119" i="16"/>
  <c r="W119" i="16" s="1"/>
  <c r="Q119" i="16"/>
  <c r="P119" i="16"/>
  <c r="U119" i="16" s="1"/>
  <c r="Y118" i="16"/>
  <c r="R118" i="16"/>
  <c r="W118" i="16" s="1"/>
  <c r="Q118" i="16"/>
  <c r="V118" i="16" s="1"/>
  <c r="P118" i="16"/>
  <c r="Y117" i="16"/>
  <c r="R117" i="16"/>
  <c r="W117" i="16" s="1"/>
  <c r="Q117" i="16"/>
  <c r="V117" i="16" s="1"/>
  <c r="P117" i="16"/>
  <c r="U117" i="16" s="1"/>
  <c r="Y116" i="16"/>
  <c r="R116" i="16"/>
  <c r="W116" i="16" s="1"/>
  <c r="Q116" i="16"/>
  <c r="V116" i="16" s="1"/>
  <c r="P116" i="16"/>
  <c r="U116" i="16" s="1"/>
  <c r="Y115" i="16"/>
  <c r="R115" i="16"/>
  <c r="W115" i="16" s="1"/>
  <c r="Q115" i="16"/>
  <c r="P115" i="16"/>
  <c r="U115" i="16" s="1"/>
  <c r="Y114" i="16"/>
  <c r="R114" i="16"/>
  <c r="W114" i="16" s="1"/>
  <c r="Q114" i="16"/>
  <c r="V114" i="16" s="1"/>
  <c r="P114" i="16"/>
  <c r="U114" i="16" s="1"/>
  <c r="Y256" i="16"/>
  <c r="R256" i="16"/>
  <c r="W256" i="16" s="1"/>
  <c r="Q256" i="16"/>
  <c r="P256" i="16"/>
  <c r="U256" i="16" s="1"/>
  <c r="Y113" i="16"/>
  <c r="R113" i="16"/>
  <c r="W113" i="16" s="1"/>
  <c r="Q113" i="16"/>
  <c r="V113" i="16" s="1"/>
  <c r="P113" i="16"/>
  <c r="Y112" i="16"/>
  <c r="R112" i="16"/>
  <c r="W112" i="16" s="1"/>
  <c r="Q112" i="16"/>
  <c r="V112" i="16" s="1"/>
  <c r="P112" i="16"/>
  <c r="U112" i="16" s="1"/>
  <c r="Y111" i="16"/>
  <c r="R111" i="16"/>
  <c r="W111" i="16" s="1"/>
  <c r="Q111" i="16"/>
  <c r="V111" i="16" s="1"/>
  <c r="P111" i="16"/>
  <c r="U111" i="16" s="1"/>
  <c r="Y110" i="16"/>
  <c r="R110" i="16"/>
  <c r="W110" i="16" s="1"/>
  <c r="Q110" i="16"/>
  <c r="P110" i="16"/>
  <c r="U110" i="16" s="1"/>
  <c r="Y109" i="16"/>
  <c r="R109" i="16"/>
  <c r="W109" i="16" s="1"/>
  <c r="Q109" i="16"/>
  <c r="V109" i="16" s="1"/>
  <c r="P109" i="16"/>
  <c r="U109" i="16" s="1"/>
  <c r="Y108" i="16"/>
  <c r="R108" i="16"/>
  <c r="W108" i="16" s="1"/>
  <c r="Q108" i="16"/>
  <c r="P108" i="16"/>
  <c r="U108" i="16" s="1"/>
  <c r="Y107" i="16"/>
  <c r="R107" i="16"/>
  <c r="Q107" i="16"/>
  <c r="V107" i="16" s="1"/>
  <c r="P107" i="16"/>
  <c r="Y255" i="16"/>
  <c r="R255" i="16"/>
  <c r="W255" i="16" s="1"/>
  <c r="Q255" i="16"/>
  <c r="V255" i="16" s="1"/>
  <c r="P255" i="16"/>
  <c r="U255" i="16" s="1"/>
  <c r="Y106" i="16"/>
  <c r="R106" i="16"/>
  <c r="W106" i="16" s="1"/>
  <c r="Q106" i="16"/>
  <c r="V106" i="16" s="1"/>
  <c r="P106" i="16"/>
  <c r="Y105" i="16"/>
  <c r="R105" i="16"/>
  <c r="W105" i="16" s="1"/>
  <c r="Q105" i="16"/>
  <c r="V105" i="16" s="1"/>
  <c r="P105" i="16"/>
  <c r="Y104" i="16"/>
  <c r="R104" i="16"/>
  <c r="W104" i="16" s="1"/>
  <c r="Q104" i="16"/>
  <c r="V104" i="16" s="1"/>
  <c r="P104" i="16"/>
  <c r="U104" i="16" s="1"/>
  <c r="Y103" i="16"/>
  <c r="R103" i="16"/>
  <c r="W103" i="16" s="1"/>
  <c r="Q103" i="16"/>
  <c r="P103" i="16"/>
  <c r="U103" i="16" s="1"/>
  <c r="Y102" i="16"/>
  <c r="R102" i="16"/>
  <c r="W102" i="16" s="1"/>
  <c r="Q102" i="16"/>
  <c r="V102" i="16" s="1"/>
  <c r="P102" i="16"/>
  <c r="Y101" i="16"/>
  <c r="R101" i="16"/>
  <c r="W101" i="16" s="1"/>
  <c r="Q101" i="16"/>
  <c r="V101" i="16" s="1"/>
  <c r="P101" i="16"/>
  <c r="Y100" i="16"/>
  <c r="R100" i="16"/>
  <c r="W100" i="16" s="1"/>
  <c r="Q100" i="16"/>
  <c r="V100" i="16" s="1"/>
  <c r="P100" i="16"/>
  <c r="U100" i="16" s="1"/>
  <c r="Y243" i="16"/>
  <c r="R243" i="16"/>
  <c r="W243" i="16" s="1"/>
  <c r="Q243" i="16"/>
  <c r="V243" i="16" s="1"/>
  <c r="P243" i="16"/>
  <c r="Y99" i="16"/>
  <c r="R99" i="16"/>
  <c r="W99" i="16" s="1"/>
  <c r="Q99" i="16"/>
  <c r="V99" i="16" s="1"/>
  <c r="P99" i="16"/>
  <c r="U99" i="16" s="1"/>
  <c r="Y98" i="16"/>
  <c r="R98" i="16"/>
  <c r="W98" i="16" s="1"/>
  <c r="Q98" i="16"/>
  <c r="V98" i="16" s="1"/>
  <c r="P98" i="16"/>
  <c r="U98" i="16" s="1"/>
  <c r="Y97" i="16"/>
  <c r="R97" i="16"/>
  <c r="W97" i="16" s="1"/>
  <c r="Q97" i="16"/>
  <c r="V97" i="16" s="1"/>
  <c r="P97" i="16"/>
  <c r="Y96" i="16"/>
  <c r="R96" i="16"/>
  <c r="W96" i="16" s="1"/>
  <c r="Q96" i="16"/>
  <c r="V96" i="16" s="1"/>
  <c r="P96" i="16"/>
  <c r="Y95" i="16"/>
  <c r="R95" i="16"/>
  <c r="W95" i="16" s="1"/>
  <c r="Q95" i="16"/>
  <c r="V95" i="16" s="1"/>
  <c r="P95" i="16"/>
  <c r="U95" i="16" s="1"/>
  <c r="Y94" i="16"/>
  <c r="R94" i="16"/>
  <c r="W94" i="16" s="1"/>
  <c r="Q94" i="16"/>
  <c r="V94" i="16" s="1"/>
  <c r="P94" i="16"/>
  <c r="Y93" i="16"/>
  <c r="R93" i="16"/>
  <c r="W93" i="16" s="1"/>
  <c r="Q93" i="16"/>
  <c r="V93" i="16" s="1"/>
  <c r="P93" i="16"/>
  <c r="U93" i="16" s="1"/>
  <c r="Y92" i="16"/>
  <c r="R92" i="16"/>
  <c r="W92" i="16" s="1"/>
  <c r="Q92" i="16"/>
  <c r="V92" i="16" s="1"/>
  <c r="P92" i="16"/>
  <c r="U92" i="16" s="1"/>
  <c r="Y91" i="16"/>
  <c r="R91" i="16"/>
  <c r="W91" i="16" s="1"/>
  <c r="Q91" i="16"/>
  <c r="V91" i="16" s="1"/>
  <c r="P91" i="16"/>
  <c r="Y90" i="16"/>
  <c r="R90" i="16"/>
  <c r="W90" i="16" s="1"/>
  <c r="Q90" i="16"/>
  <c r="V90" i="16" s="1"/>
  <c r="P90" i="16"/>
  <c r="Y89" i="16"/>
  <c r="R89" i="16"/>
  <c r="W89" i="16" s="1"/>
  <c r="Q89" i="16"/>
  <c r="V89" i="16" s="1"/>
  <c r="P89" i="16"/>
  <c r="U89" i="16" s="1"/>
  <c r="Y242" i="16"/>
  <c r="R242" i="16"/>
  <c r="W242" i="16" s="1"/>
  <c r="Q242" i="16"/>
  <c r="V242" i="16" s="1"/>
  <c r="P242" i="16"/>
  <c r="Y82" i="16"/>
  <c r="R82" i="16"/>
  <c r="W82" i="16" s="1"/>
  <c r="Q82" i="16"/>
  <c r="V82" i="16" s="1"/>
  <c r="P82" i="16"/>
  <c r="U82" i="16" s="1"/>
  <c r="Y81" i="16"/>
  <c r="R81" i="16"/>
  <c r="W81" i="16" s="1"/>
  <c r="Q81" i="16"/>
  <c r="P81" i="16"/>
  <c r="U81" i="16" s="1"/>
  <c r="Y80" i="16"/>
  <c r="R80" i="16"/>
  <c r="W80" i="16" s="1"/>
  <c r="Q80" i="16"/>
  <c r="V80" i="16" s="1"/>
  <c r="P80" i="16"/>
  <c r="Y79" i="16"/>
  <c r="R79" i="16"/>
  <c r="W79" i="16" s="1"/>
  <c r="Q79" i="16"/>
  <c r="V79" i="16" s="1"/>
  <c r="P79" i="16"/>
  <c r="U79" i="16" s="1"/>
  <c r="Y78" i="16"/>
  <c r="R78" i="16"/>
  <c r="W78" i="16" s="1"/>
  <c r="Q78" i="16"/>
  <c r="V78" i="16" s="1"/>
  <c r="P78" i="16"/>
  <c r="U78" i="16" s="1"/>
  <c r="Y77" i="16"/>
  <c r="R77" i="16"/>
  <c r="W77" i="16" s="1"/>
  <c r="Q77" i="16"/>
  <c r="V77" i="16" s="1"/>
  <c r="P77" i="16"/>
  <c r="U77" i="16" s="1"/>
  <c r="Y76" i="16"/>
  <c r="R76" i="16"/>
  <c r="W76" i="16" s="1"/>
  <c r="Q76" i="16"/>
  <c r="V76" i="16" s="1"/>
  <c r="P76" i="16"/>
  <c r="U76" i="16" s="1"/>
  <c r="Y88" i="16"/>
  <c r="R88" i="16"/>
  <c r="W88" i="16" s="1"/>
  <c r="Q88" i="16"/>
  <c r="V88" i="16" s="1"/>
  <c r="P88" i="16"/>
  <c r="U88" i="16" s="1"/>
  <c r="Y87" i="16"/>
  <c r="R87" i="16"/>
  <c r="W87" i="16" s="1"/>
  <c r="Q87" i="16"/>
  <c r="V87" i="16" s="1"/>
  <c r="P87" i="16"/>
  <c r="U87" i="16" s="1"/>
  <c r="Y86" i="16"/>
  <c r="R86" i="16"/>
  <c r="W86" i="16" s="1"/>
  <c r="Q86" i="16"/>
  <c r="V86" i="16" s="1"/>
  <c r="P86" i="16"/>
  <c r="U86" i="16" s="1"/>
  <c r="Y85" i="16"/>
  <c r="R85" i="16"/>
  <c r="W85" i="16" s="1"/>
  <c r="Q85" i="16"/>
  <c r="P85" i="16"/>
  <c r="U85" i="16" s="1"/>
  <c r="Y84" i="16"/>
  <c r="R84" i="16"/>
  <c r="W84" i="16" s="1"/>
  <c r="Q84" i="16"/>
  <c r="V84" i="16" s="1"/>
  <c r="P84" i="16"/>
  <c r="U84" i="16" s="1"/>
  <c r="Y83" i="16"/>
  <c r="R83" i="16"/>
  <c r="W83" i="16" s="1"/>
  <c r="Q83" i="16"/>
  <c r="V83" i="16" s="1"/>
  <c r="P83" i="16"/>
  <c r="U83" i="16" s="1"/>
  <c r="Y75" i="16"/>
  <c r="R75" i="16"/>
  <c r="W75" i="16" s="1"/>
  <c r="Q75" i="16"/>
  <c r="V75" i="16" s="1"/>
  <c r="P75" i="16"/>
  <c r="U75" i="16" s="1"/>
  <c r="Y74" i="16"/>
  <c r="R74" i="16"/>
  <c r="W74" i="16" s="1"/>
  <c r="Q74" i="16"/>
  <c r="V74" i="16" s="1"/>
  <c r="P74" i="16"/>
  <c r="U74" i="16" s="1"/>
  <c r="Y73" i="16"/>
  <c r="R73" i="16"/>
  <c r="W73" i="16" s="1"/>
  <c r="Q73" i="16"/>
  <c r="V73" i="16" s="1"/>
  <c r="P73" i="16"/>
  <c r="U73" i="16" s="1"/>
  <c r="Y72" i="16"/>
  <c r="R72" i="16"/>
  <c r="W72" i="16" s="1"/>
  <c r="Q72" i="16"/>
  <c r="V72" i="16" s="1"/>
  <c r="P72" i="16"/>
  <c r="U72" i="16" s="1"/>
  <c r="Y71" i="16"/>
  <c r="R71" i="16"/>
  <c r="W71" i="16" s="1"/>
  <c r="Q71" i="16"/>
  <c r="V71" i="16" s="1"/>
  <c r="P71" i="16"/>
  <c r="U71" i="16" s="1"/>
  <c r="Y70" i="16"/>
  <c r="R70" i="16"/>
  <c r="W70" i="16" s="1"/>
  <c r="Q70" i="16"/>
  <c r="V70" i="16" s="1"/>
  <c r="P70" i="16"/>
  <c r="U70" i="16" s="1"/>
  <c r="Y69" i="16"/>
  <c r="R69" i="16"/>
  <c r="W69" i="16" s="1"/>
  <c r="Q69" i="16"/>
  <c r="V69" i="16" s="1"/>
  <c r="P69" i="16"/>
  <c r="U69" i="16" s="1"/>
  <c r="Y68" i="16"/>
  <c r="R68" i="16"/>
  <c r="W68" i="16" s="1"/>
  <c r="Q68" i="16"/>
  <c r="P68" i="16"/>
  <c r="U68" i="16" s="1"/>
  <c r="Y67" i="16"/>
  <c r="R67" i="16"/>
  <c r="W67" i="16" s="1"/>
  <c r="Q67" i="16"/>
  <c r="V67" i="16" s="1"/>
  <c r="P67" i="16"/>
  <c r="U67" i="16" s="1"/>
  <c r="Y241" i="16"/>
  <c r="R241" i="16"/>
  <c r="W241" i="16" s="1"/>
  <c r="Q241" i="16"/>
  <c r="V241" i="16" s="1"/>
  <c r="P241" i="16"/>
  <c r="U241" i="16" s="1"/>
  <c r="Y254" i="16"/>
  <c r="R254" i="16"/>
  <c r="W254" i="16" s="1"/>
  <c r="Q254" i="16"/>
  <c r="V254" i="16" s="1"/>
  <c r="P254" i="16"/>
  <c r="U254" i="16" s="1"/>
  <c r="Y54" i="16"/>
  <c r="R54" i="16"/>
  <c r="W54" i="16" s="1"/>
  <c r="Q54" i="16"/>
  <c r="V54" i="16" s="1"/>
  <c r="P54" i="16"/>
  <c r="Y53" i="16"/>
  <c r="R53" i="16"/>
  <c r="W53" i="16" s="1"/>
  <c r="Q53" i="16"/>
  <c r="V53" i="16" s="1"/>
  <c r="P53" i="16"/>
  <c r="Y52" i="16"/>
  <c r="R52" i="16"/>
  <c r="W52" i="16" s="1"/>
  <c r="Q52" i="16"/>
  <c r="V52" i="16" s="1"/>
  <c r="P52" i="16"/>
  <c r="U52" i="16" s="1"/>
  <c r="Y51" i="16"/>
  <c r="R51" i="16"/>
  <c r="W51" i="16" s="1"/>
  <c r="Q51" i="16"/>
  <c r="V51" i="16" s="1"/>
  <c r="P51" i="16"/>
  <c r="U51" i="16" s="1"/>
  <c r="Y50" i="16"/>
  <c r="R50" i="16"/>
  <c r="W50" i="16" s="1"/>
  <c r="Q50" i="16"/>
  <c r="V50" i="16" s="1"/>
  <c r="P50" i="16"/>
  <c r="U50" i="16" s="1"/>
  <c r="Y49" i="16"/>
  <c r="R49" i="16"/>
  <c r="W49" i="16" s="1"/>
  <c r="Q49" i="16"/>
  <c r="V49" i="16" s="1"/>
  <c r="P49" i="16"/>
  <c r="U49" i="16" s="1"/>
  <c r="Y66" i="16"/>
  <c r="R66" i="16"/>
  <c r="W66" i="16" s="1"/>
  <c r="Q66" i="16"/>
  <c r="V66" i="16" s="1"/>
  <c r="P66" i="16"/>
  <c r="U66" i="16" s="1"/>
  <c r="Y65" i="16"/>
  <c r="R65" i="16"/>
  <c r="W65" i="16" s="1"/>
  <c r="Q65" i="16"/>
  <c r="V65" i="16" s="1"/>
  <c r="P65" i="16"/>
  <c r="Y64" i="16"/>
  <c r="R64" i="16"/>
  <c r="W64" i="16" s="1"/>
  <c r="Q64" i="16"/>
  <c r="P64" i="16"/>
  <c r="U64" i="16" s="1"/>
  <c r="Y63" i="16"/>
  <c r="R63" i="16"/>
  <c r="W63" i="16" s="1"/>
  <c r="Q63" i="16"/>
  <c r="V63" i="16" s="1"/>
  <c r="P63" i="16"/>
  <c r="U63" i="16" s="1"/>
  <c r="Y62" i="16"/>
  <c r="R62" i="16"/>
  <c r="W62" i="16" s="1"/>
  <c r="Q62" i="16"/>
  <c r="V62" i="16" s="1"/>
  <c r="P62" i="16"/>
  <c r="U62" i="16" s="1"/>
  <c r="Y61" i="16"/>
  <c r="R61" i="16"/>
  <c r="W61" i="16" s="1"/>
  <c r="Q61" i="16"/>
  <c r="V61" i="16" s="1"/>
  <c r="P61" i="16"/>
  <c r="U61" i="16" s="1"/>
  <c r="Y60" i="16"/>
  <c r="R60" i="16"/>
  <c r="W60" i="16" s="1"/>
  <c r="Q60" i="16"/>
  <c r="V60" i="16" s="1"/>
  <c r="P60" i="16"/>
  <c r="Y59" i="16"/>
  <c r="R59" i="16"/>
  <c r="W59" i="16" s="1"/>
  <c r="Q59" i="16"/>
  <c r="V59" i="16" s="1"/>
  <c r="P59" i="16"/>
  <c r="U59" i="16" s="1"/>
  <c r="Y58" i="16"/>
  <c r="R58" i="16"/>
  <c r="W58" i="16" s="1"/>
  <c r="Q58" i="16"/>
  <c r="P58" i="16"/>
  <c r="U58" i="16" s="1"/>
  <c r="Y57" i="16"/>
  <c r="R57" i="16"/>
  <c r="W57" i="16" s="1"/>
  <c r="Q57" i="16"/>
  <c r="V57" i="16" s="1"/>
  <c r="P57" i="16"/>
  <c r="U57" i="16" s="1"/>
  <c r="Y56" i="16"/>
  <c r="R56" i="16"/>
  <c r="W56" i="16" s="1"/>
  <c r="Q56" i="16"/>
  <c r="V56" i="16" s="1"/>
  <c r="P56" i="16"/>
  <c r="U56" i="16" s="1"/>
  <c r="Y55" i="16"/>
  <c r="R55" i="16"/>
  <c r="W55" i="16" s="1"/>
  <c r="Q55" i="16"/>
  <c r="V55" i="16" s="1"/>
  <c r="P55" i="16"/>
  <c r="U55" i="16" s="1"/>
  <c r="Y240" i="16"/>
  <c r="R240" i="16"/>
  <c r="W240" i="16" s="1"/>
  <c r="Q240" i="16"/>
  <c r="V240" i="16" s="1"/>
  <c r="P240" i="16"/>
  <c r="Y44" i="16"/>
  <c r="R44" i="16"/>
  <c r="W44" i="16" s="1"/>
  <c r="Q44" i="16"/>
  <c r="V44" i="16" s="1"/>
  <c r="P44" i="16"/>
  <c r="Y43" i="16"/>
  <c r="R43" i="16"/>
  <c r="W43" i="16" s="1"/>
  <c r="Q43" i="16"/>
  <c r="V43" i="16" s="1"/>
  <c r="P43" i="16"/>
  <c r="U43" i="16" s="1"/>
  <c r="Y42" i="16"/>
  <c r="R42" i="16"/>
  <c r="W42" i="16" s="1"/>
  <c r="Q42" i="16"/>
  <c r="V42" i="16" s="1"/>
  <c r="P42" i="16"/>
  <c r="U42" i="16" s="1"/>
  <c r="Y41" i="16"/>
  <c r="R41" i="16"/>
  <c r="W41" i="16" s="1"/>
  <c r="Q41" i="16"/>
  <c r="V41" i="16" s="1"/>
  <c r="P41" i="16"/>
  <c r="U41" i="16" s="1"/>
  <c r="Y40" i="16"/>
  <c r="R40" i="16"/>
  <c r="W40" i="16" s="1"/>
  <c r="Q40" i="16"/>
  <c r="V40" i="16" s="1"/>
  <c r="P40" i="16"/>
  <c r="U40" i="16" s="1"/>
  <c r="Y39" i="16"/>
  <c r="R39" i="16"/>
  <c r="W39" i="16" s="1"/>
  <c r="Q39" i="16"/>
  <c r="V39" i="16" s="1"/>
  <c r="P39" i="16"/>
  <c r="Y38" i="16"/>
  <c r="R38" i="16"/>
  <c r="W38" i="16" s="1"/>
  <c r="Q38" i="16"/>
  <c r="V38" i="16" s="1"/>
  <c r="P38" i="16"/>
  <c r="Y239" i="16"/>
  <c r="R239" i="16"/>
  <c r="W239" i="16" s="1"/>
  <c r="Q239" i="16"/>
  <c r="V239" i="16" s="1"/>
  <c r="P239" i="16"/>
  <c r="Y48" i="16"/>
  <c r="R48" i="16"/>
  <c r="W48" i="16" s="1"/>
  <c r="Q48" i="16"/>
  <c r="V48" i="16" s="1"/>
  <c r="P48" i="16"/>
  <c r="U48" i="16" s="1"/>
  <c r="Y47" i="16"/>
  <c r="R47" i="16"/>
  <c r="W47" i="16" s="1"/>
  <c r="Q47" i="16"/>
  <c r="V47" i="16" s="1"/>
  <c r="P47" i="16"/>
  <c r="U47" i="16" s="1"/>
  <c r="Y46" i="16"/>
  <c r="R46" i="16"/>
  <c r="W46" i="16" s="1"/>
  <c r="Q46" i="16"/>
  <c r="V46" i="16" s="1"/>
  <c r="P46" i="16"/>
  <c r="U46" i="16" s="1"/>
  <c r="Y45" i="16"/>
  <c r="R45" i="16"/>
  <c r="W45" i="16" s="1"/>
  <c r="Q45" i="16"/>
  <c r="V45" i="16" s="1"/>
  <c r="P45" i="16"/>
  <c r="U45" i="16" s="1"/>
  <c r="Y37" i="16"/>
  <c r="R37" i="16"/>
  <c r="W37" i="16" s="1"/>
  <c r="Q37" i="16"/>
  <c r="V37" i="16" s="1"/>
  <c r="P37" i="16"/>
  <c r="U37" i="16" s="1"/>
  <c r="Y36" i="16"/>
  <c r="R36" i="16"/>
  <c r="W36" i="16" s="1"/>
  <c r="Q36" i="16"/>
  <c r="V36" i="16" s="1"/>
  <c r="P36" i="16"/>
  <c r="Y35" i="16"/>
  <c r="R35" i="16"/>
  <c r="W35" i="16" s="1"/>
  <c r="Q35" i="16"/>
  <c r="V35" i="16" s="1"/>
  <c r="P35" i="16"/>
  <c r="U35" i="16" s="1"/>
  <c r="Y34" i="16"/>
  <c r="R34" i="16"/>
  <c r="W34" i="16" s="1"/>
  <c r="Q34" i="16"/>
  <c r="V34" i="16" s="1"/>
  <c r="P34" i="16"/>
  <c r="U34" i="16" s="1"/>
  <c r="Y33" i="16"/>
  <c r="R33" i="16"/>
  <c r="W33" i="16" s="1"/>
  <c r="Q33" i="16"/>
  <c r="V33" i="16" s="1"/>
  <c r="P33" i="16"/>
  <c r="U33" i="16" s="1"/>
  <c r="Y32" i="16"/>
  <c r="R32" i="16"/>
  <c r="W32" i="16" s="1"/>
  <c r="Q32" i="16"/>
  <c r="V32" i="16" s="1"/>
  <c r="P32" i="16"/>
  <c r="Y31" i="16"/>
  <c r="R31" i="16"/>
  <c r="Q31" i="16"/>
  <c r="V31" i="16" s="1"/>
  <c r="P31" i="16"/>
  <c r="U31" i="16" s="1"/>
  <c r="Y30" i="16"/>
  <c r="R30" i="16"/>
  <c r="W30" i="16" s="1"/>
  <c r="Q30" i="16"/>
  <c r="V30" i="16" s="1"/>
  <c r="P30" i="16"/>
  <c r="Y29" i="16"/>
  <c r="R29" i="16"/>
  <c r="W29" i="16" s="1"/>
  <c r="Q29" i="16"/>
  <c r="V29" i="16" s="1"/>
  <c r="P29" i="16"/>
  <c r="U29" i="16" s="1"/>
  <c r="Y28" i="16"/>
  <c r="R28" i="16"/>
  <c r="W28" i="16" s="1"/>
  <c r="Q28" i="16"/>
  <c r="V28" i="16" s="1"/>
  <c r="P28" i="16"/>
  <c r="U28" i="16" s="1"/>
  <c r="Y27" i="16"/>
  <c r="R27" i="16"/>
  <c r="W27" i="16" s="1"/>
  <c r="Q27" i="16"/>
  <c r="V27" i="16" s="1"/>
  <c r="P27" i="16"/>
  <c r="U27" i="16" s="1"/>
  <c r="Y26" i="16"/>
  <c r="R26" i="16"/>
  <c r="W26" i="16" s="1"/>
  <c r="Q26" i="16"/>
  <c r="V26" i="16" s="1"/>
  <c r="P26" i="16"/>
  <c r="U26" i="16" s="1"/>
  <c r="Y25" i="16"/>
  <c r="R25" i="16"/>
  <c r="W25" i="16" s="1"/>
  <c r="Q25" i="16"/>
  <c r="V25" i="16" s="1"/>
  <c r="P25" i="16"/>
  <c r="U25" i="16" s="1"/>
  <c r="Y24" i="16"/>
  <c r="R24" i="16"/>
  <c r="W24" i="16" s="1"/>
  <c r="Q24" i="16"/>
  <c r="V24" i="16" s="1"/>
  <c r="P24" i="16"/>
  <c r="Y23" i="16"/>
  <c r="R23" i="16"/>
  <c r="W23" i="16" s="1"/>
  <c r="Q23" i="16"/>
  <c r="V23" i="16" s="1"/>
  <c r="P23" i="16"/>
  <c r="U23" i="16" s="1"/>
  <c r="Y238" i="16"/>
  <c r="R238" i="16"/>
  <c r="W238" i="16" s="1"/>
  <c r="Q238" i="16"/>
  <c r="V238" i="16" s="1"/>
  <c r="P238" i="16"/>
  <c r="U238" i="16" s="1"/>
  <c r="Y253" i="16"/>
  <c r="R253" i="16"/>
  <c r="W253" i="16" s="1"/>
  <c r="Q253" i="16"/>
  <c r="V253" i="16" s="1"/>
  <c r="P253" i="16"/>
  <c r="U253" i="16" s="1"/>
  <c r="Y252" i="16"/>
  <c r="R252" i="16"/>
  <c r="W252" i="16" s="1"/>
  <c r="Q252" i="16"/>
  <c r="V252" i="16" s="1"/>
  <c r="P252" i="16"/>
  <c r="Y22" i="16"/>
  <c r="R22" i="16"/>
  <c r="W22" i="16" s="1"/>
  <c r="Q22" i="16"/>
  <c r="V22" i="16" s="1"/>
  <c r="P22" i="16"/>
  <c r="U22" i="16" s="1"/>
  <c r="Y21" i="16"/>
  <c r="R21" i="16"/>
  <c r="W21" i="16" s="1"/>
  <c r="Q21" i="16"/>
  <c r="V21" i="16" s="1"/>
  <c r="P21" i="16"/>
  <c r="Y20" i="16"/>
  <c r="R20" i="16"/>
  <c r="W20" i="16" s="1"/>
  <c r="Q20" i="16"/>
  <c r="V20" i="16" s="1"/>
  <c r="P20" i="16"/>
  <c r="U20" i="16" s="1"/>
  <c r="Y19" i="16"/>
  <c r="R19" i="16"/>
  <c r="W19" i="16" s="1"/>
  <c r="Q19" i="16"/>
  <c r="V19" i="16" s="1"/>
  <c r="P19" i="16"/>
  <c r="U19" i="16" s="1"/>
  <c r="Y18" i="16"/>
  <c r="R18" i="16"/>
  <c r="W18" i="16" s="1"/>
  <c r="Q18" i="16"/>
  <c r="V18" i="16" s="1"/>
  <c r="P18" i="16"/>
  <c r="U18" i="16" s="1"/>
  <c r="Y17" i="16"/>
  <c r="R17" i="16"/>
  <c r="W17" i="16" s="1"/>
  <c r="Q17" i="16"/>
  <c r="V17" i="16" s="1"/>
  <c r="P17" i="16"/>
  <c r="Y16" i="16"/>
  <c r="R16" i="16"/>
  <c r="Q16" i="16"/>
  <c r="V16" i="16" s="1"/>
  <c r="P16" i="16"/>
  <c r="Y15" i="16"/>
  <c r="R15" i="16"/>
  <c r="W15" i="16" s="1"/>
  <c r="Q15" i="16"/>
  <c r="V15" i="16" s="1"/>
  <c r="P15" i="16"/>
  <c r="Y14" i="16"/>
  <c r="R14" i="16"/>
  <c r="W14" i="16" s="1"/>
  <c r="Q14" i="16"/>
  <c r="V14" i="16" s="1"/>
  <c r="P14" i="16"/>
  <c r="U14" i="16" s="1"/>
  <c r="Y13" i="16"/>
  <c r="R13" i="16"/>
  <c r="W13" i="16" s="1"/>
  <c r="Q13" i="16"/>
  <c r="V13" i="16" s="1"/>
  <c r="P13" i="16"/>
  <c r="U13" i="16" s="1"/>
  <c r="Y12" i="16"/>
  <c r="R12" i="16"/>
  <c r="W12" i="16" s="1"/>
  <c r="Q12" i="16"/>
  <c r="V12" i="16" s="1"/>
  <c r="P12" i="16"/>
  <c r="U12" i="16" s="1"/>
  <c r="Y11" i="16"/>
  <c r="R11" i="16"/>
  <c r="W11" i="16" s="1"/>
  <c r="Q11" i="16"/>
  <c r="V11" i="16" s="1"/>
  <c r="P11" i="16"/>
  <c r="U11" i="16" s="1"/>
  <c r="Y10" i="16"/>
  <c r="R10" i="16"/>
  <c r="Q10" i="16"/>
  <c r="V10" i="16" s="1"/>
  <c r="P10" i="16"/>
  <c r="Y9" i="16"/>
  <c r="R9" i="16"/>
  <c r="W9" i="16" s="1"/>
  <c r="Q9" i="16"/>
  <c r="V9" i="16" s="1"/>
  <c r="P9" i="16"/>
  <c r="U9" i="16" s="1"/>
  <c r="Y8" i="16"/>
  <c r="R8" i="16"/>
  <c r="W8" i="16" s="1"/>
  <c r="Q8" i="16"/>
  <c r="V8" i="16" s="1"/>
  <c r="P8" i="16"/>
  <c r="U8" i="16" s="1"/>
  <c r="Y237" i="16"/>
  <c r="R237" i="16"/>
  <c r="W237" i="16" s="1"/>
  <c r="Q237" i="16"/>
  <c r="V237" i="16" s="1"/>
  <c r="P237" i="16"/>
  <c r="U237" i="16" s="1"/>
  <c r="Y7" i="16"/>
  <c r="R7" i="16"/>
  <c r="W7" i="16" s="1"/>
  <c r="Q7" i="16"/>
  <c r="V7" i="16" s="1"/>
  <c r="P7" i="16"/>
  <c r="U7" i="16" s="1"/>
  <c r="Y6" i="16"/>
  <c r="R6" i="16"/>
  <c r="W6" i="16" s="1"/>
  <c r="Q6" i="16"/>
  <c r="V6" i="16" s="1"/>
  <c r="P6" i="16"/>
  <c r="Y5" i="16"/>
  <c r="R5" i="16"/>
  <c r="W5" i="16" s="1"/>
  <c r="Q5" i="16"/>
  <c r="V5" i="16" s="1"/>
  <c r="P5" i="16"/>
  <c r="U5" i="16" s="1"/>
  <c r="Y4" i="16"/>
  <c r="R4" i="16"/>
  <c r="W4" i="16" s="1"/>
  <c r="Q4" i="16"/>
  <c r="V4" i="16" s="1"/>
  <c r="P4" i="16"/>
  <c r="Y3" i="16"/>
  <c r="R3" i="16"/>
  <c r="W3" i="16" s="1"/>
  <c r="Q3" i="16"/>
  <c r="V3" i="16" s="1"/>
  <c r="P3" i="16"/>
  <c r="U3" i="16" s="1"/>
  <c r="Y2" i="16"/>
  <c r="R2" i="16"/>
  <c r="W2" i="16" s="1"/>
  <c r="Q2" i="16"/>
  <c r="V2" i="16" s="1"/>
  <c r="P2" i="16"/>
  <c r="U2" i="16" s="1"/>
  <c r="Y236" i="16"/>
  <c r="R236" i="16"/>
  <c r="W236" i="16" s="1"/>
  <c r="Q236" i="16"/>
  <c r="V236" i="16" s="1"/>
  <c r="P236" i="16"/>
  <c r="P230" i="15"/>
  <c r="P182" i="15"/>
  <c r="P134" i="15"/>
  <c r="P86" i="15"/>
  <c r="P38" i="15"/>
  <c r="M243" i="15"/>
  <c r="AB243" i="15" s="1"/>
  <c r="M242" i="15"/>
  <c r="AB242" i="15" s="1"/>
  <c r="M241" i="15"/>
  <c r="Q241" i="15" s="1"/>
  <c r="M240" i="15"/>
  <c r="AB240" i="15" s="1"/>
  <c r="M239" i="15"/>
  <c r="AB239" i="15" s="1"/>
  <c r="M238" i="15"/>
  <c r="AB238" i="15" s="1"/>
  <c r="M237" i="15"/>
  <c r="Q237" i="15" s="1"/>
  <c r="M236" i="15"/>
  <c r="Q236" i="15" s="1"/>
  <c r="M235" i="15"/>
  <c r="Q235" i="15" s="1"/>
  <c r="M234" i="15"/>
  <c r="AB234" i="15" s="1"/>
  <c r="M233" i="15"/>
  <c r="Q233" i="15" s="1"/>
  <c r="M232" i="15"/>
  <c r="Q232" i="15" s="1"/>
  <c r="M231" i="15"/>
  <c r="AB231" i="15" s="1"/>
  <c r="M230" i="15"/>
  <c r="AB230" i="15" s="1"/>
  <c r="M229" i="15"/>
  <c r="Q229" i="15" s="1"/>
  <c r="M228" i="15"/>
  <c r="AB228" i="15" s="1"/>
  <c r="M227" i="15"/>
  <c r="AB227" i="15" s="1"/>
  <c r="M226" i="15"/>
  <c r="AB226" i="15" s="1"/>
  <c r="M225" i="15"/>
  <c r="Q225" i="15" s="1"/>
  <c r="M224" i="15"/>
  <c r="Q224" i="15" s="1"/>
  <c r="M223" i="15"/>
  <c r="Q223" i="15" s="1"/>
  <c r="M222" i="15"/>
  <c r="AB222" i="15" s="1"/>
  <c r="M221" i="15"/>
  <c r="Q221" i="15" s="1"/>
  <c r="M220" i="15"/>
  <c r="Q220" i="15" s="1"/>
  <c r="M219" i="15"/>
  <c r="AB219" i="15" s="1"/>
  <c r="M218" i="15"/>
  <c r="AB218" i="15" s="1"/>
  <c r="M217" i="15"/>
  <c r="Q217" i="15" s="1"/>
  <c r="M216" i="15"/>
  <c r="AB216" i="15" s="1"/>
  <c r="M215" i="15"/>
  <c r="AB215" i="15" s="1"/>
  <c r="M214" i="15"/>
  <c r="AB214" i="15" s="1"/>
  <c r="M213" i="15"/>
  <c r="Q213" i="15" s="1"/>
  <c r="M212" i="15"/>
  <c r="Q212" i="15" s="1"/>
  <c r="M211" i="15"/>
  <c r="Q211" i="15" s="1"/>
  <c r="M210" i="15"/>
  <c r="AB210" i="15" s="1"/>
  <c r="M209" i="15"/>
  <c r="Q209" i="15" s="1"/>
  <c r="M208" i="15"/>
  <c r="Q208" i="15" s="1"/>
  <c r="M207" i="15"/>
  <c r="AB207" i="15" s="1"/>
  <c r="M206" i="15"/>
  <c r="AB206" i="15" s="1"/>
  <c r="M205" i="15"/>
  <c r="Q205" i="15" s="1"/>
  <c r="M204" i="15"/>
  <c r="AB204" i="15" s="1"/>
  <c r="M203" i="15"/>
  <c r="AB203" i="15" s="1"/>
  <c r="M202" i="15"/>
  <c r="AB202" i="15" s="1"/>
  <c r="M201" i="15"/>
  <c r="Q201" i="15" s="1"/>
  <c r="M200" i="15"/>
  <c r="Q200" i="15" s="1"/>
  <c r="M199" i="15"/>
  <c r="Q199" i="15" s="1"/>
  <c r="M198" i="15"/>
  <c r="AB198" i="15" s="1"/>
  <c r="M197" i="15"/>
  <c r="Q197" i="15" s="1"/>
  <c r="M196" i="15"/>
  <c r="Q196" i="15" s="1"/>
  <c r="M195" i="15"/>
  <c r="AB195" i="15" s="1"/>
  <c r="M194" i="15"/>
  <c r="AB194" i="15" s="1"/>
  <c r="M193" i="15"/>
  <c r="Q193" i="15" s="1"/>
  <c r="M192" i="15"/>
  <c r="AB192" i="15" s="1"/>
  <c r="M191" i="15"/>
  <c r="AB191" i="15" s="1"/>
  <c r="M190" i="15"/>
  <c r="AB190" i="15" s="1"/>
  <c r="M189" i="15"/>
  <c r="Q189" i="15" s="1"/>
  <c r="M188" i="15"/>
  <c r="Q188" i="15" s="1"/>
  <c r="M187" i="15"/>
  <c r="Q187" i="15" s="1"/>
  <c r="M186" i="15"/>
  <c r="AB186" i="15" s="1"/>
  <c r="M185" i="15"/>
  <c r="Q185" i="15" s="1"/>
  <c r="M184" i="15"/>
  <c r="Q184" i="15" s="1"/>
  <c r="M183" i="15"/>
  <c r="AB183" i="15" s="1"/>
  <c r="M182" i="15"/>
  <c r="AB182" i="15" s="1"/>
  <c r="M181" i="15"/>
  <c r="Q181" i="15" s="1"/>
  <c r="M180" i="15"/>
  <c r="AB180" i="15" s="1"/>
  <c r="M179" i="15"/>
  <c r="AB179" i="15" s="1"/>
  <c r="M178" i="15"/>
  <c r="AB178" i="15" s="1"/>
  <c r="M177" i="15"/>
  <c r="Q177" i="15" s="1"/>
  <c r="M176" i="15"/>
  <c r="Q176" i="15" s="1"/>
  <c r="M175" i="15"/>
  <c r="Q175" i="15" s="1"/>
  <c r="M174" i="15"/>
  <c r="AB174" i="15" s="1"/>
  <c r="M173" i="15"/>
  <c r="Q173" i="15" s="1"/>
  <c r="M172" i="15"/>
  <c r="Q172" i="15" s="1"/>
  <c r="M171" i="15"/>
  <c r="AB171" i="15" s="1"/>
  <c r="M170" i="15"/>
  <c r="AB170" i="15" s="1"/>
  <c r="M169" i="15"/>
  <c r="Q169" i="15" s="1"/>
  <c r="M168" i="15"/>
  <c r="AB168" i="15" s="1"/>
  <c r="M167" i="15"/>
  <c r="AB167" i="15" s="1"/>
  <c r="M166" i="15"/>
  <c r="AB166" i="15" s="1"/>
  <c r="M165" i="15"/>
  <c r="Q165" i="15" s="1"/>
  <c r="M164" i="15"/>
  <c r="Q164" i="15" s="1"/>
  <c r="M163" i="15"/>
  <c r="Q163" i="15" s="1"/>
  <c r="M162" i="15"/>
  <c r="AB162" i="15" s="1"/>
  <c r="M161" i="15"/>
  <c r="Q161" i="15" s="1"/>
  <c r="M160" i="15"/>
  <c r="Q160" i="15" s="1"/>
  <c r="M159" i="15"/>
  <c r="AB159" i="15" s="1"/>
  <c r="M158" i="15"/>
  <c r="AB158" i="15" s="1"/>
  <c r="M157" i="15"/>
  <c r="Q157" i="15" s="1"/>
  <c r="M156" i="15"/>
  <c r="AB156" i="15" s="1"/>
  <c r="M155" i="15"/>
  <c r="AB155" i="15" s="1"/>
  <c r="M154" i="15"/>
  <c r="AB154" i="15" s="1"/>
  <c r="M153" i="15"/>
  <c r="Q153" i="15" s="1"/>
  <c r="M152" i="15"/>
  <c r="Q152" i="15" s="1"/>
  <c r="M151" i="15"/>
  <c r="Q151" i="15" s="1"/>
  <c r="M150" i="15"/>
  <c r="AB150" i="15" s="1"/>
  <c r="M149" i="15"/>
  <c r="Q149" i="15" s="1"/>
  <c r="M148" i="15"/>
  <c r="Q148" i="15" s="1"/>
  <c r="M147" i="15"/>
  <c r="AB147" i="15" s="1"/>
  <c r="M146" i="15"/>
  <c r="AB146" i="15" s="1"/>
  <c r="M145" i="15"/>
  <c r="Q145" i="15" s="1"/>
  <c r="M144" i="15"/>
  <c r="AB144" i="15" s="1"/>
  <c r="M143" i="15"/>
  <c r="AB143" i="15" s="1"/>
  <c r="M142" i="15"/>
  <c r="AB142" i="15" s="1"/>
  <c r="M141" i="15"/>
  <c r="Q141" i="15" s="1"/>
  <c r="M140" i="15"/>
  <c r="Q140" i="15" s="1"/>
  <c r="M139" i="15"/>
  <c r="Q139" i="15" s="1"/>
  <c r="M138" i="15"/>
  <c r="AB138" i="15" s="1"/>
  <c r="M137" i="15"/>
  <c r="Q137" i="15" s="1"/>
  <c r="M136" i="15"/>
  <c r="Q136" i="15" s="1"/>
  <c r="M135" i="15"/>
  <c r="AB135" i="15" s="1"/>
  <c r="M134" i="15"/>
  <c r="AB134" i="15" s="1"/>
  <c r="M133" i="15"/>
  <c r="Q133" i="15" s="1"/>
  <c r="M132" i="15"/>
  <c r="AB132" i="15" s="1"/>
  <c r="M131" i="15"/>
  <c r="AB131" i="15" s="1"/>
  <c r="M130" i="15"/>
  <c r="AB130" i="15" s="1"/>
  <c r="M129" i="15"/>
  <c r="Q129" i="15" s="1"/>
  <c r="M128" i="15"/>
  <c r="Q128" i="15" s="1"/>
  <c r="M127" i="15"/>
  <c r="Q127" i="15" s="1"/>
  <c r="M126" i="15"/>
  <c r="AB126" i="15" s="1"/>
  <c r="M125" i="15"/>
  <c r="Q125" i="15" s="1"/>
  <c r="M124" i="15"/>
  <c r="Q124" i="15" s="1"/>
  <c r="M123" i="15"/>
  <c r="AB123" i="15" s="1"/>
  <c r="M122" i="15"/>
  <c r="AB122" i="15" s="1"/>
  <c r="M121" i="15"/>
  <c r="Q121" i="15" s="1"/>
  <c r="M120" i="15"/>
  <c r="AB120" i="15" s="1"/>
  <c r="M119" i="15"/>
  <c r="AB119" i="15" s="1"/>
  <c r="M118" i="15"/>
  <c r="AB118" i="15" s="1"/>
  <c r="M117" i="15"/>
  <c r="Q117" i="15" s="1"/>
  <c r="M116" i="15"/>
  <c r="Q116" i="15" s="1"/>
  <c r="M115" i="15"/>
  <c r="Q115" i="15" s="1"/>
  <c r="M114" i="15"/>
  <c r="AB114" i="15" s="1"/>
  <c r="M113" i="15"/>
  <c r="Q113" i="15" s="1"/>
  <c r="M112" i="15"/>
  <c r="Q112" i="15" s="1"/>
  <c r="M111" i="15"/>
  <c r="AB111" i="15" s="1"/>
  <c r="M110" i="15"/>
  <c r="AB110" i="15" s="1"/>
  <c r="M109" i="15"/>
  <c r="Q109" i="15" s="1"/>
  <c r="M108" i="15"/>
  <c r="AB108" i="15" s="1"/>
  <c r="M107" i="15"/>
  <c r="AB107" i="15" s="1"/>
  <c r="M106" i="15"/>
  <c r="AB106" i="15" s="1"/>
  <c r="M105" i="15"/>
  <c r="Q105" i="15" s="1"/>
  <c r="M104" i="15"/>
  <c r="Q104" i="15" s="1"/>
  <c r="M103" i="15"/>
  <c r="Q103" i="15" s="1"/>
  <c r="M102" i="15"/>
  <c r="AB102" i="15" s="1"/>
  <c r="M101" i="15"/>
  <c r="Q101" i="15" s="1"/>
  <c r="M100" i="15"/>
  <c r="Q100" i="15" s="1"/>
  <c r="M99" i="15"/>
  <c r="AB99" i="15" s="1"/>
  <c r="M98" i="15"/>
  <c r="AB98" i="15" s="1"/>
  <c r="M97" i="15"/>
  <c r="Q97" i="15" s="1"/>
  <c r="M96" i="15"/>
  <c r="AB96" i="15" s="1"/>
  <c r="M95" i="15"/>
  <c r="AB95" i="15" s="1"/>
  <c r="M94" i="15"/>
  <c r="AB94" i="15" s="1"/>
  <c r="M93" i="15"/>
  <c r="Q93" i="15" s="1"/>
  <c r="M92" i="15"/>
  <c r="Q92" i="15" s="1"/>
  <c r="M91" i="15"/>
  <c r="Q91" i="15" s="1"/>
  <c r="M90" i="15"/>
  <c r="AB90" i="15" s="1"/>
  <c r="M89" i="15"/>
  <c r="Q89" i="15" s="1"/>
  <c r="M88" i="15"/>
  <c r="Q88" i="15" s="1"/>
  <c r="M87" i="15"/>
  <c r="AB87" i="15" s="1"/>
  <c r="M86" i="15"/>
  <c r="AB86" i="15" s="1"/>
  <c r="M85" i="15"/>
  <c r="Q85" i="15" s="1"/>
  <c r="M84" i="15"/>
  <c r="AB84" i="15" s="1"/>
  <c r="M83" i="15"/>
  <c r="AB83" i="15" s="1"/>
  <c r="M82" i="15"/>
  <c r="AB82" i="15" s="1"/>
  <c r="M81" i="15"/>
  <c r="Q81" i="15" s="1"/>
  <c r="M80" i="15"/>
  <c r="Q80" i="15" s="1"/>
  <c r="M79" i="15"/>
  <c r="Q79" i="15" s="1"/>
  <c r="M78" i="15"/>
  <c r="AB78" i="15" s="1"/>
  <c r="M77" i="15"/>
  <c r="Q77" i="15" s="1"/>
  <c r="M76" i="15"/>
  <c r="Q76" i="15" s="1"/>
  <c r="M75" i="15"/>
  <c r="AB75" i="15" s="1"/>
  <c r="M74" i="15"/>
  <c r="AB74" i="15" s="1"/>
  <c r="M73" i="15"/>
  <c r="Q73" i="15" s="1"/>
  <c r="M72" i="15"/>
  <c r="AB72" i="15" s="1"/>
  <c r="M71" i="15"/>
  <c r="AB71" i="15" s="1"/>
  <c r="M70" i="15"/>
  <c r="AB70" i="15" s="1"/>
  <c r="M69" i="15"/>
  <c r="Q69" i="15" s="1"/>
  <c r="M68" i="15"/>
  <c r="Q68" i="15" s="1"/>
  <c r="M67" i="15"/>
  <c r="Q67" i="15" s="1"/>
  <c r="M66" i="15"/>
  <c r="AB66" i="15" s="1"/>
  <c r="M65" i="15"/>
  <c r="Q65" i="15" s="1"/>
  <c r="M64" i="15"/>
  <c r="Q64" i="15" s="1"/>
  <c r="M63" i="15"/>
  <c r="AB63" i="15" s="1"/>
  <c r="M62" i="15"/>
  <c r="AB62" i="15" s="1"/>
  <c r="M61" i="15"/>
  <c r="Q61" i="15" s="1"/>
  <c r="M60" i="15"/>
  <c r="AB60" i="15" s="1"/>
  <c r="M59" i="15"/>
  <c r="AB59" i="15" s="1"/>
  <c r="M58" i="15"/>
  <c r="AB58" i="15" s="1"/>
  <c r="M57" i="15"/>
  <c r="Q57" i="15" s="1"/>
  <c r="M56" i="15"/>
  <c r="Q56" i="15" s="1"/>
  <c r="M55" i="15"/>
  <c r="Q55" i="15" s="1"/>
  <c r="M54" i="15"/>
  <c r="AB54" i="15" s="1"/>
  <c r="M53" i="15"/>
  <c r="Q53" i="15" s="1"/>
  <c r="M52" i="15"/>
  <c r="Q52" i="15" s="1"/>
  <c r="M51" i="15"/>
  <c r="AB51" i="15" s="1"/>
  <c r="M50" i="15"/>
  <c r="AB50" i="15" s="1"/>
  <c r="M49" i="15"/>
  <c r="Q49" i="15" s="1"/>
  <c r="M48" i="15"/>
  <c r="AB48" i="15" s="1"/>
  <c r="M47" i="15"/>
  <c r="AB47" i="15" s="1"/>
  <c r="M46" i="15"/>
  <c r="AB46" i="15" s="1"/>
  <c r="M45" i="15"/>
  <c r="Q45" i="15" s="1"/>
  <c r="M44" i="15"/>
  <c r="Q44" i="15" s="1"/>
  <c r="M43" i="15"/>
  <c r="Q43" i="15" s="1"/>
  <c r="M42" i="15"/>
  <c r="AB42" i="15" s="1"/>
  <c r="M41" i="15"/>
  <c r="Q41" i="15" s="1"/>
  <c r="M40" i="15"/>
  <c r="Q40" i="15" s="1"/>
  <c r="M39" i="15"/>
  <c r="AB39" i="15" s="1"/>
  <c r="M38" i="15"/>
  <c r="AB38" i="15" s="1"/>
  <c r="M37" i="15"/>
  <c r="Q37" i="15" s="1"/>
  <c r="M36" i="15"/>
  <c r="AB36" i="15" s="1"/>
  <c r="M35" i="15"/>
  <c r="AB35" i="15" s="1"/>
  <c r="M34" i="15"/>
  <c r="AB34" i="15" s="1"/>
  <c r="M33" i="15"/>
  <c r="Q33" i="15" s="1"/>
  <c r="M32" i="15"/>
  <c r="Q32" i="15" s="1"/>
  <c r="M31" i="15"/>
  <c r="Q31" i="15" s="1"/>
  <c r="M30" i="15"/>
  <c r="AB30" i="15" s="1"/>
  <c r="M29" i="15"/>
  <c r="Q29" i="15" s="1"/>
  <c r="M28" i="15"/>
  <c r="Q28" i="15" s="1"/>
  <c r="M27" i="15"/>
  <c r="AB27" i="15" s="1"/>
  <c r="M26" i="15"/>
  <c r="AB26" i="15" s="1"/>
  <c r="M25" i="15"/>
  <c r="Q25" i="15" s="1"/>
  <c r="M24" i="15"/>
  <c r="AB24" i="15" s="1"/>
  <c r="M23" i="15"/>
  <c r="AB23" i="15" s="1"/>
  <c r="M22" i="15"/>
  <c r="AB22" i="15" s="1"/>
  <c r="M21" i="15"/>
  <c r="Q21" i="15" s="1"/>
  <c r="M20" i="15"/>
  <c r="Q20" i="15" s="1"/>
  <c r="M19" i="15"/>
  <c r="Q19" i="15" s="1"/>
  <c r="M18" i="15"/>
  <c r="AB18" i="15" s="1"/>
  <c r="M17" i="15"/>
  <c r="Q17" i="15" s="1"/>
  <c r="M16" i="15"/>
  <c r="Q16" i="15" s="1"/>
  <c r="M15" i="15"/>
  <c r="AB15" i="15" s="1"/>
  <c r="M14" i="15"/>
  <c r="AB14" i="15" s="1"/>
  <c r="M13" i="15"/>
  <c r="Q13" i="15" s="1"/>
  <c r="M12" i="15"/>
  <c r="AB12" i="15" s="1"/>
  <c r="M11" i="15"/>
  <c r="AB11" i="15" s="1"/>
  <c r="M10" i="15"/>
  <c r="AB10" i="15" s="1"/>
  <c r="M9" i="15"/>
  <c r="Q9" i="15" s="1"/>
  <c r="M8" i="15"/>
  <c r="Q8" i="15" s="1"/>
  <c r="M7" i="15"/>
  <c r="Q7" i="15" s="1"/>
  <c r="M6" i="15"/>
  <c r="AB6" i="15" s="1"/>
  <c r="M5" i="15"/>
  <c r="Q5" i="15" s="1"/>
  <c r="M4" i="15"/>
  <c r="Q4" i="15" s="1"/>
  <c r="M3" i="15"/>
  <c r="AB3" i="15" s="1"/>
  <c r="M2" i="15"/>
  <c r="AB2" i="15" s="1"/>
  <c r="P34" i="15" l="1"/>
  <c r="P82" i="15"/>
  <c r="P130" i="15"/>
  <c r="P178" i="15"/>
  <c r="P226" i="15"/>
  <c r="P42" i="15"/>
  <c r="P90" i="15"/>
  <c r="P138" i="15"/>
  <c r="P186" i="15"/>
  <c r="P234" i="15"/>
  <c r="P46" i="15"/>
  <c r="P94" i="15"/>
  <c r="P142" i="15"/>
  <c r="P190" i="15"/>
  <c r="P238" i="15"/>
  <c r="P2" i="15"/>
  <c r="P50" i="15"/>
  <c r="P98" i="15"/>
  <c r="P146" i="15"/>
  <c r="P194" i="15"/>
  <c r="P242" i="15"/>
  <c r="P6" i="15"/>
  <c r="P54" i="15"/>
  <c r="P102" i="15"/>
  <c r="P150" i="15"/>
  <c r="P198" i="15"/>
  <c r="P10" i="15"/>
  <c r="P58" i="15"/>
  <c r="P106" i="15"/>
  <c r="P154" i="15"/>
  <c r="P202" i="15"/>
  <c r="P14" i="15"/>
  <c r="P62" i="15"/>
  <c r="P110" i="15"/>
  <c r="P158" i="15"/>
  <c r="P206" i="15"/>
  <c r="P18" i="15"/>
  <c r="P66" i="15"/>
  <c r="P114" i="15"/>
  <c r="P162" i="15"/>
  <c r="P210" i="15"/>
  <c r="P22" i="15"/>
  <c r="P70" i="15"/>
  <c r="P118" i="15"/>
  <c r="P166" i="15"/>
  <c r="P214" i="15"/>
  <c r="P26" i="15"/>
  <c r="P74" i="15"/>
  <c r="P122" i="15"/>
  <c r="P170" i="15"/>
  <c r="P218" i="15"/>
  <c r="P30" i="15"/>
  <c r="P78" i="15"/>
  <c r="P126" i="15"/>
  <c r="P174" i="15"/>
  <c r="P222" i="15"/>
  <c r="AB5" i="15"/>
  <c r="AB221" i="15"/>
  <c r="O2" i="15"/>
  <c r="O6" i="15"/>
  <c r="O10" i="15"/>
  <c r="O14" i="15"/>
  <c r="O18" i="15"/>
  <c r="O22" i="15"/>
  <c r="O26" i="15"/>
  <c r="O30" i="15"/>
  <c r="O34" i="15"/>
  <c r="O38" i="15"/>
  <c r="O42" i="15"/>
  <c r="O46" i="15"/>
  <c r="O50" i="15"/>
  <c r="O54" i="15"/>
  <c r="O58" i="15"/>
  <c r="O62" i="15"/>
  <c r="O66" i="15"/>
  <c r="O70" i="15"/>
  <c r="O74" i="15"/>
  <c r="O78" i="15"/>
  <c r="O82" i="15"/>
  <c r="O86" i="15"/>
  <c r="O90" i="15"/>
  <c r="O94" i="15"/>
  <c r="O98" i="15"/>
  <c r="O102" i="15"/>
  <c r="O106" i="15"/>
  <c r="O110" i="15"/>
  <c r="O114" i="15"/>
  <c r="O118" i="15"/>
  <c r="O122" i="15"/>
  <c r="O126" i="15"/>
  <c r="O130" i="15"/>
  <c r="O134" i="15"/>
  <c r="O138" i="15"/>
  <c r="O142" i="15"/>
  <c r="O146" i="15"/>
  <c r="O150" i="15"/>
  <c r="O154" i="15"/>
  <c r="O158" i="15"/>
  <c r="O162" i="15"/>
  <c r="O166" i="15"/>
  <c r="O170" i="15"/>
  <c r="O174" i="15"/>
  <c r="O178" i="15"/>
  <c r="O182" i="15"/>
  <c r="O186" i="15"/>
  <c r="O190" i="15"/>
  <c r="O194" i="15"/>
  <c r="O198" i="15"/>
  <c r="O202" i="15"/>
  <c r="O206" i="15"/>
  <c r="O210" i="15"/>
  <c r="O214" i="15"/>
  <c r="O218" i="15"/>
  <c r="O222" i="15"/>
  <c r="O226" i="15"/>
  <c r="O230" i="15"/>
  <c r="O234" i="15"/>
  <c r="O238" i="15"/>
  <c r="O242" i="15"/>
  <c r="AB4" i="15"/>
  <c r="AB16" i="15"/>
  <c r="AB28" i="15"/>
  <c r="AB40" i="15"/>
  <c r="AB52" i="15"/>
  <c r="AB64" i="15"/>
  <c r="AB76" i="15"/>
  <c r="AB88" i="15"/>
  <c r="AB100" i="15"/>
  <c r="AB112" i="15"/>
  <c r="AB124" i="15"/>
  <c r="AB136" i="15"/>
  <c r="AB148" i="15"/>
  <c r="AB160" i="15"/>
  <c r="AB172" i="15"/>
  <c r="AB184" i="15"/>
  <c r="AB196" i="15"/>
  <c r="AB208" i="15"/>
  <c r="AB220" i="15"/>
  <c r="AB232" i="15"/>
  <c r="AB17" i="15"/>
  <c r="Q2" i="15"/>
  <c r="Q6" i="15"/>
  <c r="Q10" i="15"/>
  <c r="Q14" i="15"/>
  <c r="Q18" i="15"/>
  <c r="Q22" i="15"/>
  <c r="Q26" i="15"/>
  <c r="Q30" i="15"/>
  <c r="Q34" i="15"/>
  <c r="Q38" i="15"/>
  <c r="Q42" i="15"/>
  <c r="Q46" i="15"/>
  <c r="Q50" i="15"/>
  <c r="Q54" i="15"/>
  <c r="Q58" i="15"/>
  <c r="Q62" i="15"/>
  <c r="Q66" i="15"/>
  <c r="Q70" i="15"/>
  <c r="Q74" i="15"/>
  <c r="Q78" i="15"/>
  <c r="Q82" i="15"/>
  <c r="Q86" i="15"/>
  <c r="Q90" i="15"/>
  <c r="Q94" i="15"/>
  <c r="Q98" i="15"/>
  <c r="Q102" i="15"/>
  <c r="Q106" i="15"/>
  <c r="Q110" i="15"/>
  <c r="Q114" i="15"/>
  <c r="Q118" i="15"/>
  <c r="Q122" i="15"/>
  <c r="Q126" i="15"/>
  <c r="Q130" i="15"/>
  <c r="Q134" i="15"/>
  <c r="Q138" i="15"/>
  <c r="Q142" i="15"/>
  <c r="Q146" i="15"/>
  <c r="Q150" i="15"/>
  <c r="Q154" i="15"/>
  <c r="Q158" i="15"/>
  <c r="Q162" i="15"/>
  <c r="Q166" i="15"/>
  <c r="Q170" i="15"/>
  <c r="Q174" i="15"/>
  <c r="Q178" i="15"/>
  <c r="Q182" i="15"/>
  <c r="Q186" i="15"/>
  <c r="Q190" i="15"/>
  <c r="Q194" i="15"/>
  <c r="Q198" i="15"/>
  <c r="Q202" i="15"/>
  <c r="Q206" i="15"/>
  <c r="Q210" i="15"/>
  <c r="Q214" i="15"/>
  <c r="Q218" i="15"/>
  <c r="Q222" i="15"/>
  <c r="Q226" i="15"/>
  <c r="Q230" i="15"/>
  <c r="Q234" i="15"/>
  <c r="Q238" i="15"/>
  <c r="Q242" i="15"/>
  <c r="O3" i="15"/>
  <c r="O7" i="15"/>
  <c r="O11" i="15"/>
  <c r="O15" i="15"/>
  <c r="O19" i="15"/>
  <c r="O23" i="15"/>
  <c r="O27" i="15"/>
  <c r="O31" i="15"/>
  <c r="O35" i="15"/>
  <c r="O39" i="15"/>
  <c r="O43" i="15"/>
  <c r="O47" i="15"/>
  <c r="O51" i="15"/>
  <c r="O55" i="15"/>
  <c r="O59" i="15"/>
  <c r="O63" i="15"/>
  <c r="O67" i="15"/>
  <c r="O71" i="15"/>
  <c r="O75" i="15"/>
  <c r="O79" i="15"/>
  <c r="O83" i="15"/>
  <c r="O87" i="15"/>
  <c r="O91" i="15"/>
  <c r="O95" i="15"/>
  <c r="O99" i="15"/>
  <c r="O103" i="15"/>
  <c r="O107" i="15"/>
  <c r="O111" i="15"/>
  <c r="O115" i="15"/>
  <c r="O119" i="15"/>
  <c r="O123" i="15"/>
  <c r="O127" i="15"/>
  <c r="O131" i="15"/>
  <c r="O135" i="15"/>
  <c r="O139" i="15"/>
  <c r="O143" i="15"/>
  <c r="O147" i="15"/>
  <c r="O151" i="15"/>
  <c r="O155" i="15"/>
  <c r="O159" i="15"/>
  <c r="O163" i="15"/>
  <c r="O167" i="15"/>
  <c r="O171" i="15"/>
  <c r="O175" i="15"/>
  <c r="O179" i="15"/>
  <c r="O183" i="15"/>
  <c r="O187" i="15"/>
  <c r="O191" i="15"/>
  <c r="O195" i="15"/>
  <c r="O199" i="15"/>
  <c r="O203" i="15"/>
  <c r="O207" i="15"/>
  <c r="O211" i="15"/>
  <c r="O215" i="15"/>
  <c r="O219" i="15"/>
  <c r="O223" i="15"/>
  <c r="O227" i="15"/>
  <c r="O231" i="15"/>
  <c r="O235" i="15"/>
  <c r="O239" i="15"/>
  <c r="O243" i="15"/>
  <c r="AB7" i="15"/>
  <c r="AB19" i="15"/>
  <c r="AB31" i="15"/>
  <c r="AB43" i="15"/>
  <c r="AB55" i="15"/>
  <c r="AB67" i="15"/>
  <c r="AB79" i="15"/>
  <c r="AB91" i="15"/>
  <c r="AB103" i="15"/>
  <c r="AB115" i="15"/>
  <c r="AB127" i="15"/>
  <c r="AB139" i="15"/>
  <c r="AB151" i="15"/>
  <c r="AB163" i="15"/>
  <c r="AB175" i="15"/>
  <c r="AB187" i="15"/>
  <c r="AB199" i="15"/>
  <c r="AB211" i="15"/>
  <c r="AB223" i="15"/>
  <c r="AB235" i="15"/>
  <c r="AB41" i="15"/>
  <c r="AB233" i="15"/>
  <c r="P3" i="15"/>
  <c r="P7" i="15"/>
  <c r="P11" i="15"/>
  <c r="P15" i="15"/>
  <c r="P19" i="15"/>
  <c r="P23" i="15"/>
  <c r="P27" i="15"/>
  <c r="P31" i="15"/>
  <c r="P35" i="15"/>
  <c r="P39" i="15"/>
  <c r="P43" i="15"/>
  <c r="P47" i="15"/>
  <c r="P51" i="15"/>
  <c r="P55" i="15"/>
  <c r="P59" i="15"/>
  <c r="P63" i="15"/>
  <c r="P67" i="15"/>
  <c r="P71" i="15"/>
  <c r="P75" i="15"/>
  <c r="P79" i="15"/>
  <c r="P83" i="15"/>
  <c r="P87" i="15"/>
  <c r="P91" i="15"/>
  <c r="P95" i="15"/>
  <c r="P99" i="15"/>
  <c r="P103" i="15"/>
  <c r="P107" i="15"/>
  <c r="P111" i="15"/>
  <c r="P115" i="15"/>
  <c r="P119" i="15"/>
  <c r="P123" i="15"/>
  <c r="P127" i="15"/>
  <c r="P131" i="15"/>
  <c r="P135" i="15"/>
  <c r="P139" i="15"/>
  <c r="P143" i="15"/>
  <c r="P147" i="15"/>
  <c r="P151" i="15"/>
  <c r="P155" i="15"/>
  <c r="P159" i="15"/>
  <c r="P163" i="15"/>
  <c r="P167" i="15"/>
  <c r="P171" i="15"/>
  <c r="P175" i="15"/>
  <c r="P179" i="15"/>
  <c r="P183" i="15"/>
  <c r="P187" i="15"/>
  <c r="P191" i="15"/>
  <c r="P195" i="15"/>
  <c r="P199" i="15"/>
  <c r="P203" i="15"/>
  <c r="P207" i="15"/>
  <c r="P211" i="15"/>
  <c r="P215" i="15"/>
  <c r="P219" i="15"/>
  <c r="P223" i="15"/>
  <c r="P227" i="15"/>
  <c r="P231" i="15"/>
  <c r="P235" i="15"/>
  <c r="P239" i="15"/>
  <c r="P243" i="15"/>
  <c r="AB8" i="15"/>
  <c r="AB20" i="15"/>
  <c r="AB32" i="15"/>
  <c r="AB44" i="15"/>
  <c r="AB56" i="15"/>
  <c r="AB68" i="15"/>
  <c r="AB80" i="15"/>
  <c r="AB92" i="15"/>
  <c r="AB104" i="15"/>
  <c r="AB116" i="15"/>
  <c r="AB128" i="15"/>
  <c r="AB140" i="15"/>
  <c r="AB152" i="15"/>
  <c r="AB164" i="15"/>
  <c r="AB176" i="15"/>
  <c r="AB188" i="15"/>
  <c r="AB200" i="15"/>
  <c r="AB212" i="15"/>
  <c r="AB224" i="15"/>
  <c r="AB236" i="15"/>
  <c r="AB77" i="15"/>
  <c r="AB209" i="15"/>
  <c r="Q3" i="15"/>
  <c r="Q11" i="15"/>
  <c r="Q15" i="15"/>
  <c r="Q23" i="15"/>
  <c r="Q27" i="15"/>
  <c r="Q35" i="15"/>
  <c r="Q39" i="15"/>
  <c r="Q47" i="15"/>
  <c r="Q51" i="15"/>
  <c r="Q59" i="15"/>
  <c r="Q63" i="15"/>
  <c r="Q71" i="15"/>
  <c r="Q75" i="15"/>
  <c r="Q83" i="15"/>
  <c r="Q87" i="15"/>
  <c r="Q95" i="15"/>
  <c r="Q99" i="15"/>
  <c r="Q107" i="15"/>
  <c r="Q111" i="15"/>
  <c r="Q119" i="15"/>
  <c r="Q123" i="15"/>
  <c r="Q131" i="15"/>
  <c r="Q135" i="15"/>
  <c r="Q143" i="15"/>
  <c r="Q147" i="15"/>
  <c r="Q155" i="15"/>
  <c r="Q159" i="15"/>
  <c r="Q167" i="15"/>
  <c r="Q171" i="15"/>
  <c r="Q179" i="15"/>
  <c r="Q183" i="15"/>
  <c r="Q191" i="15"/>
  <c r="Q195" i="15"/>
  <c r="Q203" i="15"/>
  <c r="Q207" i="15"/>
  <c r="Q215" i="15"/>
  <c r="Q219" i="15"/>
  <c r="Q227" i="15"/>
  <c r="Q231" i="15"/>
  <c r="Q239" i="15"/>
  <c r="Q243" i="15"/>
  <c r="AB9" i="15"/>
  <c r="AB21" i="15"/>
  <c r="AB33" i="15"/>
  <c r="AB45" i="15"/>
  <c r="AB57" i="15"/>
  <c r="AB69" i="15"/>
  <c r="AB81" i="15"/>
  <c r="AB93" i="15"/>
  <c r="AB105" i="15"/>
  <c r="AB117" i="15"/>
  <c r="AB129" i="15"/>
  <c r="AB141" i="15"/>
  <c r="AB153" i="15"/>
  <c r="AB165" i="15"/>
  <c r="AB177" i="15"/>
  <c r="AB189" i="15"/>
  <c r="AB201" i="15"/>
  <c r="AB213" i="15"/>
  <c r="AB225" i="15"/>
  <c r="AB237" i="15"/>
  <c r="AB137" i="15"/>
  <c r="O4" i="15"/>
  <c r="O8" i="15"/>
  <c r="O12" i="15"/>
  <c r="O16" i="15"/>
  <c r="O20" i="15"/>
  <c r="O24" i="15"/>
  <c r="O28" i="15"/>
  <c r="O32" i="15"/>
  <c r="O36" i="15"/>
  <c r="O40" i="15"/>
  <c r="O44" i="15"/>
  <c r="O48" i="15"/>
  <c r="O52" i="15"/>
  <c r="O56" i="15"/>
  <c r="O60" i="15"/>
  <c r="O64" i="15"/>
  <c r="O68" i="15"/>
  <c r="O72" i="15"/>
  <c r="O76" i="15"/>
  <c r="O80" i="15"/>
  <c r="O84" i="15"/>
  <c r="O88" i="15"/>
  <c r="O92" i="15"/>
  <c r="O96" i="15"/>
  <c r="O100" i="15"/>
  <c r="O104" i="15"/>
  <c r="O108" i="15"/>
  <c r="O112" i="15"/>
  <c r="O116" i="15"/>
  <c r="O120" i="15"/>
  <c r="O124" i="15"/>
  <c r="O128" i="15"/>
  <c r="O132" i="15"/>
  <c r="O136" i="15"/>
  <c r="O140" i="15"/>
  <c r="O144" i="15"/>
  <c r="O148" i="15"/>
  <c r="O152" i="15"/>
  <c r="O156" i="15"/>
  <c r="O160" i="15"/>
  <c r="O164" i="15"/>
  <c r="O168" i="15"/>
  <c r="O172" i="15"/>
  <c r="O176" i="15"/>
  <c r="O180" i="15"/>
  <c r="O184" i="15"/>
  <c r="O188" i="15"/>
  <c r="O192" i="15"/>
  <c r="O196" i="15"/>
  <c r="O200" i="15"/>
  <c r="O204" i="15"/>
  <c r="O208" i="15"/>
  <c r="O212" i="15"/>
  <c r="O216" i="15"/>
  <c r="O220" i="15"/>
  <c r="O224" i="15"/>
  <c r="O228" i="15"/>
  <c r="O232" i="15"/>
  <c r="O236" i="15"/>
  <c r="O240" i="15"/>
  <c r="AB101" i="15"/>
  <c r="AB149" i="15"/>
  <c r="P4" i="15"/>
  <c r="P8" i="15"/>
  <c r="P12" i="15"/>
  <c r="P16" i="15"/>
  <c r="P20" i="15"/>
  <c r="P24" i="15"/>
  <c r="P28" i="15"/>
  <c r="P32" i="15"/>
  <c r="P36" i="15"/>
  <c r="P40" i="15"/>
  <c r="P44" i="15"/>
  <c r="P48" i="15"/>
  <c r="P52" i="15"/>
  <c r="P56" i="15"/>
  <c r="P60" i="15"/>
  <c r="P64" i="15"/>
  <c r="P68" i="15"/>
  <c r="P72" i="15"/>
  <c r="P76" i="15"/>
  <c r="P80" i="15"/>
  <c r="P84" i="15"/>
  <c r="P88" i="15"/>
  <c r="P92" i="15"/>
  <c r="P96" i="15"/>
  <c r="P100" i="15"/>
  <c r="P104" i="15"/>
  <c r="P108" i="15"/>
  <c r="P112" i="15"/>
  <c r="P116" i="15"/>
  <c r="P120" i="15"/>
  <c r="P124" i="15"/>
  <c r="P128" i="15"/>
  <c r="P132" i="15"/>
  <c r="P136" i="15"/>
  <c r="P140" i="15"/>
  <c r="P144" i="15"/>
  <c r="P148" i="15"/>
  <c r="P152" i="15"/>
  <c r="P156" i="15"/>
  <c r="P160" i="15"/>
  <c r="P164" i="15"/>
  <c r="P168" i="15"/>
  <c r="P172" i="15"/>
  <c r="P176" i="15"/>
  <c r="P180" i="15"/>
  <c r="P184" i="15"/>
  <c r="P188" i="15"/>
  <c r="P192" i="15"/>
  <c r="P196" i="15"/>
  <c r="P200" i="15"/>
  <c r="P204" i="15"/>
  <c r="P208" i="15"/>
  <c r="P212" i="15"/>
  <c r="P216" i="15"/>
  <c r="P220" i="15"/>
  <c r="P224" i="15"/>
  <c r="P228" i="15"/>
  <c r="P232" i="15"/>
  <c r="P236" i="15"/>
  <c r="P240" i="15"/>
  <c r="AB89" i="15"/>
  <c r="AB197" i="15"/>
  <c r="Q12" i="15"/>
  <c r="Q24" i="15"/>
  <c r="Q36" i="15"/>
  <c r="Q48" i="15"/>
  <c r="Q60" i="15"/>
  <c r="Q72" i="15"/>
  <c r="Q84" i="15"/>
  <c r="Q96" i="15"/>
  <c r="Q108" i="15"/>
  <c r="Q120" i="15"/>
  <c r="Q132" i="15"/>
  <c r="Q144" i="15"/>
  <c r="Q156" i="15"/>
  <c r="Q168" i="15"/>
  <c r="Q180" i="15"/>
  <c r="Q192" i="15"/>
  <c r="Q204" i="15"/>
  <c r="Q216" i="15"/>
  <c r="Q228" i="15"/>
  <c r="Q240" i="15"/>
  <c r="M245" i="15"/>
  <c r="O245" i="15" s="1"/>
  <c r="AB53" i="15"/>
  <c r="AB125" i="15"/>
  <c r="AB173" i="15"/>
  <c r="O5" i="15"/>
  <c r="O9" i="15"/>
  <c r="O13" i="15"/>
  <c r="O17" i="15"/>
  <c r="O21" i="15"/>
  <c r="O25" i="15"/>
  <c r="O29" i="15"/>
  <c r="O33" i="15"/>
  <c r="O37" i="15"/>
  <c r="O41" i="15"/>
  <c r="O45" i="15"/>
  <c r="O49" i="15"/>
  <c r="O53" i="15"/>
  <c r="O57" i="15"/>
  <c r="O61" i="15"/>
  <c r="O65" i="15"/>
  <c r="O69" i="15"/>
  <c r="O73" i="15"/>
  <c r="O77" i="15"/>
  <c r="O81" i="15"/>
  <c r="O85" i="15"/>
  <c r="O89" i="15"/>
  <c r="O93" i="15"/>
  <c r="O97" i="15"/>
  <c r="O101" i="15"/>
  <c r="O105" i="15"/>
  <c r="O109" i="15"/>
  <c r="O113" i="15"/>
  <c r="O117" i="15"/>
  <c r="O121" i="15"/>
  <c r="O125" i="15"/>
  <c r="O129" i="15"/>
  <c r="O133" i="15"/>
  <c r="O137" i="15"/>
  <c r="O141" i="15"/>
  <c r="O145" i="15"/>
  <c r="O149" i="15"/>
  <c r="O153" i="15"/>
  <c r="O157" i="15"/>
  <c r="O161" i="15"/>
  <c r="O165" i="15"/>
  <c r="O169" i="15"/>
  <c r="O173" i="15"/>
  <c r="O177" i="15"/>
  <c r="O181" i="15"/>
  <c r="O185" i="15"/>
  <c r="O189" i="15"/>
  <c r="O193" i="15"/>
  <c r="O197" i="15"/>
  <c r="O201" i="15"/>
  <c r="O205" i="15"/>
  <c r="O209" i="15"/>
  <c r="O213" i="15"/>
  <c r="O217" i="15"/>
  <c r="O221" i="15"/>
  <c r="O225" i="15"/>
  <c r="O229" i="15"/>
  <c r="O233" i="15"/>
  <c r="O237" i="15"/>
  <c r="O241" i="15"/>
  <c r="AB13" i="15"/>
  <c r="AB25" i="15"/>
  <c r="AB37" i="15"/>
  <c r="AB49" i="15"/>
  <c r="AB61" i="15"/>
  <c r="AB73" i="15"/>
  <c r="AB85" i="15"/>
  <c r="AB97" i="15"/>
  <c r="AB109" i="15"/>
  <c r="AB121" i="15"/>
  <c r="AB133" i="15"/>
  <c r="AB145" i="15"/>
  <c r="AB157" i="15"/>
  <c r="AB169" i="15"/>
  <c r="AB181" i="15"/>
  <c r="AB193" i="15"/>
  <c r="AB205" i="15"/>
  <c r="AB217" i="15"/>
  <c r="AB229" i="15"/>
  <c r="AB241" i="15"/>
  <c r="AB65" i="15"/>
  <c r="AB185" i="15"/>
  <c r="P5" i="15"/>
  <c r="P9" i="15"/>
  <c r="P13" i="15"/>
  <c r="P17" i="15"/>
  <c r="P21" i="15"/>
  <c r="P25" i="15"/>
  <c r="P29" i="15"/>
  <c r="P33" i="15"/>
  <c r="P37" i="15"/>
  <c r="P41" i="15"/>
  <c r="P45" i="15"/>
  <c r="P49" i="15"/>
  <c r="P53" i="15"/>
  <c r="P57" i="15"/>
  <c r="P61" i="15"/>
  <c r="P65" i="15"/>
  <c r="P69" i="15"/>
  <c r="P73" i="15"/>
  <c r="P77" i="15"/>
  <c r="P81" i="15"/>
  <c r="P85" i="15"/>
  <c r="P89" i="15"/>
  <c r="P93" i="15"/>
  <c r="P97" i="15"/>
  <c r="P101" i="15"/>
  <c r="P105" i="15"/>
  <c r="P109" i="15"/>
  <c r="P113" i="15"/>
  <c r="P117" i="15"/>
  <c r="P121" i="15"/>
  <c r="P125" i="15"/>
  <c r="P129" i="15"/>
  <c r="P133" i="15"/>
  <c r="P137" i="15"/>
  <c r="P141" i="15"/>
  <c r="P145" i="15"/>
  <c r="P149" i="15"/>
  <c r="P153" i="15"/>
  <c r="P157" i="15"/>
  <c r="P161" i="15"/>
  <c r="P165" i="15"/>
  <c r="P169" i="15"/>
  <c r="P173" i="15"/>
  <c r="P177" i="15"/>
  <c r="P181" i="15"/>
  <c r="P185" i="15"/>
  <c r="P189" i="15"/>
  <c r="P193" i="15"/>
  <c r="P197" i="15"/>
  <c r="P201" i="15"/>
  <c r="P205" i="15"/>
  <c r="P209" i="15"/>
  <c r="P213" i="15"/>
  <c r="P217" i="15"/>
  <c r="P221" i="15"/>
  <c r="P225" i="15"/>
  <c r="P229" i="15"/>
  <c r="P233" i="15"/>
  <c r="P237" i="15"/>
  <c r="P241" i="15"/>
  <c r="AB29" i="15"/>
  <c r="AB113" i="15"/>
  <c r="AB161" i="15"/>
  <c r="S263" i="16"/>
  <c r="X263" i="16" s="1"/>
  <c r="S258" i="16"/>
  <c r="X258" i="16" s="1"/>
  <c r="S240" i="16"/>
  <c r="X240" i="16" s="1"/>
  <c r="S60" i="16"/>
  <c r="S250" i="16"/>
  <c r="X250" i="16" s="1"/>
  <c r="S153" i="16"/>
  <c r="X153" i="16" s="1"/>
  <c r="S167" i="16"/>
  <c r="X167" i="16" s="1"/>
  <c r="S38" i="16"/>
  <c r="X38" i="16" s="1"/>
  <c r="S138" i="16"/>
  <c r="X138" i="16" s="1"/>
  <c r="S143" i="16"/>
  <c r="X143" i="16" s="1"/>
  <c r="S17" i="16"/>
  <c r="T17" i="16" s="1"/>
  <c r="S252" i="16"/>
  <c r="X252" i="16" s="1"/>
  <c r="S32" i="16"/>
  <c r="X32" i="16" s="1"/>
  <c r="S39" i="16"/>
  <c r="X39" i="16" s="1"/>
  <c r="S236" i="16"/>
  <c r="X236" i="16" s="1"/>
  <c r="S30" i="16"/>
  <c r="X30" i="16" s="1"/>
  <c r="S36" i="16"/>
  <c r="X36" i="16" s="1"/>
  <c r="S239" i="16"/>
  <c r="X239" i="16" s="1"/>
  <c r="S106" i="16"/>
  <c r="X106" i="16" s="1"/>
  <c r="S157" i="16"/>
  <c r="X157" i="16" s="1"/>
  <c r="S116" i="16"/>
  <c r="T116" i="16" s="1"/>
  <c r="S156" i="16"/>
  <c r="X156" i="16" s="1"/>
  <c r="S97" i="16"/>
  <c r="X97" i="16" s="1"/>
  <c r="S115" i="16"/>
  <c r="X115" i="16" s="1"/>
  <c r="S169" i="16"/>
  <c r="X169" i="16" s="1"/>
  <c r="S185" i="16"/>
  <c r="X185" i="16" s="1"/>
  <c r="S104" i="16"/>
  <c r="X104" i="16" s="1"/>
  <c r="S131" i="16"/>
  <c r="T131" i="16" s="1"/>
  <c r="U38" i="16"/>
  <c r="S260" i="16"/>
  <c r="X260" i="16" s="1"/>
  <c r="S220" i="16"/>
  <c r="U153" i="16"/>
  <c r="S162" i="16"/>
  <c r="X162" i="16" s="1"/>
  <c r="S24" i="16"/>
  <c r="X24" i="16" s="1"/>
  <c r="S58" i="16"/>
  <c r="X58" i="16" s="1"/>
  <c r="S85" i="16"/>
  <c r="X85" i="16" s="1"/>
  <c r="S6" i="16"/>
  <c r="T6" i="16" s="1"/>
  <c r="S90" i="16"/>
  <c r="X90" i="16" s="1"/>
  <c r="S107" i="16"/>
  <c r="X107" i="16" s="1"/>
  <c r="S128" i="16"/>
  <c r="X128" i="16" s="1"/>
  <c r="S144" i="16"/>
  <c r="X144" i="16" s="1"/>
  <c r="S164" i="16"/>
  <c r="X164" i="16" s="1"/>
  <c r="S175" i="16"/>
  <c r="X175" i="16" s="1"/>
  <c r="S226" i="16"/>
  <c r="X226" i="16" s="1"/>
  <c r="S126" i="16"/>
  <c r="X126" i="16" s="1"/>
  <c r="S214" i="16"/>
  <c r="X214" i="16" s="1"/>
  <c r="S114" i="16"/>
  <c r="X114" i="16" s="1"/>
  <c r="S122" i="16"/>
  <c r="X122" i="16" s="1"/>
  <c r="W128" i="16"/>
  <c r="S59" i="16"/>
  <c r="X59" i="16" s="1"/>
  <c r="U138" i="16"/>
  <c r="S198" i="16"/>
  <c r="T198" i="16" s="1"/>
  <c r="W226" i="16"/>
  <c r="V260" i="16"/>
  <c r="S78" i="16"/>
  <c r="X78" i="16" s="1"/>
  <c r="S16" i="16"/>
  <c r="X16" i="16" s="1"/>
  <c r="U17" i="16"/>
  <c r="U240" i="16"/>
  <c r="S76" i="16"/>
  <c r="X76" i="16" s="1"/>
  <c r="S111" i="16"/>
  <c r="U143" i="16"/>
  <c r="S21" i="16"/>
  <c r="X21" i="16" s="1"/>
  <c r="S45" i="16"/>
  <c r="X45" i="16" s="1"/>
  <c r="S54" i="16"/>
  <c r="T54" i="16" s="1"/>
  <c r="S202" i="16"/>
  <c r="X202" i="16" s="1"/>
  <c r="S259" i="16"/>
  <c r="X259" i="16" s="1"/>
  <c r="S53" i="16"/>
  <c r="X53" i="16" s="1"/>
  <c r="W107" i="16"/>
  <c r="S159" i="16"/>
  <c r="X159" i="16" s="1"/>
  <c r="S11" i="16"/>
  <c r="T11" i="16" s="1"/>
  <c r="S66" i="16"/>
  <c r="X66" i="16" s="1"/>
  <c r="S70" i="16"/>
  <c r="T70" i="16" s="1"/>
  <c r="U106" i="16"/>
  <c r="U261" i="16"/>
  <c r="U192" i="16"/>
  <c r="S129" i="16"/>
  <c r="X129" i="16" s="1"/>
  <c r="U53" i="16"/>
  <c r="S72" i="16"/>
  <c r="X72" i="16" s="1"/>
  <c r="V85" i="16"/>
  <c r="S152" i="16"/>
  <c r="X152" i="16" s="1"/>
  <c r="S204" i="16"/>
  <c r="X204" i="16" s="1"/>
  <c r="S31" i="16"/>
  <c r="X31" i="16" s="1"/>
  <c r="S68" i="16"/>
  <c r="X68" i="16" s="1"/>
  <c r="S244" i="16"/>
  <c r="X244" i="16" s="1"/>
  <c r="S231" i="16"/>
  <c r="X231" i="16" s="1"/>
  <c r="U236" i="16"/>
  <c r="S4" i="16"/>
  <c r="X4" i="16" s="1"/>
  <c r="S142" i="16"/>
  <c r="X142" i="16" s="1"/>
  <c r="U159" i="16"/>
  <c r="S180" i="16"/>
  <c r="X180" i="16" s="1"/>
  <c r="S229" i="16"/>
  <c r="X229" i="16" s="1"/>
  <c r="S237" i="16"/>
  <c r="X237" i="16" s="1"/>
  <c r="S95" i="16"/>
  <c r="X95" i="16" s="1"/>
  <c r="V159" i="16"/>
  <c r="S168" i="16"/>
  <c r="X168" i="16" s="1"/>
  <c r="V175" i="16"/>
  <c r="S197" i="16"/>
  <c r="X197" i="16" s="1"/>
  <c r="S209" i="16"/>
  <c r="X209" i="16" s="1"/>
  <c r="U6" i="16"/>
  <c r="U16" i="16"/>
  <c r="U39" i="16"/>
  <c r="S44" i="16"/>
  <c r="X44" i="16" s="1"/>
  <c r="S75" i="16"/>
  <c r="X75" i="16" s="1"/>
  <c r="S113" i="16"/>
  <c r="X113" i="16" s="1"/>
  <c r="S147" i="16"/>
  <c r="X147" i="16" s="1"/>
  <c r="S64" i="16"/>
  <c r="X64" i="16" s="1"/>
  <c r="S118" i="16"/>
  <c r="X118" i="16" s="1"/>
  <c r="S27" i="16"/>
  <c r="T27" i="16" s="1"/>
  <c r="U32" i="16"/>
  <c r="U44" i="16"/>
  <c r="U60" i="16"/>
  <c r="S245" i="16"/>
  <c r="X245" i="16" s="1"/>
  <c r="S158" i="16"/>
  <c r="X158" i="16" s="1"/>
  <c r="S186" i="16"/>
  <c r="X186" i="16" s="1"/>
  <c r="S10" i="16"/>
  <c r="X10" i="16" s="1"/>
  <c r="U252" i="16"/>
  <c r="S65" i="16"/>
  <c r="X65" i="16" s="1"/>
  <c r="U54" i="16"/>
  <c r="S69" i="16"/>
  <c r="X69" i="16" s="1"/>
  <c r="V164" i="16"/>
  <c r="U10" i="16"/>
  <c r="U65" i="16"/>
  <c r="S89" i="16"/>
  <c r="X89" i="16" s="1"/>
  <c r="V245" i="16"/>
  <c r="U144" i="16"/>
  <c r="T153" i="16"/>
  <c r="S261" i="16"/>
  <c r="X261" i="16" s="1"/>
  <c r="S192" i="16"/>
  <c r="X192" i="16" s="1"/>
  <c r="S100" i="16"/>
  <c r="X100" i="16" s="1"/>
  <c r="S13" i="16"/>
  <c r="X13" i="16" s="1"/>
  <c r="S15" i="16"/>
  <c r="X15" i="16" s="1"/>
  <c r="S26" i="16"/>
  <c r="X26" i="16" s="1"/>
  <c r="S83" i="16"/>
  <c r="X83" i="16" s="1"/>
  <c r="X60" i="16"/>
  <c r="T60" i="16"/>
  <c r="V81" i="16"/>
  <c r="S81" i="16"/>
  <c r="X81" i="16" s="1"/>
  <c r="V103" i="16"/>
  <c r="S256" i="16"/>
  <c r="X256" i="16" s="1"/>
  <c r="S257" i="16"/>
  <c r="X257" i="16" s="1"/>
  <c r="U218" i="16"/>
  <c r="S22" i="16"/>
  <c r="X22" i="16" s="1"/>
  <c r="S5" i="16"/>
  <c r="X5" i="16" s="1"/>
  <c r="S25" i="16"/>
  <c r="X25" i="16" s="1"/>
  <c r="V256" i="16"/>
  <c r="U150" i="16"/>
  <c r="U178" i="16"/>
  <c r="S87" i="16"/>
  <c r="X87" i="16" s="1"/>
  <c r="S109" i="16"/>
  <c r="S120" i="16"/>
  <c r="U134" i="16"/>
  <c r="S134" i="16"/>
  <c r="X134" i="16" s="1"/>
  <c r="U246" i="16"/>
  <c r="S246" i="16"/>
  <c r="X246" i="16" s="1"/>
  <c r="V155" i="16"/>
  <c r="S155" i="16"/>
  <c r="X155" i="16" s="1"/>
  <c r="V183" i="16"/>
  <c r="S183" i="16"/>
  <c r="X183" i="16" s="1"/>
  <c r="S190" i="16"/>
  <c r="X190" i="16" s="1"/>
  <c r="U207" i="16"/>
  <c r="S225" i="16"/>
  <c r="X225" i="16" s="1"/>
  <c r="S74" i="16"/>
  <c r="X74" i="16" s="1"/>
  <c r="S105" i="16"/>
  <c r="X105" i="16" s="1"/>
  <c r="S77" i="16"/>
  <c r="X77" i="16" s="1"/>
  <c r="U105" i="16"/>
  <c r="S150" i="16"/>
  <c r="X150" i="16" s="1"/>
  <c r="V172" i="16"/>
  <c r="S172" i="16"/>
  <c r="X172" i="16" s="1"/>
  <c r="S178" i="16"/>
  <c r="X178" i="16" s="1"/>
  <c r="U196" i="16"/>
  <c r="S213" i="16"/>
  <c r="X213" i="16" s="1"/>
  <c r="S37" i="16"/>
  <c r="X37" i="16" s="1"/>
  <c r="S9" i="16"/>
  <c r="X9" i="16" s="1"/>
  <c r="S52" i="16"/>
  <c r="X52" i="16" s="1"/>
  <c r="U80" i="16"/>
  <c r="S130" i="16"/>
  <c r="X130" i="16" s="1"/>
  <c r="S3" i="16"/>
  <c r="X3" i="16" s="1"/>
  <c r="U4" i="16"/>
  <c r="S8" i="16"/>
  <c r="X8" i="16" s="1"/>
  <c r="W10" i="16"/>
  <c r="S14" i="16"/>
  <c r="X14" i="16" s="1"/>
  <c r="U15" i="16"/>
  <c r="W16" i="16"/>
  <c r="S20" i="16"/>
  <c r="X20" i="16" s="1"/>
  <c r="U21" i="16"/>
  <c r="S23" i="16"/>
  <c r="X23" i="16" s="1"/>
  <c r="U24" i="16"/>
  <c r="S29" i="16"/>
  <c r="X29" i="16" s="1"/>
  <c r="U30" i="16"/>
  <c r="W31" i="16"/>
  <c r="S35" i="16"/>
  <c r="X35" i="16" s="1"/>
  <c r="U36" i="16"/>
  <c r="S48" i="16"/>
  <c r="X48" i="16" s="1"/>
  <c r="U239" i="16"/>
  <c r="S42" i="16"/>
  <c r="X42" i="16" s="1"/>
  <c r="S57" i="16"/>
  <c r="X57" i="16" s="1"/>
  <c r="S63" i="16"/>
  <c r="X63" i="16" s="1"/>
  <c r="S51" i="16"/>
  <c r="X51" i="16" s="1"/>
  <c r="S67" i="16"/>
  <c r="X67" i="16" s="1"/>
  <c r="S73" i="16"/>
  <c r="X73" i="16" s="1"/>
  <c r="S86" i="16"/>
  <c r="X86" i="16" s="1"/>
  <c r="S242" i="16"/>
  <c r="X242" i="16" s="1"/>
  <c r="S94" i="16"/>
  <c r="X94" i="16" s="1"/>
  <c r="S243" i="16"/>
  <c r="X243" i="16" s="1"/>
  <c r="U113" i="16"/>
  <c r="V115" i="16"/>
  <c r="U244" i="16"/>
  <c r="S148" i="16"/>
  <c r="X148" i="16" s="1"/>
  <c r="S174" i="16"/>
  <c r="X174" i="16" s="1"/>
  <c r="S207" i="16"/>
  <c r="X207" i="16" s="1"/>
  <c r="U224" i="16"/>
  <c r="S43" i="16"/>
  <c r="X43" i="16" s="1"/>
  <c r="U91" i="16"/>
  <c r="U102" i="16"/>
  <c r="V58" i="16"/>
  <c r="V64" i="16"/>
  <c r="V68" i="16"/>
  <c r="S80" i="16"/>
  <c r="X80" i="16" s="1"/>
  <c r="U242" i="16"/>
  <c r="S91" i="16"/>
  <c r="X91" i="16" s="1"/>
  <c r="U94" i="16"/>
  <c r="U243" i="16"/>
  <c r="S102" i="16"/>
  <c r="X102" i="16" s="1"/>
  <c r="S108" i="16"/>
  <c r="X108" i="16" s="1"/>
  <c r="S119" i="16"/>
  <c r="X119" i="16" s="1"/>
  <c r="V125" i="16"/>
  <c r="S127" i="16"/>
  <c r="X127" i="16" s="1"/>
  <c r="U139" i="16"/>
  <c r="S139" i="16"/>
  <c r="X139" i="16" s="1"/>
  <c r="U156" i="16"/>
  <c r="V161" i="16"/>
  <c r="S161" i="16"/>
  <c r="X161" i="16" s="1"/>
  <c r="U184" i="16"/>
  <c r="S203" i="16"/>
  <c r="X203" i="16" s="1"/>
  <c r="S136" i="16"/>
  <c r="X136" i="16" s="1"/>
  <c r="U167" i="16"/>
  <c r="S218" i="16"/>
  <c r="X218" i="16" s="1"/>
  <c r="S2" i="16"/>
  <c r="S19" i="16"/>
  <c r="X19" i="16" s="1"/>
  <c r="S238" i="16"/>
  <c r="X238" i="16" s="1"/>
  <c r="S28" i="16"/>
  <c r="X28" i="16" s="1"/>
  <c r="S34" i="16"/>
  <c r="X34" i="16" s="1"/>
  <c r="S47" i="16"/>
  <c r="X47" i="16" s="1"/>
  <c r="S41" i="16"/>
  <c r="X41" i="16" s="1"/>
  <c r="S56" i="16"/>
  <c r="X56" i="16" s="1"/>
  <c r="S62" i="16"/>
  <c r="X62" i="16" s="1"/>
  <c r="S50" i="16"/>
  <c r="X50" i="16" s="1"/>
  <c r="S241" i="16"/>
  <c r="X241" i="16" s="1"/>
  <c r="S96" i="16"/>
  <c r="X96" i="16" s="1"/>
  <c r="S101" i="16"/>
  <c r="X101" i="16" s="1"/>
  <c r="V108" i="16"/>
  <c r="V119" i="16"/>
  <c r="S141" i="16"/>
  <c r="X141" i="16" s="1"/>
  <c r="S163" i="16"/>
  <c r="X163" i="16" s="1"/>
  <c r="S196" i="16"/>
  <c r="X196" i="16" s="1"/>
  <c r="U264" i="16"/>
  <c r="S230" i="16"/>
  <c r="X230" i="16" s="1"/>
  <c r="U173" i="16"/>
  <c r="S191" i="16"/>
  <c r="X191" i="16" s="1"/>
  <c r="S224" i="16"/>
  <c r="X224" i="16" s="1"/>
  <c r="S7" i="16"/>
  <c r="X7" i="16" s="1"/>
  <c r="S12" i="16"/>
  <c r="X12" i="16" s="1"/>
  <c r="S18" i="16"/>
  <c r="X18" i="16" s="1"/>
  <c r="S253" i="16"/>
  <c r="X253" i="16" s="1"/>
  <c r="S33" i="16"/>
  <c r="X33" i="16" s="1"/>
  <c r="S46" i="16"/>
  <c r="X46" i="16" s="1"/>
  <c r="S40" i="16"/>
  <c r="X40" i="16" s="1"/>
  <c r="S55" i="16"/>
  <c r="X55" i="16" s="1"/>
  <c r="S61" i="16"/>
  <c r="X61" i="16" s="1"/>
  <c r="S49" i="16"/>
  <c r="X49" i="16" s="1"/>
  <c r="S254" i="16"/>
  <c r="X254" i="16" s="1"/>
  <c r="S71" i="16"/>
  <c r="X71" i="16" s="1"/>
  <c r="S84" i="16"/>
  <c r="X84" i="16" s="1"/>
  <c r="S88" i="16"/>
  <c r="S79" i="16"/>
  <c r="X79" i="16" s="1"/>
  <c r="S82" i="16"/>
  <c r="X82" i="16" s="1"/>
  <c r="S93" i="16"/>
  <c r="X93" i="16" s="1"/>
  <c r="S99" i="16"/>
  <c r="X99" i="16" s="1"/>
  <c r="S110" i="16"/>
  <c r="X110" i="16" s="1"/>
  <c r="S121" i="16"/>
  <c r="X121" i="16" s="1"/>
  <c r="S137" i="16"/>
  <c r="X137" i="16" s="1"/>
  <c r="V149" i="16"/>
  <c r="S149" i="16"/>
  <c r="X149" i="16" s="1"/>
  <c r="V262" i="16"/>
  <c r="S262" i="16"/>
  <c r="X262" i="16" s="1"/>
  <c r="S184" i="16"/>
  <c r="X184" i="16" s="1"/>
  <c r="U202" i="16"/>
  <c r="S219" i="16"/>
  <c r="X219" i="16" s="1"/>
  <c r="V233" i="16"/>
  <c r="S233" i="16"/>
  <c r="X233" i="16" s="1"/>
  <c r="U145" i="16"/>
  <c r="S145" i="16"/>
  <c r="X145" i="16" s="1"/>
  <c r="S151" i="16"/>
  <c r="X151" i="16" s="1"/>
  <c r="U162" i="16"/>
  <c r="S179" i="16"/>
  <c r="X179" i="16" s="1"/>
  <c r="S264" i="16"/>
  <c r="X264" i="16" s="1"/>
  <c r="U229" i="16"/>
  <c r="V257" i="16"/>
  <c r="U97" i="16"/>
  <c r="U90" i="16"/>
  <c r="S92" i="16"/>
  <c r="X92" i="16" s="1"/>
  <c r="U96" i="16"/>
  <c r="S98" i="16"/>
  <c r="X98" i="16" s="1"/>
  <c r="U101" i="16"/>
  <c r="S103" i="16"/>
  <c r="X103" i="16" s="1"/>
  <c r="U107" i="16"/>
  <c r="V110" i="16"/>
  <c r="U118" i="16"/>
  <c r="U124" i="16"/>
  <c r="S124" i="16"/>
  <c r="X124" i="16" s="1"/>
  <c r="V166" i="16"/>
  <c r="S166" i="16"/>
  <c r="X166" i="16" s="1"/>
  <c r="S173" i="16"/>
  <c r="X173" i="16" s="1"/>
  <c r="U190" i="16"/>
  <c r="S208" i="16"/>
  <c r="X208" i="16" s="1"/>
  <c r="S125" i="16"/>
  <c r="X125" i="16" s="1"/>
  <c r="S135" i="16"/>
  <c r="X135" i="16" s="1"/>
  <c r="S140" i="16"/>
  <c r="X140" i="16" s="1"/>
  <c r="S146" i="16"/>
  <c r="X146" i="16" s="1"/>
  <c r="S189" i="16"/>
  <c r="X189" i="16" s="1"/>
  <c r="S195" i="16"/>
  <c r="X195" i="16" s="1"/>
  <c r="S201" i="16"/>
  <c r="X201" i="16" s="1"/>
  <c r="S206" i="16"/>
  <c r="X206" i="16" s="1"/>
  <c r="S212" i="16"/>
  <c r="X212" i="16" s="1"/>
  <c r="S217" i="16"/>
  <c r="X217" i="16" s="1"/>
  <c r="S223" i="16"/>
  <c r="X223" i="16" s="1"/>
  <c r="S248" i="16"/>
  <c r="X248" i="16" s="1"/>
  <c r="S154" i="16"/>
  <c r="X154" i="16" s="1"/>
  <c r="S160" i="16"/>
  <c r="X160" i="16" s="1"/>
  <c r="S165" i="16"/>
  <c r="X165" i="16" s="1"/>
  <c r="S171" i="16"/>
  <c r="X171" i="16" s="1"/>
  <c r="S177" i="16"/>
  <c r="X177" i="16" s="1"/>
  <c r="S182" i="16"/>
  <c r="X182" i="16" s="1"/>
  <c r="S188" i="16"/>
  <c r="X188" i="16" s="1"/>
  <c r="S194" i="16"/>
  <c r="X194" i="16" s="1"/>
  <c r="S200" i="16"/>
  <c r="X200" i="16" s="1"/>
  <c r="S247" i="16"/>
  <c r="X247" i="16" s="1"/>
  <c r="S211" i="16"/>
  <c r="X211" i="16" s="1"/>
  <c r="S216" i="16"/>
  <c r="X216" i="16" s="1"/>
  <c r="S222" i="16"/>
  <c r="X222" i="16" s="1"/>
  <c r="S228" i="16"/>
  <c r="X228" i="16" s="1"/>
  <c r="S249" i="16"/>
  <c r="X249" i="16" s="1"/>
  <c r="S255" i="16"/>
  <c r="X255" i="16" s="1"/>
  <c r="S112" i="16"/>
  <c r="X112" i="16" s="1"/>
  <c r="S117" i="16"/>
  <c r="X117" i="16" s="1"/>
  <c r="S123" i="16"/>
  <c r="X123" i="16" s="1"/>
  <c r="S132" i="16"/>
  <c r="X132" i="16" s="1"/>
  <c r="S133" i="16"/>
  <c r="X133" i="16" s="1"/>
  <c r="S170" i="16"/>
  <c r="X170" i="16" s="1"/>
  <c r="S176" i="16"/>
  <c r="X176" i="16" s="1"/>
  <c r="S181" i="16"/>
  <c r="X181" i="16" s="1"/>
  <c r="S187" i="16"/>
  <c r="X187" i="16" s="1"/>
  <c r="S193" i="16"/>
  <c r="X193" i="16" s="1"/>
  <c r="S199" i="16"/>
  <c r="X199" i="16" s="1"/>
  <c r="S205" i="16"/>
  <c r="X205" i="16" s="1"/>
  <c r="S210" i="16"/>
  <c r="X210" i="16" s="1"/>
  <c r="S215" i="16"/>
  <c r="X215" i="16" s="1"/>
  <c r="S221" i="16"/>
  <c r="X221" i="16" s="1"/>
  <c r="S227" i="16"/>
  <c r="X227" i="16" s="1"/>
  <c r="S232" i="16"/>
  <c r="X232" i="16" s="1"/>
  <c r="T240" i="16" l="1"/>
  <c r="T167" i="16"/>
  <c r="T162" i="16"/>
  <c r="Q245" i="15"/>
  <c r="P245" i="15"/>
  <c r="X116" i="16"/>
  <c r="T263" i="16"/>
  <c r="T138" i="16"/>
  <c r="T258" i="16"/>
  <c r="T143" i="16"/>
  <c r="T97" i="16"/>
  <c r="T157" i="16"/>
  <c r="T38" i="16"/>
  <c r="T250" i="16"/>
  <c r="T236" i="16"/>
  <c r="X17" i="16"/>
  <c r="T104" i="16"/>
  <c r="T107" i="16"/>
  <c r="T76" i="16"/>
  <c r="T168" i="16"/>
  <c r="T115" i="16"/>
  <c r="T252" i="16"/>
  <c r="T85" i="16"/>
  <c r="T32" i="16"/>
  <c r="T39" i="16"/>
  <c r="T172" i="16"/>
  <c r="T154" i="16"/>
  <c r="T95" i="16"/>
  <c r="X54" i="16"/>
  <c r="T36" i="16"/>
  <c r="T30" i="16"/>
  <c r="T45" i="16"/>
  <c r="X131" i="16"/>
  <c r="X11" i="16"/>
  <c r="T106" i="16"/>
  <c r="T96" i="16"/>
  <c r="T239" i="16"/>
  <c r="T66" i="16"/>
  <c r="T244" i="16"/>
  <c r="T197" i="16"/>
  <c r="T156" i="16"/>
  <c r="T142" i="16"/>
  <c r="T129" i="16"/>
  <c r="T185" i="16"/>
  <c r="T90" i="16"/>
  <c r="T237" i="16"/>
  <c r="T188" i="16"/>
  <c r="T75" i="16"/>
  <c r="T122" i="16"/>
  <c r="T169" i="16"/>
  <c r="T72" i="16"/>
  <c r="T74" i="16"/>
  <c r="T194" i="16"/>
  <c r="X6" i="16"/>
  <c r="T182" i="16"/>
  <c r="T31" i="16"/>
  <c r="T118" i="16"/>
  <c r="T68" i="16"/>
  <c r="X70" i="16"/>
  <c r="T233" i="16"/>
  <c r="T257" i="16"/>
  <c r="T77" i="16"/>
  <c r="T64" i="16"/>
  <c r="T260" i="16"/>
  <c r="T247" i="16"/>
  <c r="T200" i="16"/>
  <c r="T29" i="16"/>
  <c r="T202" i="16"/>
  <c r="T226" i="16"/>
  <c r="T108" i="16"/>
  <c r="T86" i="16"/>
  <c r="T58" i="16"/>
  <c r="T177" i="16"/>
  <c r="T16" i="16"/>
  <c r="T67" i="16"/>
  <c r="T204" i="16"/>
  <c r="T42" i="16"/>
  <c r="T241" i="16"/>
  <c r="T24" i="16"/>
  <c r="T152" i="16"/>
  <c r="T220" i="16"/>
  <c r="X220" i="16"/>
  <c r="T44" i="16"/>
  <c r="T190" i="16"/>
  <c r="T214" i="16"/>
  <c r="T229" i="16"/>
  <c r="T259" i="16"/>
  <c r="T78" i="16"/>
  <c r="T114" i="16"/>
  <c r="T207" i="16"/>
  <c r="T126" i="16"/>
  <c r="T57" i="16"/>
  <c r="T141" i="16"/>
  <c r="T20" i="16"/>
  <c r="T111" i="16"/>
  <c r="X111" i="16"/>
  <c r="T113" i="16"/>
  <c r="T89" i="16"/>
  <c r="T59" i="16"/>
  <c r="T144" i="16"/>
  <c r="T91" i="16"/>
  <c r="T65" i="16"/>
  <c r="T146" i="16"/>
  <c r="T164" i="16"/>
  <c r="T41" i="16"/>
  <c r="T21" i="16"/>
  <c r="T186" i="16"/>
  <c r="T10" i="16"/>
  <c r="T222" i="16"/>
  <c r="T51" i="16"/>
  <c r="T9" i="16"/>
  <c r="T83" i="16"/>
  <c r="T25" i="16"/>
  <c r="T254" i="16"/>
  <c r="T4" i="16"/>
  <c r="T256" i="16"/>
  <c r="T158" i="16"/>
  <c r="T147" i="16"/>
  <c r="T175" i="16"/>
  <c r="T49" i="16"/>
  <c r="T219" i="16"/>
  <c r="T63" i="16"/>
  <c r="T26" i="16"/>
  <c r="X198" i="16"/>
  <c r="T128" i="16"/>
  <c r="T189" i="16"/>
  <c r="T100" i="16"/>
  <c r="T245" i="16"/>
  <c r="T40" i="16"/>
  <c r="T50" i="16"/>
  <c r="T184" i="16"/>
  <c r="T159" i="16"/>
  <c r="T46" i="16"/>
  <c r="T62" i="16"/>
  <c r="T231" i="16"/>
  <c r="T33" i="16"/>
  <c r="T56" i="16"/>
  <c r="T132" i="16"/>
  <c r="T81" i="16"/>
  <c r="T261" i="16"/>
  <c r="T48" i="16"/>
  <c r="T117" i="16"/>
  <c r="T15" i="16"/>
  <c r="T47" i="16"/>
  <c r="T180" i="16"/>
  <c r="T216" i="16"/>
  <c r="T205" i="16"/>
  <c r="T19" i="16"/>
  <c r="T69" i="16"/>
  <c r="T105" i="16"/>
  <c r="T209" i="16"/>
  <c r="T53" i="16"/>
  <c r="T112" i="16"/>
  <c r="T13" i="16"/>
  <c r="T170" i="16"/>
  <c r="X27" i="16"/>
  <c r="T103" i="16"/>
  <c r="T99" i="16"/>
  <c r="T102" i="16"/>
  <c r="T227" i="16"/>
  <c r="T192" i="16"/>
  <c r="T211" i="16"/>
  <c r="T145" i="16"/>
  <c r="T55" i="16"/>
  <c r="T179" i="16"/>
  <c r="T217" i="16"/>
  <c r="T163" i="16"/>
  <c r="T203" i="16"/>
  <c r="T255" i="16"/>
  <c r="X120" i="16"/>
  <c r="T120" i="16"/>
  <c r="T262" i="16"/>
  <c r="T264" i="16"/>
  <c r="T161" i="16"/>
  <c r="T174" i="16"/>
  <c r="T201" i="16"/>
  <c r="X109" i="16"/>
  <c r="T109" i="16"/>
  <c r="T123" i="16"/>
  <c r="T176" i="16"/>
  <c r="T2" i="16"/>
  <c r="X2" i="16"/>
  <c r="T148" i="16"/>
  <c r="T196" i="16"/>
  <c r="T5" i="16"/>
  <c r="T14" i="16"/>
  <c r="T173" i="16"/>
  <c r="T243" i="16"/>
  <c r="T210" i="16"/>
  <c r="T8" i="16"/>
  <c r="T187" i="16"/>
  <c r="T110" i="16"/>
  <c r="T140" i="16"/>
  <c r="T193" i="16"/>
  <c r="T253" i="16"/>
  <c r="T34" i="16"/>
  <c r="T130" i="16"/>
  <c r="T80" i="16"/>
  <c r="T98" i="16"/>
  <c r="T183" i="16"/>
  <c r="T225" i="16"/>
  <c r="T71" i="16"/>
  <c r="T135" i="16"/>
  <c r="T124" i="16"/>
  <c r="X88" i="16"/>
  <c r="T88" i="16"/>
  <c r="T151" i="16"/>
  <c r="T28" i="16"/>
  <c r="T230" i="16"/>
  <c r="T52" i="16"/>
  <c r="T181" i="16"/>
  <c r="T223" i="16"/>
  <c r="T84" i="16"/>
  <c r="T37" i="16"/>
  <c r="T221" i="16"/>
  <c r="T199" i="16"/>
  <c r="T93" i="16"/>
  <c r="T149" i="16"/>
  <c r="T238" i="16"/>
  <c r="T137" i="16"/>
  <c r="T139" i="16"/>
  <c r="T35" i="16"/>
  <c r="T248" i="16"/>
  <c r="T87" i="16"/>
  <c r="T246" i="16"/>
  <c r="T94" i="16"/>
  <c r="T178" i="16"/>
  <c r="T218" i="16"/>
  <c r="T12" i="16"/>
  <c r="T22" i="16"/>
  <c r="T171" i="16"/>
  <c r="T166" i="16"/>
  <c r="T133" i="16"/>
  <c r="T215" i="16"/>
  <c r="T224" i="16"/>
  <c r="T92" i="16"/>
  <c r="T7" i="16"/>
  <c r="T101" i="16"/>
  <c r="T249" i="16"/>
  <c r="T165" i="16"/>
  <c r="T82" i="16"/>
  <c r="T208" i="16"/>
  <c r="T232" i="16"/>
  <c r="T121" i="16"/>
  <c r="T73" i="16"/>
  <c r="T23" i="16"/>
  <c r="T136" i="16"/>
  <c r="T43" i="16"/>
  <c r="T213" i="16"/>
  <c r="T155" i="16"/>
  <c r="T79" i="16"/>
  <c r="T18" i="16"/>
  <c r="T61" i="16"/>
  <c r="T228" i="16"/>
  <c r="T160" i="16"/>
  <c r="T195" i="16"/>
  <c r="T206" i="16"/>
  <c r="T119" i="16"/>
  <c r="T191" i="16"/>
  <c r="T125" i="16"/>
  <c r="T127" i="16"/>
  <c r="T212" i="16"/>
  <c r="T134" i="16"/>
  <c r="T242" i="16"/>
  <c r="T150" i="16"/>
  <c r="T3" i="16"/>
</calcChain>
</file>

<file path=xl/sharedStrings.xml><?xml version="1.0" encoding="utf-8"?>
<sst xmlns="http://schemas.openxmlformats.org/spreadsheetml/2006/main" count="1580" uniqueCount="435">
  <si>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P.131 REMBAU
</t>
    </r>
    <r>
      <rPr>
        <b/>
        <sz val="10"/>
        <rFont val="Arial"/>
        <family val="2"/>
      </rPr>
      <t>JUMLAH PEMILIH: 133,555                                                                                                                                                                                             MUKASURAT: 1/14</t>
    </r>
  </si>
  <si>
    <r>
      <rPr>
        <b/>
        <sz val="7"/>
        <rFont val="Arial"/>
        <family val="2"/>
      </rPr>
      <t>Bil</t>
    </r>
  </si>
  <si>
    <r>
      <rPr>
        <b/>
        <sz val="7"/>
        <rFont val="Arial"/>
        <family val="2"/>
      </rPr>
      <t>No. Kod Daerah Mengundi</t>
    </r>
  </si>
  <si>
    <r>
      <rPr>
        <b/>
        <sz val="7"/>
        <rFont val="Arial"/>
        <family val="2"/>
      </rPr>
      <t>Nama Pusat Mengundi</t>
    </r>
  </si>
  <si>
    <r>
      <rPr>
        <b/>
        <sz val="7"/>
        <rFont val="Arial"/>
        <family val="2"/>
      </rPr>
      <t>Nombor Tempat Mengundi (saluran)</t>
    </r>
  </si>
  <si>
    <r>
      <rPr>
        <b/>
        <sz val="7"/>
        <rFont val="Arial"/>
        <family val="2"/>
      </rPr>
      <t xml:space="preserve">Jumlah kertas undi yang patut berada di dalam peti undi
</t>
    </r>
    <r>
      <rPr>
        <b/>
        <sz val="7"/>
        <rFont val="Arial"/>
        <family val="2"/>
      </rPr>
      <t>(A)</t>
    </r>
  </si>
  <si>
    <r>
      <rPr>
        <b/>
        <sz val="7"/>
        <rFont val="Arial"/>
        <family val="2"/>
      </rPr>
      <t xml:space="preserve">Bilangan undian oleh pemilih bagi setiap orang calon yang bertanding
</t>
    </r>
    <r>
      <rPr>
        <b/>
        <sz val="7"/>
        <rFont val="Arial"/>
        <family val="2"/>
      </rPr>
      <t>(B)</t>
    </r>
  </si>
  <si>
    <r>
      <rPr>
        <b/>
        <sz val="7"/>
        <rFont val="Arial"/>
        <family val="2"/>
      </rPr>
      <t>Bilangan kertas undi yang ditolak (C)</t>
    </r>
  </si>
  <si>
    <r>
      <rPr>
        <b/>
        <sz val="7"/>
        <rFont val="Arial"/>
        <family val="2"/>
      </rPr>
      <t xml:space="preserve">Jumlah kertas undi yang dikeluarkan kepada pengundi tetapi tidak dimasukkan ke dalam peti undi
</t>
    </r>
    <r>
      <rPr>
        <b/>
        <sz val="7"/>
        <rFont val="Arial"/>
        <family val="2"/>
      </rPr>
      <t>(D)</t>
    </r>
  </si>
  <si>
    <r>
      <rPr>
        <sz val="6"/>
        <rFont val="Arial"/>
        <family val="2"/>
      </rPr>
      <t>HJ. NAZREE YUNUS</t>
    </r>
  </si>
  <si>
    <r>
      <rPr>
        <sz val="6"/>
        <rFont val="Arial"/>
        <family val="2"/>
      </rPr>
      <t>TOK MAT</t>
    </r>
  </si>
  <si>
    <r>
      <rPr>
        <sz val="6"/>
        <rFont val="Arial"/>
        <family val="2"/>
      </rPr>
      <t>JUFITRI JOHA</t>
    </r>
  </si>
  <si>
    <r>
      <rPr>
        <sz val="6"/>
        <rFont val="Arial"/>
        <family val="2"/>
      </rPr>
      <t>CIKGU TINA</t>
    </r>
  </si>
  <si>
    <r>
      <rPr>
        <sz val="6"/>
        <rFont val="Arial"/>
        <family val="2"/>
      </rPr>
      <t>RAMLY BIN AWALLUDIN</t>
    </r>
  </si>
  <si>
    <r>
      <rPr>
        <b/>
        <sz val="7"/>
        <rFont val="Arial"/>
        <family val="2"/>
      </rPr>
      <t>Jumlah undian oleh pemilih</t>
    </r>
  </si>
  <si>
    <r>
      <rPr>
        <sz val="8"/>
        <rFont val="Arial"/>
        <family val="2"/>
      </rPr>
      <t>UNDI POS</t>
    </r>
  </si>
  <si>
    <r>
      <rPr>
        <sz val="12"/>
        <rFont val="Arial"/>
        <family val="2"/>
      </rPr>
      <t>UNDI AWAL</t>
    </r>
  </si>
  <si>
    <r>
      <rPr>
        <sz val="8"/>
        <rFont val="Arial"/>
        <family val="2"/>
      </rPr>
      <t>UNDI AWAL 131/25/00</t>
    </r>
  </si>
  <si>
    <r>
      <rPr>
        <sz val="8"/>
        <rFont val="Arial"/>
        <family val="2"/>
      </rPr>
      <t>DEWAN KOMPENI KEM 15 RAMD SENAWANG (DUN PAROI)</t>
    </r>
  </si>
  <si>
    <r>
      <rPr>
        <sz val="8"/>
        <rFont val="Arial"/>
        <family val="2"/>
      </rPr>
      <t>BALAI POLIS SENAWANG (DUN PAROI)</t>
    </r>
  </si>
  <si>
    <r>
      <rPr>
        <sz val="8"/>
        <rFont val="Arial"/>
        <family val="2"/>
      </rPr>
      <t>UNDI AWAL 131/26/00</t>
    </r>
  </si>
  <si>
    <r>
      <rPr>
        <sz val="8"/>
        <rFont val="Arial"/>
        <family val="2"/>
      </rPr>
      <t>RUANG A, DEWAN IPD REMBAU (DUN CHEMBONG)</t>
    </r>
  </si>
  <si>
    <r>
      <rPr>
        <sz val="8"/>
        <rFont val="Arial"/>
        <family val="2"/>
      </rPr>
      <t>UNDI AWAL 131/27/00</t>
    </r>
  </si>
  <si>
    <r>
      <rPr>
        <sz val="8"/>
        <rFont val="Arial"/>
        <family val="2"/>
      </rPr>
      <t>DEWAN ANGKASARAYA PANGKALAN UDARA SENDAYAN (DUN RANTAU)</t>
    </r>
  </si>
  <si>
    <r>
      <rPr>
        <sz val="8"/>
        <rFont val="Arial"/>
        <family val="2"/>
      </rPr>
      <t>BALAI POLIS RANTAU (DUN RANTAU)</t>
    </r>
  </si>
  <si>
    <r>
      <rPr>
        <sz val="8"/>
        <rFont val="Arial"/>
        <family val="2"/>
      </rPr>
      <t>UNDI AWAL 131/28/00</t>
    </r>
  </si>
  <si>
    <r>
      <rPr>
        <sz val="8"/>
        <rFont val="Arial"/>
        <family val="2"/>
      </rPr>
      <t>RUANG B, DEWAN IPD REMBAU (DUN KOTA)</t>
    </r>
  </si>
  <si>
    <r>
      <rPr>
        <sz val="12"/>
        <rFont val="Arial"/>
        <family val="2"/>
      </rPr>
      <t>UNDI BIASA</t>
    </r>
  </si>
  <si>
    <r>
      <rPr>
        <sz val="8"/>
        <rFont val="Arial"/>
        <family val="2"/>
      </rPr>
      <t>PAROI 131/25/01</t>
    </r>
  </si>
  <si>
    <r>
      <rPr>
        <sz val="8"/>
        <rFont val="Arial"/>
        <family val="2"/>
      </rPr>
      <t>SEKOLAH KEBANGSAAN PAROI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</si>
  <si>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P.131 REMBAU
</t>
    </r>
    <r>
      <rPr>
        <b/>
        <sz val="10"/>
        <rFont val="Arial"/>
        <family val="2"/>
      </rPr>
      <t>JUMLAH PEMILIH: 133,555                                                                                                                                                                                             MUKASURAT: 2/14</t>
    </r>
  </si>
  <si>
    <r>
      <rPr>
        <sz val="8"/>
        <rFont val="Arial"/>
        <family val="2"/>
      </rPr>
      <t>TAMAN SATRIA 131/25/02</t>
    </r>
  </si>
  <si>
    <r>
      <rPr>
        <sz val="8"/>
        <rFont val="Arial"/>
        <family val="2"/>
      </rPr>
      <t>SEKOLAH KEBANGSAAN TAMAN SERI PAGI</t>
    </r>
  </si>
  <si>
    <r>
      <rPr>
        <sz val="8"/>
        <rFont val="Arial"/>
        <family val="2"/>
      </rPr>
      <t>SEKOLAH MENENGAH KEBANGSAAN SERI PAGI</t>
    </r>
  </si>
  <si>
    <r>
      <rPr>
        <sz val="8"/>
        <rFont val="Arial"/>
        <family val="2"/>
      </rPr>
      <t>TAMAN TUANKU JAAFAR 131/25/03</t>
    </r>
  </si>
  <si>
    <r>
      <rPr>
        <sz val="8"/>
        <rFont val="Arial"/>
        <family val="2"/>
      </rPr>
      <t>SEKOLAH KEBANGSAAN TAMAN TUANKU JAAFAR 2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</si>
  <si>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P.131 REMBAU
</t>
    </r>
    <r>
      <rPr>
        <b/>
        <sz val="10"/>
        <rFont val="Arial"/>
        <family val="2"/>
      </rPr>
      <t>JUMLAH PEMILIH: 133,555                                                                                                                                                                                             MUKASURAT: 3/14</t>
    </r>
  </si>
  <si>
    <r>
      <rPr>
        <sz val="8"/>
        <rFont val="Arial"/>
        <family val="2"/>
      </rPr>
      <t>SEKOLAH MENENGAH KEBANGSAAN TAMAN TUANKU JAAFAR</t>
    </r>
  </si>
  <si>
    <r>
      <rPr>
        <sz val="8"/>
        <rFont val="Arial"/>
        <family val="2"/>
      </rPr>
      <t>TAMAN SRI PERMATA 131/25/04</t>
    </r>
  </si>
  <si>
    <r>
      <rPr>
        <sz val="8"/>
        <rFont val="Arial"/>
        <family val="2"/>
      </rPr>
      <t>SEKOLAH DATO' ABDUL RAZAK</t>
    </r>
  </si>
  <si>
    <r>
      <rPr>
        <sz val="8"/>
        <rFont val="Arial"/>
        <family val="2"/>
      </rPr>
      <t>KOMBOK 131/25/05</t>
    </r>
  </si>
  <si>
    <r>
      <rPr>
        <sz val="8"/>
        <rFont val="Arial"/>
        <family val="2"/>
      </rPr>
      <t>SEKOLAH JENIS KEBANGSAAN (TAMIL) LADANG KOMBOK</t>
    </r>
  </si>
  <si>
    <r>
      <rPr>
        <sz val="8"/>
        <rFont val="Arial"/>
        <family val="2"/>
      </rPr>
      <t>TAMAN TASIK JAYA 131/25/06</t>
    </r>
  </si>
  <si>
    <r>
      <rPr>
        <sz val="8"/>
        <rFont val="Arial"/>
        <family val="2"/>
      </rPr>
      <t>SEKOLAH KEBANGSAAN TAMAN TASIK JAYA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</si>
  <si>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P.131 REMBAU
</t>
    </r>
    <r>
      <rPr>
        <b/>
        <sz val="10"/>
        <rFont val="Arial"/>
        <family val="2"/>
      </rPr>
      <t>JUMLAH PEMILIH: 133,555                                                                                                                                                                                             MUKASURAT: 4/14</t>
    </r>
  </si>
  <si>
    <r>
      <rPr>
        <sz val="8"/>
        <rFont val="Arial"/>
        <family val="2"/>
      </rPr>
      <t>DEWAN ORANG RAMAI TAMAN TASIK JAYA</t>
    </r>
  </si>
  <si>
    <r>
      <rPr>
        <sz val="8"/>
        <rFont val="Arial"/>
        <family val="2"/>
      </rPr>
      <t>BUKIT SERI SENAWANG 131/25/07</t>
    </r>
  </si>
  <si>
    <r>
      <rPr>
        <sz val="8"/>
        <rFont val="Arial"/>
        <family val="2"/>
      </rPr>
      <t>SEKOLAH KEBANGSAAN TAMAN TUANKU JAAFAR</t>
    </r>
  </si>
  <si>
    <r>
      <rPr>
        <sz val="8"/>
        <rFont val="Arial"/>
        <family val="2"/>
      </rPr>
      <t>SEKOLAH JENIS KEBANGSAAN (TAMIL) LADANG SENAWANG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</si>
  <si>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P.131 REMBAU
</t>
    </r>
    <r>
      <rPr>
        <b/>
        <sz val="10"/>
        <rFont val="Arial"/>
        <family val="2"/>
      </rPr>
      <t>JUMLAH PEMILIH: 133,555                                                                                                                                                                                             MUKASURAT: 5/14</t>
    </r>
  </si>
  <si>
    <r>
      <rPr>
        <sz val="8"/>
        <rFont val="Arial"/>
        <family val="2"/>
      </rPr>
      <t>SEKOLAH JENIS KEBANGSAAN (TAMIL) LADANG SEREMBAN</t>
    </r>
  </si>
  <si>
    <r>
      <rPr>
        <sz val="8"/>
        <rFont val="Arial"/>
        <family val="2"/>
      </rPr>
      <t>TAMAN KOBENA 131/25/08</t>
    </r>
  </si>
  <si>
    <r>
      <rPr>
        <sz val="8"/>
        <rFont val="Arial"/>
        <family val="2"/>
      </rPr>
      <t>SEKOLAH KEBANGSAAN SENAWANG 3</t>
    </r>
  </si>
  <si>
    <r>
      <rPr>
        <sz val="8"/>
        <rFont val="Arial"/>
        <family val="2"/>
      </rPr>
      <t>SENAWANG JAYA 131/25/09</t>
    </r>
  </si>
  <si>
    <r>
      <rPr>
        <sz val="8"/>
        <rFont val="Arial"/>
        <family val="2"/>
      </rPr>
      <t>SEKOLAH KEBANGSAAN SENAWANG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</si>
  <si>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P.131 REMBAU
</t>
    </r>
    <r>
      <rPr>
        <b/>
        <sz val="10"/>
        <rFont val="Arial"/>
        <family val="2"/>
      </rPr>
      <t>JUMLAH PEMILIH: 133,555                                                                                                                                                                                             MUKASURAT: 6/14</t>
    </r>
  </si>
  <si>
    <r>
      <rPr>
        <sz val="8"/>
        <rFont val="Arial"/>
        <family val="2"/>
      </rPr>
      <t>SEKOLAH KEBANGSAAN LAVENDER HEIGHT</t>
    </r>
  </si>
  <si>
    <r>
      <rPr>
        <sz val="8"/>
        <rFont val="Arial"/>
        <family val="2"/>
      </rPr>
      <t>TAMAN MARIDA 131/25/10</t>
    </r>
  </si>
  <si>
    <r>
      <rPr>
        <sz val="8"/>
        <rFont val="Arial"/>
        <family val="2"/>
      </rPr>
      <t>SEKOLAH MENENGAH KEBANGSAAN SENAWANG</t>
    </r>
  </si>
  <si>
    <r>
      <rPr>
        <sz val="8"/>
        <rFont val="Arial"/>
        <family val="2"/>
      </rPr>
      <t>ULU PEDAS 131/26/01</t>
    </r>
  </si>
  <si>
    <r>
      <rPr>
        <sz val="8"/>
        <rFont val="Arial"/>
        <family val="2"/>
      </rPr>
      <t>DEWAN ORANG RAMAI PEDAS</t>
    </r>
  </si>
  <si>
    <r>
      <rPr>
        <sz val="8"/>
        <rFont val="Arial"/>
        <family val="2"/>
      </rPr>
      <t>SEPRI 131/26/02</t>
    </r>
  </si>
  <si>
    <r>
      <rPr>
        <sz val="8"/>
        <rFont val="Arial"/>
        <family val="2"/>
      </rPr>
      <t>SEKOLAH KEBANGSAAN SEPRI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</si>
  <si>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P.131 REMBAU
</t>
    </r>
    <r>
      <rPr>
        <b/>
        <sz val="10"/>
        <rFont val="Arial"/>
        <family val="2"/>
      </rPr>
      <t>JUMLAH PEMILIH: 133,555                                                                                                                                                                                             MUKASURAT: 7/14</t>
    </r>
  </si>
  <si>
    <r>
      <rPr>
        <sz val="8"/>
        <rFont val="Arial"/>
        <family val="2"/>
      </rPr>
      <t>KAMPONG RENDAH 131/26/03</t>
    </r>
  </si>
  <si>
    <r>
      <rPr>
        <sz val="8"/>
        <rFont val="Arial"/>
        <family val="2"/>
      </rPr>
      <t>SEKOLAH KEBANGSAAN KAYU ARA</t>
    </r>
  </si>
  <si>
    <r>
      <rPr>
        <sz val="8"/>
        <rFont val="Arial"/>
        <family val="2"/>
      </rPr>
      <t>KAMPONG SENAMA ULU 131/26/04</t>
    </r>
  </si>
  <si>
    <r>
      <rPr>
        <sz val="8"/>
        <rFont val="Arial"/>
        <family val="2"/>
      </rPr>
      <t>SEKOLAH KEBANGSAAN TAMAN SERI REMBAU</t>
    </r>
  </si>
  <si>
    <r>
      <rPr>
        <sz val="8"/>
        <rFont val="Arial"/>
        <family val="2"/>
      </rPr>
      <t>CHEMBONG 131/26/05</t>
    </r>
  </si>
  <si>
    <r>
      <rPr>
        <sz val="8"/>
        <rFont val="Arial"/>
        <family val="2"/>
      </rPr>
      <t>SEKOLAH KEBANGSAAN CHEMBONG</t>
    </r>
  </si>
  <si>
    <r>
      <rPr>
        <sz val="8"/>
        <rFont val="Arial"/>
        <family val="2"/>
      </rPr>
      <t>PEKAN PEDAS 131/26/06</t>
    </r>
  </si>
  <si>
    <r>
      <rPr>
        <sz val="8"/>
        <rFont val="Arial"/>
        <family val="2"/>
      </rPr>
      <t>SEKOLAH JENIS KEBANGSAAN (CINA) PEI HWA PEDAS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</si>
  <si>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P.131 REMBAU
</t>
    </r>
    <r>
      <rPr>
        <b/>
        <sz val="10"/>
        <rFont val="Arial"/>
        <family val="2"/>
      </rPr>
      <t>JUMLAH PEMILIH: 133,555                                                                                                                                                                                             MUKASURAT: 8/14</t>
    </r>
  </si>
  <si>
    <r>
      <rPr>
        <sz val="8"/>
        <rFont val="Arial"/>
        <family val="2"/>
      </rPr>
      <t>KAMPONG PEDAS TENGAH 131/26/07</t>
    </r>
  </si>
  <si>
    <r>
      <rPr>
        <sz val="8"/>
        <rFont val="Arial"/>
        <family val="2"/>
      </rPr>
      <t>SEKOLAH KEBANGSAAN PEDAS</t>
    </r>
  </si>
  <si>
    <r>
      <rPr>
        <sz val="8"/>
        <rFont val="Arial"/>
        <family val="2"/>
      </rPr>
      <t>PEKAN REMBAU 131/26/08</t>
    </r>
  </si>
  <si>
    <r>
      <rPr>
        <sz val="8"/>
        <rFont val="Arial"/>
        <family val="2"/>
      </rPr>
      <t>SEKOLAH MENENGAH KEBANGSAAN UNDANG REMBAU</t>
    </r>
  </si>
  <si>
    <r>
      <rPr>
        <sz val="8"/>
        <rFont val="Arial"/>
        <family val="2"/>
      </rPr>
      <t>SEKOLAH KEBANGSAAN UNDANG REMBAU</t>
    </r>
  </si>
  <si>
    <r>
      <rPr>
        <sz val="8"/>
        <rFont val="Arial"/>
        <family val="2"/>
      </rPr>
      <t>BATU HAMPAR 131/26/09</t>
    </r>
  </si>
  <si>
    <r>
      <rPr>
        <sz val="8"/>
        <rFont val="Arial"/>
        <family val="2"/>
      </rPr>
      <t>SEKOLAH KEBANGSAAN SEBERANG BATU HAMPAR</t>
    </r>
  </si>
  <si>
    <r>
      <rPr>
        <sz val="8"/>
        <rFont val="Arial"/>
        <family val="2"/>
      </rPr>
      <t>MAMPONG 131/26/10</t>
    </r>
  </si>
  <si>
    <r>
      <rPr>
        <sz val="8"/>
        <rFont val="Arial"/>
        <family val="2"/>
      </rPr>
      <t>BALAI RAYA KG. MAMPONG</t>
    </r>
  </si>
  <si>
    <r>
      <rPr>
        <sz val="8"/>
        <rFont val="Arial"/>
        <family val="2"/>
      </rPr>
      <t>PILIN 131/26/11</t>
    </r>
  </si>
  <si>
    <r>
      <rPr>
        <sz val="8"/>
        <rFont val="Arial"/>
        <family val="2"/>
      </rPr>
      <t>SEKOLAH KEBANGSAAN PILIN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</si>
  <si>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P.131 REMBAU
</t>
    </r>
    <r>
      <rPr>
        <b/>
        <sz val="10"/>
        <rFont val="Arial"/>
        <family val="2"/>
      </rPr>
      <t>JUMLAH PEMILIH: 133,555                                                                                                                                                                                             MUKASURAT: 9/14</t>
    </r>
  </si>
  <si>
    <r>
      <rPr>
        <sz val="8"/>
        <rFont val="Arial"/>
        <family val="2"/>
      </rPr>
      <t>KUNDOR 131/26/12</t>
    </r>
  </si>
  <si>
    <r>
      <rPr>
        <sz val="8"/>
        <rFont val="Arial"/>
        <family val="2"/>
      </rPr>
      <t>SEKOLAH KEBANGSAAN KUNDOR</t>
    </r>
  </si>
  <si>
    <r>
      <rPr>
        <sz val="8"/>
        <rFont val="Arial"/>
        <family val="2"/>
      </rPr>
      <t>KAMPONG SENDAYAN 131/27/01</t>
    </r>
  </si>
  <si>
    <r>
      <rPr>
        <sz val="8"/>
        <rFont val="Arial"/>
        <family val="2"/>
      </rPr>
      <t>SEKOLAH MENENGAH KEBANGSAAN BANDAR BARU SRI SENDAYAN</t>
    </r>
  </si>
  <si>
    <r>
      <rPr>
        <sz val="8"/>
        <rFont val="Arial"/>
        <family val="2"/>
      </rPr>
      <t>SENDAYAN 131/27/02</t>
    </r>
  </si>
  <si>
    <r>
      <rPr>
        <sz val="8"/>
        <rFont val="Arial"/>
        <family val="2"/>
      </rPr>
      <t>SEKOLAH JENIS KEBANGSAAN (TAMIL) BANDAR SRI SENDAYAN</t>
    </r>
  </si>
  <si>
    <r>
      <rPr>
        <sz val="8"/>
        <rFont val="Arial"/>
        <family val="2"/>
      </rPr>
      <t>TAMAN KELAB TUANKU 131/27/03</t>
    </r>
  </si>
  <si>
    <r>
      <rPr>
        <sz val="8"/>
        <rFont val="Arial"/>
        <family val="2"/>
      </rPr>
      <t>DEWAN ORANG RAMAI TAMAN KELAB TUANKU MAMBAU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</si>
  <si>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P.131 REMBAU
</t>
    </r>
    <r>
      <rPr>
        <b/>
        <sz val="10"/>
        <rFont val="Arial"/>
        <family val="2"/>
      </rPr>
      <t>JUMLAH PEMILIH: 133,555                                                                                                                                                                                           MUKASURAT: 10/14</t>
    </r>
  </si>
  <si>
    <r>
      <rPr>
        <sz val="8"/>
        <rFont val="Arial"/>
        <family val="2"/>
      </rPr>
      <t>KAMPONG MAMBAU 131/27/04</t>
    </r>
  </si>
  <si>
    <r>
      <rPr>
        <sz val="8"/>
        <rFont val="Arial"/>
        <family val="2"/>
      </rPr>
      <t>SEKOLAH KEBANGSAAN MAMBAU</t>
    </r>
  </si>
  <si>
    <r>
      <rPr>
        <sz val="8"/>
        <rFont val="Arial"/>
        <family val="2"/>
      </rPr>
      <t>KAMPONG BEMBAN 131/27/05</t>
    </r>
  </si>
  <si>
    <r>
      <rPr>
        <sz val="8"/>
        <rFont val="Arial"/>
        <family val="2"/>
      </rPr>
      <t>SEKOLAH JENIS KEBANGSAAN (TAMIL) LADANG SHANGHAI SEREMBAN</t>
    </r>
  </si>
  <si>
    <r>
      <rPr>
        <sz val="8"/>
        <rFont val="Arial"/>
        <family val="2"/>
      </rPr>
      <t>KUALA SAWAH 131/27/06</t>
    </r>
  </si>
  <si>
    <r>
      <rPr>
        <sz val="8"/>
        <rFont val="Arial"/>
        <family val="2"/>
      </rPr>
      <t>SEKOLAH KEBANGSAAN NYATOH</t>
    </r>
  </si>
  <si>
    <r>
      <rPr>
        <sz val="8"/>
        <rFont val="Arial"/>
        <family val="2"/>
      </rPr>
      <t>KAMPONG SRI LALANG 131/27/07</t>
    </r>
  </si>
  <si>
    <r>
      <rPr>
        <sz val="8"/>
        <rFont val="Arial"/>
        <family val="2"/>
      </rPr>
      <t>SEKOLAH KEBANGSAAN DATUK AKHIR ZAMAN</t>
    </r>
  </si>
  <si>
    <r>
      <rPr>
        <sz val="8"/>
        <rFont val="Arial"/>
        <family val="2"/>
      </rPr>
      <t>KAMPONG SEGA 131/27/08</t>
    </r>
  </si>
  <si>
    <r>
      <rPr>
        <sz val="8"/>
        <rFont val="Arial"/>
        <family val="2"/>
      </rPr>
      <t>SEKOLAH KEBANGSAAN SEGA</t>
    </r>
  </si>
  <si>
    <r>
      <rPr>
        <sz val="8"/>
        <rFont val="Arial"/>
        <family val="2"/>
      </rPr>
      <t>PEKAN SAGGA 131/27/09</t>
    </r>
  </si>
  <si>
    <r>
      <rPr>
        <sz val="8"/>
        <rFont val="Arial"/>
        <family val="2"/>
      </rPr>
      <t>SEKOLAH JENIS KEBANGSAAN (TAMIL) LADANG SAGGA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</si>
  <si>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P.131 REMBAU
</t>
    </r>
    <r>
      <rPr>
        <b/>
        <sz val="10"/>
        <rFont val="Arial"/>
        <family val="2"/>
      </rPr>
      <t>JUMLAH PEMILIH: 133,555                                                                                                                                                                                           MUKASURAT: 11/14</t>
    </r>
  </si>
  <si>
    <r>
      <rPr>
        <sz val="8"/>
        <rFont val="Arial"/>
        <family val="2"/>
      </rPr>
      <t>RANTAU 131/27/10</t>
    </r>
  </si>
  <si>
    <r>
      <rPr>
        <sz val="8"/>
        <rFont val="Arial"/>
        <family val="2"/>
      </rPr>
      <t>SEKOLAH JENIS KEBANGSAAN (CINA) CHUNG HUA RANTAU</t>
    </r>
  </si>
  <si>
    <r>
      <rPr>
        <sz val="8"/>
        <rFont val="Arial"/>
        <family val="2"/>
      </rPr>
      <t>LINSUM 131/27/11</t>
    </r>
  </si>
  <si>
    <r>
      <rPr>
        <sz val="8"/>
        <rFont val="Arial"/>
        <family val="2"/>
      </rPr>
      <t>SEKOLAH KEBANGSAAN DATO' RAJA MELANA</t>
    </r>
  </si>
  <si>
    <r>
      <rPr>
        <sz val="8"/>
        <rFont val="Arial"/>
        <family val="2"/>
      </rPr>
      <t>KAMPONG SILIAU 131/27/12</t>
    </r>
  </si>
  <si>
    <r>
      <rPr>
        <sz val="8"/>
        <rFont val="Arial"/>
        <family val="2"/>
      </rPr>
      <t>SEKOLAH KEBANGSAAN SELIAU</t>
    </r>
  </si>
  <si>
    <r>
      <rPr>
        <sz val="8"/>
        <rFont val="Arial"/>
        <family val="2"/>
      </rPr>
      <t>ANGSA EMAS 131/27/13</t>
    </r>
  </si>
  <si>
    <r>
      <rPr>
        <sz val="8"/>
        <rFont val="Arial"/>
        <family val="2"/>
      </rPr>
      <t>DEWAN ORANG RAMAI TAMAN ANGSAMAS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</si>
  <si>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P.131 REMBAU
</t>
    </r>
    <r>
      <rPr>
        <b/>
        <sz val="10"/>
        <rFont val="Arial"/>
        <family val="2"/>
      </rPr>
      <t>JUMLAH PEMILIH: 133,555                                                                                                                                                                                           MUKASURAT: 12/14</t>
    </r>
  </si>
  <si>
    <r>
      <rPr>
        <sz val="8"/>
        <rFont val="Arial"/>
        <family val="2"/>
      </rPr>
      <t>BANDAR EKAR 131/27/14</t>
    </r>
  </si>
  <si>
    <r>
      <rPr>
        <sz val="8"/>
        <rFont val="Arial"/>
        <family val="2"/>
      </rPr>
      <t>SEKOLAH JENIS KEBANGSAAN (TAMIL) RANTAU</t>
    </r>
  </si>
  <si>
    <r>
      <rPr>
        <sz val="8"/>
        <rFont val="Arial"/>
        <family val="2"/>
      </rPr>
      <t>KAMPONG BATU 131/28/01</t>
    </r>
  </si>
  <si>
    <r>
      <rPr>
        <sz val="8"/>
        <rFont val="Arial"/>
        <family val="2"/>
      </rPr>
      <t>SEKOLAH KEBANGSAAN KAMPONG BATU</t>
    </r>
  </si>
  <si>
    <r>
      <rPr>
        <sz val="8"/>
        <rFont val="Arial"/>
        <family val="2"/>
      </rPr>
      <t>SELEMAK 131/28/02</t>
    </r>
  </si>
  <si>
    <r>
      <rPr>
        <sz val="8"/>
        <rFont val="Arial"/>
        <family val="2"/>
      </rPr>
      <t>SEKOLAH KEBANGSAAN SALAK NAMA</t>
    </r>
  </si>
  <si>
    <r>
      <rPr>
        <sz val="8"/>
        <rFont val="Arial"/>
        <family val="2"/>
      </rPr>
      <t>KAMPONG BONGEK 131/28/03</t>
    </r>
  </si>
  <si>
    <r>
      <rPr>
        <sz val="8"/>
        <rFont val="Arial"/>
        <family val="2"/>
      </rPr>
      <t>SEKOLAH KEBANGSAAN BONGEK</t>
    </r>
  </si>
  <si>
    <r>
      <rPr>
        <sz val="8"/>
        <rFont val="Arial"/>
        <family val="2"/>
      </rPr>
      <t>KAMPONG CHENGKAU ULU 131/28/04</t>
    </r>
  </si>
  <si>
    <r>
      <rPr>
        <sz val="8"/>
        <rFont val="Arial"/>
        <family val="2"/>
      </rPr>
      <t>BALAI RAYA CHENGKAU ULU REMBAU</t>
    </r>
  </si>
  <si>
    <r>
      <rPr>
        <sz val="8"/>
        <rFont val="Arial"/>
        <family val="2"/>
      </rPr>
      <t>KAMPONG GADONG 131/28/05</t>
    </r>
  </si>
  <si>
    <r>
      <rPr>
        <sz val="8"/>
        <rFont val="Arial"/>
        <family val="2"/>
      </rPr>
      <t>SEKOLAH MENENGAH AGAMA HAJI MOHD.YATIM</t>
    </r>
  </si>
  <si>
    <r>
      <rPr>
        <sz val="8"/>
        <rFont val="Arial"/>
        <family val="2"/>
      </rPr>
      <t>KAMPONG KENDONG 131/28/06</t>
    </r>
  </si>
  <si>
    <r>
      <rPr>
        <sz val="8"/>
        <rFont val="Arial"/>
        <family val="2"/>
      </rPr>
      <t>SEKOLAH KEBANGSAAN KOTA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</si>
  <si>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P.131 REMBAU
</t>
    </r>
    <r>
      <rPr>
        <b/>
        <sz val="10"/>
        <rFont val="Arial"/>
        <family val="2"/>
      </rPr>
      <t>JUMLAH PEMILIH: 133,555                                                                                                                                                                                           MUKASURAT: 13/14</t>
    </r>
  </si>
  <si>
    <r>
      <rPr>
        <sz val="8"/>
        <rFont val="Arial"/>
        <family val="2"/>
      </rPr>
      <t>KOTA 131/28/07</t>
    </r>
  </si>
  <si>
    <r>
      <rPr>
        <sz val="8"/>
        <rFont val="Arial"/>
        <family val="2"/>
      </rPr>
      <t>SEKOLAH MENENGAH KEBANGSAAN DATO' UNDANG HAJI ADNAN</t>
    </r>
  </si>
  <si>
    <r>
      <rPr>
        <sz val="8"/>
        <rFont val="Arial"/>
        <family val="2"/>
      </rPr>
      <t>SEMERBOK 131/28/08</t>
    </r>
  </si>
  <si>
    <r>
      <rPr>
        <sz val="8"/>
        <rFont val="Arial"/>
        <family val="2"/>
      </rPr>
      <t>SEKOLAH KEBANGSAAN SEMERBOK</t>
    </r>
  </si>
  <si>
    <r>
      <rPr>
        <sz val="8"/>
        <rFont val="Arial"/>
        <family val="2"/>
      </rPr>
      <t xml:space="preserve">KAMPONG SAWAH RAJA
</t>
    </r>
    <r>
      <rPr>
        <sz val="8"/>
        <rFont val="Arial"/>
        <family val="2"/>
      </rPr>
      <t>131/28/09</t>
    </r>
  </si>
  <si>
    <r>
      <rPr>
        <sz val="8"/>
        <rFont val="Arial"/>
        <family val="2"/>
      </rPr>
      <t>SEKOLAH KEBANGSAAN SAWAH RAJA</t>
    </r>
  </si>
  <si>
    <r>
      <rPr>
        <sz val="8"/>
        <rFont val="Arial"/>
        <family val="2"/>
      </rPr>
      <t>TITIAN BINTANGOR 131/28/10</t>
    </r>
  </si>
  <si>
    <r>
      <rPr>
        <sz val="8"/>
        <rFont val="Arial"/>
        <family val="2"/>
      </rPr>
      <t>SEKOLAH KEBANGSAAN DATO SHAH BANDAR REMBAU</t>
    </r>
  </si>
  <si>
    <r>
      <rPr>
        <sz val="8"/>
        <rFont val="Arial"/>
        <family val="2"/>
      </rPr>
      <t>ASTANA RAJA 131/28/11</t>
    </r>
  </si>
  <si>
    <r>
      <rPr>
        <sz val="8"/>
        <rFont val="Arial"/>
        <family val="2"/>
      </rPr>
      <t>SEKOLAH KEBANGSAAN ASTANA RAJA</t>
    </r>
  </si>
  <si>
    <r>
      <rPr>
        <sz val="8"/>
        <rFont val="Arial"/>
        <family val="2"/>
      </rPr>
      <t>LEGONG ULU 131/28/12</t>
    </r>
  </si>
  <si>
    <r>
      <rPr>
        <sz val="8"/>
        <rFont val="Arial"/>
        <family val="2"/>
      </rPr>
      <t>SEKOLAH KEBANGSAAN LEGONG ULU</t>
    </r>
  </si>
  <si>
    <r>
      <rPr>
        <sz val="8"/>
        <rFont val="Arial"/>
        <family val="2"/>
      </rPr>
      <t>PEKAN CHENGKAU 131/28/13</t>
    </r>
  </si>
  <si>
    <r>
      <rPr>
        <sz val="8"/>
        <rFont val="Arial"/>
        <family val="2"/>
      </rPr>
      <t>SEKOLAH KEBANGSAAN CHENGKAU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</si>
  <si>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P.131 REMBAU
</t>
    </r>
    <r>
      <rPr>
        <b/>
        <sz val="10"/>
        <rFont val="Arial"/>
        <family val="2"/>
      </rPr>
      <t>JUMLAH PEMILIH: 133,555                                                                                                                                                                                           MUKASURAT: 14/14</t>
    </r>
  </si>
  <si>
    <r>
      <rPr>
        <sz val="8"/>
        <rFont val="Arial"/>
        <family val="2"/>
      </rPr>
      <t>KAMPONG PENAJIS 131/28/14</t>
    </r>
  </si>
  <si>
    <r>
      <rPr>
        <sz val="8"/>
        <rFont val="Arial"/>
        <family val="2"/>
      </rPr>
      <t>SEKOLAH KEBANGSAAN TUN HAJI ABDUL MALEK</t>
    </r>
  </si>
  <si>
    <r>
      <rPr>
        <sz val="8"/>
        <rFont val="Arial"/>
        <family val="2"/>
      </rPr>
      <t>KAMPONG PULAU MAMPAT 131/28/15</t>
    </r>
  </si>
  <si>
    <r>
      <rPr>
        <sz val="8"/>
        <rFont val="Arial"/>
        <family val="2"/>
      </rPr>
      <t>SEKOLAH KEBANGSAAN PULAU BESAR</t>
    </r>
  </si>
  <si>
    <r>
      <rPr>
        <b/>
        <sz val="12"/>
        <rFont val="Arial"/>
        <family val="2"/>
      </rPr>
      <t>JUMLAH</t>
    </r>
  </si>
  <si>
    <t>PN</t>
  </si>
  <si>
    <t>BN</t>
  </si>
  <si>
    <t>PH</t>
  </si>
  <si>
    <t>PSM</t>
  </si>
  <si>
    <t>PEJUANG</t>
  </si>
  <si>
    <t>Bil</t>
  </si>
  <si>
    <t>Nama Pusat Mengundi</t>
  </si>
  <si>
    <t>Bilangan kertas undi yang ditolak (C)</t>
  </si>
  <si>
    <t>Jumlah undian oleh pemilih</t>
  </si>
  <si>
    <t>UNDI POS</t>
  </si>
  <si>
    <t>UNDI AWAL 131/25/00</t>
  </si>
  <si>
    <t>DEWAN KOMPENI KEM 15 RAMD SENAWANG (DUN PAROI)</t>
  </si>
  <si>
    <t>BALAI POLIS SENAWANG (DUN PAROI)</t>
  </si>
  <si>
    <t>UNDI AWAL 131/26/00</t>
  </si>
  <si>
    <t>RUANG A, DEWAN IPD REMBAU (DUN CHEMBONG)</t>
  </si>
  <si>
    <t>UNDI AWAL 131/27/00</t>
  </si>
  <si>
    <t>DEWAN ANGKASARAYA PANGKALAN UDARA SENDAYAN (DUN RANTAU)</t>
  </si>
  <si>
    <t>BALAI POLIS RANTAU (DUN RANTAU)</t>
  </si>
  <si>
    <t>UNDI AWAL 131/28/00</t>
  </si>
  <si>
    <t>RUANG B, DEWAN IPD REMBAU (DUN KOTA)</t>
  </si>
  <si>
    <t>PAROI 131/25/01</t>
  </si>
  <si>
    <t>SEKOLAH KEBANGSAAN PAROI</t>
  </si>
  <si>
    <t>Nama &amp; Kod DM</t>
  </si>
  <si>
    <t>Saluran</t>
  </si>
  <si>
    <t>Jumlah kertas undi dikeluarkan</t>
  </si>
  <si>
    <t>Undi Tidak Dimasukkan</t>
  </si>
  <si>
    <t>TAMAN SATRIA 131/25/02</t>
  </si>
  <si>
    <t>SEKOLAH KEBANGSAAN TAMAN SERI PAGI</t>
  </si>
  <si>
    <t>SEKOLAH MENENGAH KEBANGSAAN SERI PAGI</t>
  </si>
  <si>
    <t>TAMAN TUANKU JAAFAR 131/25/03</t>
  </si>
  <si>
    <t>SEKOLAH KEBANGSAAN TAMAN TUANKU JAAFAR 2</t>
  </si>
  <si>
    <t>SEKOLAH MENENGAH KEBANGSAAN TAMAN TUANKU JAAFAR</t>
  </si>
  <si>
    <t>TAMAN SRI PERMATA 131/25/04</t>
  </si>
  <si>
    <t>SEKOLAH DATO' ABDUL RAZAK</t>
  </si>
  <si>
    <t>KOMBOK 131/25/05</t>
  </si>
  <si>
    <t>SEKOLAH JENIS KEBANGSAAN (TAMIL) LADANG KOMBOK</t>
  </si>
  <si>
    <t>TAMAN TASIK JAYA 131/25/06</t>
  </si>
  <si>
    <t>SEKOLAH KEBANGSAAN TAMAN TASIK JAYA</t>
  </si>
  <si>
    <t>DEWAN ORANG RAMAI TAMAN TASIK JAYA</t>
  </si>
  <si>
    <t>BUKIT SERI SENAWANG 131/25/07</t>
  </si>
  <si>
    <t>SEKOLAH KEBANGSAAN TAMAN TUANKU JAAFAR</t>
  </si>
  <si>
    <t>SEKOLAH JENIS KEBANGSAAN (TAMIL) LADANG SENAWANG</t>
  </si>
  <si>
    <t>SEKOLAH JENIS KEBANGSAAN (TAMIL) LADANG SEREMBAN</t>
  </si>
  <si>
    <t>TAMAN KOBENA 131/25/08</t>
  </si>
  <si>
    <t>SEKOLAH KEBANGSAAN SENAWANG 3</t>
  </si>
  <si>
    <t>SENAWANG JAYA 131/25/09</t>
  </si>
  <si>
    <t>SEKOLAH KEBANGSAAN SENAWANG</t>
  </si>
  <si>
    <t>SEKOLAH KEBANGSAAN LAVENDER HEIGHT</t>
  </si>
  <si>
    <t>TAMAN MARIDA 131/25/10</t>
  </si>
  <si>
    <t>SEKOLAH MENENGAH KEBANGSAAN SENAWANG</t>
  </si>
  <si>
    <t>ULU PEDAS 131/26/01</t>
  </si>
  <si>
    <t>DEWAN ORANG RAMAI PEDAS</t>
  </si>
  <si>
    <t>SEPRI 131/26/02</t>
  </si>
  <si>
    <t>SEKOLAH KEBANGSAAN SEPRI</t>
  </si>
  <si>
    <t>KAMPONG RENDAH 131/26/03</t>
  </si>
  <si>
    <t>SEKOLAH KEBANGSAAN KAYU ARA</t>
  </si>
  <si>
    <t>KAMPONG SENAMA ULU 131/26/04</t>
  </si>
  <si>
    <t>SEKOLAH KEBANGSAAN TAMAN SERI REMBAU</t>
  </si>
  <si>
    <t>CHEMBONG 131/26/05</t>
  </si>
  <si>
    <t>SEKOLAH KEBANGSAAN CHEMBONG</t>
  </si>
  <si>
    <t>PEKAN PEDAS 131/26/06</t>
  </si>
  <si>
    <t>SEKOLAH JENIS KEBANGSAAN (CINA) PEI HWA PEDAS</t>
  </si>
  <si>
    <t>KAMPONG PEDAS TENGAH 131/26/07</t>
  </si>
  <si>
    <t>SEKOLAH KEBANGSAAN PEDAS</t>
  </si>
  <si>
    <t>PEKAN REMBAU 131/26/08</t>
  </si>
  <si>
    <t>SEKOLAH MENENGAH KEBANGSAAN UNDANG REMBAU</t>
  </si>
  <si>
    <t>SEKOLAH KEBANGSAAN UNDANG REMBAU</t>
  </si>
  <si>
    <t>BATU HAMPAR 131/26/09</t>
  </si>
  <si>
    <t>SEKOLAH KEBANGSAAN SEBERANG BATU HAMPAR</t>
  </si>
  <si>
    <t>MAMPONG 131/26/10</t>
  </si>
  <si>
    <t>BALAI RAYA KG. MAMPONG</t>
  </si>
  <si>
    <t>PILIN 131/26/11</t>
  </si>
  <si>
    <t>SEKOLAH KEBANGSAAN PILIN</t>
  </si>
  <si>
    <t>KUNDOR 131/26/12</t>
  </si>
  <si>
    <t>SEKOLAH KEBANGSAAN KUNDOR</t>
  </si>
  <si>
    <t>KAMPONG SENDAYAN 131/27/01</t>
  </si>
  <si>
    <t>SEKOLAH MENENGAH KEBANGSAAN BANDAR BARU SRI SENDAYAN</t>
  </si>
  <si>
    <t>SENDAYAN 131/27/02</t>
  </si>
  <si>
    <t>SEKOLAH JENIS KEBANGSAAN (TAMIL) BANDAR SRI SENDAYAN</t>
  </si>
  <si>
    <t>TAMAN KELAB TUANKU 131/27/03</t>
  </si>
  <si>
    <t>DEWAN ORANG RAMAI TAMAN KELAB TUANKU MAMBAU</t>
  </si>
  <si>
    <t>KAMPONG MAMBAU 131/27/04</t>
  </si>
  <si>
    <t>SEKOLAH KEBANGSAAN MAMBAU</t>
  </si>
  <si>
    <t>KAMPONG BEMBAN 131/27/05</t>
  </si>
  <si>
    <t>SEKOLAH JENIS KEBANGSAAN (TAMIL) LADANG SHANGHAI SEREMBAN</t>
  </si>
  <si>
    <t>KUALA SAWAH 131/27/06</t>
  </si>
  <si>
    <t>SEKOLAH KEBANGSAAN NYATOH</t>
  </si>
  <si>
    <t>KAMPONG SRI LALANG 131/27/07</t>
  </si>
  <si>
    <t>SEKOLAH KEBANGSAAN DATUK AKHIR ZAMAN</t>
  </si>
  <si>
    <t>KAMPONG SEGA 131/27/08</t>
  </si>
  <si>
    <t>SEKOLAH KEBANGSAAN SEGA</t>
  </si>
  <si>
    <t>PEKAN SAGGA 131/27/09</t>
  </si>
  <si>
    <t>SEKOLAH JENIS KEBANGSAAN (TAMIL) LADANG SAGGA</t>
  </si>
  <si>
    <t>RANTAU 131/27/10</t>
  </si>
  <si>
    <t>SEKOLAH JENIS KEBANGSAAN (CINA) CHUNG HUA RANTAU</t>
  </si>
  <si>
    <t>LINSUM 131/27/11</t>
  </si>
  <si>
    <t>SEKOLAH KEBANGSAAN DATO' RAJA MELANA</t>
  </si>
  <si>
    <t>KAMPONG SILIAU 131/27/12</t>
  </si>
  <si>
    <t>SEKOLAH KEBANGSAAN SELIAU</t>
  </si>
  <si>
    <t>ANGSA EMAS 131/27/13</t>
  </si>
  <si>
    <t>DEWAN ORANG RAMAI TAMAN ANGSAMAS</t>
  </si>
  <si>
    <t>BANDAR EKAR 131/27/14</t>
  </si>
  <si>
    <t>SEKOLAH JENIS KEBANGSAAN (TAMIL) RANTAU</t>
  </si>
  <si>
    <t>KAMPONG BATU 131/28/01</t>
  </si>
  <si>
    <t>SEKOLAH KEBANGSAAN KAMPONG BATU</t>
  </si>
  <si>
    <t>SELEMAK 131/28/02</t>
  </si>
  <si>
    <t>SEKOLAH KEBANGSAAN SALAK NAMA</t>
  </si>
  <si>
    <t>KAMPONG BONGEK 131/28/03</t>
  </si>
  <si>
    <t>SEKOLAH KEBANGSAAN BONGEK</t>
  </si>
  <si>
    <t>KAMPONG CHENGKAU ULU 131/28/04</t>
  </si>
  <si>
    <t>BALAI RAYA CHENGKAU ULU REMBAU</t>
  </si>
  <si>
    <t>KAMPONG GADONG 131/28/05</t>
  </si>
  <si>
    <t>SEKOLAH MENENGAH AGAMA HAJI MOHD.YATIM</t>
  </si>
  <si>
    <t>KAMPONG KENDONG 131/28/06</t>
  </si>
  <si>
    <t>SEKOLAH KEBANGSAAN KOTA</t>
  </si>
  <si>
    <t>KOTA 131/28/07</t>
  </si>
  <si>
    <t>SEMERBOK 131/28/08</t>
  </si>
  <si>
    <t>KAMPONG SAWAH RAJA
131/28/09</t>
  </si>
  <si>
    <t>TITIAN BINTANGOR 131/28/10</t>
  </si>
  <si>
    <t>ASTANA RAJA 131/28/11</t>
  </si>
  <si>
    <t>LEGONG ULU 131/28/12</t>
  </si>
  <si>
    <t>PEKAN CHENGKAU 131/28/13</t>
  </si>
  <si>
    <t>SEKOLAH MENENGAH KEBANGSAAN DATO' UNDANG HAJI ADNAN</t>
  </si>
  <si>
    <t>SEKOLAH KEBANGSAAN SEMERBOK</t>
  </si>
  <si>
    <t>SEKOLAH KEBANGSAAN SAWAH RAJA</t>
  </si>
  <si>
    <t>SEKOLAH KEBANGSAAN DATO SHAH BANDAR REMBAU</t>
  </si>
  <si>
    <t>SEKOLAH KEBANGSAAN ASTANA RAJA</t>
  </si>
  <si>
    <t>SEKOLAH KEBANGSAAN LEGONG ULU</t>
  </si>
  <si>
    <t>SEKOLAH KEBANGSAAN CHENGKAU</t>
  </si>
  <si>
    <t>KAMPONG PENAJIS 131/28/14</t>
  </si>
  <si>
    <t>SEKOLAH KEBANGSAAN TUN HAJI ABDUL MALEK</t>
  </si>
  <si>
    <t>KAMPONG PULAU MAMPAT 131/28/15</t>
  </si>
  <si>
    <t>SEKOLAH KEBANGSAAN PULAU BESAR</t>
  </si>
  <si>
    <t>JUMLAH</t>
  </si>
  <si>
    <t>Jumlah Undi</t>
  </si>
  <si>
    <t>PH%</t>
  </si>
  <si>
    <t>PN%</t>
  </si>
  <si>
    <t>BN%</t>
  </si>
  <si>
    <t>koddm</t>
  </si>
  <si>
    <t>namadm</t>
  </si>
  <si>
    <t>namapusatmengundi</t>
  </si>
  <si>
    <t>nosaluran</t>
  </si>
  <si>
    <t>bumiputra</t>
  </si>
  <si>
    <t>bumiputra_sabah</t>
  </si>
  <si>
    <t>bumiputra_sarawak</t>
  </si>
  <si>
    <t>cina</t>
  </si>
  <si>
    <t>india</t>
  </si>
  <si>
    <t>lain_lain</t>
  </si>
  <si>
    <t>melayu</t>
  </si>
  <si>
    <t>orang_asli</t>
  </si>
  <si>
    <t>filename</t>
  </si>
  <si>
    <t>avg_age</t>
  </si>
  <si>
    <t>parliament_name</t>
  </si>
  <si>
    <t>1312501</t>
  </si>
  <si>
    <t>PAROI</t>
  </si>
  <si>
    <t>POS</t>
  </si>
  <si>
    <t>131_REMBAU</t>
  </si>
  <si>
    <t>1312502</t>
  </si>
  <si>
    <t>TAMAN SATRIA</t>
  </si>
  <si>
    <t>1312503</t>
  </si>
  <si>
    <t>TAMAN TUANKU JAAFAR</t>
  </si>
  <si>
    <t>1312504</t>
  </si>
  <si>
    <t>TAMAN SRI PERMATA</t>
  </si>
  <si>
    <t>1312505</t>
  </si>
  <si>
    <t>KOMBOK</t>
  </si>
  <si>
    <t>1312506</t>
  </si>
  <si>
    <t>TAMAN TASIK JAYA</t>
  </si>
  <si>
    <t>1312507</t>
  </si>
  <si>
    <t>BUKIT SERI SENAWANG</t>
  </si>
  <si>
    <t>1312508</t>
  </si>
  <si>
    <t>TAMAN KOBENA</t>
  </si>
  <si>
    <t>1312509</t>
  </si>
  <si>
    <t>SENAWANG JAYA</t>
  </si>
  <si>
    <t>1312510</t>
  </si>
  <si>
    <t>TAMAN MARIDA</t>
  </si>
  <si>
    <t>1312601</t>
  </si>
  <si>
    <t>ULU PEDAS</t>
  </si>
  <si>
    <t>1312602</t>
  </si>
  <si>
    <t>SEPRI</t>
  </si>
  <si>
    <t>1312603</t>
  </si>
  <si>
    <t>KAMPONG RENDAH</t>
  </si>
  <si>
    <t>1312604</t>
  </si>
  <si>
    <t>KAMPONG SENAMA ULU</t>
  </si>
  <si>
    <t>1312605</t>
  </si>
  <si>
    <t>CHEMBONG</t>
  </si>
  <si>
    <t>1312606</t>
  </si>
  <si>
    <t>PEKAN PEDAS</t>
  </si>
  <si>
    <t>1312607</t>
  </si>
  <si>
    <t>KAMPONG PEDAS TENGAH</t>
  </si>
  <si>
    <t>1312608</t>
  </si>
  <si>
    <t>PEKAN REMBAU</t>
  </si>
  <si>
    <t>1312609</t>
  </si>
  <si>
    <t>BATU HAMPAR</t>
  </si>
  <si>
    <t>1312610</t>
  </si>
  <si>
    <t>MAMPONG</t>
  </si>
  <si>
    <t>1312611</t>
  </si>
  <si>
    <t>PILIN</t>
  </si>
  <si>
    <t>1312612</t>
  </si>
  <si>
    <t>KUNDOR</t>
  </si>
  <si>
    <t>1312701</t>
  </si>
  <si>
    <t>KAMPONG SENDAYAN</t>
  </si>
  <si>
    <t>1312702</t>
  </si>
  <si>
    <t>SENDAYAN</t>
  </si>
  <si>
    <t>1312703</t>
  </si>
  <si>
    <t>TAMAN KELAB TUANKU</t>
  </si>
  <si>
    <t>1312704</t>
  </si>
  <si>
    <t>KAMPONG MAMBAU</t>
  </si>
  <si>
    <t>1312705</t>
  </si>
  <si>
    <t>KAMPONG BEMBAN</t>
  </si>
  <si>
    <t>1312706</t>
  </si>
  <si>
    <t>KUALA SAWAH</t>
  </si>
  <si>
    <t>1312707</t>
  </si>
  <si>
    <t>KAMPONG SRI LALANG</t>
  </si>
  <si>
    <t>1312708</t>
  </si>
  <si>
    <t>KAMPONG SEGA</t>
  </si>
  <si>
    <t>1312709</t>
  </si>
  <si>
    <t>PEKAN SAGGA</t>
  </si>
  <si>
    <t>1312710</t>
  </si>
  <si>
    <t>RANTAU</t>
  </si>
  <si>
    <t>1312711</t>
  </si>
  <si>
    <t>LINSUM</t>
  </si>
  <si>
    <t>1312712</t>
  </si>
  <si>
    <t>KAMPONG SILIAU</t>
  </si>
  <si>
    <t>1312713</t>
  </si>
  <si>
    <t>ANGSA EMAS</t>
  </si>
  <si>
    <t>1312714</t>
  </si>
  <si>
    <t>BANDAR EKAR</t>
  </si>
  <si>
    <t>1312801</t>
  </si>
  <si>
    <t>KAMPONG BATU</t>
  </si>
  <si>
    <t>1312802</t>
  </si>
  <si>
    <t>SELEMAK</t>
  </si>
  <si>
    <t>1312803</t>
  </si>
  <si>
    <t>KAMPONG BONGEK</t>
  </si>
  <si>
    <t>1312804</t>
  </si>
  <si>
    <t>KAMPONG CHENGKAU ULU</t>
  </si>
  <si>
    <t>1312805</t>
  </si>
  <si>
    <t>KAMPONG GADONG</t>
  </si>
  <si>
    <t>1312806</t>
  </si>
  <si>
    <t>KAMPONG KENDONG</t>
  </si>
  <si>
    <t>1312807</t>
  </si>
  <si>
    <t>KOTA</t>
  </si>
  <si>
    <t>1312808</t>
  </si>
  <si>
    <t>SEMERBOK</t>
  </si>
  <si>
    <t>1312809</t>
  </si>
  <si>
    <t>KAMPONG SAWAH RAJA</t>
  </si>
  <si>
    <t>1312810</t>
  </si>
  <si>
    <t>TITIAN BINTANGOR</t>
  </si>
  <si>
    <t>1312811</t>
  </si>
  <si>
    <t>ASTANA RAJA</t>
  </si>
  <si>
    <t>1312812</t>
  </si>
  <si>
    <t>LEGONG ULU</t>
  </si>
  <si>
    <t>1312813</t>
  </si>
  <si>
    <t>PEKAN CHENGKAU</t>
  </si>
  <si>
    <t>1312814</t>
  </si>
  <si>
    <t>KAMPONG PENAJIS</t>
  </si>
  <si>
    <t>1312815</t>
  </si>
  <si>
    <t>KAMPONG PULAU MAMPAT</t>
  </si>
  <si>
    <t>M</t>
  </si>
  <si>
    <t>C</t>
  </si>
  <si>
    <t>I</t>
  </si>
  <si>
    <t>O</t>
  </si>
  <si>
    <t>#</t>
  </si>
  <si>
    <t>M%</t>
  </si>
  <si>
    <t>C%</t>
  </si>
  <si>
    <t>I%</t>
  </si>
  <si>
    <t>O%</t>
  </si>
  <si>
    <t>Avg Age</t>
  </si>
  <si>
    <t>JUMLAH POS</t>
  </si>
  <si>
    <t>PH Malay</t>
  </si>
  <si>
    <t>PN Malay</t>
  </si>
  <si>
    <t>BN Malay</t>
  </si>
  <si>
    <t>PH Chinese</t>
  </si>
  <si>
    <t>PH Indian</t>
  </si>
  <si>
    <t>BN Indian</t>
  </si>
  <si>
    <t>Turnout%</t>
  </si>
  <si>
    <t>UNDI AWAL</t>
  </si>
  <si>
    <t>N25</t>
  </si>
  <si>
    <t>Paroi</t>
  </si>
  <si>
    <t>N26</t>
  </si>
  <si>
    <t>Chembong</t>
  </si>
  <si>
    <t>N27</t>
  </si>
  <si>
    <t>Rantau</t>
  </si>
  <si>
    <t>N28</t>
  </si>
  <si>
    <t>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</si>
</sst>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2" x14ac:knownFonts="1">
    <font>
      <sz val="10"/>
      <color rgb="FF000000"/>
      <name val="Times New Roman"/>
      <charset val="204"/>
    </font>
    <font>
      <b/>
      <sz val="7"/>
      <name val="Arial"/>
      <family val="2"/>
    </font>
    <font>
      <sz val="6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000000"/>
      <name val="Arial"/>
      <family val="2"/>
    </font>
    <font>
      <b/>
      <sz val="1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98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center" vertical="top" wrapText="1"/>
    </xf>
    <xf numFmtId="3" fontId="5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3" fontId="5" fillId="2" borderId="1" xfId="0" applyNumberFormat="1" applyFont="1" applyFill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right" vertical="top" indent="2" shrinkToFit="1"/>
    </xf>
    <xf numFmtId="1" fontId="5" fillId="2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center" vertical="center" shrinkToFit="1"/>
    </xf>
    <xf numFmtId="1" fontId="5" fillId="0" borderId="1" xfId="0" applyNumberFormat="1" applyFont="1" applyBorder="1" applyAlignment="1">
      <alignment horizontal="right" vertical="top" indent="3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center" indent="1" shrinkToFit="1"/>
    </xf>
    <xf numFmtId="0" fontId="4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right" vertical="center" wrapText="1" indent="2"/>
    </xf>
    <xf numFmtId="1" fontId="5" fillId="0" borderId="1" xfId="0" applyNumberFormat="1" applyFont="1" applyBorder="1" applyAlignment="1">
      <alignment horizontal="left" vertical="top" indent="3" shrinkToFit="1"/>
    </xf>
    <xf numFmtId="1" fontId="5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0" borderId="8" xfId="0" applyBorder="1" applyAlignment="1">
      <alignment horizontal="left" vertical="top"/>
    </xf>
    <xf numFmtId="164" fontId="0" fillId="0" borderId="8" xfId="1" applyNumberFormat="1" applyFont="1" applyBorder="1" applyAlignment="1">
      <alignment horizontal="left" vertical="top"/>
    </xf>
    <xf numFmtId="0" fontId="0" fillId="0" borderId="8" xfId="0" applyBorder="1"/>
    <xf numFmtId="164" fontId="0" fillId="0" borderId="8" xfId="1" applyNumberFormat="1" applyFont="1" applyBorder="1"/>
    <xf numFmtId="165" fontId="0" fillId="0" borderId="8" xfId="0" applyNumberFormat="1" applyBorder="1"/>
    <xf numFmtId="165" fontId="0" fillId="0" borderId="0" xfId="0" applyNumberFormat="1" applyAlignment="1">
      <alignment horizontal="left" vertical="top"/>
    </xf>
    <xf numFmtId="165" fontId="0" fillId="0" borderId="8" xfId="0" applyNumberForma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8" xfId="0" applyFont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164" fontId="0" fillId="0" borderId="0" xfId="1" applyNumberFormat="1" applyFont="1" applyAlignment="1">
      <alignment horizontal="left" vertical="top"/>
    </xf>
    <xf numFmtId="0" fontId="0" fillId="4" borderId="8" xfId="0" applyFill="1" applyBorder="1" applyAlignment="1">
      <alignment horizontal="left" vertical="top"/>
    </xf>
    <xf numFmtId="164" fontId="0" fillId="4" borderId="8" xfId="1" applyNumberFormat="1" applyFont="1" applyFill="1" applyBorder="1" applyAlignment="1">
      <alignment horizontal="left" vertical="top"/>
    </xf>
    <xf numFmtId="0" fontId="0" fillId="4" borderId="8" xfId="0" applyFill="1" applyBorder="1"/>
    <xf numFmtId="164" fontId="0" fillId="4" borderId="8" xfId="1" applyNumberFormat="1" applyFont="1" applyFill="1" applyBorder="1"/>
    <xf numFmtId="165" fontId="0" fillId="4" borderId="8" xfId="0" applyNumberFormat="1" applyFill="1" applyBorder="1"/>
    <xf numFmtId="0" fontId="0" fillId="4" borderId="0" xfId="0" applyFill="1" applyAlignment="1">
      <alignment horizontal="left" vertical="top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left" vertical="top" wrapText="1" indent="10"/>
    </xf>
    <xf numFmtId="0" fontId="6" fillId="2" borderId="3" xfId="0" applyFont="1" applyFill="1" applyBorder="1" applyAlignment="1">
      <alignment horizontal="left" vertical="top" wrapText="1" indent="10"/>
    </xf>
    <xf numFmtId="0" fontId="6" fillId="2" borderId="4" xfId="0" applyFont="1" applyFill="1" applyBorder="1" applyAlignment="1">
      <alignment horizontal="left" vertical="top" wrapText="1" indent="10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left" vertical="center" indent="1" shrinkToFit="1"/>
    </xf>
    <xf numFmtId="1" fontId="3" fillId="0" borderId="7" xfId="0" applyNumberFormat="1" applyFont="1" applyBorder="1" applyAlignment="1">
      <alignment horizontal="left" vertical="center" indent="1" shrinkToFit="1"/>
    </xf>
    <xf numFmtId="0" fontId="4" fillId="0" borderId="5" xfId="0" applyFont="1" applyBorder="1" applyAlignment="1">
      <alignment horizontal="left" vertical="top" wrapText="1" indent="2"/>
    </xf>
    <xf numFmtId="0" fontId="4" fillId="0" borderId="7" xfId="0" applyFont="1" applyBorder="1" applyAlignment="1">
      <alignment horizontal="left" vertical="top" wrapText="1" indent="2"/>
    </xf>
    <xf numFmtId="1" fontId="3" fillId="0" borderId="6" xfId="0" applyNumberFormat="1" applyFont="1" applyBorder="1" applyAlignment="1">
      <alignment horizontal="left" vertical="center" indent="1" shrinkToFi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 indent="2"/>
    </xf>
    <xf numFmtId="0" fontId="4" fillId="0" borderId="5" xfId="0" applyFont="1" applyBorder="1" applyAlignment="1">
      <alignment horizontal="left" vertical="top" wrapText="1" indent="1"/>
    </xf>
    <xf numFmtId="0" fontId="4" fillId="0" borderId="7" xfId="0" applyFont="1" applyBorder="1" applyAlignment="1">
      <alignment horizontal="left" vertical="top" wrapText="1" indent="1"/>
    </xf>
    <xf numFmtId="0" fontId="4" fillId="0" borderId="6" xfId="0" applyFont="1" applyBorder="1" applyAlignment="1">
      <alignment horizontal="left" vertical="top" wrapText="1"/>
    </xf>
    <xf numFmtId="1" fontId="3" fillId="0" borderId="5" xfId="0" applyNumberFormat="1" applyFont="1" applyBorder="1" applyAlignment="1">
      <alignment horizontal="left" vertical="top" indent="1" shrinkToFit="1"/>
    </xf>
    <xf numFmtId="1" fontId="3" fillId="0" borderId="7" xfId="0" applyNumberFormat="1" applyFont="1" applyBorder="1" applyAlignment="1">
      <alignment horizontal="left" vertical="top" indent="1" shrinkToFi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11" fillId="0" borderId="8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Malay% P131 Rembau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4881889763779525E-2"/>
                  <c:y val="-0.40581109652960046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RaceWorksheet!$I$2:$I$233</c:f>
              <c:numCache>
                <c:formatCode>0.0%</c:formatCode>
                <c:ptCount val="232"/>
                <c:pt idx="0">
                  <c:v>0.84888888888888892</c:v>
                </c:pt>
                <c:pt idx="1">
                  <c:v>0.83555555555555561</c:v>
                </c:pt>
                <c:pt idx="2">
                  <c:v>0.84789644012944987</c:v>
                </c:pt>
                <c:pt idx="3">
                  <c:v>0.88673139158576053</c:v>
                </c:pt>
                <c:pt idx="4">
                  <c:v>0.88673139158576053</c:v>
                </c:pt>
                <c:pt idx="5">
                  <c:v>0.8966074313408724</c:v>
                </c:pt>
                <c:pt idx="6">
                  <c:v>0.88666666666666671</c:v>
                </c:pt>
                <c:pt idx="7">
                  <c:v>0.92888888888888888</c:v>
                </c:pt>
                <c:pt idx="8">
                  <c:v>0.87912087912087911</c:v>
                </c:pt>
                <c:pt idx="9">
                  <c:v>0.91679748822605966</c:v>
                </c:pt>
                <c:pt idx="10">
                  <c:v>0.93877551020408168</c:v>
                </c:pt>
                <c:pt idx="11">
                  <c:v>0.94662480376766089</c:v>
                </c:pt>
                <c:pt idx="12">
                  <c:v>0.94662480376766089</c:v>
                </c:pt>
                <c:pt idx="13">
                  <c:v>0.94819466248037676</c:v>
                </c:pt>
                <c:pt idx="14">
                  <c:v>0.86444444444444446</c:v>
                </c:pt>
                <c:pt idx="15">
                  <c:v>0.84444444444444444</c:v>
                </c:pt>
                <c:pt idx="16">
                  <c:v>0.80775193798449607</c:v>
                </c:pt>
                <c:pt idx="17">
                  <c:v>0.85581395348837208</c:v>
                </c:pt>
                <c:pt idx="18">
                  <c:v>0.89147286821705429</c:v>
                </c:pt>
                <c:pt idx="19">
                  <c:v>0.88527131782945734</c:v>
                </c:pt>
                <c:pt idx="20">
                  <c:v>0.89302325581395348</c:v>
                </c:pt>
                <c:pt idx="21">
                  <c:v>0.71333333333333337</c:v>
                </c:pt>
                <c:pt idx="22">
                  <c:v>0.72888888888888892</c:v>
                </c:pt>
                <c:pt idx="23">
                  <c:v>0.77094017094017098</c:v>
                </c:pt>
                <c:pt idx="24">
                  <c:v>0.8700854700854701</c:v>
                </c:pt>
                <c:pt idx="25">
                  <c:v>0.88566552901023887</c:v>
                </c:pt>
                <c:pt idx="26">
                  <c:v>0.84666666666666668</c:v>
                </c:pt>
                <c:pt idx="27">
                  <c:v>0.74</c:v>
                </c:pt>
                <c:pt idx="28">
                  <c:v>0.87107438016528926</c:v>
                </c:pt>
                <c:pt idx="29">
                  <c:v>0.84488448844884489</c:v>
                </c:pt>
                <c:pt idx="30">
                  <c:v>0.81518151815181517</c:v>
                </c:pt>
                <c:pt idx="31">
                  <c:v>0.83168316831683164</c:v>
                </c:pt>
                <c:pt idx="32">
                  <c:v>6.8888888888888888E-2</c:v>
                </c:pt>
                <c:pt idx="33">
                  <c:v>2.8169014084507043E-2</c:v>
                </c:pt>
                <c:pt idx="34">
                  <c:v>5.1428571428571428E-2</c:v>
                </c:pt>
                <c:pt idx="35">
                  <c:v>0.10563380281690141</c:v>
                </c:pt>
                <c:pt idx="36">
                  <c:v>0.98</c:v>
                </c:pt>
                <c:pt idx="37">
                  <c:v>0.97677793904208998</c:v>
                </c:pt>
                <c:pt idx="38">
                  <c:v>0.98258345428156746</c:v>
                </c:pt>
                <c:pt idx="39">
                  <c:v>0.99129172714078373</c:v>
                </c:pt>
                <c:pt idx="40">
                  <c:v>0.83111111111111113</c:v>
                </c:pt>
                <c:pt idx="41">
                  <c:v>0.89111111111111108</c:v>
                </c:pt>
                <c:pt idx="42">
                  <c:v>0.83144246353322526</c:v>
                </c:pt>
                <c:pt idx="43">
                  <c:v>0.88492706645056729</c:v>
                </c:pt>
                <c:pt idx="44">
                  <c:v>0.93517017828200977</c:v>
                </c:pt>
                <c:pt idx="45">
                  <c:v>0.90761750405186381</c:v>
                </c:pt>
                <c:pt idx="46">
                  <c:v>0.91262135922330101</c:v>
                </c:pt>
                <c:pt idx="47">
                  <c:v>0.53333333333333333</c:v>
                </c:pt>
                <c:pt idx="48">
                  <c:v>0.56756756756756754</c:v>
                </c:pt>
                <c:pt idx="49">
                  <c:v>0.41678520625889048</c:v>
                </c:pt>
                <c:pt idx="50">
                  <c:v>0.59886201991465149</c:v>
                </c:pt>
                <c:pt idx="51">
                  <c:v>0.66429587482219066</c:v>
                </c:pt>
                <c:pt idx="52">
                  <c:v>0.64153627311522043</c:v>
                </c:pt>
                <c:pt idx="53">
                  <c:v>0.67185289957567185</c:v>
                </c:pt>
                <c:pt idx="54">
                  <c:v>0.87777777777777777</c:v>
                </c:pt>
                <c:pt idx="55">
                  <c:v>0.8621700879765396</c:v>
                </c:pt>
                <c:pt idx="56">
                  <c:v>0.8944281524926686</c:v>
                </c:pt>
                <c:pt idx="57">
                  <c:v>0.90909090909090906</c:v>
                </c:pt>
                <c:pt idx="58">
                  <c:v>0.87994143484626652</c:v>
                </c:pt>
                <c:pt idx="59">
                  <c:v>0.59777777777777774</c:v>
                </c:pt>
                <c:pt idx="60">
                  <c:v>0.73777777777777775</c:v>
                </c:pt>
                <c:pt idx="61">
                  <c:v>0.76253687315634222</c:v>
                </c:pt>
                <c:pt idx="62">
                  <c:v>0.86578171091445433</c:v>
                </c:pt>
                <c:pt idx="63">
                  <c:v>0.88495575221238942</c:v>
                </c:pt>
                <c:pt idx="64">
                  <c:v>0.87923416789396169</c:v>
                </c:pt>
                <c:pt idx="65">
                  <c:v>0.78888888888888886</c:v>
                </c:pt>
                <c:pt idx="66">
                  <c:v>0.8288888888888889</c:v>
                </c:pt>
                <c:pt idx="67">
                  <c:v>0.82655826558265577</c:v>
                </c:pt>
                <c:pt idx="68">
                  <c:v>0.76860622462787553</c:v>
                </c:pt>
                <c:pt idx="69">
                  <c:v>0.82814614343707715</c:v>
                </c:pt>
                <c:pt idx="70">
                  <c:v>0.87956698240866038</c:v>
                </c:pt>
                <c:pt idx="71">
                  <c:v>0.89715832205683355</c:v>
                </c:pt>
                <c:pt idx="72">
                  <c:v>0.89580514208389717</c:v>
                </c:pt>
                <c:pt idx="73">
                  <c:v>0.89715832205683355</c:v>
                </c:pt>
                <c:pt idx="74">
                  <c:v>0.83555555555555561</c:v>
                </c:pt>
                <c:pt idx="75">
                  <c:v>0.81919332406119616</c:v>
                </c:pt>
                <c:pt idx="76">
                  <c:v>0.8569444444444444</c:v>
                </c:pt>
                <c:pt idx="77">
                  <c:v>0.84166666666666667</c:v>
                </c:pt>
                <c:pt idx="78">
                  <c:v>0.88194444444444442</c:v>
                </c:pt>
                <c:pt idx="79">
                  <c:v>0.90138888888888891</c:v>
                </c:pt>
                <c:pt idx="80">
                  <c:v>0.53555555555555556</c:v>
                </c:pt>
                <c:pt idx="81">
                  <c:v>0.5444444444444444</c:v>
                </c:pt>
                <c:pt idx="82">
                  <c:v>0.65194109772423026</c:v>
                </c:pt>
                <c:pt idx="83">
                  <c:v>0.61497326203208558</c:v>
                </c:pt>
                <c:pt idx="84">
                  <c:v>0.63770053475935828</c:v>
                </c:pt>
                <c:pt idx="85">
                  <c:v>0.78475935828877008</c:v>
                </c:pt>
                <c:pt idx="86">
                  <c:v>0.86631016042780751</c:v>
                </c:pt>
                <c:pt idx="87">
                  <c:v>0.6</c:v>
                </c:pt>
                <c:pt idx="88">
                  <c:v>0.55111111111111111</c:v>
                </c:pt>
                <c:pt idx="89">
                  <c:v>0.5377777777777778</c:v>
                </c:pt>
                <c:pt idx="90">
                  <c:v>0.59244264507422406</c:v>
                </c:pt>
                <c:pt idx="91">
                  <c:v>0.65587044534412953</c:v>
                </c:pt>
                <c:pt idx="92">
                  <c:v>0.70175438596491224</c:v>
                </c:pt>
                <c:pt idx="93">
                  <c:v>0.75978407557354921</c:v>
                </c:pt>
                <c:pt idx="94">
                  <c:v>0.80971659919028338</c:v>
                </c:pt>
                <c:pt idx="95">
                  <c:v>0.81511470985155199</c:v>
                </c:pt>
                <c:pt idx="96">
                  <c:v>0.11714285714285715</c:v>
                </c:pt>
                <c:pt idx="97">
                  <c:v>0.3211267605633803</c:v>
                </c:pt>
                <c:pt idx="98">
                  <c:v>0.99111111111111116</c:v>
                </c:pt>
                <c:pt idx="99">
                  <c:v>0.97929936305732479</c:v>
                </c:pt>
                <c:pt idx="100">
                  <c:v>0.9177777777777778</c:v>
                </c:pt>
                <c:pt idx="101">
                  <c:v>0.7902542372881356</c:v>
                </c:pt>
                <c:pt idx="102">
                  <c:v>0.85805084745762716</c:v>
                </c:pt>
                <c:pt idx="103">
                  <c:v>0.96888888888888891</c:v>
                </c:pt>
                <c:pt idx="104">
                  <c:v>0.98116438356164382</c:v>
                </c:pt>
                <c:pt idx="105">
                  <c:v>0.75111111111111106</c:v>
                </c:pt>
                <c:pt idx="106">
                  <c:v>0.76444444444444448</c:v>
                </c:pt>
                <c:pt idx="107">
                  <c:v>0.75590551181102361</c:v>
                </c:pt>
                <c:pt idx="108">
                  <c:v>0.73543307086614174</c:v>
                </c:pt>
                <c:pt idx="109">
                  <c:v>0.78267716535433074</c:v>
                </c:pt>
                <c:pt idx="110">
                  <c:v>0.78897637795275588</c:v>
                </c:pt>
                <c:pt idx="111">
                  <c:v>0.79245283018867929</c:v>
                </c:pt>
                <c:pt idx="112">
                  <c:v>0.51333333333333331</c:v>
                </c:pt>
                <c:pt idx="113">
                  <c:v>0.54666666666666663</c:v>
                </c:pt>
                <c:pt idx="114">
                  <c:v>0.44376899696048633</c:v>
                </c:pt>
                <c:pt idx="115">
                  <c:v>0.51745068285280726</c:v>
                </c:pt>
                <c:pt idx="116">
                  <c:v>0.53110773899848251</c:v>
                </c:pt>
                <c:pt idx="117">
                  <c:v>0.81333333333333335</c:v>
                </c:pt>
                <c:pt idx="118">
                  <c:v>0.92888888888888888</c:v>
                </c:pt>
                <c:pt idx="119">
                  <c:v>0.92930780559646542</c:v>
                </c:pt>
                <c:pt idx="120">
                  <c:v>0.96465390279823271</c:v>
                </c:pt>
                <c:pt idx="121">
                  <c:v>0.95882352941176474</c:v>
                </c:pt>
                <c:pt idx="122">
                  <c:v>0.64</c:v>
                </c:pt>
                <c:pt idx="123">
                  <c:v>0.72888888888888892</c:v>
                </c:pt>
                <c:pt idx="124">
                  <c:v>0.68682170542635657</c:v>
                </c:pt>
                <c:pt idx="125">
                  <c:v>0.74573643410852708</c:v>
                </c:pt>
                <c:pt idx="126">
                  <c:v>0.94888888888888889</c:v>
                </c:pt>
                <c:pt idx="127">
                  <c:v>0.9177304964539007</c:v>
                </c:pt>
                <c:pt idx="128">
                  <c:v>0.9418439716312057</c:v>
                </c:pt>
                <c:pt idx="129">
                  <c:v>0.95460992907801423</c:v>
                </c:pt>
                <c:pt idx="130">
                  <c:v>0.96453900709219853</c:v>
                </c:pt>
                <c:pt idx="131">
                  <c:v>0.75714285714285712</c:v>
                </c:pt>
                <c:pt idx="132">
                  <c:v>0.92222222222222228</c:v>
                </c:pt>
                <c:pt idx="133">
                  <c:v>0.99555555555555553</c:v>
                </c:pt>
                <c:pt idx="134">
                  <c:v>0.99685534591194969</c:v>
                </c:pt>
                <c:pt idx="135">
                  <c:v>0.98444444444444446</c:v>
                </c:pt>
                <c:pt idx="136">
                  <c:v>0.98324022346368711</c:v>
                </c:pt>
                <c:pt idx="137">
                  <c:v>0.98</c:v>
                </c:pt>
                <c:pt idx="138">
                  <c:v>0.98</c:v>
                </c:pt>
                <c:pt idx="139">
                  <c:v>0.98627450980392162</c:v>
                </c:pt>
                <c:pt idx="140">
                  <c:v>0.99607843137254903</c:v>
                </c:pt>
                <c:pt idx="141">
                  <c:v>1</c:v>
                </c:pt>
                <c:pt idx="142">
                  <c:v>0.76</c:v>
                </c:pt>
                <c:pt idx="143">
                  <c:v>0.81174438687392059</c:v>
                </c:pt>
                <c:pt idx="144">
                  <c:v>0.7754749568221071</c:v>
                </c:pt>
                <c:pt idx="145">
                  <c:v>0.8065630397236615</c:v>
                </c:pt>
                <c:pt idx="146">
                  <c:v>0.83476764199655762</c:v>
                </c:pt>
                <c:pt idx="147">
                  <c:v>0.72</c:v>
                </c:pt>
                <c:pt idx="148">
                  <c:v>0.75555555555555554</c:v>
                </c:pt>
                <c:pt idx="149">
                  <c:v>0.81296023564064801</c:v>
                </c:pt>
                <c:pt idx="150">
                  <c:v>0.75257731958762886</c:v>
                </c:pt>
                <c:pt idx="151">
                  <c:v>0.73195876288659789</c:v>
                </c:pt>
                <c:pt idx="152">
                  <c:v>0.79086892488954341</c:v>
                </c:pt>
                <c:pt idx="153">
                  <c:v>0.77647058823529413</c:v>
                </c:pt>
                <c:pt idx="154">
                  <c:v>0.54888888888888887</c:v>
                </c:pt>
                <c:pt idx="155">
                  <c:v>0.5166204986149584</c:v>
                </c:pt>
                <c:pt idx="156">
                  <c:v>0.61080332409972304</c:v>
                </c:pt>
                <c:pt idx="157">
                  <c:v>0.63296398891966754</c:v>
                </c:pt>
                <c:pt idx="158">
                  <c:v>0.56104651162790697</c:v>
                </c:pt>
                <c:pt idx="159">
                  <c:v>0.53913043478260869</c:v>
                </c:pt>
                <c:pt idx="160">
                  <c:v>0.86956521739130432</c:v>
                </c:pt>
                <c:pt idx="161">
                  <c:v>0.97324414715719065</c:v>
                </c:pt>
                <c:pt idx="162">
                  <c:v>0.38</c:v>
                </c:pt>
                <c:pt idx="163">
                  <c:v>0.42888888888888888</c:v>
                </c:pt>
                <c:pt idx="164">
                  <c:v>0.41111111111111109</c:v>
                </c:pt>
                <c:pt idx="165">
                  <c:v>0.3866877971473851</c:v>
                </c:pt>
                <c:pt idx="166">
                  <c:v>0.37559429477020601</c:v>
                </c:pt>
                <c:pt idx="167">
                  <c:v>0.44532488114104596</c:v>
                </c:pt>
                <c:pt idx="168">
                  <c:v>0.64</c:v>
                </c:pt>
                <c:pt idx="169">
                  <c:v>0.67359999999999998</c:v>
                </c:pt>
                <c:pt idx="170">
                  <c:v>0.66613418530351443</c:v>
                </c:pt>
                <c:pt idx="171">
                  <c:v>0.82666666666666666</c:v>
                </c:pt>
                <c:pt idx="172">
                  <c:v>0.88444444444444448</c:v>
                </c:pt>
                <c:pt idx="173">
                  <c:v>0.93348115299334811</c:v>
                </c:pt>
                <c:pt idx="174">
                  <c:v>0.10835913312693499</c:v>
                </c:pt>
                <c:pt idx="175">
                  <c:v>0.22888888888888889</c:v>
                </c:pt>
                <c:pt idx="176">
                  <c:v>0.37555555555555553</c:v>
                </c:pt>
                <c:pt idx="177">
                  <c:v>0.3888888888888889</c:v>
                </c:pt>
                <c:pt idx="178">
                  <c:v>0.40888888888888891</c:v>
                </c:pt>
                <c:pt idx="179">
                  <c:v>0.42857142857142855</c:v>
                </c:pt>
                <c:pt idx="180">
                  <c:v>0.40243902439024393</c:v>
                </c:pt>
                <c:pt idx="181">
                  <c:v>0.44076655052264807</c:v>
                </c:pt>
                <c:pt idx="182">
                  <c:v>0.34222222222222221</c:v>
                </c:pt>
                <c:pt idx="183">
                  <c:v>0.44878048780487806</c:v>
                </c:pt>
                <c:pt idx="184">
                  <c:v>0.47564935064935066</c:v>
                </c:pt>
                <c:pt idx="185">
                  <c:v>0.69555555555555559</c:v>
                </c:pt>
                <c:pt idx="186">
                  <c:v>0.48671096345514953</c:v>
                </c:pt>
                <c:pt idx="187">
                  <c:v>0.43449419568822556</c:v>
                </c:pt>
                <c:pt idx="188">
                  <c:v>0.56888888888888889</c:v>
                </c:pt>
                <c:pt idx="189">
                  <c:v>0.54929577464788737</c:v>
                </c:pt>
                <c:pt idx="190">
                  <c:v>0.49139280125195617</c:v>
                </c:pt>
                <c:pt idx="191">
                  <c:v>0.6259780907668232</c:v>
                </c:pt>
                <c:pt idx="192">
                  <c:v>0.68231611893583721</c:v>
                </c:pt>
                <c:pt idx="193">
                  <c:v>0.16666666666666666</c:v>
                </c:pt>
                <c:pt idx="194">
                  <c:v>0.24549918166939444</c:v>
                </c:pt>
                <c:pt idx="195">
                  <c:v>0.16039279869067102</c:v>
                </c:pt>
                <c:pt idx="196">
                  <c:v>0.25040916530278234</c:v>
                </c:pt>
                <c:pt idx="197">
                  <c:v>0.2602291325695581</c:v>
                </c:pt>
                <c:pt idx="198">
                  <c:v>0.30081300813008133</c:v>
                </c:pt>
                <c:pt idx="199">
                  <c:v>0.94666666666666666</c:v>
                </c:pt>
                <c:pt idx="200">
                  <c:v>0.89971751412429379</c:v>
                </c:pt>
                <c:pt idx="201">
                  <c:v>0.94</c:v>
                </c:pt>
                <c:pt idx="202">
                  <c:v>0.91603053435114501</c:v>
                </c:pt>
                <c:pt idx="203">
                  <c:v>0.93740458015267181</c:v>
                </c:pt>
                <c:pt idx="204">
                  <c:v>0.96250000000000002</c:v>
                </c:pt>
                <c:pt idx="205">
                  <c:v>0.95893223819301843</c:v>
                </c:pt>
                <c:pt idx="206">
                  <c:v>0.98780487804878048</c:v>
                </c:pt>
                <c:pt idx="207">
                  <c:v>0.97577854671280273</c:v>
                </c:pt>
                <c:pt idx="208">
                  <c:v>0.9244444444444444</c:v>
                </c:pt>
                <c:pt idx="209">
                  <c:v>0.88408644400785852</c:v>
                </c:pt>
                <c:pt idx="210">
                  <c:v>0.90588235294117647</c:v>
                </c:pt>
                <c:pt idx="211">
                  <c:v>0.39111111111111113</c:v>
                </c:pt>
                <c:pt idx="212">
                  <c:v>0.45555555555555555</c:v>
                </c:pt>
                <c:pt idx="213">
                  <c:v>0.46616541353383456</c:v>
                </c:pt>
                <c:pt idx="214">
                  <c:v>0.55255255255255253</c:v>
                </c:pt>
                <c:pt idx="215">
                  <c:v>0.98442367601246106</c:v>
                </c:pt>
                <c:pt idx="216">
                  <c:v>0.97507788161993769</c:v>
                </c:pt>
                <c:pt idx="217">
                  <c:v>0.99774774774774777</c:v>
                </c:pt>
                <c:pt idx="218">
                  <c:v>0.83777777777777773</c:v>
                </c:pt>
                <c:pt idx="219">
                  <c:v>0.89555555555555555</c:v>
                </c:pt>
                <c:pt idx="220">
                  <c:v>0.908203125</c:v>
                </c:pt>
                <c:pt idx="221">
                  <c:v>0.91423001949317739</c:v>
                </c:pt>
                <c:pt idx="222">
                  <c:v>0.92982456140350878</c:v>
                </c:pt>
                <c:pt idx="223">
                  <c:v>0.99555555555555553</c:v>
                </c:pt>
                <c:pt idx="224">
                  <c:v>0.9956521739130435</c:v>
                </c:pt>
                <c:pt idx="225">
                  <c:v>1</c:v>
                </c:pt>
                <c:pt idx="226">
                  <c:v>0.98586572438162545</c:v>
                </c:pt>
                <c:pt idx="227">
                  <c:v>0.74222222222222223</c:v>
                </c:pt>
                <c:pt idx="228">
                  <c:v>0.88080808080808082</c:v>
                </c:pt>
                <c:pt idx="229">
                  <c:v>0.99728997289972898</c:v>
                </c:pt>
                <c:pt idx="230">
                  <c:v>0.99728997289972898</c:v>
                </c:pt>
                <c:pt idx="231">
                  <c:v>0.99701046337817634</c:v>
                </c:pt>
              </c:numCache>
            </c:numRef>
          </c:xVal>
          <c:yVal>
            <c:numRef>
              <c:f>RaceWorksheet!$A$2:$A$233</c:f>
              <c:numCache>
                <c:formatCode>0.0%</c:formatCode>
                <c:ptCount val="232"/>
                <c:pt idx="0">
                  <c:v>0.30219780219780218</c:v>
                </c:pt>
                <c:pt idx="1">
                  <c:v>0.30412371134020616</c:v>
                </c:pt>
                <c:pt idx="2">
                  <c:v>0.27459016393442626</c:v>
                </c:pt>
                <c:pt idx="3">
                  <c:v>0.30084745762711862</c:v>
                </c:pt>
                <c:pt idx="4">
                  <c:v>0.42884990253411304</c:v>
                </c:pt>
                <c:pt idx="5">
                  <c:v>0.40850277264325324</c:v>
                </c:pt>
                <c:pt idx="6">
                  <c:v>0.22222222222222221</c:v>
                </c:pt>
                <c:pt idx="7">
                  <c:v>0.20351758793969849</c:v>
                </c:pt>
                <c:pt idx="8">
                  <c:v>0.25140712945590993</c:v>
                </c:pt>
                <c:pt idx="9">
                  <c:v>0.15746421267893659</c:v>
                </c:pt>
                <c:pt idx="10">
                  <c:v>0.20799999999999999</c:v>
                </c:pt>
                <c:pt idx="11">
                  <c:v>0.26719056974459726</c:v>
                </c:pt>
                <c:pt idx="12">
                  <c:v>0.3</c:v>
                </c:pt>
                <c:pt idx="13">
                  <c:v>0.22586520947176686</c:v>
                </c:pt>
                <c:pt idx="14">
                  <c:v>0.18617021276595744</c:v>
                </c:pt>
                <c:pt idx="15">
                  <c:v>0.22500000000000001</c:v>
                </c:pt>
                <c:pt idx="16">
                  <c:v>0.26447876447876451</c:v>
                </c:pt>
                <c:pt idx="17">
                  <c:v>0.24007936507936509</c:v>
                </c:pt>
                <c:pt idx="18">
                  <c:v>0.23408239700374531</c:v>
                </c:pt>
                <c:pt idx="19">
                  <c:v>0.30297397769516726</c:v>
                </c:pt>
                <c:pt idx="20">
                  <c:v>0.25367647058823528</c:v>
                </c:pt>
                <c:pt idx="21">
                  <c:v>0.26176470588235295</c:v>
                </c:pt>
                <c:pt idx="22">
                  <c:v>0.36340852130325813</c:v>
                </c:pt>
                <c:pt idx="23">
                  <c:v>0.28907922912205569</c:v>
                </c:pt>
                <c:pt idx="24">
                  <c:v>0.23627684964200477</c:v>
                </c:pt>
                <c:pt idx="25">
                  <c:v>0.3160270880361174</c:v>
                </c:pt>
                <c:pt idx="26">
                  <c:v>0.29815303430079154</c:v>
                </c:pt>
                <c:pt idx="27">
                  <c:v>0.34011627906976744</c:v>
                </c:pt>
                <c:pt idx="28">
                  <c:v>0.27083333333333331</c:v>
                </c:pt>
                <c:pt idx="29">
                  <c:v>0.27615062761506276</c:v>
                </c:pt>
                <c:pt idx="30">
                  <c:v>0.33062880324543609</c:v>
                </c:pt>
                <c:pt idx="31">
                  <c:v>0.33601609657947684</c:v>
                </c:pt>
                <c:pt idx="32">
                  <c:v>0.61876832844574781</c:v>
                </c:pt>
                <c:pt idx="33">
                  <c:v>0.80034423407917388</c:v>
                </c:pt>
                <c:pt idx="34">
                  <c:v>0.69465648854961837</c:v>
                </c:pt>
                <c:pt idx="35">
                  <c:v>0.76988636363636365</c:v>
                </c:pt>
                <c:pt idx="36">
                  <c:v>0.23955431754874651</c:v>
                </c:pt>
                <c:pt idx="37">
                  <c:v>0.2544529262086514</c:v>
                </c:pt>
                <c:pt idx="38">
                  <c:v>0.24698795180722891</c:v>
                </c:pt>
                <c:pt idx="39">
                  <c:v>0.25</c:v>
                </c:pt>
                <c:pt idx="40">
                  <c:v>0.2413793103448276</c:v>
                </c:pt>
                <c:pt idx="41">
                  <c:v>0.29583333333333334</c:v>
                </c:pt>
                <c:pt idx="42">
                  <c:v>0.22113502935420742</c:v>
                </c:pt>
                <c:pt idx="43">
                  <c:v>0.12430939226519337</c:v>
                </c:pt>
                <c:pt idx="44">
                  <c:v>0.16517055655296231</c:v>
                </c:pt>
                <c:pt idx="45">
                  <c:v>0.16888045540796964</c:v>
                </c:pt>
                <c:pt idx="46">
                  <c:v>0.1944922547332186</c:v>
                </c:pt>
                <c:pt idx="47">
                  <c:v>0.34770114942528735</c:v>
                </c:pt>
                <c:pt idx="48">
                  <c:v>0.36249999999999999</c:v>
                </c:pt>
                <c:pt idx="49">
                  <c:v>0.32155477031802121</c:v>
                </c:pt>
                <c:pt idx="50">
                  <c:v>0.32904411764705882</c:v>
                </c:pt>
                <c:pt idx="51">
                  <c:v>0.35689655172413792</c:v>
                </c:pt>
                <c:pt idx="52">
                  <c:v>0.32554257095158595</c:v>
                </c:pt>
                <c:pt idx="53">
                  <c:v>0.41076487252124644</c:v>
                </c:pt>
                <c:pt idx="54">
                  <c:v>0.42833876221498374</c:v>
                </c:pt>
                <c:pt idx="55">
                  <c:v>0.58272058823529416</c:v>
                </c:pt>
                <c:pt idx="56">
                  <c:v>0.47924528301886793</c:v>
                </c:pt>
                <c:pt idx="57">
                  <c:v>0.46125461254612549</c:v>
                </c:pt>
                <c:pt idx="58">
                  <c:v>0.47707979626485569</c:v>
                </c:pt>
                <c:pt idx="59">
                  <c:v>0.4350758853288364</c:v>
                </c:pt>
                <c:pt idx="60">
                  <c:v>0.20207253886010362</c:v>
                </c:pt>
                <c:pt idx="61">
                  <c:v>0.26956521739130435</c:v>
                </c:pt>
                <c:pt idx="62">
                  <c:v>0.27697841726618705</c:v>
                </c:pt>
                <c:pt idx="63">
                  <c:v>0.3181019332161687</c:v>
                </c:pt>
                <c:pt idx="64">
                  <c:v>0.28378378378378377</c:v>
                </c:pt>
                <c:pt idx="65">
                  <c:v>0.2344632768361582</c:v>
                </c:pt>
                <c:pt idx="66">
                  <c:v>0.29601990049751242</c:v>
                </c:pt>
                <c:pt idx="67">
                  <c:v>0.28821656050955413</c:v>
                </c:pt>
                <c:pt idx="68">
                  <c:v>0.2807017543859649</c:v>
                </c:pt>
                <c:pt idx="69">
                  <c:v>0.25352112676056338</c:v>
                </c:pt>
                <c:pt idx="70">
                  <c:v>0.2611683848797251</c:v>
                </c:pt>
                <c:pt idx="71">
                  <c:v>0.31438127090301005</c:v>
                </c:pt>
                <c:pt idx="72">
                  <c:v>0.29967426710097722</c:v>
                </c:pt>
                <c:pt idx="73">
                  <c:v>0.30612244897959184</c:v>
                </c:pt>
                <c:pt idx="74">
                  <c:v>0.48757763975155277</c:v>
                </c:pt>
                <c:pt idx="75">
                  <c:v>0.4483695652173913</c:v>
                </c:pt>
                <c:pt idx="76">
                  <c:v>0.40536277602523657</c:v>
                </c:pt>
                <c:pt idx="77">
                  <c:v>0.41245791245791247</c:v>
                </c:pt>
                <c:pt idx="78">
                  <c:v>0.42342342342342343</c:v>
                </c:pt>
                <c:pt idx="79">
                  <c:v>0.28446771378708552</c:v>
                </c:pt>
                <c:pt idx="80">
                  <c:v>0.23671497584541062</c:v>
                </c:pt>
                <c:pt idx="81">
                  <c:v>0.2116991643454039</c:v>
                </c:pt>
                <c:pt idx="82">
                  <c:v>0.27914614121510672</c:v>
                </c:pt>
                <c:pt idx="83">
                  <c:v>0.25085910652920962</c:v>
                </c:pt>
                <c:pt idx="84">
                  <c:v>0.29276895943562609</c:v>
                </c:pt>
                <c:pt idx="85">
                  <c:v>0.29610829103214892</c:v>
                </c:pt>
                <c:pt idx="86">
                  <c:v>0.25844594594594594</c:v>
                </c:pt>
                <c:pt idx="87">
                  <c:v>0.41528239202657807</c:v>
                </c:pt>
                <c:pt idx="88">
                  <c:v>0.453125</c:v>
                </c:pt>
                <c:pt idx="89">
                  <c:v>0.52835051546391754</c:v>
                </c:pt>
                <c:pt idx="90">
                  <c:v>0.48281505728314239</c:v>
                </c:pt>
                <c:pt idx="91">
                  <c:v>0.43760683760683761</c:v>
                </c:pt>
                <c:pt idx="92">
                  <c:v>0.37696335078534032</c:v>
                </c:pt>
                <c:pt idx="93">
                  <c:v>0.38380281690140844</c:v>
                </c:pt>
                <c:pt idx="94">
                  <c:v>0.39721254355400698</c:v>
                </c:pt>
                <c:pt idx="95">
                  <c:v>0.36970684039087948</c:v>
                </c:pt>
                <c:pt idx="96">
                  <c:v>0.42366412213740456</c:v>
                </c:pt>
                <c:pt idx="97">
                  <c:v>0.49477351916376305</c:v>
                </c:pt>
                <c:pt idx="98">
                  <c:v>0.11299435028248588</c:v>
                </c:pt>
                <c:pt idx="99">
                  <c:v>9.3816631130063971E-2</c:v>
                </c:pt>
                <c:pt idx="100">
                  <c:v>0.13119533527696792</c:v>
                </c:pt>
                <c:pt idx="101">
                  <c:v>0.11873350923482849</c:v>
                </c:pt>
                <c:pt idx="102">
                  <c:v>0.15680473372781065</c:v>
                </c:pt>
                <c:pt idx="103">
                  <c:v>0.13573407202216067</c:v>
                </c:pt>
                <c:pt idx="104">
                  <c:v>0.17499999999999999</c:v>
                </c:pt>
                <c:pt idx="105">
                  <c:v>0.22754491017964071</c:v>
                </c:pt>
                <c:pt idx="106">
                  <c:v>0.23136246786632392</c:v>
                </c:pt>
                <c:pt idx="107">
                  <c:v>0.25830258302583026</c:v>
                </c:pt>
                <c:pt idx="108">
                  <c:v>0.26724137931034481</c:v>
                </c:pt>
                <c:pt idx="109">
                  <c:v>0.24948453608247423</c:v>
                </c:pt>
                <c:pt idx="110">
                  <c:v>0.28160919540229884</c:v>
                </c:pt>
                <c:pt idx="111">
                  <c:v>0.24349442379182157</c:v>
                </c:pt>
                <c:pt idx="112">
                  <c:v>0.32937685459940652</c:v>
                </c:pt>
                <c:pt idx="113">
                  <c:v>0.38095238095238093</c:v>
                </c:pt>
                <c:pt idx="114">
                  <c:v>0.44795539033457249</c:v>
                </c:pt>
                <c:pt idx="115">
                  <c:v>0.4181459566074951</c:v>
                </c:pt>
                <c:pt idx="116">
                  <c:v>0.40160642570281124</c:v>
                </c:pt>
                <c:pt idx="117">
                  <c:v>0.20869565217391303</c:v>
                </c:pt>
                <c:pt idx="118">
                  <c:v>0.13784461152882205</c:v>
                </c:pt>
                <c:pt idx="119">
                  <c:v>0.15053763440860216</c:v>
                </c:pt>
                <c:pt idx="120">
                  <c:v>0.11663479923518165</c:v>
                </c:pt>
                <c:pt idx="121">
                  <c:v>0.17173524150268335</c:v>
                </c:pt>
                <c:pt idx="122">
                  <c:v>0.16315789473684211</c:v>
                </c:pt>
                <c:pt idx="123">
                  <c:v>0.1915966386554622</c:v>
                </c:pt>
                <c:pt idx="124">
                  <c:v>0.28392857142857142</c:v>
                </c:pt>
                <c:pt idx="125">
                  <c:v>0.31724137931034485</c:v>
                </c:pt>
                <c:pt idx="126">
                  <c:v>0.23414634146341465</c:v>
                </c:pt>
                <c:pt idx="127">
                  <c:v>0.3125</c:v>
                </c:pt>
                <c:pt idx="128">
                  <c:v>0.30623306233062331</c:v>
                </c:pt>
                <c:pt idx="129">
                  <c:v>0.36382113821138212</c:v>
                </c:pt>
                <c:pt idx="130">
                  <c:v>0.33265720081135902</c:v>
                </c:pt>
                <c:pt idx="131">
                  <c:v>0.2578125</c:v>
                </c:pt>
                <c:pt idx="132">
                  <c:v>0.18457300275482094</c:v>
                </c:pt>
                <c:pt idx="133">
                  <c:v>0.11898016997167139</c:v>
                </c:pt>
                <c:pt idx="134">
                  <c:v>0.15127701375245581</c:v>
                </c:pt>
                <c:pt idx="135">
                  <c:v>0.13123359580052493</c:v>
                </c:pt>
                <c:pt idx="136">
                  <c:v>0.16129032258064516</c:v>
                </c:pt>
                <c:pt idx="137">
                  <c:v>0.13461538461538461</c:v>
                </c:pt>
                <c:pt idx="138">
                  <c:v>9.4629156010230184E-2</c:v>
                </c:pt>
                <c:pt idx="139">
                  <c:v>0.12623762376237624</c:v>
                </c:pt>
                <c:pt idx="140">
                  <c:v>0.14035087719298245</c:v>
                </c:pt>
                <c:pt idx="141">
                  <c:v>0.12903225806451613</c:v>
                </c:pt>
                <c:pt idx="142">
                  <c:v>0.26842105263157895</c:v>
                </c:pt>
                <c:pt idx="143">
                  <c:v>0.23360655737704919</c:v>
                </c:pt>
                <c:pt idx="144">
                  <c:v>0.31777777777777777</c:v>
                </c:pt>
                <c:pt idx="145">
                  <c:v>0.33105022831050229</c:v>
                </c:pt>
                <c:pt idx="146">
                  <c:v>0.26904761904761904</c:v>
                </c:pt>
                <c:pt idx="147">
                  <c:v>0.2144927536231884</c:v>
                </c:pt>
                <c:pt idx="148">
                  <c:v>0.27486910994764396</c:v>
                </c:pt>
                <c:pt idx="149">
                  <c:v>0.21588946459412781</c:v>
                </c:pt>
                <c:pt idx="150">
                  <c:v>0.3104089219330855</c:v>
                </c:pt>
                <c:pt idx="151">
                  <c:v>0.31001890359168244</c:v>
                </c:pt>
                <c:pt idx="152">
                  <c:v>0.30492424242424243</c:v>
                </c:pt>
                <c:pt idx="153">
                  <c:v>0.28673835125448027</c:v>
                </c:pt>
                <c:pt idx="154">
                  <c:v>0.2512690355329949</c:v>
                </c:pt>
                <c:pt idx="155">
                  <c:v>0.39246467817896391</c:v>
                </c:pt>
                <c:pt idx="156">
                  <c:v>0.3536379018612521</c:v>
                </c:pt>
                <c:pt idx="157">
                  <c:v>0.32896890343698854</c:v>
                </c:pt>
                <c:pt idx="158">
                  <c:v>0.40492957746478875</c:v>
                </c:pt>
                <c:pt idx="159">
                  <c:v>0.48581560283687941</c:v>
                </c:pt>
                <c:pt idx="160">
                  <c:v>0.23651452282157676</c:v>
                </c:pt>
                <c:pt idx="161">
                  <c:v>0.12449799196787148</c:v>
                </c:pt>
                <c:pt idx="162">
                  <c:v>0.41358024691358025</c:v>
                </c:pt>
                <c:pt idx="163">
                  <c:v>0.46216216216216216</c:v>
                </c:pt>
                <c:pt idx="164">
                  <c:v>0.5047801147227533</c:v>
                </c:pt>
                <c:pt idx="165">
                  <c:v>0.54435483870967738</c:v>
                </c:pt>
                <c:pt idx="166">
                  <c:v>0.58382642998027612</c:v>
                </c:pt>
                <c:pt idx="167">
                  <c:v>0.51136363636363635</c:v>
                </c:pt>
                <c:pt idx="168">
                  <c:v>0.3008595988538682</c:v>
                </c:pt>
                <c:pt idx="169">
                  <c:v>0.27647058823529413</c:v>
                </c:pt>
                <c:pt idx="170">
                  <c:v>0.32803180914512925</c:v>
                </c:pt>
                <c:pt idx="171">
                  <c:v>0.17464788732394365</c:v>
                </c:pt>
                <c:pt idx="172">
                  <c:v>0.17771883289124668</c:v>
                </c:pt>
                <c:pt idx="173">
                  <c:v>0.13297872340425532</c:v>
                </c:pt>
                <c:pt idx="174">
                  <c:v>0.48799999999999999</c:v>
                </c:pt>
                <c:pt idx="175">
                  <c:v>0.4609375</c:v>
                </c:pt>
                <c:pt idx="176">
                  <c:v>0.38244514106583072</c:v>
                </c:pt>
                <c:pt idx="177">
                  <c:v>0.45530726256983239</c:v>
                </c:pt>
                <c:pt idx="178">
                  <c:v>0.504</c:v>
                </c:pt>
                <c:pt idx="179">
                  <c:v>0.47157894736842104</c:v>
                </c:pt>
                <c:pt idx="180">
                  <c:v>0.50800915331807783</c:v>
                </c:pt>
                <c:pt idx="181">
                  <c:v>0.43902439024390244</c:v>
                </c:pt>
                <c:pt idx="182">
                  <c:v>0.46546546546546547</c:v>
                </c:pt>
                <c:pt idx="183">
                  <c:v>0.39173228346456695</c:v>
                </c:pt>
                <c:pt idx="184">
                  <c:v>0.46450304259634889</c:v>
                </c:pt>
                <c:pt idx="185">
                  <c:v>0.2265625</c:v>
                </c:pt>
                <c:pt idx="186">
                  <c:v>0.3987603305785124</c:v>
                </c:pt>
                <c:pt idx="187">
                  <c:v>0.41683366733466931</c:v>
                </c:pt>
                <c:pt idx="188">
                  <c:v>0.30808080808080807</c:v>
                </c:pt>
                <c:pt idx="189">
                  <c:v>0.388086642599278</c:v>
                </c:pt>
                <c:pt idx="190">
                  <c:v>0.44268774703557312</c:v>
                </c:pt>
                <c:pt idx="191">
                  <c:v>0.36799999999999999</c:v>
                </c:pt>
                <c:pt idx="192">
                  <c:v>0.38112522686025407</c:v>
                </c:pt>
                <c:pt idx="193">
                  <c:v>0.51902173913043481</c:v>
                </c:pt>
                <c:pt idx="194">
                  <c:v>0.57714285714285718</c:v>
                </c:pt>
                <c:pt idx="195">
                  <c:v>0.67535070140280562</c:v>
                </c:pt>
                <c:pt idx="196">
                  <c:v>0.61963190184049077</c:v>
                </c:pt>
                <c:pt idx="197">
                  <c:v>0.65617977528089888</c:v>
                </c:pt>
                <c:pt idx="198">
                  <c:v>0.61932938856015785</c:v>
                </c:pt>
                <c:pt idx="199">
                  <c:v>0.2138728323699422</c:v>
                </c:pt>
                <c:pt idx="200">
                  <c:v>0.21837088388214904</c:v>
                </c:pt>
                <c:pt idx="201">
                  <c:v>0.12844036697247707</c:v>
                </c:pt>
                <c:pt idx="202">
                  <c:v>0.20384615384615384</c:v>
                </c:pt>
                <c:pt idx="203">
                  <c:v>0.20348837209302326</c:v>
                </c:pt>
                <c:pt idx="204">
                  <c:v>0.13707165109034267</c:v>
                </c:pt>
                <c:pt idx="205">
                  <c:v>0.15324675324675324</c:v>
                </c:pt>
                <c:pt idx="206">
                  <c:v>0.14225053078556263</c:v>
                </c:pt>
                <c:pt idx="207">
                  <c:v>7.2494669509594878E-2</c:v>
                </c:pt>
                <c:pt idx="208">
                  <c:v>0.1440443213296399</c:v>
                </c:pt>
                <c:pt idx="209">
                  <c:v>0.18069306930693069</c:v>
                </c:pt>
                <c:pt idx="210">
                  <c:v>0.18981481481481483</c:v>
                </c:pt>
                <c:pt idx="211">
                  <c:v>0.36551724137931035</c:v>
                </c:pt>
                <c:pt idx="212">
                  <c:v>0.48333333333333334</c:v>
                </c:pt>
                <c:pt idx="213">
                  <c:v>0.50901803607214424</c:v>
                </c:pt>
                <c:pt idx="214">
                  <c:v>0.48296593186372744</c:v>
                </c:pt>
                <c:pt idx="215">
                  <c:v>0.17910447761194029</c:v>
                </c:pt>
                <c:pt idx="216">
                  <c:v>0.1417624521072797</c:v>
                </c:pt>
                <c:pt idx="217">
                  <c:v>0.23015873015873015</c:v>
                </c:pt>
                <c:pt idx="218">
                  <c:v>0.12662337662337661</c:v>
                </c:pt>
                <c:pt idx="219">
                  <c:v>0.16492146596858639</c:v>
                </c:pt>
                <c:pt idx="220">
                  <c:v>0.16750000000000001</c:v>
                </c:pt>
                <c:pt idx="221">
                  <c:v>0.1867007672634271</c:v>
                </c:pt>
                <c:pt idx="222">
                  <c:v>0.16190476190476191</c:v>
                </c:pt>
                <c:pt idx="223">
                  <c:v>0.13994169096209913</c:v>
                </c:pt>
                <c:pt idx="224">
                  <c:v>0.17105263157894737</c:v>
                </c:pt>
                <c:pt idx="225">
                  <c:v>0.13513513513513514</c:v>
                </c:pt>
                <c:pt idx="226">
                  <c:v>0.15659955257270694</c:v>
                </c:pt>
                <c:pt idx="227">
                  <c:v>0.2857142857142857</c:v>
                </c:pt>
                <c:pt idx="228">
                  <c:v>0.25789473684210529</c:v>
                </c:pt>
                <c:pt idx="229">
                  <c:v>0.132013201320132</c:v>
                </c:pt>
                <c:pt idx="230">
                  <c:v>0.12709030100334448</c:v>
                </c:pt>
                <c:pt idx="231">
                  <c:v>0.15313653136531366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5E-4408-956A-29E203BF8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337743"/>
        <c:axId val="653711824"/>
      </c:scatterChart>
      <c:valAx>
        <c:axId val="46633774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711824"/>
        <c:crosses val="autoZero"/>
        <c:crossBetween val="midCat"/>
      </c:valAx>
      <c:valAx>
        <c:axId val="65371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37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PN% vs Malay% P131 Rembau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9454855643044619"/>
                  <c:y val="-0.23250473899095947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RaceWorksheet!$I$2:$I$233</c:f>
              <c:numCache>
                <c:formatCode>0.0%</c:formatCode>
                <c:ptCount val="232"/>
                <c:pt idx="0">
                  <c:v>0.84888888888888892</c:v>
                </c:pt>
                <c:pt idx="1">
                  <c:v>0.83555555555555561</c:v>
                </c:pt>
                <c:pt idx="2">
                  <c:v>0.84789644012944987</c:v>
                </c:pt>
                <c:pt idx="3">
                  <c:v>0.88673139158576053</c:v>
                </c:pt>
                <c:pt idx="4">
                  <c:v>0.88673139158576053</c:v>
                </c:pt>
                <c:pt idx="5">
                  <c:v>0.8966074313408724</c:v>
                </c:pt>
                <c:pt idx="6">
                  <c:v>0.88666666666666671</c:v>
                </c:pt>
                <c:pt idx="7">
                  <c:v>0.92888888888888888</c:v>
                </c:pt>
                <c:pt idx="8">
                  <c:v>0.87912087912087911</c:v>
                </c:pt>
                <c:pt idx="9">
                  <c:v>0.91679748822605966</c:v>
                </c:pt>
                <c:pt idx="10">
                  <c:v>0.93877551020408168</c:v>
                </c:pt>
                <c:pt idx="11">
                  <c:v>0.94662480376766089</c:v>
                </c:pt>
                <c:pt idx="12">
                  <c:v>0.94662480376766089</c:v>
                </c:pt>
                <c:pt idx="13">
                  <c:v>0.94819466248037676</c:v>
                </c:pt>
                <c:pt idx="14">
                  <c:v>0.86444444444444446</c:v>
                </c:pt>
                <c:pt idx="15">
                  <c:v>0.84444444444444444</c:v>
                </c:pt>
                <c:pt idx="16">
                  <c:v>0.80775193798449607</c:v>
                </c:pt>
                <c:pt idx="17">
                  <c:v>0.85581395348837208</c:v>
                </c:pt>
                <c:pt idx="18">
                  <c:v>0.89147286821705429</c:v>
                </c:pt>
                <c:pt idx="19">
                  <c:v>0.88527131782945734</c:v>
                </c:pt>
                <c:pt idx="20">
                  <c:v>0.89302325581395348</c:v>
                </c:pt>
                <c:pt idx="21">
                  <c:v>0.71333333333333337</c:v>
                </c:pt>
                <c:pt idx="22">
                  <c:v>0.72888888888888892</c:v>
                </c:pt>
                <c:pt idx="23">
                  <c:v>0.77094017094017098</c:v>
                </c:pt>
                <c:pt idx="24">
                  <c:v>0.8700854700854701</c:v>
                </c:pt>
                <c:pt idx="25">
                  <c:v>0.88566552901023887</c:v>
                </c:pt>
                <c:pt idx="26">
                  <c:v>0.84666666666666668</c:v>
                </c:pt>
                <c:pt idx="27">
                  <c:v>0.74</c:v>
                </c:pt>
                <c:pt idx="28">
                  <c:v>0.87107438016528926</c:v>
                </c:pt>
                <c:pt idx="29">
                  <c:v>0.84488448844884489</c:v>
                </c:pt>
                <c:pt idx="30">
                  <c:v>0.81518151815181517</c:v>
                </c:pt>
                <c:pt idx="31">
                  <c:v>0.83168316831683164</c:v>
                </c:pt>
                <c:pt idx="32">
                  <c:v>6.8888888888888888E-2</c:v>
                </c:pt>
                <c:pt idx="33">
                  <c:v>2.8169014084507043E-2</c:v>
                </c:pt>
                <c:pt idx="34">
                  <c:v>5.1428571428571428E-2</c:v>
                </c:pt>
                <c:pt idx="35">
                  <c:v>0.10563380281690141</c:v>
                </c:pt>
                <c:pt idx="36">
                  <c:v>0.98</c:v>
                </c:pt>
                <c:pt idx="37">
                  <c:v>0.97677793904208998</c:v>
                </c:pt>
                <c:pt idx="38">
                  <c:v>0.98258345428156746</c:v>
                </c:pt>
                <c:pt idx="39">
                  <c:v>0.99129172714078373</c:v>
                </c:pt>
                <c:pt idx="40">
                  <c:v>0.83111111111111113</c:v>
                </c:pt>
                <c:pt idx="41">
                  <c:v>0.89111111111111108</c:v>
                </c:pt>
                <c:pt idx="42">
                  <c:v>0.83144246353322526</c:v>
                </c:pt>
                <c:pt idx="43">
                  <c:v>0.88492706645056729</c:v>
                </c:pt>
                <c:pt idx="44">
                  <c:v>0.93517017828200977</c:v>
                </c:pt>
                <c:pt idx="45">
                  <c:v>0.90761750405186381</c:v>
                </c:pt>
                <c:pt idx="46">
                  <c:v>0.91262135922330101</c:v>
                </c:pt>
                <c:pt idx="47">
                  <c:v>0.53333333333333333</c:v>
                </c:pt>
                <c:pt idx="48">
                  <c:v>0.56756756756756754</c:v>
                </c:pt>
                <c:pt idx="49">
                  <c:v>0.41678520625889048</c:v>
                </c:pt>
                <c:pt idx="50">
                  <c:v>0.59886201991465149</c:v>
                </c:pt>
                <c:pt idx="51">
                  <c:v>0.66429587482219066</c:v>
                </c:pt>
                <c:pt idx="52">
                  <c:v>0.64153627311522043</c:v>
                </c:pt>
                <c:pt idx="53">
                  <c:v>0.67185289957567185</c:v>
                </c:pt>
                <c:pt idx="54">
                  <c:v>0.87777777777777777</c:v>
                </c:pt>
                <c:pt idx="55">
                  <c:v>0.8621700879765396</c:v>
                </c:pt>
                <c:pt idx="56">
                  <c:v>0.8944281524926686</c:v>
                </c:pt>
                <c:pt idx="57">
                  <c:v>0.90909090909090906</c:v>
                </c:pt>
                <c:pt idx="58">
                  <c:v>0.87994143484626652</c:v>
                </c:pt>
                <c:pt idx="59">
                  <c:v>0.59777777777777774</c:v>
                </c:pt>
                <c:pt idx="60">
                  <c:v>0.73777777777777775</c:v>
                </c:pt>
                <c:pt idx="61">
                  <c:v>0.76253687315634222</c:v>
                </c:pt>
                <c:pt idx="62">
                  <c:v>0.86578171091445433</c:v>
                </c:pt>
                <c:pt idx="63">
                  <c:v>0.88495575221238942</c:v>
                </c:pt>
                <c:pt idx="64">
                  <c:v>0.87923416789396169</c:v>
                </c:pt>
                <c:pt idx="65">
                  <c:v>0.78888888888888886</c:v>
                </c:pt>
                <c:pt idx="66">
                  <c:v>0.8288888888888889</c:v>
                </c:pt>
                <c:pt idx="67">
                  <c:v>0.82655826558265577</c:v>
                </c:pt>
                <c:pt idx="68">
                  <c:v>0.76860622462787553</c:v>
                </c:pt>
                <c:pt idx="69">
                  <c:v>0.82814614343707715</c:v>
                </c:pt>
                <c:pt idx="70">
                  <c:v>0.87956698240866038</c:v>
                </c:pt>
                <c:pt idx="71">
                  <c:v>0.89715832205683355</c:v>
                </c:pt>
                <c:pt idx="72">
                  <c:v>0.89580514208389717</c:v>
                </c:pt>
                <c:pt idx="73">
                  <c:v>0.89715832205683355</c:v>
                </c:pt>
                <c:pt idx="74">
                  <c:v>0.83555555555555561</c:v>
                </c:pt>
                <c:pt idx="75">
                  <c:v>0.81919332406119616</c:v>
                </c:pt>
                <c:pt idx="76">
                  <c:v>0.8569444444444444</c:v>
                </c:pt>
                <c:pt idx="77">
                  <c:v>0.84166666666666667</c:v>
                </c:pt>
                <c:pt idx="78">
                  <c:v>0.88194444444444442</c:v>
                </c:pt>
                <c:pt idx="79">
                  <c:v>0.90138888888888891</c:v>
                </c:pt>
                <c:pt idx="80">
                  <c:v>0.53555555555555556</c:v>
                </c:pt>
                <c:pt idx="81">
                  <c:v>0.5444444444444444</c:v>
                </c:pt>
                <c:pt idx="82">
                  <c:v>0.65194109772423026</c:v>
                </c:pt>
                <c:pt idx="83">
                  <c:v>0.61497326203208558</c:v>
                </c:pt>
                <c:pt idx="84">
                  <c:v>0.63770053475935828</c:v>
                </c:pt>
                <c:pt idx="85">
                  <c:v>0.78475935828877008</c:v>
                </c:pt>
                <c:pt idx="86">
                  <c:v>0.86631016042780751</c:v>
                </c:pt>
                <c:pt idx="87">
                  <c:v>0.6</c:v>
                </c:pt>
                <c:pt idx="88">
                  <c:v>0.55111111111111111</c:v>
                </c:pt>
                <c:pt idx="89">
                  <c:v>0.5377777777777778</c:v>
                </c:pt>
                <c:pt idx="90">
                  <c:v>0.59244264507422406</c:v>
                </c:pt>
                <c:pt idx="91">
                  <c:v>0.65587044534412953</c:v>
                </c:pt>
                <c:pt idx="92">
                  <c:v>0.70175438596491224</c:v>
                </c:pt>
                <c:pt idx="93">
                  <c:v>0.75978407557354921</c:v>
                </c:pt>
                <c:pt idx="94">
                  <c:v>0.80971659919028338</c:v>
                </c:pt>
                <c:pt idx="95">
                  <c:v>0.81511470985155199</c:v>
                </c:pt>
                <c:pt idx="96">
                  <c:v>0.11714285714285715</c:v>
                </c:pt>
                <c:pt idx="97">
                  <c:v>0.3211267605633803</c:v>
                </c:pt>
                <c:pt idx="98">
                  <c:v>0.99111111111111116</c:v>
                </c:pt>
                <c:pt idx="99">
                  <c:v>0.97929936305732479</c:v>
                </c:pt>
                <c:pt idx="100">
                  <c:v>0.9177777777777778</c:v>
                </c:pt>
                <c:pt idx="101">
                  <c:v>0.7902542372881356</c:v>
                </c:pt>
                <c:pt idx="102">
                  <c:v>0.85805084745762716</c:v>
                </c:pt>
                <c:pt idx="103">
                  <c:v>0.96888888888888891</c:v>
                </c:pt>
                <c:pt idx="104">
                  <c:v>0.98116438356164382</c:v>
                </c:pt>
                <c:pt idx="105">
                  <c:v>0.75111111111111106</c:v>
                </c:pt>
                <c:pt idx="106">
                  <c:v>0.76444444444444448</c:v>
                </c:pt>
                <c:pt idx="107">
                  <c:v>0.75590551181102361</c:v>
                </c:pt>
                <c:pt idx="108">
                  <c:v>0.73543307086614174</c:v>
                </c:pt>
                <c:pt idx="109">
                  <c:v>0.78267716535433074</c:v>
                </c:pt>
                <c:pt idx="110">
                  <c:v>0.78897637795275588</c:v>
                </c:pt>
                <c:pt idx="111">
                  <c:v>0.79245283018867929</c:v>
                </c:pt>
                <c:pt idx="112">
                  <c:v>0.51333333333333331</c:v>
                </c:pt>
                <c:pt idx="113">
                  <c:v>0.54666666666666663</c:v>
                </c:pt>
                <c:pt idx="114">
                  <c:v>0.44376899696048633</c:v>
                </c:pt>
                <c:pt idx="115">
                  <c:v>0.51745068285280726</c:v>
                </c:pt>
                <c:pt idx="116">
                  <c:v>0.53110773899848251</c:v>
                </c:pt>
                <c:pt idx="117">
                  <c:v>0.81333333333333335</c:v>
                </c:pt>
                <c:pt idx="118">
                  <c:v>0.92888888888888888</c:v>
                </c:pt>
                <c:pt idx="119">
                  <c:v>0.92930780559646542</c:v>
                </c:pt>
                <c:pt idx="120">
                  <c:v>0.96465390279823271</c:v>
                </c:pt>
                <c:pt idx="121">
                  <c:v>0.95882352941176474</c:v>
                </c:pt>
                <c:pt idx="122">
                  <c:v>0.64</c:v>
                </c:pt>
                <c:pt idx="123">
                  <c:v>0.72888888888888892</c:v>
                </c:pt>
                <c:pt idx="124">
                  <c:v>0.68682170542635657</c:v>
                </c:pt>
                <c:pt idx="125">
                  <c:v>0.74573643410852708</c:v>
                </c:pt>
                <c:pt idx="126">
                  <c:v>0.94888888888888889</c:v>
                </c:pt>
                <c:pt idx="127">
                  <c:v>0.9177304964539007</c:v>
                </c:pt>
                <c:pt idx="128">
                  <c:v>0.9418439716312057</c:v>
                </c:pt>
                <c:pt idx="129">
                  <c:v>0.95460992907801423</c:v>
                </c:pt>
                <c:pt idx="130">
                  <c:v>0.96453900709219853</c:v>
                </c:pt>
                <c:pt idx="131">
                  <c:v>0.75714285714285712</c:v>
                </c:pt>
                <c:pt idx="132">
                  <c:v>0.92222222222222228</c:v>
                </c:pt>
                <c:pt idx="133">
                  <c:v>0.99555555555555553</c:v>
                </c:pt>
                <c:pt idx="134">
                  <c:v>0.99685534591194969</c:v>
                </c:pt>
                <c:pt idx="135">
                  <c:v>0.98444444444444446</c:v>
                </c:pt>
                <c:pt idx="136">
                  <c:v>0.98324022346368711</c:v>
                </c:pt>
                <c:pt idx="137">
                  <c:v>0.98</c:v>
                </c:pt>
                <c:pt idx="138">
                  <c:v>0.98</c:v>
                </c:pt>
                <c:pt idx="139">
                  <c:v>0.98627450980392162</c:v>
                </c:pt>
                <c:pt idx="140">
                  <c:v>0.99607843137254903</c:v>
                </c:pt>
                <c:pt idx="141">
                  <c:v>1</c:v>
                </c:pt>
                <c:pt idx="142">
                  <c:v>0.76</c:v>
                </c:pt>
                <c:pt idx="143">
                  <c:v>0.81174438687392059</c:v>
                </c:pt>
                <c:pt idx="144">
                  <c:v>0.7754749568221071</c:v>
                </c:pt>
                <c:pt idx="145">
                  <c:v>0.8065630397236615</c:v>
                </c:pt>
                <c:pt idx="146">
                  <c:v>0.83476764199655762</c:v>
                </c:pt>
                <c:pt idx="147">
                  <c:v>0.72</c:v>
                </c:pt>
                <c:pt idx="148">
                  <c:v>0.75555555555555554</c:v>
                </c:pt>
                <c:pt idx="149">
                  <c:v>0.81296023564064801</c:v>
                </c:pt>
                <c:pt idx="150">
                  <c:v>0.75257731958762886</c:v>
                </c:pt>
                <c:pt idx="151">
                  <c:v>0.73195876288659789</c:v>
                </c:pt>
                <c:pt idx="152">
                  <c:v>0.79086892488954341</c:v>
                </c:pt>
                <c:pt idx="153">
                  <c:v>0.77647058823529413</c:v>
                </c:pt>
                <c:pt idx="154">
                  <c:v>0.54888888888888887</c:v>
                </c:pt>
                <c:pt idx="155">
                  <c:v>0.5166204986149584</c:v>
                </c:pt>
                <c:pt idx="156">
                  <c:v>0.61080332409972304</c:v>
                </c:pt>
                <c:pt idx="157">
                  <c:v>0.63296398891966754</c:v>
                </c:pt>
                <c:pt idx="158">
                  <c:v>0.56104651162790697</c:v>
                </c:pt>
                <c:pt idx="159">
                  <c:v>0.53913043478260869</c:v>
                </c:pt>
                <c:pt idx="160">
                  <c:v>0.86956521739130432</c:v>
                </c:pt>
                <c:pt idx="161">
                  <c:v>0.97324414715719065</c:v>
                </c:pt>
                <c:pt idx="162">
                  <c:v>0.38</c:v>
                </c:pt>
                <c:pt idx="163">
                  <c:v>0.42888888888888888</c:v>
                </c:pt>
                <c:pt idx="164">
                  <c:v>0.41111111111111109</c:v>
                </c:pt>
                <c:pt idx="165">
                  <c:v>0.3866877971473851</c:v>
                </c:pt>
                <c:pt idx="166">
                  <c:v>0.37559429477020601</c:v>
                </c:pt>
                <c:pt idx="167">
                  <c:v>0.44532488114104596</c:v>
                </c:pt>
                <c:pt idx="168">
                  <c:v>0.64</c:v>
                </c:pt>
                <c:pt idx="169">
                  <c:v>0.67359999999999998</c:v>
                </c:pt>
                <c:pt idx="170">
                  <c:v>0.66613418530351443</c:v>
                </c:pt>
                <c:pt idx="171">
                  <c:v>0.82666666666666666</c:v>
                </c:pt>
                <c:pt idx="172">
                  <c:v>0.88444444444444448</c:v>
                </c:pt>
                <c:pt idx="173">
                  <c:v>0.93348115299334811</c:v>
                </c:pt>
                <c:pt idx="174">
                  <c:v>0.10835913312693499</c:v>
                </c:pt>
                <c:pt idx="175">
                  <c:v>0.22888888888888889</c:v>
                </c:pt>
                <c:pt idx="176">
                  <c:v>0.37555555555555553</c:v>
                </c:pt>
                <c:pt idx="177">
                  <c:v>0.3888888888888889</c:v>
                </c:pt>
                <c:pt idx="178">
                  <c:v>0.40888888888888891</c:v>
                </c:pt>
                <c:pt idx="179">
                  <c:v>0.42857142857142855</c:v>
                </c:pt>
                <c:pt idx="180">
                  <c:v>0.40243902439024393</c:v>
                </c:pt>
                <c:pt idx="181">
                  <c:v>0.44076655052264807</c:v>
                </c:pt>
                <c:pt idx="182">
                  <c:v>0.34222222222222221</c:v>
                </c:pt>
                <c:pt idx="183">
                  <c:v>0.44878048780487806</c:v>
                </c:pt>
                <c:pt idx="184">
                  <c:v>0.47564935064935066</c:v>
                </c:pt>
                <c:pt idx="185">
                  <c:v>0.69555555555555559</c:v>
                </c:pt>
                <c:pt idx="186">
                  <c:v>0.48671096345514953</c:v>
                </c:pt>
                <c:pt idx="187">
                  <c:v>0.43449419568822556</c:v>
                </c:pt>
                <c:pt idx="188">
                  <c:v>0.56888888888888889</c:v>
                </c:pt>
                <c:pt idx="189">
                  <c:v>0.54929577464788737</c:v>
                </c:pt>
                <c:pt idx="190">
                  <c:v>0.49139280125195617</c:v>
                </c:pt>
                <c:pt idx="191">
                  <c:v>0.6259780907668232</c:v>
                </c:pt>
                <c:pt idx="192">
                  <c:v>0.68231611893583721</c:v>
                </c:pt>
                <c:pt idx="193">
                  <c:v>0.16666666666666666</c:v>
                </c:pt>
                <c:pt idx="194">
                  <c:v>0.24549918166939444</c:v>
                </c:pt>
                <c:pt idx="195">
                  <c:v>0.16039279869067102</c:v>
                </c:pt>
                <c:pt idx="196">
                  <c:v>0.25040916530278234</c:v>
                </c:pt>
                <c:pt idx="197">
                  <c:v>0.2602291325695581</c:v>
                </c:pt>
                <c:pt idx="198">
                  <c:v>0.30081300813008133</c:v>
                </c:pt>
                <c:pt idx="199">
                  <c:v>0.94666666666666666</c:v>
                </c:pt>
                <c:pt idx="200">
                  <c:v>0.89971751412429379</c:v>
                </c:pt>
                <c:pt idx="201">
                  <c:v>0.94</c:v>
                </c:pt>
                <c:pt idx="202">
                  <c:v>0.91603053435114501</c:v>
                </c:pt>
                <c:pt idx="203">
                  <c:v>0.93740458015267181</c:v>
                </c:pt>
                <c:pt idx="204">
                  <c:v>0.96250000000000002</c:v>
                </c:pt>
                <c:pt idx="205">
                  <c:v>0.95893223819301843</c:v>
                </c:pt>
                <c:pt idx="206">
                  <c:v>0.98780487804878048</c:v>
                </c:pt>
                <c:pt idx="207">
                  <c:v>0.97577854671280273</c:v>
                </c:pt>
                <c:pt idx="208">
                  <c:v>0.9244444444444444</c:v>
                </c:pt>
                <c:pt idx="209">
                  <c:v>0.88408644400785852</c:v>
                </c:pt>
                <c:pt idx="210">
                  <c:v>0.90588235294117647</c:v>
                </c:pt>
                <c:pt idx="211">
                  <c:v>0.39111111111111113</c:v>
                </c:pt>
                <c:pt idx="212">
                  <c:v>0.45555555555555555</c:v>
                </c:pt>
                <c:pt idx="213">
                  <c:v>0.46616541353383456</c:v>
                </c:pt>
                <c:pt idx="214">
                  <c:v>0.55255255255255253</c:v>
                </c:pt>
                <c:pt idx="215">
                  <c:v>0.98442367601246106</c:v>
                </c:pt>
                <c:pt idx="216">
                  <c:v>0.97507788161993769</c:v>
                </c:pt>
                <c:pt idx="217">
                  <c:v>0.99774774774774777</c:v>
                </c:pt>
                <c:pt idx="218">
                  <c:v>0.83777777777777773</c:v>
                </c:pt>
                <c:pt idx="219">
                  <c:v>0.89555555555555555</c:v>
                </c:pt>
                <c:pt idx="220">
                  <c:v>0.908203125</c:v>
                </c:pt>
                <c:pt idx="221">
                  <c:v>0.91423001949317739</c:v>
                </c:pt>
                <c:pt idx="222">
                  <c:v>0.92982456140350878</c:v>
                </c:pt>
                <c:pt idx="223">
                  <c:v>0.99555555555555553</c:v>
                </c:pt>
                <c:pt idx="224">
                  <c:v>0.9956521739130435</c:v>
                </c:pt>
                <c:pt idx="225">
                  <c:v>1</c:v>
                </c:pt>
                <c:pt idx="226">
                  <c:v>0.98586572438162545</c:v>
                </c:pt>
                <c:pt idx="227">
                  <c:v>0.74222222222222223</c:v>
                </c:pt>
                <c:pt idx="228">
                  <c:v>0.88080808080808082</c:v>
                </c:pt>
                <c:pt idx="229">
                  <c:v>0.99728997289972898</c:v>
                </c:pt>
                <c:pt idx="230">
                  <c:v>0.99728997289972898</c:v>
                </c:pt>
                <c:pt idx="231">
                  <c:v>0.99701046337817634</c:v>
                </c:pt>
              </c:numCache>
            </c:numRef>
          </c:xVal>
          <c:yVal>
            <c:numRef>
              <c:f>RaceWorksheet!$B$2:$B$233</c:f>
              <c:numCache>
                <c:formatCode>0.0%</c:formatCode>
                <c:ptCount val="232"/>
                <c:pt idx="0">
                  <c:v>0.20054945054945056</c:v>
                </c:pt>
                <c:pt idx="1">
                  <c:v>0.23195876288659795</c:v>
                </c:pt>
                <c:pt idx="2">
                  <c:v>0.26229508196721313</c:v>
                </c:pt>
                <c:pt idx="3">
                  <c:v>0.28177966101694918</c:v>
                </c:pt>
                <c:pt idx="4">
                  <c:v>0.20272904483430798</c:v>
                </c:pt>
                <c:pt idx="5">
                  <c:v>0.28465804066543438</c:v>
                </c:pt>
                <c:pt idx="6">
                  <c:v>0.20054200542005421</c:v>
                </c:pt>
                <c:pt idx="7">
                  <c:v>0.28140703517587939</c:v>
                </c:pt>
                <c:pt idx="8">
                  <c:v>0.33020637898686678</c:v>
                </c:pt>
                <c:pt idx="9">
                  <c:v>0.33946830265848671</c:v>
                </c:pt>
                <c:pt idx="10">
                  <c:v>0.318</c:v>
                </c:pt>
                <c:pt idx="11">
                  <c:v>0.28487229862475444</c:v>
                </c:pt>
                <c:pt idx="12">
                  <c:v>0.33703703703703702</c:v>
                </c:pt>
                <c:pt idx="13">
                  <c:v>0.39708561020036431</c:v>
                </c:pt>
                <c:pt idx="14">
                  <c:v>0.19414893617021275</c:v>
                </c:pt>
                <c:pt idx="15">
                  <c:v>0.28749999999999998</c:v>
                </c:pt>
                <c:pt idx="16">
                  <c:v>0.30501930501930502</c:v>
                </c:pt>
                <c:pt idx="17">
                  <c:v>0.29365079365079366</c:v>
                </c:pt>
                <c:pt idx="18">
                  <c:v>0.29775280898876405</c:v>
                </c:pt>
                <c:pt idx="19">
                  <c:v>0.26765799256505574</c:v>
                </c:pt>
                <c:pt idx="20">
                  <c:v>0.3952205882352941</c:v>
                </c:pt>
                <c:pt idx="21">
                  <c:v>8.2352941176470587E-2</c:v>
                </c:pt>
                <c:pt idx="22">
                  <c:v>0.14786967418546365</c:v>
                </c:pt>
                <c:pt idx="23">
                  <c:v>0.29764453961456105</c:v>
                </c:pt>
                <c:pt idx="24">
                  <c:v>0.26252983293556087</c:v>
                </c:pt>
                <c:pt idx="25">
                  <c:v>0.19864559819413091</c:v>
                </c:pt>
                <c:pt idx="26">
                  <c:v>0.12928759894459102</c:v>
                </c:pt>
                <c:pt idx="27">
                  <c:v>0.20930232558139536</c:v>
                </c:pt>
                <c:pt idx="28">
                  <c:v>0.22291666666666668</c:v>
                </c:pt>
                <c:pt idx="29">
                  <c:v>0.21966527196652719</c:v>
                </c:pt>
                <c:pt idx="30">
                  <c:v>0.20283975659229209</c:v>
                </c:pt>
                <c:pt idx="31">
                  <c:v>0.23943661971830985</c:v>
                </c:pt>
                <c:pt idx="32">
                  <c:v>4.1055718475073312E-2</c:v>
                </c:pt>
                <c:pt idx="33">
                  <c:v>1.7211703958691909E-2</c:v>
                </c:pt>
                <c:pt idx="34">
                  <c:v>3.4351145038167941E-2</c:v>
                </c:pt>
                <c:pt idx="35">
                  <c:v>3.9772727272727272E-2</c:v>
                </c:pt>
                <c:pt idx="36">
                  <c:v>0.23119777158774374</c:v>
                </c:pt>
                <c:pt idx="37">
                  <c:v>0.23155216284987276</c:v>
                </c:pt>
                <c:pt idx="38">
                  <c:v>0.36144578313253012</c:v>
                </c:pt>
                <c:pt idx="39">
                  <c:v>0.27564102564102566</c:v>
                </c:pt>
                <c:pt idx="40">
                  <c:v>0.27586206896551724</c:v>
                </c:pt>
                <c:pt idx="41">
                  <c:v>0.27916666666666667</c:v>
                </c:pt>
                <c:pt idx="42">
                  <c:v>0.37769080234833657</c:v>
                </c:pt>
                <c:pt idx="43">
                  <c:v>0.18508287292817679</c:v>
                </c:pt>
                <c:pt idx="44">
                  <c:v>0.30520646319569122</c:v>
                </c:pt>
                <c:pt idx="45">
                  <c:v>0.29222011385199242</c:v>
                </c:pt>
                <c:pt idx="46">
                  <c:v>0.33734939759036142</c:v>
                </c:pt>
                <c:pt idx="47">
                  <c:v>0.15804597701149425</c:v>
                </c:pt>
                <c:pt idx="48">
                  <c:v>0.19750000000000001</c:v>
                </c:pt>
                <c:pt idx="49">
                  <c:v>0.27738515901060068</c:v>
                </c:pt>
                <c:pt idx="50">
                  <c:v>0.20404411764705882</c:v>
                </c:pt>
                <c:pt idx="51">
                  <c:v>0.19827586206896552</c:v>
                </c:pt>
                <c:pt idx="52">
                  <c:v>0.30884808013355591</c:v>
                </c:pt>
                <c:pt idx="53">
                  <c:v>0.13314447592067988</c:v>
                </c:pt>
                <c:pt idx="54">
                  <c:v>0.2263843648208469</c:v>
                </c:pt>
                <c:pt idx="55">
                  <c:v>0.17463235294117646</c:v>
                </c:pt>
                <c:pt idx="56">
                  <c:v>0.20377358490566039</c:v>
                </c:pt>
                <c:pt idx="57">
                  <c:v>0.2029520295202952</c:v>
                </c:pt>
                <c:pt idx="58">
                  <c:v>0.24787775891341257</c:v>
                </c:pt>
                <c:pt idx="59">
                  <c:v>0.28330522765598654</c:v>
                </c:pt>
                <c:pt idx="60">
                  <c:v>0.23056994818652848</c:v>
                </c:pt>
                <c:pt idx="61">
                  <c:v>0.32</c:v>
                </c:pt>
                <c:pt idx="62">
                  <c:v>0.26798561151079137</c:v>
                </c:pt>
                <c:pt idx="63">
                  <c:v>0.27240773286467485</c:v>
                </c:pt>
                <c:pt idx="64">
                  <c:v>0.33952702702702703</c:v>
                </c:pt>
                <c:pt idx="65">
                  <c:v>0.13559322033898305</c:v>
                </c:pt>
                <c:pt idx="66">
                  <c:v>0.13930348258706468</c:v>
                </c:pt>
                <c:pt idx="67">
                  <c:v>0.25318471337579618</c:v>
                </c:pt>
                <c:pt idx="68">
                  <c:v>0.31754385964912279</c:v>
                </c:pt>
                <c:pt idx="69">
                  <c:v>0.2869718309859155</c:v>
                </c:pt>
                <c:pt idx="70">
                  <c:v>0.28006872852233677</c:v>
                </c:pt>
                <c:pt idx="71">
                  <c:v>0.25919732441471571</c:v>
                </c:pt>
                <c:pt idx="72">
                  <c:v>0.28175895765472314</c:v>
                </c:pt>
                <c:pt idx="73">
                  <c:v>0.29984301412872844</c:v>
                </c:pt>
                <c:pt idx="74">
                  <c:v>8.6956521739130432E-2</c:v>
                </c:pt>
                <c:pt idx="75">
                  <c:v>0.125</c:v>
                </c:pt>
                <c:pt idx="76">
                  <c:v>0.17665615141955837</c:v>
                </c:pt>
                <c:pt idx="77">
                  <c:v>0.19865319865319866</c:v>
                </c:pt>
                <c:pt idx="78">
                  <c:v>0.20180180180180179</c:v>
                </c:pt>
                <c:pt idx="79">
                  <c:v>0.23211169284467714</c:v>
                </c:pt>
                <c:pt idx="80">
                  <c:v>0.32367149758454106</c:v>
                </c:pt>
                <c:pt idx="81">
                  <c:v>0.19498607242339833</c:v>
                </c:pt>
                <c:pt idx="82">
                  <c:v>0.26600985221674878</c:v>
                </c:pt>
                <c:pt idx="83">
                  <c:v>0.3436426116838488</c:v>
                </c:pt>
                <c:pt idx="84">
                  <c:v>0.27513227513227512</c:v>
                </c:pt>
                <c:pt idx="85">
                  <c:v>0.28934010152284262</c:v>
                </c:pt>
                <c:pt idx="86">
                  <c:v>0.32263513513513514</c:v>
                </c:pt>
                <c:pt idx="87">
                  <c:v>0.10631229235880399</c:v>
                </c:pt>
                <c:pt idx="88">
                  <c:v>0.1328125</c:v>
                </c:pt>
                <c:pt idx="89">
                  <c:v>0.12371134020618557</c:v>
                </c:pt>
                <c:pt idx="90">
                  <c:v>0.19803600654664485</c:v>
                </c:pt>
                <c:pt idx="91">
                  <c:v>0.23247863247863249</c:v>
                </c:pt>
                <c:pt idx="92">
                  <c:v>0.23211169284467714</c:v>
                </c:pt>
                <c:pt idx="93">
                  <c:v>0.23415492957746478</c:v>
                </c:pt>
                <c:pt idx="94">
                  <c:v>0.23693379790940766</c:v>
                </c:pt>
                <c:pt idx="95">
                  <c:v>0.28175895765472314</c:v>
                </c:pt>
                <c:pt idx="96">
                  <c:v>3.8167938931297711E-2</c:v>
                </c:pt>
                <c:pt idx="97">
                  <c:v>0.11149825783972125</c:v>
                </c:pt>
                <c:pt idx="98">
                  <c:v>0.14124293785310735</c:v>
                </c:pt>
                <c:pt idx="99">
                  <c:v>0.3006396588486141</c:v>
                </c:pt>
                <c:pt idx="100">
                  <c:v>0.15160349854227406</c:v>
                </c:pt>
                <c:pt idx="101">
                  <c:v>0.21108179419525067</c:v>
                </c:pt>
                <c:pt idx="102">
                  <c:v>0.25739644970414199</c:v>
                </c:pt>
                <c:pt idx="103">
                  <c:v>0.1440443213296399</c:v>
                </c:pt>
                <c:pt idx="104">
                  <c:v>0.24374999999999999</c:v>
                </c:pt>
                <c:pt idx="105">
                  <c:v>0.11377245508982035</c:v>
                </c:pt>
                <c:pt idx="106">
                  <c:v>0.16452442159383032</c:v>
                </c:pt>
                <c:pt idx="107">
                  <c:v>0.20479704797047971</c:v>
                </c:pt>
                <c:pt idx="108">
                  <c:v>0.23275862068965517</c:v>
                </c:pt>
                <c:pt idx="109">
                  <c:v>0.20824742268041238</c:v>
                </c:pt>
                <c:pt idx="110">
                  <c:v>0.20689655172413793</c:v>
                </c:pt>
                <c:pt idx="111">
                  <c:v>0.19516728624535315</c:v>
                </c:pt>
                <c:pt idx="112">
                  <c:v>5.637982195845697E-2</c:v>
                </c:pt>
                <c:pt idx="113">
                  <c:v>9.2592592592592587E-2</c:v>
                </c:pt>
                <c:pt idx="114">
                  <c:v>0.12639405204460966</c:v>
                </c:pt>
                <c:pt idx="115">
                  <c:v>0.14003944773175542</c:v>
                </c:pt>
                <c:pt idx="116">
                  <c:v>0.15863453815261044</c:v>
                </c:pt>
                <c:pt idx="117">
                  <c:v>6.3768115942028983E-2</c:v>
                </c:pt>
                <c:pt idx="118">
                  <c:v>0.16541353383458646</c:v>
                </c:pt>
                <c:pt idx="119">
                  <c:v>0.23835125448028674</c:v>
                </c:pt>
                <c:pt idx="120">
                  <c:v>0.26768642447418739</c:v>
                </c:pt>
                <c:pt idx="121">
                  <c:v>0.2844364937388193</c:v>
                </c:pt>
                <c:pt idx="122">
                  <c:v>0.20263157894736841</c:v>
                </c:pt>
                <c:pt idx="123">
                  <c:v>0.25042016806722689</c:v>
                </c:pt>
                <c:pt idx="124">
                  <c:v>0.25714285714285712</c:v>
                </c:pt>
                <c:pt idx="125">
                  <c:v>0.26551724137931032</c:v>
                </c:pt>
                <c:pt idx="126">
                  <c:v>0.36097560975609755</c:v>
                </c:pt>
                <c:pt idx="127">
                  <c:v>7.5657894736842105E-2</c:v>
                </c:pt>
                <c:pt idx="128">
                  <c:v>0.12466124661246612</c:v>
                </c:pt>
                <c:pt idx="129">
                  <c:v>0.18292682926829268</c:v>
                </c:pt>
                <c:pt idx="130">
                  <c:v>0.19675456389452334</c:v>
                </c:pt>
                <c:pt idx="131">
                  <c:v>7.8125E-2</c:v>
                </c:pt>
                <c:pt idx="132">
                  <c:v>0.23415977961432508</c:v>
                </c:pt>
                <c:pt idx="133">
                  <c:v>0.14447592067988668</c:v>
                </c:pt>
                <c:pt idx="134">
                  <c:v>0.25736738703339884</c:v>
                </c:pt>
                <c:pt idx="135">
                  <c:v>0.10761154855643044</c:v>
                </c:pt>
                <c:pt idx="136">
                  <c:v>0.26655348047538202</c:v>
                </c:pt>
                <c:pt idx="137">
                  <c:v>8.7912087912087919E-2</c:v>
                </c:pt>
                <c:pt idx="138">
                  <c:v>0.15089514066496162</c:v>
                </c:pt>
                <c:pt idx="139">
                  <c:v>0.22524752475247525</c:v>
                </c:pt>
                <c:pt idx="140">
                  <c:v>0.27067669172932329</c:v>
                </c:pt>
                <c:pt idx="141">
                  <c:v>0.23732718894009217</c:v>
                </c:pt>
                <c:pt idx="142">
                  <c:v>0.18684210526315789</c:v>
                </c:pt>
                <c:pt idx="143">
                  <c:v>0.23770491803278687</c:v>
                </c:pt>
                <c:pt idx="144">
                  <c:v>0.19111111111111112</c:v>
                </c:pt>
                <c:pt idx="145">
                  <c:v>0.24657534246575341</c:v>
                </c:pt>
                <c:pt idx="146">
                  <c:v>0.28095238095238095</c:v>
                </c:pt>
                <c:pt idx="147">
                  <c:v>8.4057971014492749E-2</c:v>
                </c:pt>
                <c:pt idx="148">
                  <c:v>0.10209424083769633</c:v>
                </c:pt>
                <c:pt idx="149">
                  <c:v>0.17098445595854922</c:v>
                </c:pt>
                <c:pt idx="150">
                  <c:v>0.1895910780669145</c:v>
                </c:pt>
                <c:pt idx="151">
                  <c:v>0.15689981096408318</c:v>
                </c:pt>
                <c:pt idx="152">
                  <c:v>0.19507575757575757</c:v>
                </c:pt>
                <c:pt idx="153">
                  <c:v>0.20967741935483872</c:v>
                </c:pt>
                <c:pt idx="154">
                  <c:v>7.1065989847715741E-2</c:v>
                </c:pt>
                <c:pt idx="155">
                  <c:v>0.11459968602825746</c:v>
                </c:pt>
                <c:pt idx="156">
                  <c:v>0.10998307952622674</c:v>
                </c:pt>
                <c:pt idx="157">
                  <c:v>0.15875613747954173</c:v>
                </c:pt>
                <c:pt idx="158">
                  <c:v>7.0422535211267609E-2</c:v>
                </c:pt>
                <c:pt idx="159">
                  <c:v>0.11347517730496454</c:v>
                </c:pt>
                <c:pt idx="160">
                  <c:v>0.1078838174273859</c:v>
                </c:pt>
                <c:pt idx="161">
                  <c:v>0.13654618473895583</c:v>
                </c:pt>
                <c:pt idx="162">
                  <c:v>2.7777777777777776E-2</c:v>
                </c:pt>
                <c:pt idx="163">
                  <c:v>5.1351351351351354E-2</c:v>
                </c:pt>
                <c:pt idx="164">
                  <c:v>7.0745697896749518E-2</c:v>
                </c:pt>
                <c:pt idx="165">
                  <c:v>5.8467741935483868E-2</c:v>
                </c:pt>
                <c:pt idx="166">
                  <c:v>5.7199211045364892E-2</c:v>
                </c:pt>
                <c:pt idx="167">
                  <c:v>9.4696969696969696E-2</c:v>
                </c:pt>
                <c:pt idx="168">
                  <c:v>5.1575931232091692E-2</c:v>
                </c:pt>
                <c:pt idx="169">
                  <c:v>8.8235294117647065E-2</c:v>
                </c:pt>
                <c:pt idx="170">
                  <c:v>0.10337972166998012</c:v>
                </c:pt>
                <c:pt idx="171">
                  <c:v>5.0704225352112678E-2</c:v>
                </c:pt>
                <c:pt idx="172">
                  <c:v>8.4880636604774531E-2</c:v>
                </c:pt>
                <c:pt idx="173">
                  <c:v>0.13563829787234041</c:v>
                </c:pt>
                <c:pt idx="174">
                  <c:v>1.6E-2</c:v>
                </c:pt>
                <c:pt idx="175">
                  <c:v>4.1666666666666664E-2</c:v>
                </c:pt>
                <c:pt idx="176">
                  <c:v>3.1347962382445138E-2</c:v>
                </c:pt>
                <c:pt idx="177">
                  <c:v>2.7932960893854747E-2</c:v>
                </c:pt>
                <c:pt idx="178">
                  <c:v>2.4E-2</c:v>
                </c:pt>
                <c:pt idx="179">
                  <c:v>5.0526315789473683E-2</c:v>
                </c:pt>
                <c:pt idx="180">
                  <c:v>3.8901601830663615E-2</c:v>
                </c:pt>
                <c:pt idx="181">
                  <c:v>6.2084257206208429E-2</c:v>
                </c:pt>
                <c:pt idx="182">
                  <c:v>3.003003003003003E-2</c:v>
                </c:pt>
                <c:pt idx="183">
                  <c:v>8.2677165354330714E-2</c:v>
                </c:pt>
                <c:pt idx="184">
                  <c:v>7.9107505070993914E-2</c:v>
                </c:pt>
                <c:pt idx="185">
                  <c:v>3.90625E-2</c:v>
                </c:pt>
                <c:pt idx="186">
                  <c:v>6.1983471074380167E-2</c:v>
                </c:pt>
                <c:pt idx="187">
                  <c:v>2.8056112224448898E-2</c:v>
                </c:pt>
                <c:pt idx="188">
                  <c:v>5.808080808080808E-2</c:v>
                </c:pt>
                <c:pt idx="189">
                  <c:v>0.10649819494584838</c:v>
                </c:pt>
                <c:pt idx="190">
                  <c:v>8.3003952569169967E-2</c:v>
                </c:pt>
                <c:pt idx="191">
                  <c:v>0.13400000000000001</c:v>
                </c:pt>
                <c:pt idx="192">
                  <c:v>0.14156079854809436</c:v>
                </c:pt>
                <c:pt idx="193">
                  <c:v>1.9021739130434784E-2</c:v>
                </c:pt>
                <c:pt idx="194">
                  <c:v>3.0476190476190476E-2</c:v>
                </c:pt>
                <c:pt idx="195">
                  <c:v>3.2064128256513023E-2</c:v>
                </c:pt>
                <c:pt idx="196">
                  <c:v>4.7034764826175871E-2</c:v>
                </c:pt>
                <c:pt idx="197">
                  <c:v>5.3932584269662923E-2</c:v>
                </c:pt>
                <c:pt idx="198">
                  <c:v>4.142011834319527E-2</c:v>
                </c:pt>
                <c:pt idx="199">
                  <c:v>0.10982658959537572</c:v>
                </c:pt>
                <c:pt idx="200">
                  <c:v>0.1733102253032929</c:v>
                </c:pt>
                <c:pt idx="201">
                  <c:v>0.10703363914373089</c:v>
                </c:pt>
                <c:pt idx="202">
                  <c:v>0.22115384615384615</c:v>
                </c:pt>
                <c:pt idx="203">
                  <c:v>0.22868217054263565</c:v>
                </c:pt>
                <c:pt idx="204">
                  <c:v>0.17757009345794392</c:v>
                </c:pt>
                <c:pt idx="205">
                  <c:v>0.26753246753246751</c:v>
                </c:pt>
                <c:pt idx="206">
                  <c:v>0.1932059447983015</c:v>
                </c:pt>
                <c:pt idx="207">
                  <c:v>0.23454157782515991</c:v>
                </c:pt>
                <c:pt idx="208">
                  <c:v>0.12742382271468145</c:v>
                </c:pt>
                <c:pt idx="209">
                  <c:v>0.25990099009900991</c:v>
                </c:pt>
                <c:pt idx="210">
                  <c:v>0.31018518518518517</c:v>
                </c:pt>
                <c:pt idx="211">
                  <c:v>7.9310344827586213E-2</c:v>
                </c:pt>
                <c:pt idx="212">
                  <c:v>9.166666666666666E-2</c:v>
                </c:pt>
                <c:pt idx="213">
                  <c:v>0.14028056112224449</c:v>
                </c:pt>
                <c:pt idx="214">
                  <c:v>0.18036072144288579</c:v>
                </c:pt>
                <c:pt idx="215">
                  <c:v>0.16791044776119404</c:v>
                </c:pt>
                <c:pt idx="216">
                  <c:v>0.27203065134099619</c:v>
                </c:pt>
                <c:pt idx="217">
                  <c:v>0.16666666666666666</c:v>
                </c:pt>
                <c:pt idx="218">
                  <c:v>0.13311688311688311</c:v>
                </c:pt>
                <c:pt idx="219">
                  <c:v>0.17277486910994763</c:v>
                </c:pt>
                <c:pt idx="220">
                  <c:v>0.24</c:v>
                </c:pt>
                <c:pt idx="221">
                  <c:v>0.23529411764705882</c:v>
                </c:pt>
                <c:pt idx="222">
                  <c:v>0.25714285714285712</c:v>
                </c:pt>
                <c:pt idx="223">
                  <c:v>0.1282798833819242</c:v>
                </c:pt>
                <c:pt idx="224">
                  <c:v>0.24210526315789474</c:v>
                </c:pt>
                <c:pt idx="225">
                  <c:v>0.3</c:v>
                </c:pt>
                <c:pt idx="226">
                  <c:v>0.21029082774049218</c:v>
                </c:pt>
                <c:pt idx="227">
                  <c:v>0.15126050420168066</c:v>
                </c:pt>
                <c:pt idx="228">
                  <c:v>0.27105263157894738</c:v>
                </c:pt>
                <c:pt idx="229">
                  <c:v>0.15511551155115511</c:v>
                </c:pt>
                <c:pt idx="230">
                  <c:v>0.21404682274247491</c:v>
                </c:pt>
                <c:pt idx="231">
                  <c:v>0.25645756457564578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76-46E5-A57E-3BB137374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337743"/>
        <c:axId val="653711824"/>
      </c:scatterChart>
      <c:valAx>
        <c:axId val="46633774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711824"/>
        <c:crosses val="autoZero"/>
        <c:crossBetween val="midCat"/>
      </c:valAx>
      <c:valAx>
        <c:axId val="65371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37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BN% vs Malay% P131 Rembau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520122484689411"/>
                  <c:y val="-0.18667906095071449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RaceWorksheet!$I$2:$I$233</c:f>
              <c:numCache>
                <c:formatCode>0.0%</c:formatCode>
                <c:ptCount val="232"/>
                <c:pt idx="0">
                  <c:v>0.84888888888888892</c:v>
                </c:pt>
                <c:pt idx="1">
                  <c:v>0.83555555555555561</c:v>
                </c:pt>
                <c:pt idx="2">
                  <c:v>0.84789644012944987</c:v>
                </c:pt>
                <c:pt idx="3">
                  <c:v>0.88673139158576053</c:v>
                </c:pt>
                <c:pt idx="4">
                  <c:v>0.88673139158576053</c:v>
                </c:pt>
                <c:pt idx="5">
                  <c:v>0.8966074313408724</c:v>
                </c:pt>
                <c:pt idx="6">
                  <c:v>0.88666666666666671</c:v>
                </c:pt>
                <c:pt idx="7">
                  <c:v>0.92888888888888888</c:v>
                </c:pt>
                <c:pt idx="8">
                  <c:v>0.87912087912087911</c:v>
                </c:pt>
                <c:pt idx="9">
                  <c:v>0.91679748822605966</c:v>
                </c:pt>
                <c:pt idx="10">
                  <c:v>0.93877551020408168</c:v>
                </c:pt>
                <c:pt idx="11">
                  <c:v>0.94662480376766089</c:v>
                </c:pt>
                <c:pt idx="12">
                  <c:v>0.94662480376766089</c:v>
                </c:pt>
                <c:pt idx="13">
                  <c:v>0.94819466248037676</c:v>
                </c:pt>
                <c:pt idx="14">
                  <c:v>0.86444444444444446</c:v>
                </c:pt>
                <c:pt idx="15">
                  <c:v>0.84444444444444444</c:v>
                </c:pt>
                <c:pt idx="16">
                  <c:v>0.80775193798449607</c:v>
                </c:pt>
                <c:pt idx="17">
                  <c:v>0.85581395348837208</c:v>
                </c:pt>
                <c:pt idx="18">
                  <c:v>0.89147286821705429</c:v>
                </c:pt>
                <c:pt idx="19">
                  <c:v>0.88527131782945734</c:v>
                </c:pt>
                <c:pt idx="20">
                  <c:v>0.89302325581395348</c:v>
                </c:pt>
                <c:pt idx="21">
                  <c:v>0.71333333333333337</c:v>
                </c:pt>
                <c:pt idx="22">
                  <c:v>0.72888888888888892</c:v>
                </c:pt>
                <c:pt idx="23">
                  <c:v>0.77094017094017098</c:v>
                </c:pt>
                <c:pt idx="24">
                  <c:v>0.8700854700854701</c:v>
                </c:pt>
                <c:pt idx="25">
                  <c:v>0.88566552901023887</c:v>
                </c:pt>
                <c:pt idx="26">
                  <c:v>0.84666666666666668</c:v>
                </c:pt>
                <c:pt idx="27">
                  <c:v>0.74</c:v>
                </c:pt>
                <c:pt idx="28">
                  <c:v>0.87107438016528926</c:v>
                </c:pt>
                <c:pt idx="29">
                  <c:v>0.84488448844884489</c:v>
                </c:pt>
                <c:pt idx="30">
                  <c:v>0.81518151815181517</c:v>
                </c:pt>
                <c:pt idx="31">
                  <c:v>0.83168316831683164</c:v>
                </c:pt>
                <c:pt idx="32">
                  <c:v>6.8888888888888888E-2</c:v>
                </c:pt>
                <c:pt idx="33">
                  <c:v>2.8169014084507043E-2</c:v>
                </c:pt>
                <c:pt idx="34">
                  <c:v>5.1428571428571428E-2</c:v>
                </c:pt>
                <c:pt idx="35">
                  <c:v>0.10563380281690141</c:v>
                </c:pt>
                <c:pt idx="36">
                  <c:v>0.98</c:v>
                </c:pt>
                <c:pt idx="37">
                  <c:v>0.97677793904208998</c:v>
                </c:pt>
                <c:pt idx="38">
                  <c:v>0.98258345428156746</c:v>
                </c:pt>
                <c:pt idx="39">
                  <c:v>0.99129172714078373</c:v>
                </c:pt>
                <c:pt idx="40">
                  <c:v>0.83111111111111113</c:v>
                </c:pt>
                <c:pt idx="41">
                  <c:v>0.89111111111111108</c:v>
                </c:pt>
                <c:pt idx="42">
                  <c:v>0.83144246353322526</c:v>
                </c:pt>
                <c:pt idx="43">
                  <c:v>0.88492706645056729</c:v>
                </c:pt>
                <c:pt idx="44">
                  <c:v>0.93517017828200977</c:v>
                </c:pt>
                <c:pt idx="45">
                  <c:v>0.90761750405186381</c:v>
                </c:pt>
                <c:pt idx="46">
                  <c:v>0.91262135922330101</c:v>
                </c:pt>
                <c:pt idx="47">
                  <c:v>0.53333333333333333</c:v>
                </c:pt>
                <c:pt idx="48">
                  <c:v>0.56756756756756754</c:v>
                </c:pt>
                <c:pt idx="49">
                  <c:v>0.41678520625889048</c:v>
                </c:pt>
                <c:pt idx="50">
                  <c:v>0.59886201991465149</c:v>
                </c:pt>
                <c:pt idx="51">
                  <c:v>0.66429587482219066</c:v>
                </c:pt>
                <c:pt idx="52">
                  <c:v>0.64153627311522043</c:v>
                </c:pt>
                <c:pt idx="53">
                  <c:v>0.67185289957567185</c:v>
                </c:pt>
                <c:pt idx="54">
                  <c:v>0.87777777777777777</c:v>
                </c:pt>
                <c:pt idx="55">
                  <c:v>0.8621700879765396</c:v>
                </c:pt>
                <c:pt idx="56">
                  <c:v>0.8944281524926686</c:v>
                </c:pt>
                <c:pt idx="57">
                  <c:v>0.90909090909090906</c:v>
                </c:pt>
                <c:pt idx="58">
                  <c:v>0.87994143484626652</c:v>
                </c:pt>
                <c:pt idx="59">
                  <c:v>0.59777777777777774</c:v>
                </c:pt>
                <c:pt idx="60">
                  <c:v>0.73777777777777775</c:v>
                </c:pt>
                <c:pt idx="61">
                  <c:v>0.76253687315634222</c:v>
                </c:pt>
                <c:pt idx="62">
                  <c:v>0.86578171091445433</c:v>
                </c:pt>
                <c:pt idx="63">
                  <c:v>0.88495575221238942</c:v>
                </c:pt>
                <c:pt idx="64">
                  <c:v>0.87923416789396169</c:v>
                </c:pt>
                <c:pt idx="65">
                  <c:v>0.78888888888888886</c:v>
                </c:pt>
                <c:pt idx="66">
                  <c:v>0.8288888888888889</c:v>
                </c:pt>
                <c:pt idx="67">
                  <c:v>0.82655826558265577</c:v>
                </c:pt>
                <c:pt idx="68">
                  <c:v>0.76860622462787553</c:v>
                </c:pt>
                <c:pt idx="69">
                  <c:v>0.82814614343707715</c:v>
                </c:pt>
                <c:pt idx="70">
                  <c:v>0.87956698240866038</c:v>
                </c:pt>
                <c:pt idx="71">
                  <c:v>0.89715832205683355</c:v>
                </c:pt>
                <c:pt idx="72">
                  <c:v>0.89580514208389717</c:v>
                </c:pt>
                <c:pt idx="73">
                  <c:v>0.89715832205683355</c:v>
                </c:pt>
                <c:pt idx="74">
                  <c:v>0.83555555555555561</c:v>
                </c:pt>
                <c:pt idx="75">
                  <c:v>0.81919332406119616</c:v>
                </c:pt>
                <c:pt idx="76">
                  <c:v>0.8569444444444444</c:v>
                </c:pt>
                <c:pt idx="77">
                  <c:v>0.84166666666666667</c:v>
                </c:pt>
                <c:pt idx="78">
                  <c:v>0.88194444444444442</c:v>
                </c:pt>
                <c:pt idx="79">
                  <c:v>0.90138888888888891</c:v>
                </c:pt>
                <c:pt idx="80">
                  <c:v>0.53555555555555556</c:v>
                </c:pt>
                <c:pt idx="81">
                  <c:v>0.5444444444444444</c:v>
                </c:pt>
                <c:pt idx="82">
                  <c:v>0.65194109772423026</c:v>
                </c:pt>
                <c:pt idx="83">
                  <c:v>0.61497326203208558</c:v>
                </c:pt>
                <c:pt idx="84">
                  <c:v>0.63770053475935828</c:v>
                </c:pt>
                <c:pt idx="85">
                  <c:v>0.78475935828877008</c:v>
                </c:pt>
                <c:pt idx="86">
                  <c:v>0.86631016042780751</c:v>
                </c:pt>
                <c:pt idx="87">
                  <c:v>0.6</c:v>
                </c:pt>
                <c:pt idx="88">
                  <c:v>0.55111111111111111</c:v>
                </c:pt>
                <c:pt idx="89">
                  <c:v>0.5377777777777778</c:v>
                </c:pt>
                <c:pt idx="90">
                  <c:v>0.59244264507422406</c:v>
                </c:pt>
                <c:pt idx="91">
                  <c:v>0.65587044534412953</c:v>
                </c:pt>
                <c:pt idx="92">
                  <c:v>0.70175438596491224</c:v>
                </c:pt>
                <c:pt idx="93">
                  <c:v>0.75978407557354921</c:v>
                </c:pt>
                <c:pt idx="94">
                  <c:v>0.80971659919028338</c:v>
                </c:pt>
                <c:pt idx="95">
                  <c:v>0.81511470985155199</c:v>
                </c:pt>
                <c:pt idx="96">
                  <c:v>0.11714285714285715</c:v>
                </c:pt>
                <c:pt idx="97">
                  <c:v>0.3211267605633803</c:v>
                </c:pt>
                <c:pt idx="98">
                  <c:v>0.99111111111111116</c:v>
                </c:pt>
                <c:pt idx="99">
                  <c:v>0.97929936305732479</c:v>
                </c:pt>
                <c:pt idx="100">
                  <c:v>0.9177777777777778</c:v>
                </c:pt>
                <c:pt idx="101">
                  <c:v>0.7902542372881356</c:v>
                </c:pt>
                <c:pt idx="102">
                  <c:v>0.85805084745762716</c:v>
                </c:pt>
                <c:pt idx="103">
                  <c:v>0.96888888888888891</c:v>
                </c:pt>
                <c:pt idx="104">
                  <c:v>0.98116438356164382</c:v>
                </c:pt>
                <c:pt idx="105">
                  <c:v>0.75111111111111106</c:v>
                </c:pt>
                <c:pt idx="106">
                  <c:v>0.76444444444444448</c:v>
                </c:pt>
                <c:pt idx="107">
                  <c:v>0.75590551181102361</c:v>
                </c:pt>
                <c:pt idx="108">
                  <c:v>0.73543307086614174</c:v>
                </c:pt>
                <c:pt idx="109">
                  <c:v>0.78267716535433074</c:v>
                </c:pt>
                <c:pt idx="110">
                  <c:v>0.78897637795275588</c:v>
                </c:pt>
                <c:pt idx="111">
                  <c:v>0.79245283018867929</c:v>
                </c:pt>
                <c:pt idx="112">
                  <c:v>0.51333333333333331</c:v>
                </c:pt>
                <c:pt idx="113">
                  <c:v>0.54666666666666663</c:v>
                </c:pt>
                <c:pt idx="114">
                  <c:v>0.44376899696048633</c:v>
                </c:pt>
                <c:pt idx="115">
                  <c:v>0.51745068285280726</c:v>
                </c:pt>
                <c:pt idx="116">
                  <c:v>0.53110773899848251</c:v>
                </c:pt>
                <c:pt idx="117">
                  <c:v>0.81333333333333335</c:v>
                </c:pt>
                <c:pt idx="118">
                  <c:v>0.92888888888888888</c:v>
                </c:pt>
                <c:pt idx="119">
                  <c:v>0.92930780559646542</c:v>
                </c:pt>
                <c:pt idx="120">
                  <c:v>0.96465390279823271</c:v>
                </c:pt>
                <c:pt idx="121">
                  <c:v>0.95882352941176474</c:v>
                </c:pt>
                <c:pt idx="122">
                  <c:v>0.64</c:v>
                </c:pt>
                <c:pt idx="123">
                  <c:v>0.72888888888888892</c:v>
                </c:pt>
                <c:pt idx="124">
                  <c:v>0.68682170542635657</c:v>
                </c:pt>
                <c:pt idx="125">
                  <c:v>0.74573643410852708</c:v>
                </c:pt>
                <c:pt idx="126">
                  <c:v>0.94888888888888889</c:v>
                </c:pt>
                <c:pt idx="127">
                  <c:v>0.9177304964539007</c:v>
                </c:pt>
                <c:pt idx="128">
                  <c:v>0.9418439716312057</c:v>
                </c:pt>
                <c:pt idx="129">
                  <c:v>0.95460992907801423</c:v>
                </c:pt>
                <c:pt idx="130">
                  <c:v>0.96453900709219853</c:v>
                </c:pt>
                <c:pt idx="131">
                  <c:v>0.75714285714285712</c:v>
                </c:pt>
                <c:pt idx="132">
                  <c:v>0.92222222222222228</c:v>
                </c:pt>
                <c:pt idx="133">
                  <c:v>0.99555555555555553</c:v>
                </c:pt>
                <c:pt idx="134">
                  <c:v>0.99685534591194969</c:v>
                </c:pt>
                <c:pt idx="135">
                  <c:v>0.98444444444444446</c:v>
                </c:pt>
                <c:pt idx="136">
                  <c:v>0.98324022346368711</c:v>
                </c:pt>
                <c:pt idx="137">
                  <c:v>0.98</c:v>
                </c:pt>
                <c:pt idx="138">
                  <c:v>0.98</c:v>
                </c:pt>
                <c:pt idx="139">
                  <c:v>0.98627450980392162</c:v>
                </c:pt>
                <c:pt idx="140">
                  <c:v>0.99607843137254903</c:v>
                </c:pt>
                <c:pt idx="141">
                  <c:v>1</c:v>
                </c:pt>
                <c:pt idx="142">
                  <c:v>0.76</c:v>
                </c:pt>
                <c:pt idx="143">
                  <c:v>0.81174438687392059</c:v>
                </c:pt>
                <c:pt idx="144">
                  <c:v>0.7754749568221071</c:v>
                </c:pt>
                <c:pt idx="145">
                  <c:v>0.8065630397236615</c:v>
                </c:pt>
                <c:pt idx="146">
                  <c:v>0.83476764199655762</c:v>
                </c:pt>
                <c:pt idx="147">
                  <c:v>0.72</c:v>
                </c:pt>
                <c:pt idx="148">
                  <c:v>0.75555555555555554</c:v>
                </c:pt>
                <c:pt idx="149">
                  <c:v>0.81296023564064801</c:v>
                </c:pt>
                <c:pt idx="150">
                  <c:v>0.75257731958762886</c:v>
                </c:pt>
                <c:pt idx="151">
                  <c:v>0.73195876288659789</c:v>
                </c:pt>
                <c:pt idx="152">
                  <c:v>0.79086892488954341</c:v>
                </c:pt>
                <c:pt idx="153">
                  <c:v>0.77647058823529413</c:v>
                </c:pt>
                <c:pt idx="154">
                  <c:v>0.54888888888888887</c:v>
                </c:pt>
                <c:pt idx="155">
                  <c:v>0.5166204986149584</c:v>
                </c:pt>
                <c:pt idx="156">
                  <c:v>0.61080332409972304</c:v>
                </c:pt>
                <c:pt idx="157">
                  <c:v>0.63296398891966754</c:v>
                </c:pt>
                <c:pt idx="158">
                  <c:v>0.56104651162790697</c:v>
                </c:pt>
                <c:pt idx="159">
                  <c:v>0.53913043478260869</c:v>
                </c:pt>
                <c:pt idx="160">
                  <c:v>0.86956521739130432</c:v>
                </c:pt>
                <c:pt idx="161">
                  <c:v>0.97324414715719065</c:v>
                </c:pt>
                <c:pt idx="162">
                  <c:v>0.38</c:v>
                </c:pt>
                <c:pt idx="163">
                  <c:v>0.42888888888888888</c:v>
                </c:pt>
                <c:pt idx="164">
                  <c:v>0.41111111111111109</c:v>
                </c:pt>
                <c:pt idx="165">
                  <c:v>0.3866877971473851</c:v>
                </c:pt>
                <c:pt idx="166">
                  <c:v>0.37559429477020601</c:v>
                </c:pt>
                <c:pt idx="167">
                  <c:v>0.44532488114104596</c:v>
                </c:pt>
                <c:pt idx="168">
                  <c:v>0.64</c:v>
                </c:pt>
                <c:pt idx="169">
                  <c:v>0.67359999999999998</c:v>
                </c:pt>
                <c:pt idx="170">
                  <c:v>0.66613418530351443</c:v>
                </c:pt>
                <c:pt idx="171">
                  <c:v>0.82666666666666666</c:v>
                </c:pt>
                <c:pt idx="172">
                  <c:v>0.88444444444444448</c:v>
                </c:pt>
                <c:pt idx="173">
                  <c:v>0.93348115299334811</c:v>
                </c:pt>
                <c:pt idx="174">
                  <c:v>0.10835913312693499</c:v>
                </c:pt>
                <c:pt idx="175">
                  <c:v>0.22888888888888889</c:v>
                </c:pt>
                <c:pt idx="176">
                  <c:v>0.37555555555555553</c:v>
                </c:pt>
                <c:pt idx="177">
                  <c:v>0.3888888888888889</c:v>
                </c:pt>
                <c:pt idx="178">
                  <c:v>0.40888888888888891</c:v>
                </c:pt>
                <c:pt idx="179">
                  <c:v>0.42857142857142855</c:v>
                </c:pt>
                <c:pt idx="180">
                  <c:v>0.40243902439024393</c:v>
                </c:pt>
                <c:pt idx="181">
                  <c:v>0.44076655052264807</c:v>
                </c:pt>
                <c:pt idx="182">
                  <c:v>0.34222222222222221</c:v>
                </c:pt>
                <c:pt idx="183">
                  <c:v>0.44878048780487806</c:v>
                </c:pt>
                <c:pt idx="184">
                  <c:v>0.47564935064935066</c:v>
                </c:pt>
                <c:pt idx="185">
                  <c:v>0.69555555555555559</c:v>
                </c:pt>
                <c:pt idx="186">
                  <c:v>0.48671096345514953</c:v>
                </c:pt>
                <c:pt idx="187">
                  <c:v>0.43449419568822556</c:v>
                </c:pt>
                <c:pt idx="188">
                  <c:v>0.56888888888888889</c:v>
                </c:pt>
                <c:pt idx="189">
                  <c:v>0.54929577464788737</c:v>
                </c:pt>
                <c:pt idx="190">
                  <c:v>0.49139280125195617</c:v>
                </c:pt>
                <c:pt idx="191">
                  <c:v>0.6259780907668232</c:v>
                </c:pt>
                <c:pt idx="192">
                  <c:v>0.68231611893583721</c:v>
                </c:pt>
                <c:pt idx="193">
                  <c:v>0.16666666666666666</c:v>
                </c:pt>
                <c:pt idx="194">
                  <c:v>0.24549918166939444</c:v>
                </c:pt>
                <c:pt idx="195">
                  <c:v>0.16039279869067102</c:v>
                </c:pt>
                <c:pt idx="196">
                  <c:v>0.25040916530278234</c:v>
                </c:pt>
                <c:pt idx="197">
                  <c:v>0.2602291325695581</c:v>
                </c:pt>
                <c:pt idx="198">
                  <c:v>0.30081300813008133</c:v>
                </c:pt>
                <c:pt idx="199">
                  <c:v>0.94666666666666666</c:v>
                </c:pt>
                <c:pt idx="200">
                  <c:v>0.89971751412429379</c:v>
                </c:pt>
                <c:pt idx="201">
                  <c:v>0.94</c:v>
                </c:pt>
                <c:pt idx="202">
                  <c:v>0.91603053435114501</c:v>
                </c:pt>
                <c:pt idx="203">
                  <c:v>0.93740458015267181</c:v>
                </c:pt>
                <c:pt idx="204">
                  <c:v>0.96250000000000002</c:v>
                </c:pt>
                <c:pt idx="205">
                  <c:v>0.95893223819301843</c:v>
                </c:pt>
                <c:pt idx="206">
                  <c:v>0.98780487804878048</c:v>
                </c:pt>
                <c:pt idx="207">
                  <c:v>0.97577854671280273</c:v>
                </c:pt>
                <c:pt idx="208">
                  <c:v>0.9244444444444444</c:v>
                </c:pt>
                <c:pt idx="209">
                  <c:v>0.88408644400785852</c:v>
                </c:pt>
                <c:pt idx="210">
                  <c:v>0.90588235294117647</c:v>
                </c:pt>
                <c:pt idx="211">
                  <c:v>0.39111111111111113</c:v>
                </c:pt>
                <c:pt idx="212">
                  <c:v>0.45555555555555555</c:v>
                </c:pt>
                <c:pt idx="213">
                  <c:v>0.46616541353383456</c:v>
                </c:pt>
                <c:pt idx="214">
                  <c:v>0.55255255255255253</c:v>
                </c:pt>
                <c:pt idx="215">
                  <c:v>0.98442367601246106</c:v>
                </c:pt>
                <c:pt idx="216">
                  <c:v>0.97507788161993769</c:v>
                </c:pt>
                <c:pt idx="217">
                  <c:v>0.99774774774774777</c:v>
                </c:pt>
                <c:pt idx="218">
                  <c:v>0.83777777777777773</c:v>
                </c:pt>
                <c:pt idx="219">
                  <c:v>0.89555555555555555</c:v>
                </c:pt>
                <c:pt idx="220">
                  <c:v>0.908203125</c:v>
                </c:pt>
                <c:pt idx="221">
                  <c:v>0.91423001949317739</c:v>
                </c:pt>
                <c:pt idx="222">
                  <c:v>0.92982456140350878</c:v>
                </c:pt>
                <c:pt idx="223">
                  <c:v>0.99555555555555553</c:v>
                </c:pt>
                <c:pt idx="224">
                  <c:v>0.9956521739130435</c:v>
                </c:pt>
                <c:pt idx="225">
                  <c:v>1</c:v>
                </c:pt>
                <c:pt idx="226">
                  <c:v>0.98586572438162545</c:v>
                </c:pt>
                <c:pt idx="227">
                  <c:v>0.74222222222222223</c:v>
                </c:pt>
                <c:pt idx="228">
                  <c:v>0.88080808080808082</c:v>
                </c:pt>
                <c:pt idx="229">
                  <c:v>0.99728997289972898</c:v>
                </c:pt>
                <c:pt idx="230">
                  <c:v>0.99728997289972898</c:v>
                </c:pt>
                <c:pt idx="231">
                  <c:v>0.99701046337817634</c:v>
                </c:pt>
              </c:numCache>
            </c:numRef>
          </c:xVal>
          <c:yVal>
            <c:numRef>
              <c:f>RaceWorksheet!$C$2:$C$233</c:f>
              <c:numCache>
                <c:formatCode>0.0%</c:formatCode>
                <c:ptCount val="232"/>
                <c:pt idx="0">
                  <c:v>0.48351648351648352</c:v>
                </c:pt>
                <c:pt idx="1">
                  <c:v>0.4484536082474227</c:v>
                </c:pt>
                <c:pt idx="2">
                  <c:v>0.44877049180327871</c:v>
                </c:pt>
                <c:pt idx="3">
                  <c:v>0.3940677966101695</c:v>
                </c:pt>
                <c:pt idx="4">
                  <c:v>0.35477582846003897</c:v>
                </c:pt>
                <c:pt idx="5">
                  <c:v>0.29205175600739369</c:v>
                </c:pt>
                <c:pt idx="6">
                  <c:v>0.5582655826558266</c:v>
                </c:pt>
                <c:pt idx="7">
                  <c:v>0.49246231155778897</c:v>
                </c:pt>
                <c:pt idx="8">
                  <c:v>0.40337711069418386</c:v>
                </c:pt>
                <c:pt idx="9">
                  <c:v>0.4887525562372188</c:v>
                </c:pt>
                <c:pt idx="10">
                  <c:v>0.46800000000000003</c:v>
                </c:pt>
                <c:pt idx="11">
                  <c:v>0.43222003929273084</c:v>
                </c:pt>
                <c:pt idx="12">
                  <c:v>0.3611111111111111</c:v>
                </c:pt>
                <c:pt idx="13">
                  <c:v>0.37158469945355194</c:v>
                </c:pt>
                <c:pt idx="14">
                  <c:v>0.59840425531914898</c:v>
                </c:pt>
                <c:pt idx="15">
                  <c:v>0.46500000000000002</c:v>
                </c:pt>
                <c:pt idx="16">
                  <c:v>0.40733590733590735</c:v>
                </c:pt>
                <c:pt idx="17">
                  <c:v>0.45833333333333331</c:v>
                </c:pt>
                <c:pt idx="18">
                  <c:v>0.46816479400749061</c:v>
                </c:pt>
                <c:pt idx="19">
                  <c:v>0.42193308550185876</c:v>
                </c:pt>
                <c:pt idx="20">
                  <c:v>0.34375</c:v>
                </c:pt>
                <c:pt idx="21">
                  <c:v>0.62647058823529411</c:v>
                </c:pt>
                <c:pt idx="22">
                  <c:v>0.45363408521303256</c:v>
                </c:pt>
                <c:pt idx="23">
                  <c:v>0.39828693790149894</c:v>
                </c:pt>
                <c:pt idx="24">
                  <c:v>0.47494033412887826</c:v>
                </c:pt>
                <c:pt idx="25">
                  <c:v>0.47855530474040631</c:v>
                </c:pt>
                <c:pt idx="26">
                  <c:v>0.55936675461741425</c:v>
                </c:pt>
                <c:pt idx="27">
                  <c:v>0.42151162790697677</c:v>
                </c:pt>
                <c:pt idx="28">
                  <c:v>0.48541666666666666</c:v>
                </c:pt>
                <c:pt idx="29">
                  <c:v>0.49163179916317989</c:v>
                </c:pt>
                <c:pt idx="30">
                  <c:v>0.44219066937119678</c:v>
                </c:pt>
                <c:pt idx="31">
                  <c:v>0.38430583501006038</c:v>
                </c:pt>
                <c:pt idx="32">
                  <c:v>0.2404692082111437</c:v>
                </c:pt>
                <c:pt idx="33">
                  <c:v>0.14802065404475043</c:v>
                </c:pt>
                <c:pt idx="34">
                  <c:v>0.21374045801526717</c:v>
                </c:pt>
                <c:pt idx="35">
                  <c:v>0.17897727272727273</c:v>
                </c:pt>
                <c:pt idx="36">
                  <c:v>0.50696378830083566</c:v>
                </c:pt>
                <c:pt idx="37">
                  <c:v>0.49872773536895676</c:v>
                </c:pt>
                <c:pt idx="38">
                  <c:v>0.37349397590361444</c:v>
                </c:pt>
                <c:pt idx="39">
                  <c:v>0.46367521367521369</c:v>
                </c:pt>
                <c:pt idx="40">
                  <c:v>0.46551724137931033</c:v>
                </c:pt>
                <c:pt idx="41">
                  <c:v>0.42083333333333334</c:v>
                </c:pt>
                <c:pt idx="42">
                  <c:v>0.39138943248532287</c:v>
                </c:pt>
                <c:pt idx="43">
                  <c:v>0.65745856353591159</c:v>
                </c:pt>
                <c:pt idx="44">
                  <c:v>0.52064631956912033</c:v>
                </c:pt>
                <c:pt idx="45">
                  <c:v>0.52371916508538896</c:v>
                </c:pt>
                <c:pt idx="46">
                  <c:v>0.46127366609294318</c:v>
                </c:pt>
                <c:pt idx="47">
                  <c:v>0.41091954022988508</c:v>
                </c:pt>
                <c:pt idx="48">
                  <c:v>0.41</c:v>
                </c:pt>
                <c:pt idx="49">
                  <c:v>0.3833922261484099</c:v>
                </c:pt>
                <c:pt idx="50">
                  <c:v>0.45588235294117646</c:v>
                </c:pt>
                <c:pt idx="51">
                  <c:v>0.4206896551724138</c:v>
                </c:pt>
                <c:pt idx="52">
                  <c:v>0.34724540901502504</c:v>
                </c:pt>
                <c:pt idx="53">
                  <c:v>0.40226628895184136</c:v>
                </c:pt>
                <c:pt idx="54">
                  <c:v>0.32573289902280128</c:v>
                </c:pt>
                <c:pt idx="55">
                  <c:v>0.22058823529411764</c:v>
                </c:pt>
                <c:pt idx="56">
                  <c:v>0.30566037735849055</c:v>
                </c:pt>
                <c:pt idx="57">
                  <c:v>0.3210332103321033</c:v>
                </c:pt>
                <c:pt idx="58">
                  <c:v>0.2699490662139219</c:v>
                </c:pt>
                <c:pt idx="59">
                  <c:v>0.26981450252951095</c:v>
                </c:pt>
                <c:pt idx="60">
                  <c:v>0.55958549222797926</c:v>
                </c:pt>
                <c:pt idx="61">
                  <c:v>0.39826086956521739</c:v>
                </c:pt>
                <c:pt idx="62">
                  <c:v>0.44064748201438847</c:v>
                </c:pt>
                <c:pt idx="63">
                  <c:v>0.39367311072056238</c:v>
                </c:pt>
                <c:pt idx="64">
                  <c:v>0.36148648648648651</c:v>
                </c:pt>
                <c:pt idx="65">
                  <c:v>0.58192090395480223</c:v>
                </c:pt>
                <c:pt idx="66">
                  <c:v>0.52985074626865669</c:v>
                </c:pt>
                <c:pt idx="67">
                  <c:v>0.43789808917197454</c:v>
                </c:pt>
                <c:pt idx="68">
                  <c:v>0.38070175438596493</c:v>
                </c:pt>
                <c:pt idx="69">
                  <c:v>0.448943661971831</c:v>
                </c:pt>
                <c:pt idx="70">
                  <c:v>0.45017182130584193</c:v>
                </c:pt>
                <c:pt idx="71">
                  <c:v>0.41638795986622074</c:v>
                </c:pt>
                <c:pt idx="72">
                  <c:v>0.41042345276872966</c:v>
                </c:pt>
                <c:pt idx="73">
                  <c:v>0.38461538461538464</c:v>
                </c:pt>
                <c:pt idx="74">
                  <c:v>0.38819875776397517</c:v>
                </c:pt>
                <c:pt idx="75">
                  <c:v>0.38315217391304346</c:v>
                </c:pt>
                <c:pt idx="76">
                  <c:v>0.38958990536277605</c:v>
                </c:pt>
                <c:pt idx="77">
                  <c:v>0.37542087542087543</c:v>
                </c:pt>
                <c:pt idx="78">
                  <c:v>0.36396396396396397</c:v>
                </c:pt>
                <c:pt idx="79">
                  <c:v>0.47120418848167539</c:v>
                </c:pt>
                <c:pt idx="80">
                  <c:v>0.43156199677938806</c:v>
                </c:pt>
                <c:pt idx="81">
                  <c:v>0.54596100278551529</c:v>
                </c:pt>
                <c:pt idx="82">
                  <c:v>0.44334975369458129</c:v>
                </c:pt>
                <c:pt idx="83">
                  <c:v>0.38831615120274915</c:v>
                </c:pt>
                <c:pt idx="84">
                  <c:v>0.42151675485008816</c:v>
                </c:pt>
                <c:pt idx="85">
                  <c:v>0.40778341793570222</c:v>
                </c:pt>
                <c:pt idx="86">
                  <c:v>0.40878378378378377</c:v>
                </c:pt>
                <c:pt idx="87">
                  <c:v>0.46179401993355484</c:v>
                </c:pt>
                <c:pt idx="88">
                  <c:v>0.40364583333333331</c:v>
                </c:pt>
                <c:pt idx="89">
                  <c:v>0.32731958762886598</c:v>
                </c:pt>
                <c:pt idx="90">
                  <c:v>0.30114566284779049</c:v>
                </c:pt>
                <c:pt idx="91">
                  <c:v>0.30256410256410254</c:v>
                </c:pt>
                <c:pt idx="92">
                  <c:v>0.38045375218150085</c:v>
                </c:pt>
                <c:pt idx="93">
                  <c:v>0.37323943661971831</c:v>
                </c:pt>
                <c:pt idx="94">
                  <c:v>0.35540069686411152</c:v>
                </c:pt>
                <c:pt idx="95">
                  <c:v>0.33713355048859933</c:v>
                </c:pt>
                <c:pt idx="96">
                  <c:v>0.41984732824427479</c:v>
                </c:pt>
                <c:pt idx="97">
                  <c:v>0.34843205574912894</c:v>
                </c:pt>
                <c:pt idx="98">
                  <c:v>0.73163841807909602</c:v>
                </c:pt>
                <c:pt idx="99">
                  <c:v>0.59914712153518124</c:v>
                </c:pt>
                <c:pt idx="100">
                  <c:v>0.70262390670553931</c:v>
                </c:pt>
                <c:pt idx="101">
                  <c:v>0.65435356200527706</c:v>
                </c:pt>
                <c:pt idx="102">
                  <c:v>0.57692307692307687</c:v>
                </c:pt>
                <c:pt idx="103">
                  <c:v>0.70914127423822715</c:v>
                </c:pt>
                <c:pt idx="104">
                  <c:v>0.57708333333333328</c:v>
                </c:pt>
                <c:pt idx="105">
                  <c:v>0.61676646706586824</c:v>
                </c:pt>
                <c:pt idx="106">
                  <c:v>0.56555269922879181</c:v>
                </c:pt>
                <c:pt idx="107">
                  <c:v>0.51845018450184499</c:v>
                </c:pt>
                <c:pt idx="108">
                  <c:v>0.47198275862068967</c:v>
                </c:pt>
                <c:pt idx="109">
                  <c:v>0.52783505154639176</c:v>
                </c:pt>
                <c:pt idx="110">
                  <c:v>0.49808429118773945</c:v>
                </c:pt>
                <c:pt idx="111">
                  <c:v>0.53345724907063197</c:v>
                </c:pt>
                <c:pt idx="112">
                  <c:v>0.56973293768545996</c:v>
                </c:pt>
                <c:pt idx="113">
                  <c:v>0.46560846560846558</c:v>
                </c:pt>
                <c:pt idx="114">
                  <c:v>0.38289962825278812</c:v>
                </c:pt>
                <c:pt idx="115">
                  <c:v>0.39842209072978302</c:v>
                </c:pt>
                <c:pt idx="116">
                  <c:v>0.40963855421686746</c:v>
                </c:pt>
                <c:pt idx="117">
                  <c:v>0.68985507246376809</c:v>
                </c:pt>
                <c:pt idx="118">
                  <c:v>0.67669172932330823</c:v>
                </c:pt>
                <c:pt idx="119">
                  <c:v>0.58064516129032262</c:v>
                </c:pt>
                <c:pt idx="120">
                  <c:v>0.60803059273422566</c:v>
                </c:pt>
                <c:pt idx="121">
                  <c:v>0.53488372093023251</c:v>
                </c:pt>
                <c:pt idx="122">
                  <c:v>0.62631578947368416</c:v>
                </c:pt>
                <c:pt idx="123">
                  <c:v>0.54621848739495793</c:v>
                </c:pt>
                <c:pt idx="124">
                  <c:v>0.45892857142857141</c:v>
                </c:pt>
                <c:pt idx="125">
                  <c:v>0.4086206896551724</c:v>
                </c:pt>
                <c:pt idx="126">
                  <c:v>0.40162601626016259</c:v>
                </c:pt>
                <c:pt idx="127">
                  <c:v>0.57565789473684215</c:v>
                </c:pt>
                <c:pt idx="128">
                  <c:v>0.55284552845528456</c:v>
                </c:pt>
                <c:pt idx="129">
                  <c:v>0.42276422764227645</c:v>
                </c:pt>
                <c:pt idx="130">
                  <c:v>0.45233265720081134</c:v>
                </c:pt>
                <c:pt idx="131">
                  <c:v>0.65234375</c:v>
                </c:pt>
                <c:pt idx="132">
                  <c:v>0.56473829201101933</c:v>
                </c:pt>
                <c:pt idx="133">
                  <c:v>0.72237960339943341</c:v>
                </c:pt>
                <c:pt idx="134">
                  <c:v>0.58939096267190572</c:v>
                </c:pt>
                <c:pt idx="135">
                  <c:v>0.71916010498687666</c:v>
                </c:pt>
                <c:pt idx="136">
                  <c:v>0.5585738539898133</c:v>
                </c:pt>
                <c:pt idx="137">
                  <c:v>0.73076923076923073</c:v>
                </c:pt>
                <c:pt idx="138">
                  <c:v>0.7493606138107417</c:v>
                </c:pt>
                <c:pt idx="139">
                  <c:v>0.63366336633663367</c:v>
                </c:pt>
                <c:pt idx="140">
                  <c:v>0.5864661654135338</c:v>
                </c:pt>
                <c:pt idx="141">
                  <c:v>0.63133640552995396</c:v>
                </c:pt>
                <c:pt idx="142">
                  <c:v>0.52105263157894732</c:v>
                </c:pt>
                <c:pt idx="143">
                  <c:v>0.51639344262295084</c:v>
                </c:pt>
                <c:pt idx="144">
                  <c:v>0.47555555555555556</c:v>
                </c:pt>
                <c:pt idx="145">
                  <c:v>0.4178082191780822</c:v>
                </c:pt>
                <c:pt idx="146">
                  <c:v>0.43571428571428572</c:v>
                </c:pt>
                <c:pt idx="147">
                  <c:v>0.663768115942029</c:v>
                </c:pt>
                <c:pt idx="148">
                  <c:v>0.60209424083769636</c:v>
                </c:pt>
                <c:pt idx="149">
                  <c:v>0.60276338514680483</c:v>
                </c:pt>
                <c:pt idx="150">
                  <c:v>0.49628252788104088</c:v>
                </c:pt>
                <c:pt idx="151">
                  <c:v>0.52551984877126656</c:v>
                </c:pt>
                <c:pt idx="152">
                  <c:v>0.48863636363636365</c:v>
                </c:pt>
                <c:pt idx="153">
                  <c:v>0.48745519713261648</c:v>
                </c:pt>
                <c:pt idx="154">
                  <c:v>0.64720812182741116</c:v>
                </c:pt>
                <c:pt idx="155">
                  <c:v>0.47095761381475665</c:v>
                </c:pt>
                <c:pt idx="156">
                  <c:v>0.52453468697123518</c:v>
                </c:pt>
                <c:pt idx="157">
                  <c:v>0.50736497545008186</c:v>
                </c:pt>
                <c:pt idx="158">
                  <c:v>0.50352112676056338</c:v>
                </c:pt>
                <c:pt idx="159">
                  <c:v>0.39361702127659576</c:v>
                </c:pt>
                <c:pt idx="160">
                  <c:v>0.6431535269709544</c:v>
                </c:pt>
                <c:pt idx="161">
                  <c:v>0.73493975903614461</c:v>
                </c:pt>
                <c:pt idx="162">
                  <c:v>0.5092592592592593</c:v>
                </c:pt>
                <c:pt idx="163">
                  <c:v>0.46216216216216216</c:v>
                </c:pt>
                <c:pt idx="164">
                  <c:v>0.40344168260038243</c:v>
                </c:pt>
                <c:pt idx="165">
                  <c:v>0.37903225806451613</c:v>
                </c:pt>
                <c:pt idx="166">
                  <c:v>0.34122287968441817</c:v>
                </c:pt>
                <c:pt idx="167">
                  <c:v>0.38257575757575757</c:v>
                </c:pt>
                <c:pt idx="168">
                  <c:v>0.62177650429799425</c:v>
                </c:pt>
                <c:pt idx="169">
                  <c:v>0.6215686274509804</c:v>
                </c:pt>
                <c:pt idx="170">
                  <c:v>0.55069582504970183</c:v>
                </c:pt>
                <c:pt idx="171">
                  <c:v>0.76338028169014083</c:v>
                </c:pt>
                <c:pt idx="172">
                  <c:v>0.73209549071618041</c:v>
                </c:pt>
                <c:pt idx="173">
                  <c:v>0.72872340425531912</c:v>
                </c:pt>
                <c:pt idx="174">
                  <c:v>0.44</c:v>
                </c:pt>
                <c:pt idx="175">
                  <c:v>0.45572916666666669</c:v>
                </c:pt>
                <c:pt idx="176">
                  <c:v>0.55485893416927901</c:v>
                </c:pt>
                <c:pt idx="177">
                  <c:v>0.49441340782122906</c:v>
                </c:pt>
                <c:pt idx="178">
                  <c:v>0.44266666666666665</c:v>
                </c:pt>
                <c:pt idx="179">
                  <c:v>0.44842105263157894</c:v>
                </c:pt>
                <c:pt idx="180">
                  <c:v>0.43249427917620137</c:v>
                </c:pt>
                <c:pt idx="181">
                  <c:v>0.4656319290465632</c:v>
                </c:pt>
                <c:pt idx="182">
                  <c:v>0.46546546546546547</c:v>
                </c:pt>
                <c:pt idx="183">
                  <c:v>0.49803149606299213</c:v>
                </c:pt>
                <c:pt idx="184">
                  <c:v>0.42190669371196754</c:v>
                </c:pt>
                <c:pt idx="185">
                  <c:v>0.70052083333333337</c:v>
                </c:pt>
                <c:pt idx="186">
                  <c:v>0.493801652892562</c:v>
                </c:pt>
                <c:pt idx="187">
                  <c:v>0.49498997995991983</c:v>
                </c:pt>
                <c:pt idx="188">
                  <c:v>0.60101010101010099</c:v>
                </c:pt>
                <c:pt idx="189">
                  <c:v>0.47472924187725629</c:v>
                </c:pt>
                <c:pt idx="190">
                  <c:v>0.46837944664031622</c:v>
                </c:pt>
                <c:pt idx="191">
                  <c:v>0.49</c:v>
                </c:pt>
                <c:pt idx="192">
                  <c:v>0.47731397459165154</c:v>
                </c:pt>
                <c:pt idx="193">
                  <c:v>0.40217391304347827</c:v>
                </c:pt>
                <c:pt idx="194">
                  <c:v>0.37523809523809526</c:v>
                </c:pt>
                <c:pt idx="195">
                  <c:v>0.27454909819639278</c:v>
                </c:pt>
                <c:pt idx="196">
                  <c:v>0.30674846625766872</c:v>
                </c:pt>
                <c:pt idx="197">
                  <c:v>0.25617977528089886</c:v>
                </c:pt>
                <c:pt idx="198">
                  <c:v>0.3057199211045365</c:v>
                </c:pt>
                <c:pt idx="199">
                  <c:v>0.65895953757225434</c:v>
                </c:pt>
                <c:pt idx="200">
                  <c:v>0.59618717504332752</c:v>
                </c:pt>
                <c:pt idx="201">
                  <c:v>0.72477064220183485</c:v>
                </c:pt>
                <c:pt idx="202">
                  <c:v>0.56346153846153846</c:v>
                </c:pt>
                <c:pt idx="203">
                  <c:v>0.55426356589147285</c:v>
                </c:pt>
                <c:pt idx="204">
                  <c:v>0.67601246105919</c:v>
                </c:pt>
                <c:pt idx="205">
                  <c:v>0.57662337662337659</c:v>
                </c:pt>
                <c:pt idx="206">
                  <c:v>0.65817409766454349</c:v>
                </c:pt>
                <c:pt idx="207">
                  <c:v>0.68230277185501065</c:v>
                </c:pt>
                <c:pt idx="208">
                  <c:v>0.69806094182825484</c:v>
                </c:pt>
                <c:pt idx="209">
                  <c:v>0.54950495049504955</c:v>
                </c:pt>
                <c:pt idx="210">
                  <c:v>0.49305555555555558</c:v>
                </c:pt>
                <c:pt idx="211">
                  <c:v>0.47931034482758622</c:v>
                </c:pt>
                <c:pt idx="212">
                  <c:v>0.38333333333333336</c:v>
                </c:pt>
                <c:pt idx="213">
                  <c:v>0.32665330661322645</c:v>
                </c:pt>
                <c:pt idx="214">
                  <c:v>0.31663326653306612</c:v>
                </c:pt>
                <c:pt idx="215">
                  <c:v>0.63805970149253732</c:v>
                </c:pt>
                <c:pt idx="216">
                  <c:v>0.56704980842911878</c:v>
                </c:pt>
                <c:pt idx="217">
                  <c:v>0.59523809523809523</c:v>
                </c:pt>
                <c:pt idx="218">
                  <c:v>0.72077922077922074</c:v>
                </c:pt>
                <c:pt idx="219">
                  <c:v>0.65445026178010468</c:v>
                </c:pt>
                <c:pt idx="220">
                  <c:v>0.5675</c:v>
                </c:pt>
                <c:pt idx="221">
                  <c:v>0.57544757033248084</c:v>
                </c:pt>
                <c:pt idx="222">
                  <c:v>0.580952380952381</c:v>
                </c:pt>
                <c:pt idx="223">
                  <c:v>0.69970845481049559</c:v>
                </c:pt>
                <c:pt idx="224">
                  <c:v>0.57105263157894737</c:v>
                </c:pt>
                <c:pt idx="225">
                  <c:v>0.56216216216216219</c:v>
                </c:pt>
                <c:pt idx="226">
                  <c:v>0.6174496644295302</c:v>
                </c:pt>
                <c:pt idx="227">
                  <c:v>0.54621848739495793</c:v>
                </c:pt>
                <c:pt idx="228">
                  <c:v>0.46052631578947367</c:v>
                </c:pt>
                <c:pt idx="229">
                  <c:v>0.69636963696369636</c:v>
                </c:pt>
                <c:pt idx="230">
                  <c:v>0.65551839464882944</c:v>
                </c:pt>
                <c:pt idx="231">
                  <c:v>0.57749077490774903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4C-47D3-8F8F-42B42A5E2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337743"/>
        <c:axId val="653711824"/>
      </c:scatterChart>
      <c:valAx>
        <c:axId val="46633774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711824"/>
        <c:crosses val="autoZero"/>
        <c:crossBetween val="midCat"/>
      </c:valAx>
      <c:valAx>
        <c:axId val="65371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37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4360411198600174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Chinese% P131 Rembau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4292104111985999"/>
                  <c:y val="5.0308398950131235E-2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RaceWorksheet!$J$2:$J$233</c:f>
              <c:numCache>
                <c:formatCode>0.0%</c:formatCode>
                <c:ptCount val="232"/>
                <c:pt idx="0">
                  <c:v>6.222222222222222E-2</c:v>
                </c:pt>
                <c:pt idx="1">
                  <c:v>5.7777777777777775E-2</c:v>
                </c:pt>
                <c:pt idx="2">
                  <c:v>5.1779935275080909E-2</c:v>
                </c:pt>
                <c:pt idx="3">
                  <c:v>3.2362459546925564E-2</c:v>
                </c:pt>
                <c:pt idx="4">
                  <c:v>5.3398058252427182E-2</c:v>
                </c:pt>
                <c:pt idx="5">
                  <c:v>4.361873990306947E-2</c:v>
                </c:pt>
                <c:pt idx="6">
                  <c:v>1.3333333333333334E-2</c:v>
                </c:pt>
                <c:pt idx="7">
                  <c:v>1.5555555555555555E-2</c:v>
                </c:pt>
                <c:pt idx="8">
                  <c:v>2.197802197802198E-2</c:v>
                </c:pt>
                <c:pt idx="9">
                  <c:v>1.8838304552590265E-2</c:v>
                </c:pt>
                <c:pt idx="10">
                  <c:v>1.098901098901099E-2</c:v>
                </c:pt>
                <c:pt idx="11">
                  <c:v>1.4128728414442701E-2</c:v>
                </c:pt>
                <c:pt idx="12">
                  <c:v>7.8492935635792772E-3</c:v>
                </c:pt>
                <c:pt idx="13">
                  <c:v>9.4191522762951327E-3</c:v>
                </c:pt>
                <c:pt idx="14">
                  <c:v>5.3333333333333337E-2</c:v>
                </c:pt>
                <c:pt idx="15">
                  <c:v>4.4444444444444446E-2</c:v>
                </c:pt>
                <c:pt idx="16">
                  <c:v>6.0465116279069767E-2</c:v>
                </c:pt>
                <c:pt idx="17">
                  <c:v>3.4108527131782945E-2</c:v>
                </c:pt>
                <c:pt idx="18">
                  <c:v>3.1007751937984496E-2</c:v>
                </c:pt>
                <c:pt idx="19">
                  <c:v>2.1705426356589147E-2</c:v>
                </c:pt>
                <c:pt idx="20">
                  <c:v>2.4806201550387597E-2</c:v>
                </c:pt>
                <c:pt idx="21">
                  <c:v>9.3333333333333338E-2</c:v>
                </c:pt>
                <c:pt idx="22">
                  <c:v>7.7777777777777779E-2</c:v>
                </c:pt>
                <c:pt idx="23">
                  <c:v>5.9829059829059832E-2</c:v>
                </c:pt>
                <c:pt idx="24">
                  <c:v>2.735042735042735E-2</c:v>
                </c:pt>
                <c:pt idx="25">
                  <c:v>3.2423208191126277E-2</c:v>
                </c:pt>
                <c:pt idx="26">
                  <c:v>2.6666666666666668E-2</c:v>
                </c:pt>
                <c:pt idx="27">
                  <c:v>5.1111111111111114E-2</c:v>
                </c:pt>
                <c:pt idx="28">
                  <c:v>1.8181818181818181E-2</c:v>
                </c:pt>
                <c:pt idx="29">
                  <c:v>2.3102310231023101E-2</c:v>
                </c:pt>
                <c:pt idx="30">
                  <c:v>3.3003300330033E-2</c:v>
                </c:pt>
                <c:pt idx="31">
                  <c:v>2.3102310231023101E-2</c:v>
                </c:pt>
                <c:pt idx="32">
                  <c:v>0.30444444444444446</c:v>
                </c:pt>
                <c:pt idx="33">
                  <c:v>0.23661971830985915</c:v>
                </c:pt>
                <c:pt idx="34">
                  <c:v>0.35714285714285715</c:v>
                </c:pt>
                <c:pt idx="35">
                  <c:v>9.154929577464789E-2</c:v>
                </c:pt>
                <c:pt idx="36">
                  <c:v>6.6666666666666671E-3</c:v>
                </c:pt>
                <c:pt idx="37">
                  <c:v>2.9027576197387518E-3</c:v>
                </c:pt>
                <c:pt idx="38">
                  <c:v>1.4513788098693759E-3</c:v>
                </c:pt>
                <c:pt idx="39">
                  <c:v>1.4513788098693759E-3</c:v>
                </c:pt>
                <c:pt idx="40">
                  <c:v>6.6666666666666666E-2</c:v>
                </c:pt>
                <c:pt idx="41">
                  <c:v>4.6666666666666669E-2</c:v>
                </c:pt>
                <c:pt idx="42">
                  <c:v>7.1312803889789306E-2</c:v>
                </c:pt>
                <c:pt idx="43">
                  <c:v>4.3760129659643439E-2</c:v>
                </c:pt>
                <c:pt idx="44">
                  <c:v>2.2690437601296597E-2</c:v>
                </c:pt>
                <c:pt idx="45">
                  <c:v>5.6726094003241488E-2</c:v>
                </c:pt>
                <c:pt idx="46">
                  <c:v>3.8834951456310676E-2</c:v>
                </c:pt>
                <c:pt idx="47">
                  <c:v>5.7777777777777775E-2</c:v>
                </c:pt>
                <c:pt idx="48">
                  <c:v>3.4139402560455195E-2</c:v>
                </c:pt>
                <c:pt idx="49">
                  <c:v>3.2716927453769556E-2</c:v>
                </c:pt>
                <c:pt idx="50">
                  <c:v>2.7027027027027029E-2</c:v>
                </c:pt>
                <c:pt idx="51">
                  <c:v>3.8406827880512091E-2</c:v>
                </c:pt>
                <c:pt idx="52">
                  <c:v>1.9914651493598862E-2</c:v>
                </c:pt>
                <c:pt idx="53">
                  <c:v>1.9801980198019802E-2</c:v>
                </c:pt>
                <c:pt idx="54">
                  <c:v>1.1111111111111112E-2</c:v>
                </c:pt>
                <c:pt idx="55">
                  <c:v>2.7859237536656891E-2</c:v>
                </c:pt>
                <c:pt idx="56">
                  <c:v>1.7595307917888565E-2</c:v>
                </c:pt>
                <c:pt idx="57">
                  <c:v>2.4926686217008796E-2</c:v>
                </c:pt>
                <c:pt idx="58">
                  <c:v>2.6354319180087848E-2</c:v>
                </c:pt>
                <c:pt idx="59">
                  <c:v>0.11777777777777777</c:v>
                </c:pt>
                <c:pt idx="60">
                  <c:v>5.5555555555555552E-2</c:v>
                </c:pt>
                <c:pt idx="61">
                  <c:v>3.2448377581120944E-2</c:v>
                </c:pt>
                <c:pt idx="62">
                  <c:v>1.9174041297935103E-2</c:v>
                </c:pt>
                <c:pt idx="63">
                  <c:v>8.8495575221238937E-3</c:v>
                </c:pt>
                <c:pt idx="64">
                  <c:v>8.836524300441826E-3</c:v>
                </c:pt>
                <c:pt idx="65">
                  <c:v>0.02</c:v>
                </c:pt>
                <c:pt idx="66">
                  <c:v>1.7777777777777778E-2</c:v>
                </c:pt>
                <c:pt idx="67">
                  <c:v>2.5745257452574527E-2</c:v>
                </c:pt>
                <c:pt idx="68">
                  <c:v>2.8416779431664412E-2</c:v>
                </c:pt>
                <c:pt idx="69">
                  <c:v>2.4357239512855209E-2</c:v>
                </c:pt>
                <c:pt idx="70">
                  <c:v>1.7591339648173207E-2</c:v>
                </c:pt>
                <c:pt idx="71">
                  <c:v>6.7658998646820028E-3</c:v>
                </c:pt>
                <c:pt idx="72">
                  <c:v>1.0825439783491205E-2</c:v>
                </c:pt>
                <c:pt idx="73">
                  <c:v>2.7063599458728013E-3</c:v>
                </c:pt>
                <c:pt idx="74">
                  <c:v>5.1111111111111114E-2</c:v>
                </c:pt>
                <c:pt idx="75">
                  <c:v>5.9805285118219746E-2</c:v>
                </c:pt>
                <c:pt idx="76">
                  <c:v>4.583333333333333E-2</c:v>
                </c:pt>
                <c:pt idx="77">
                  <c:v>5.8333333333333334E-2</c:v>
                </c:pt>
                <c:pt idx="78">
                  <c:v>3.6111111111111108E-2</c:v>
                </c:pt>
                <c:pt idx="79">
                  <c:v>3.0555555555555555E-2</c:v>
                </c:pt>
                <c:pt idx="80">
                  <c:v>0.24444444444444444</c:v>
                </c:pt>
                <c:pt idx="81">
                  <c:v>0.22444444444444445</c:v>
                </c:pt>
                <c:pt idx="82">
                  <c:v>0.17135207496653279</c:v>
                </c:pt>
                <c:pt idx="83">
                  <c:v>0.19786096256684493</c:v>
                </c:pt>
                <c:pt idx="84">
                  <c:v>0.13770053475935828</c:v>
                </c:pt>
                <c:pt idx="85">
                  <c:v>7.7540106951871662E-2</c:v>
                </c:pt>
                <c:pt idx="86">
                  <c:v>3.8770053475935831E-2</c:v>
                </c:pt>
                <c:pt idx="87">
                  <c:v>0.31111111111111112</c:v>
                </c:pt>
                <c:pt idx="88">
                  <c:v>0.31777777777777777</c:v>
                </c:pt>
                <c:pt idx="89">
                  <c:v>0.30666666666666664</c:v>
                </c:pt>
                <c:pt idx="90">
                  <c:v>0.25775978407557354</c:v>
                </c:pt>
                <c:pt idx="91">
                  <c:v>0.22941970310391363</c:v>
                </c:pt>
                <c:pt idx="92">
                  <c:v>0.18758434547908232</c:v>
                </c:pt>
                <c:pt idx="93">
                  <c:v>0.14304993252361672</c:v>
                </c:pt>
                <c:pt idx="94">
                  <c:v>9.3117408906882596E-2</c:v>
                </c:pt>
                <c:pt idx="95">
                  <c:v>7.6923076923076927E-2</c:v>
                </c:pt>
                <c:pt idx="96">
                  <c:v>0.26571428571428574</c:v>
                </c:pt>
                <c:pt idx="97">
                  <c:v>0.20845070422535211</c:v>
                </c:pt>
                <c:pt idx="98">
                  <c:v>0</c:v>
                </c:pt>
                <c:pt idx="99">
                  <c:v>4.7770700636942673E-3</c:v>
                </c:pt>
                <c:pt idx="100">
                  <c:v>2.2222222222222222E-3</c:v>
                </c:pt>
                <c:pt idx="101">
                  <c:v>4.2372881355932203E-3</c:v>
                </c:pt>
                <c:pt idx="102">
                  <c:v>0</c:v>
                </c:pt>
                <c:pt idx="103">
                  <c:v>0.02</c:v>
                </c:pt>
                <c:pt idx="104">
                  <c:v>3.4246575342465752E-3</c:v>
                </c:pt>
                <c:pt idx="105">
                  <c:v>5.5555555555555552E-2</c:v>
                </c:pt>
                <c:pt idx="106">
                  <c:v>8.2222222222222224E-2</c:v>
                </c:pt>
                <c:pt idx="107">
                  <c:v>7.874015748031496E-2</c:v>
                </c:pt>
                <c:pt idx="108">
                  <c:v>9.2913385826771652E-2</c:v>
                </c:pt>
                <c:pt idx="109">
                  <c:v>8.0314960629921259E-2</c:v>
                </c:pt>
                <c:pt idx="110">
                  <c:v>5.5118110236220472E-2</c:v>
                </c:pt>
                <c:pt idx="111">
                  <c:v>3.7735849056603772E-2</c:v>
                </c:pt>
                <c:pt idx="112">
                  <c:v>0.3</c:v>
                </c:pt>
                <c:pt idx="113">
                  <c:v>0.19555555555555557</c:v>
                </c:pt>
                <c:pt idx="114">
                  <c:v>0.196048632218845</c:v>
                </c:pt>
                <c:pt idx="115">
                  <c:v>0.10318664643399089</c:v>
                </c:pt>
                <c:pt idx="116">
                  <c:v>9.8634294385432475E-2</c:v>
                </c:pt>
                <c:pt idx="117">
                  <c:v>8.4444444444444447E-2</c:v>
                </c:pt>
                <c:pt idx="118">
                  <c:v>1.7777777777777778E-2</c:v>
                </c:pt>
                <c:pt idx="119">
                  <c:v>1.0309278350515464E-2</c:v>
                </c:pt>
                <c:pt idx="120">
                  <c:v>8.836524300441826E-3</c:v>
                </c:pt>
                <c:pt idx="121">
                  <c:v>1.4705882352941176E-3</c:v>
                </c:pt>
                <c:pt idx="122">
                  <c:v>0.29777777777777775</c:v>
                </c:pt>
                <c:pt idx="123">
                  <c:v>0.22</c:v>
                </c:pt>
                <c:pt idx="124">
                  <c:v>0.20775193798449612</c:v>
                </c:pt>
                <c:pt idx="125">
                  <c:v>0.13953488372093023</c:v>
                </c:pt>
                <c:pt idx="126">
                  <c:v>1.1111111111111112E-2</c:v>
                </c:pt>
                <c:pt idx="127">
                  <c:v>3.1205673758865248E-2</c:v>
                </c:pt>
                <c:pt idx="128">
                  <c:v>2.2695035460992909E-2</c:v>
                </c:pt>
                <c:pt idx="129">
                  <c:v>2.6950354609929079E-2</c:v>
                </c:pt>
                <c:pt idx="130">
                  <c:v>1.8439716312056736E-2</c:v>
                </c:pt>
                <c:pt idx="131">
                  <c:v>0.18571428571428572</c:v>
                </c:pt>
                <c:pt idx="132">
                  <c:v>0.04</c:v>
                </c:pt>
                <c:pt idx="133">
                  <c:v>0</c:v>
                </c:pt>
                <c:pt idx="134">
                  <c:v>0</c:v>
                </c:pt>
                <c:pt idx="135">
                  <c:v>2.2222222222222222E-3</c:v>
                </c:pt>
                <c:pt idx="136">
                  <c:v>0</c:v>
                </c:pt>
                <c:pt idx="137">
                  <c:v>1.3333333333333334E-2</c:v>
                </c:pt>
                <c:pt idx="138">
                  <c:v>2.2222222222222222E-3</c:v>
                </c:pt>
                <c:pt idx="139">
                  <c:v>7.8431372549019607E-3</c:v>
                </c:pt>
                <c:pt idx="140">
                  <c:v>0</c:v>
                </c:pt>
                <c:pt idx="141">
                  <c:v>0</c:v>
                </c:pt>
                <c:pt idx="142">
                  <c:v>8.4444444444444447E-2</c:v>
                </c:pt>
                <c:pt idx="143">
                  <c:v>5.3540587219343697E-2</c:v>
                </c:pt>
                <c:pt idx="144">
                  <c:v>8.8082901554404139E-2</c:v>
                </c:pt>
                <c:pt idx="145">
                  <c:v>7.9447322970639028E-2</c:v>
                </c:pt>
                <c:pt idx="146">
                  <c:v>7.7452667814113599E-2</c:v>
                </c:pt>
                <c:pt idx="147">
                  <c:v>0.11555555555555555</c:v>
                </c:pt>
                <c:pt idx="148">
                  <c:v>8.8888888888888892E-2</c:v>
                </c:pt>
                <c:pt idx="149">
                  <c:v>5.5964653902798235E-2</c:v>
                </c:pt>
                <c:pt idx="150">
                  <c:v>7.8055964653902798E-2</c:v>
                </c:pt>
                <c:pt idx="151">
                  <c:v>9.5729013254786458E-2</c:v>
                </c:pt>
                <c:pt idx="152">
                  <c:v>7.0692194403534608E-2</c:v>
                </c:pt>
                <c:pt idx="153">
                  <c:v>8.0882352941176475E-2</c:v>
                </c:pt>
                <c:pt idx="154">
                  <c:v>2.2222222222222223E-2</c:v>
                </c:pt>
                <c:pt idx="155">
                  <c:v>1.5235457063711912E-2</c:v>
                </c:pt>
                <c:pt idx="156">
                  <c:v>2.077562326869806E-2</c:v>
                </c:pt>
                <c:pt idx="157">
                  <c:v>2.3545706371191136E-2</c:v>
                </c:pt>
                <c:pt idx="158">
                  <c:v>0.14825581395348839</c:v>
                </c:pt>
                <c:pt idx="159">
                  <c:v>0.21159420289855072</c:v>
                </c:pt>
                <c:pt idx="160">
                  <c:v>3.0100334448160536E-2</c:v>
                </c:pt>
                <c:pt idx="161">
                  <c:v>0</c:v>
                </c:pt>
                <c:pt idx="162">
                  <c:v>0.41111111111111109</c:v>
                </c:pt>
                <c:pt idx="163">
                  <c:v>0.34222222222222221</c:v>
                </c:pt>
                <c:pt idx="164">
                  <c:v>0.34444444444444444</c:v>
                </c:pt>
                <c:pt idx="165">
                  <c:v>0.32171156893819336</c:v>
                </c:pt>
                <c:pt idx="166">
                  <c:v>0.31854199683042789</c:v>
                </c:pt>
                <c:pt idx="167">
                  <c:v>0.25039619651347067</c:v>
                </c:pt>
                <c:pt idx="168">
                  <c:v>0.20222222222222222</c:v>
                </c:pt>
                <c:pt idx="169">
                  <c:v>0.16159999999999999</c:v>
                </c:pt>
                <c:pt idx="170">
                  <c:v>7.8274760383386585E-2</c:v>
                </c:pt>
                <c:pt idx="171">
                  <c:v>0.13555555555555557</c:v>
                </c:pt>
                <c:pt idx="172">
                  <c:v>7.7777777777777779E-2</c:v>
                </c:pt>
                <c:pt idx="173">
                  <c:v>8.869179600886918E-3</c:v>
                </c:pt>
                <c:pt idx="174">
                  <c:v>0.25696594427244585</c:v>
                </c:pt>
                <c:pt idx="175">
                  <c:v>0.06</c:v>
                </c:pt>
                <c:pt idx="176">
                  <c:v>0.4177777777777778</c:v>
                </c:pt>
                <c:pt idx="177">
                  <c:v>0.41555555555555557</c:v>
                </c:pt>
                <c:pt idx="178">
                  <c:v>0.31333333333333335</c:v>
                </c:pt>
                <c:pt idx="179">
                  <c:v>0.32055749128919858</c:v>
                </c:pt>
                <c:pt idx="180">
                  <c:v>0.28048780487804881</c:v>
                </c:pt>
                <c:pt idx="181">
                  <c:v>0.17770034843205576</c:v>
                </c:pt>
                <c:pt idx="182">
                  <c:v>0.12222222222222222</c:v>
                </c:pt>
                <c:pt idx="183">
                  <c:v>4.878048780487805E-2</c:v>
                </c:pt>
                <c:pt idx="184">
                  <c:v>2.4350649350649352E-2</c:v>
                </c:pt>
                <c:pt idx="185">
                  <c:v>4.6666666666666669E-2</c:v>
                </c:pt>
                <c:pt idx="186">
                  <c:v>8.6378737541528236E-2</c:v>
                </c:pt>
                <c:pt idx="187">
                  <c:v>7.6285240464344942E-2</c:v>
                </c:pt>
                <c:pt idx="188">
                  <c:v>0.12</c:v>
                </c:pt>
                <c:pt idx="189">
                  <c:v>0.13302034428794993</c:v>
                </c:pt>
                <c:pt idx="190">
                  <c:v>0.1564945226917058</c:v>
                </c:pt>
                <c:pt idx="191">
                  <c:v>0.10954616588419405</c:v>
                </c:pt>
                <c:pt idx="192">
                  <c:v>8.7636932707355245E-2</c:v>
                </c:pt>
                <c:pt idx="193">
                  <c:v>0.4022222222222222</c:v>
                </c:pt>
                <c:pt idx="194">
                  <c:v>0.42062193126022912</c:v>
                </c:pt>
                <c:pt idx="195">
                  <c:v>0.41080196399345337</c:v>
                </c:pt>
                <c:pt idx="196">
                  <c:v>0.33224222585924712</c:v>
                </c:pt>
                <c:pt idx="197">
                  <c:v>0.33387888707037644</c:v>
                </c:pt>
                <c:pt idx="198">
                  <c:v>0.28130081300813009</c:v>
                </c:pt>
                <c:pt idx="199">
                  <c:v>2.6666666666666668E-2</c:v>
                </c:pt>
                <c:pt idx="200">
                  <c:v>8.4745762711864406E-3</c:v>
                </c:pt>
                <c:pt idx="201">
                  <c:v>3.7777777777777778E-2</c:v>
                </c:pt>
                <c:pt idx="202">
                  <c:v>4.2748091603053436E-2</c:v>
                </c:pt>
                <c:pt idx="203">
                  <c:v>2.5954198473282442E-2</c:v>
                </c:pt>
                <c:pt idx="204">
                  <c:v>2.2499999999999999E-2</c:v>
                </c:pt>
                <c:pt idx="205">
                  <c:v>1.0266940451745379E-2</c:v>
                </c:pt>
                <c:pt idx="206">
                  <c:v>1.2195121951219513E-2</c:v>
                </c:pt>
                <c:pt idx="207">
                  <c:v>5.1903114186851208E-3</c:v>
                </c:pt>
                <c:pt idx="208">
                  <c:v>3.3333333333333333E-2</c:v>
                </c:pt>
                <c:pt idx="209">
                  <c:v>6.0903732809430254E-2</c:v>
                </c:pt>
                <c:pt idx="210">
                  <c:v>3.5294117647058823E-2</c:v>
                </c:pt>
                <c:pt idx="211">
                  <c:v>0.47111111111111109</c:v>
                </c:pt>
                <c:pt idx="212">
                  <c:v>0.4</c:v>
                </c:pt>
                <c:pt idx="213">
                  <c:v>0.324812030075188</c:v>
                </c:pt>
                <c:pt idx="214">
                  <c:v>0.22822822822822822</c:v>
                </c:pt>
                <c:pt idx="215">
                  <c:v>0</c:v>
                </c:pt>
                <c:pt idx="216">
                  <c:v>0</c:v>
                </c:pt>
                <c:pt idx="217">
                  <c:v>2.2522522522522522E-3</c:v>
                </c:pt>
                <c:pt idx="218">
                  <c:v>6.8888888888888888E-2</c:v>
                </c:pt>
                <c:pt idx="219">
                  <c:v>2.2222222222222223E-2</c:v>
                </c:pt>
                <c:pt idx="220">
                  <c:v>1.7578125E-2</c:v>
                </c:pt>
                <c:pt idx="221">
                  <c:v>7.7972709551656916E-3</c:v>
                </c:pt>
                <c:pt idx="222">
                  <c:v>3.8986354775828458E-3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8.8339222614840993E-3</c:v>
                </c:pt>
                <c:pt idx="227">
                  <c:v>0.17555555555555555</c:v>
                </c:pt>
                <c:pt idx="228">
                  <c:v>9.494949494949495E-2</c:v>
                </c:pt>
                <c:pt idx="229">
                  <c:v>0</c:v>
                </c:pt>
                <c:pt idx="230">
                  <c:v>2.7100271002710027E-3</c:v>
                </c:pt>
                <c:pt idx="231">
                  <c:v>0</c:v>
                </c:pt>
              </c:numCache>
            </c:numRef>
          </c:xVal>
          <c:yVal>
            <c:numRef>
              <c:f>RaceWorksheet!$A$2:$A$233</c:f>
              <c:numCache>
                <c:formatCode>0.0%</c:formatCode>
                <c:ptCount val="232"/>
                <c:pt idx="0">
                  <c:v>0.30219780219780218</c:v>
                </c:pt>
                <c:pt idx="1">
                  <c:v>0.30412371134020616</c:v>
                </c:pt>
                <c:pt idx="2">
                  <c:v>0.27459016393442626</c:v>
                </c:pt>
                <c:pt idx="3">
                  <c:v>0.30084745762711862</c:v>
                </c:pt>
                <c:pt idx="4">
                  <c:v>0.42884990253411304</c:v>
                </c:pt>
                <c:pt idx="5">
                  <c:v>0.40850277264325324</c:v>
                </c:pt>
                <c:pt idx="6">
                  <c:v>0.22222222222222221</c:v>
                </c:pt>
                <c:pt idx="7">
                  <c:v>0.20351758793969849</c:v>
                </c:pt>
                <c:pt idx="8">
                  <c:v>0.25140712945590993</c:v>
                </c:pt>
                <c:pt idx="9">
                  <c:v>0.15746421267893659</c:v>
                </c:pt>
                <c:pt idx="10">
                  <c:v>0.20799999999999999</c:v>
                </c:pt>
                <c:pt idx="11">
                  <c:v>0.26719056974459726</c:v>
                </c:pt>
                <c:pt idx="12">
                  <c:v>0.3</c:v>
                </c:pt>
                <c:pt idx="13">
                  <c:v>0.22586520947176686</c:v>
                </c:pt>
                <c:pt idx="14">
                  <c:v>0.18617021276595744</c:v>
                </c:pt>
                <c:pt idx="15">
                  <c:v>0.22500000000000001</c:v>
                </c:pt>
                <c:pt idx="16">
                  <c:v>0.26447876447876451</c:v>
                </c:pt>
                <c:pt idx="17">
                  <c:v>0.24007936507936509</c:v>
                </c:pt>
                <c:pt idx="18">
                  <c:v>0.23408239700374531</c:v>
                </c:pt>
                <c:pt idx="19">
                  <c:v>0.30297397769516726</c:v>
                </c:pt>
                <c:pt idx="20">
                  <c:v>0.25367647058823528</c:v>
                </c:pt>
                <c:pt idx="21">
                  <c:v>0.26176470588235295</c:v>
                </c:pt>
                <c:pt idx="22">
                  <c:v>0.36340852130325813</c:v>
                </c:pt>
                <c:pt idx="23">
                  <c:v>0.28907922912205569</c:v>
                </c:pt>
                <c:pt idx="24">
                  <c:v>0.23627684964200477</c:v>
                </c:pt>
                <c:pt idx="25">
                  <c:v>0.3160270880361174</c:v>
                </c:pt>
                <c:pt idx="26">
                  <c:v>0.29815303430079154</c:v>
                </c:pt>
                <c:pt idx="27">
                  <c:v>0.34011627906976744</c:v>
                </c:pt>
                <c:pt idx="28">
                  <c:v>0.27083333333333331</c:v>
                </c:pt>
                <c:pt idx="29">
                  <c:v>0.27615062761506276</c:v>
                </c:pt>
                <c:pt idx="30">
                  <c:v>0.33062880324543609</c:v>
                </c:pt>
                <c:pt idx="31">
                  <c:v>0.33601609657947684</c:v>
                </c:pt>
                <c:pt idx="32">
                  <c:v>0.61876832844574781</c:v>
                </c:pt>
                <c:pt idx="33">
                  <c:v>0.80034423407917388</c:v>
                </c:pt>
                <c:pt idx="34">
                  <c:v>0.69465648854961837</c:v>
                </c:pt>
                <c:pt idx="35">
                  <c:v>0.76988636363636365</c:v>
                </c:pt>
                <c:pt idx="36">
                  <c:v>0.23955431754874651</c:v>
                </c:pt>
                <c:pt idx="37">
                  <c:v>0.2544529262086514</c:v>
                </c:pt>
                <c:pt idx="38">
                  <c:v>0.24698795180722891</c:v>
                </c:pt>
                <c:pt idx="39">
                  <c:v>0.25</c:v>
                </c:pt>
                <c:pt idx="40">
                  <c:v>0.2413793103448276</c:v>
                </c:pt>
                <c:pt idx="41">
                  <c:v>0.29583333333333334</c:v>
                </c:pt>
                <c:pt idx="42">
                  <c:v>0.22113502935420742</c:v>
                </c:pt>
                <c:pt idx="43">
                  <c:v>0.12430939226519337</c:v>
                </c:pt>
                <c:pt idx="44">
                  <c:v>0.16517055655296231</c:v>
                </c:pt>
                <c:pt idx="45">
                  <c:v>0.16888045540796964</c:v>
                </c:pt>
                <c:pt idx="46">
                  <c:v>0.1944922547332186</c:v>
                </c:pt>
                <c:pt idx="47">
                  <c:v>0.34770114942528735</c:v>
                </c:pt>
                <c:pt idx="48">
                  <c:v>0.36249999999999999</c:v>
                </c:pt>
                <c:pt idx="49">
                  <c:v>0.32155477031802121</c:v>
                </c:pt>
                <c:pt idx="50">
                  <c:v>0.32904411764705882</c:v>
                </c:pt>
                <c:pt idx="51">
                  <c:v>0.35689655172413792</c:v>
                </c:pt>
                <c:pt idx="52">
                  <c:v>0.32554257095158595</c:v>
                </c:pt>
                <c:pt idx="53">
                  <c:v>0.41076487252124644</c:v>
                </c:pt>
                <c:pt idx="54">
                  <c:v>0.42833876221498374</c:v>
                </c:pt>
                <c:pt idx="55">
                  <c:v>0.58272058823529416</c:v>
                </c:pt>
                <c:pt idx="56">
                  <c:v>0.47924528301886793</c:v>
                </c:pt>
                <c:pt idx="57">
                  <c:v>0.46125461254612549</c:v>
                </c:pt>
                <c:pt idx="58">
                  <c:v>0.47707979626485569</c:v>
                </c:pt>
                <c:pt idx="59">
                  <c:v>0.4350758853288364</c:v>
                </c:pt>
                <c:pt idx="60">
                  <c:v>0.20207253886010362</c:v>
                </c:pt>
                <c:pt idx="61">
                  <c:v>0.26956521739130435</c:v>
                </c:pt>
                <c:pt idx="62">
                  <c:v>0.27697841726618705</c:v>
                </c:pt>
                <c:pt idx="63">
                  <c:v>0.3181019332161687</c:v>
                </c:pt>
                <c:pt idx="64">
                  <c:v>0.28378378378378377</c:v>
                </c:pt>
                <c:pt idx="65">
                  <c:v>0.2344632768361582</c:v>
                </c:pt>
                <c:pt idx="66">
                  <c:v>0.29601990049751242</c:v>
                </c:pt>
                <c:pt idx="67">
                  <c:v>0.28821656050955413</c:v>
                </c:pt>
                <c:pt idx="68">
                  <c:v>0.2807017543859649</c:v>
                </c:pt>
                <c:pt idx="69">
                  <c:v>0.25352112676056338</c:v>
                </c:pt>
                <c:pt idx="70">
                  <c:v>0.2611683848797251</c:v>
                </c:pt>
                <c:pt idx="71">
                  <c:v>0.31438127090301005</c:v>
                </c:pt>
                <c:pt idx="72">
                  <c:v>0.29967426710097722</c:v>
                </c:pt>
                <c:pt idx="73">
                  <c:v>0.30612244897959184</c:v>
                </c:pt>
                <c:pt idx="74">
                  <c:v>0.48757763975155277</c:v>
                </c:pt>
                <c:pt idx="75">
                  <c:v>0.4483695652173913</c:v>
                </c:pt>
                <c:pt idx="76">
                  <c:v>0.40536277602523657</c:v>
                </c:pt>
                <c:pt idx="77">
                  <c:v>0.41245791245791247</c:v>
                </c:pt>
                <c:pt idx="78">
                  <c:v>0.42342342342342343</c:v>
                </c:pt>
                <c:pt idx="79">
                  <c:v>0.28446771378708552</c:v>
                </c:pt>
                <c:pt idx="80">
                  <c:v>0.23671497584541062</c:v>
                </c:pt>
                <c:pt idx="81">
                  <c:v>0.2116991643454039</c:v>
                </c:pt>
                <c:pt idx="82">
                  <c:v>0.27914614121510672</c:v>
                </c:pt>
                <c:pt idx="83">
                  <c:v>0.25085910652920962</c:v>
                </c:pt>
                <c:pt idx="84">
                  <c:v>0.29276895943562609</c:v>
                </c:pt>
                <c:pt idx="85">
                  <c:v>0.29610829103214892</c:v>
                </c:pt>
                <c:pt idx="86">
                  <c:v>0.25844594594594594</c:v>
                </c:pt>
                <c:pt idx="87">
                  <c:v>0.41528239202657807</c:v>
                </c:pt>
                <c:pt idx="88">
                  <c:v>0.453125</c:v>
                </c:pt>
                <c:pt idx="89">
                  <c:v>0.52835051546391754</c:v>
                </c:pt>
                <c:pt idx="90">
                  <c:v>0.48281505728314239</c:v>
                </c:pt>
                <c:pt idx="91">
                  <c:v>0.43760683760683761</c:v>
                </c:pt>
                <c:pt idx="92">
                  <c:v>0.37696335078534032</c:v>
                </c:pt>
                <c:pt idx="93">
                  <c:v>0.38380281690140844</c:v>
                </c:pt>
                <c:pt idx="94">
                  <c:v>0.39721254355400698</c:v>
                </c:pt>
                <c:pt idx="95">
                  <c:v>0.36970684039087948</c:v>
                </c:pt>
                <c:pt idx="96">
                  <c:v>0.42366412213740456</c:v>
                </c:pt>
                <c:pt idx="97">
                  <c:v>0.49477351916376305</c:v>
                </c:pt>
                <c:pt idx="98">
                  <c:v>0.11299435028248588</c:v>
                </c:pt>
                <c:pt idx="99">
                  <c:v>9.3816631130063971E-2</c:v>
                </c:pt>
                <c:pt idx="100">
                  <c:v>0.13119533527696792</c:v>
                </c:pt>
                <c:pt idx="101">
                  <c:v>0.11873350923482849</c:v>
                </c:pt>
                <c:pt idx="102">
                  <c:v>0.15680473372781065</c:v>
                </c:pt>
                <c:pt idx="103">
                  <c:v>0.13573407202216067</c:v>
                </c:pt>
                <c:pt idx="104">
                  <c:v>0.17499999999999999</c:v>
                </c:pt>
                <c:pt idx="105">
                  <c:v>0.22754491017964071</c:v>
                </c:pt>
                <c:pt idx="106">
                  <c:v>0.23136246786632392</c:v>
                </c:pt>
                <c:pt idx="107">
                  <c:v>0.25830258302583026</c:v>
                </c:pt>
                <c:pt idx="108">
                  <c:v>0.26724137931034481</c:v>
                </c:pt>
                <c:pt idx="109">
                  <c:v>0.24948453608247423</c:v>
                </c:pt>
                <c:pt idx="110">
                  <c:v>0.28160919540229884</c:v>
                </c:pt>
                <c:pt idx="111">
                  <c:v>0.24349442379182157</c:v>
                </c:pt>
                <c:pt idx="112">
                  <c:v>0.32937685459940652</c:v>
                </c:pt>
                <c:pt idx="113">
                  <c:v>0.38095238095238093</c:v>
                </c:pt>
                <c:pt idx="114">
                  <c:v>0.44795539033457249</c:v>
                </c:pt>
                <c:pt idx="115">
                  <c:v>0.4181459566074951</c:v>
                </c:pt>
                <c:pt idx="116">
                  <c:v>0.40160642570281124</c:v>
                </c:pt>
                <c:pt idx="117">
                  <c:v>0.20869565217391303</c:v>
                </c:pt>
                <c:pt idx="118">
                  <c:v>0.13784461152882205</c:v>
                </c:pt>
                <c:pt idx="119">
                  <c:v>0.15053763440860216</c:v>
                </c:pt>
                <c:pt idx="120">
                  <c:v>0.11663479923518165</c:v>
                </c:pt>
                <c:pt idx="121">
                  <c:v>0.17173524150268335</c:v>
                </c:pt>
                <c:pt idx="122">
                  <c:v>0.16315789473684211</c:v>
                </c:pt>
                <c:pt idx="123">
                  <c:v>0.1915966386554622</c:v>
                </c:pt>
                <c:pt idx="124">
                  <c:v>0.28392857142857142</c:v>
                </c:pt>
                <c:pt idx="125">
                  <c:v>0.31724137931034485</c:v>
                </c:pt>
                <c:pt idx="126">
                  <c:v>0.23414634146341465</c:v>
                </c:pt>
                <c:pt idx="127">
                  <c:v>0.3125</c:v>
                </c:pt>
                <c:pt idx="128">
                  <c:v>0.30623306233062331</c:v>
                </c:pt>
                <c:pt idx="129">
                  <c:v>0.36382113821138212</c:v>
                </c:pt>
                <c:pt idx="130">
                  <c:v>0.33265720081135902</c:v>
                </c:pt>
                <c:pt idx="131">
                  <c:v>0.2578125</c:v>
                </c:pt>
                <c:pt idx="132">
                  <c:v>0.18457300275482094</c:v>
                </c:pt>
                <c:pt idx="133">
                  <c:v>0.11898016997167139</c:v>
                </c:pt>
                <c:pt idx="134">
                  <c:v>0.15127701375245581</c:v>
                </c:pt>
                <c:pt idx="135">
                  <c:v>0.13123359580052493</c:v>
                </c:pt>
                <c:pt idx="136">
                  <c:v>0.16129032258064516</c:v>
                </c:pt>
                <c:pt idx="137">
                  <c:v>0.13461538461538461</c:v>
                </c:pt>
                <c:pt idx="138">
                  <c:v>9.4629156010230184E-2</c:v>
                </c:pt>
                <c:pt idx="139">
                  <c:v>0.12623762376237624</c:v>
                </c:pt>
                <c:pt idx="140">
                  <c:v>0.14035087719298245</c:v>
                </c:pt>
                <c:pt idx="141">
                  <c:v>0.12903225806451613</c:v>
                </c:pt>
                <c:pt idx="142">
                  <c:v>0.26842105263157895</c:v>
                </c:pt>
                <c:pt idx="143">
                  <c:v>0.23360655737704919</c:v>
                </c:pt>
                <c:pt idx="144">
                  <c:v>0.31777777777777777</c:v>
                </c:pt>
                <c:pt idx="145">
                  <c:v>0.33105022831050229</c:v>
                </c:pt>
                <c:pt idx="146">
                  <c:v>0.26904761904761904</c:v>
                </c:pt>
                <c:pt idx="147">
                  <c:v>0.2144927536231884</c:v>
                </c:pt>
                <c:pt idx="148">
                  <c:v>0.27486910994764396</c:v>
                </c:pt>
                <c:pt idx="149">
                  <c:v>0.21588946459412781</c:v>
                </c:pt>
                <c:pt idx="150">
                  <c:v>0.3104089219330855</c:v>
                </c:pt>
                <c:pt idx="151">
                  <c:v>0.31001890359168244</c:v>
                </c:pt>
                <c:pt idx="152">
                  <c:v>0.30492424242424243</c:v>
                </c:pt>
                <c:pt idx="153">
                  <c:v>0.28673835125448027</c:v>
                </c:pt>
                <c:pt idx="154">
                  <c:v>0.2512690355329949</c:v>
                </c:pt>
                <c:pt idx="155">
                  <c:v>0.39246467817896391</c:v>
                </c:pt>
                <c:pt idx="156">
                  <c:v>0.3536379018612521</c:v>
                </c:pt>
                <c:pt idx="157">
                  <c:v>0.32896890343698854</c:v>
                </c:pt>
                <c:pt idx="158">
                  <c:v>0.40492957746478875</c:v>
                </c:pt>
                <c:pt idx="159">
                  <c:v>0.48581560283687941</c:v>
                </c:pt>
                <c:pt idx="160">
                  <c:v>0.23651452282157676</c:v>
                </c:pt>
                <c:pt idx="161">
                  <c:v>0.12449799196787148</c:v>
                </c:pt>
                <c:pt idx="162">
                  <c:v>0.41358024691358025</c:v>
                </c:pt>
                <c:pt idx="163">
                  <c:v>0.46216216216216216</c:v>
                </c:pt>
                <c:pt idx="164">
                  <c:v>0.5047801147227533</c:v>
                </c:pt>
                <c:pt idx="165">
                  <c:v>0.54435483870967738</c:v>
                </c:pt>
                <c:pt idx="166">
                  <c:v>0.58382642998027612</c:v>
                </c:pt>
                <c:pt idx="167">
                  <c:v>0.51136363636363635</c:v>
                </c:pt>
                <c:pt idx="168">
                  <c:v>0.3008595988538682</c:v>
                </c:pt>
                <c:pt idx="169">
                  <c:v>0.27647058823529413</c:v>
                </c:pt>
                <c:pt idx="170">
                  <c:v>0.32803180914512925</c:v>
                </c:pt>
                <c:pt idx="171">
                  <c:v>0.17464788732394365</c:v>
                </c:pt>
                <c:pt idx="172">
                  <c:v>0.17771883289124668</c:v>
                </c:pt>
                <c:pt idx="173">
                  <c:v>0.13297872340425532</c:v>
                </c:pt>
                <c:pt idx="174">
                  <c:v>0.48799999999999999</c:v>
                </c:pt>
                <c:pt idx="175">
                  <c:v>0.4609375</c:v>
                </c:pt>
                <c:pt idx="176">
                  <c:v>0.38244514106583072</c:v>
                </c:pt>
                <c:pt idx="177">
                  <c:v>0.45530726256983239</c:v>
                </c:pt>
                <c:pt idx="178">
                  <c:v>0.504</c:v>
                </c:pt>
                <c:pt idx="179">
                  <c:v>0.47157894736842104</c:v>
                </c:pt>
                <c:pt idx="180">
                  <c:v>0.50800915331807783</c:v>
                </c:pt>
                <c:pt idx="181">
                  <c:v>0.43902439024390244</c:v>
                </c:pt>
                <c:pt idx="182">
                  <c:v>0.46546546546546547</c:v>
                </c:pt>
                <c:pt idx="183">
                  <c:v>0.39173228346456695</c:v>
                </c:pt>
                <c:pt idx="184">
                  <c:v>0.46450304259634889</c:v>
                </c:pt>
                <c:pt idx="185">
                  <c:v>0.2265625</c:v>
                </c:pt>
                <c:pt idx="186">
                  <c:v>0.3987603305785124</c:v>
                </c:pt>
                <c:pt idx="187">
                  <c:v>0.41683366733466931</c:v>
                </c:pt>
                <c:pt idx="188">
                  <c:v>0.30808080808080807</c:v>
                </c:pt>
                <c:pt idx="189">
                  <c:v>0.388086642599278</c:v>
                </c:pt>
                <c:pt idx="190">
                  <c:v>0.44268774703557312</c:v>
                </c:pt>
                <c:pt idx="191">
                  <c:v>0.36799999999999999</c:v>
                </c:pt>
                <c:pt idx="192">
                  <c:v>0.38112522686025407</c:v>
                </c:pt>
                <c:pt idx="193">
                  <c:v>0.51902173913043481</c:v>
                </c:pt>
                <c:pt idx="194">
                  <c:v>0.57714285714285718</c:v>
                </c:pt>
                <c:pt idx="195">
                  <c:v>0.67535070140280562</c:v>
                </c:pt>
                <c:pt idx="196">
                  <c:v>0.61963190184049077</c:v>
                </c:pt>
                <c:pt idx="197">
                  <c:v>0.65617977528089888</c:v>
                </c:pt>
                <c:pt idx="198">
                  <c:v>0.61932938856015785</c:v>
                </c:pt>
                <c:pt idx="199">
                  <c:v>0.2138728323699422</c:v>
                </c:pt>
                <c:pt idx="200">
                  <c:v>0.21837088388214904</c:v>
                </c:pt>
                <c:pt idx="201">
                  <c:v>0.12844036697247707</c:v>
                </c:pt>
                <c:pt idx="202">
                  <c:v>0.20384615384615384</c:v>
                </c:pt>
                <c:pt idx="203">
                  <c:v>0.20348837209302326</c:v>
                </c:pt>
                <c:pt idx="204">
                  <c:v>0.13707165109034267</c:v>
                </c:pt>
                <c:pt idx="205">
                  <c:v>0.15324675324675324</c:v>
                </c:pt>
                <c:pt idx="206">
                  <c:v>0.14225053078556263</c:v>
                </c:pt>
                <c:pt idx="207">
                  <c:v>7.2494669509594878E-2</c:v>
                </c:pt>
                <c:pt idx="208">
                  <c:v>0.1440443213296399</c:v>
                </c:pt>
                <c:pt idx="209">
                  <c:v>0.18069306930693069</c:v>
                </c:pt>
                <c:pt idx="210">
                  <c:v>0.18981481481481483</c:v>
                </c:pt>
                <c:pt idx="211">
                  <c:v>0.36551724137931035</c:v>
                </c:pt>
                <c:pt idx="212">
                  <c:v>0.48333333333333334</c:v>
                </c:pt>
                <c:pt idx="213">
                  <c:v>0.50901803607214424</c:v>
                </c:pt>
                <c:pt idx="214">
                  <c:v>0.48296593186372744</c:v>
                </c:pt>
                <c:pt idx="215">
                  <c:v>0.17910447761194029</c:v>
                </c:pt>
                <c:pt idx="216">
                  <c:v>0.1417624521072797</c:v>
                </c:pt>
                <c:pt idx="217">
                  <c:v>0.23015873015873015</c:v>
                </c:pt>
                <c:pt idx="218">
                  <c:v>0.12662337662337661</c:v>
                </c:pt>
                <c:pt idx="219">
                  <c:v>0.16492146596858639</c:v>
                </c:pt>
                <c:pt idx="220">
                  <c:v>0.16750000000000001</c:v>
                </c:pt>
                <c:pt idx="221">
                  <c:v>0.1867007672634271</c:v>
                </c:pt>
                <c:pt idx="222">
                  <c:v>0.16190476190476191</c:v>
                </c:pt>
                <c:pt idx="223">
                  <c:v>0.13994169096209913</c:v>
                </c:pt>
                <c:pt idx="224">
                  <c:v>0.17105263157894737</c:v>
                </c:pt>
                <c:pt idx="225">
                  <c:v>0.13513513513513514</c:v>
                </c:pt>
                <c:pt idx="226">
                  <c:v>0.15659955257270694</c:v>
                </c:pt>
                <c:pt idx="227">
                  <c:v>0.2857142857142857</c:v>
                </c:pt>
                <c:pt idx="228">
                  <c:v>0.25789473684210529</c:v>
                </c:pt>
                <c:pt idx="229">
                  <c:v>0.132013201320132</c:v>
                </c:pt>
                <c:pt idx="230">
                  <c:v>0.12709030100334448</c:v>
                </c:pt>
                <c:pt idx="231">
                  <c:v>0.15313653136531366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A3-468E-A804-E1AF1F58C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337743"/>
        <c:axId val="653711824"/>
      </c:scatterChart>
      <c:valAx>
        <c:axId val="46633774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711824"/>
        <c:crosses val="autoZero"/>
        <c:crossBetween val="midCat"/>
      </c:valAx>
      <c:valAx>
        <c:axId val="65371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37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4360411198600174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Indian% P131 Rembau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918328958880139"/>
                  <c:y val="0.11164078448527268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RaceWorksheet!$K$2:$K$233</c:f>
              <c:numCache>
                <c:formatCode>0.0%</c:formatCode>
                <c:ptCount val="232"/>
                <c:pt idx="0">
                  <c:v>8.4444444444444447E-2</c:v>
                </c:pt>
                <c:pt idx="1">
                  <c:v>0.1</c:v>
                </c:pt>
                <c:pt idx="2">
                  <c:v>9.3851132686084138E-2</c:v>
                </c:pt>
                <c:pt idx="3">
                  <c:v>8.0906148867313912E-2</c:v>
                </c:pt>
                <c:pt idx="4">
                  <c:v>5.9870550161812294E-2</c:v>
                </c:pt>
                <c:pt idx="5">
                  <c:v>5.9773828756058162E-2</c:v>
                </c:pt>
                <c:pt idx="6">
                  <c:v>9.1111111111111115E-2</c:v>
                </c:pt>
                <c:pt idx="7">
                  <c:v>5.1111111111111114E-2</c:v>
                </c:pt>
                <c:pt idx="8">
                  <c:v>8.7912087912087919E-2</c:v>
                </c:pt>
                <c:pt idx="9">
                  <c:v>5.9654631083202514E-2</c:v>
                </c:pt>
                <c:pt idx="10">
                  <c:v>4.709576138147567E-2</c:v>
                </c:pt>
                <c:pt idx="11">
                  <c:v>3.924646781789639E-2</c:v>
                </c:pt>
                <c:pt idx="12">
                  <c:v>4.5525902668759811E-2</c:v>
                </c:pt>
                <c:pt idx="13">
                  <c:v>3.924646781789639E-2</c:v>
                </c:pt>
                <c:pt idx="14">
                  <c:v>0.08</c:v>
                </c:pt>
                <c:pt idx="15">
                  <c:v>0.10222222222222223</c:v>
                </c:pt>
                <c:pt idx="16">
                  <c:v>0.12713178294573643</c:v>
                </c:pt>
                <c:pt idx="17">
                  <c:v>0.10697674418604651</c:v>
                </c:pt>
                <c:pt idx="18">
                  <c:v>7.5968992248062014E-2</c:v>
                </c:pt>
                <c:pt idx="19">
                  <c:v>9.3023255813953487E-2</c:v>
                </c:pt>
                <c:pt idx="20">
                  <c:v>8.2170542635658914E-2</c:v>
                </c:pt>
                <c:pt idx="21">
                  <c:v>0.17333333333333334</c:v>
                </c:pt>
                <c:pt idx="22">
                  <c:v>0.18222222222222223</c:v>
                </c:pt>
                <c:pt idx="23">
                  <c:v>0.1623931623931624</c:v>
                </c:pt>
                <c:pt idx="24">
                  <c:v>9.5726495726495733E-2</c:v>
                </c:pt>
                <c:pt idx="25">
                  <c:v>8.0204778156996587E-2</c:v>
                </c:pt>
                <c:pt idx="26">
                  <c:v>0.12222222222222222</c:v>
                </c:pt>
                <c:pt idx="27">
                  <c:v>0.19111111111111112</c:v>
                </c:pt>
                <c:pt idx="28">
                  <c:v>0.10909090909090909</c:v>
                </c:pt>
                <c:pt idx="29">
                  <c:v>0.13036303630363036</c:v>
                </c:pt>
                <c:pt idx="30">
                  <c:v>0.15181518151815182</c:v>
                </c:pt>
                <c:pt idx="31">
                  <c:v>0.14521452145214522</c:v>
                </c:pt>
                <c:pt idx="32">
                  <c:v>0.62444444444444447</c:v>
                </c:pt>
                <c:pt idx="33">
                  <c:v>0.73521126760563382</c:v>
                </c:pt>
                <c:pt idx="34">
                  <c:v>0.59142857142857141</c:v>
                </c:pt>
                <c:pt idx="35">
                  <c:v>0.80281690140845074</c:v>
                </c:pt>
                <c:pt idx="36">
                  <c:v>1.1111111111111112E-2</c:v>
                </c:pt>
                <c:pt idx="37">
                  <c:v>1.0159651669085631E-2</c:v>
                </c:pt>
                <c:pt idx="38">
                  <c:v>1.4513788098693759E-2</c:v>
                </c:pt>
                <c:pt idx="39">
                  <c:v>7.2568940493468797E-3</c:v>
                </c:pt>
                <c:pt idx="40">
                  <c:v>9.555555555555556E-2</c:v>
                </c:pt>
                <c:pt idx="41">
                  <c:v>6.222222222222222E-2</c:v>
                </c:pt>
                <c:pt idx="42">
                  <c:v>8.5899513776337116E-2</c:v>
                </c:pt>
                <c:pt idx="43">
                  <c:v>6.6450567260940036E-2</c:v>
                </c:pt>
                <c:pt idx="44">
                  <c:v>4.0518638573743923E-2</c:v>
                </c:pt>
                <c:pt idx="45">
                  <c:v>3.4035656401944892E-2</c:v>
                </c:pt>
                <c:pt idx="46">
                  <c:v>4.6925566343042069E-2</c:v>
                </c:pt>
                <c:pt idx="47">
                  <c:v>0.4022222222222222</c:v>
                </c:pt>
                <c:pt idx="48">
                  <c:v>0.39260312944523473</c:v>
                </c:pt>
                <c:pt idx="49">
                  <c:v>0.55049786628733999</c:v>
                </c:pt>
                <c:pt idx="50">
                  <c:v>0.36842105263157893</c:v>
                </c:pt>
                <c:pt idx="51">
                  <c:v>0.29587482219061167</c:v>
                </c:pt>
                <c:pt idx="52">
                  <c:v>0.33854907539118068</c:v>
                </c:pt>
                <c:pt idx="53">
                  <c:v>0.30834512022630833</c:v>
                </c:pt>
                <c:pt idx="54">
                  <c:v>0.10666666666666667</c:v>
                </c:pt>
                <c:pt idx="55">
                  <c:v>0.10703812316715543</c:v>
                </c:pt>
                <c:pt idx="56">
                  <c:v>8.797653958944282E-2</c:v>
                </c:pt>
                <c:pt idx="57">
                  <c:v>6.5982404692082108E-2</c:v>
                </c:pt>
                <c:pt idx="58">
                  <c:v>9.3704245973645683E-2</c:v>
                </c:pt>
                <c:pt idx="59">
                  <c:v>0.28222222222222221</c:v>
                </c:pt>
                <c:pt idx="60">
                  <c:v>0.20666666666666667</c:v>
                </c:pt>
                <c:pt idx="61">
                  <c:v>0.19174041297935104</c:v>
                </c:pt>
                <c:pt idx="62">
                  <c:v>0.11356932153392331</c:v>
                </c:pt>
                <c:pt idx="63">
                  <c:v>0.10619469026548672</c:v>
                </c:pt>
                <c:pt idx="64">
                  <c:v>0.11192930780559647</c:v>
                </c:pt>
                <c:pt idx="65">
                  <c:v>0.18</c:v>
                </c:pt>
                <c:pt idx="66">
                  <c:v>0.15111111111111111</c:v>
                </c:pt>
                <c:pt idx="67">
                  <c:v>0.14363143631436315</c:v>
                </c:pt>
                <c:pt idx="68">
                  <c:v>0.19350473612990526</c:v>
                </c:pt>
                <c:pt idx="69">
                  <c:v>0.14343707713125844</c:v>
                </c:pt>
                <c:pt idx="70">
                  <c:v>0.10013531799729364</c:v>
                </c:pt>
                <c:pt idx="71">
                  <c:v>9.336941813261164E-2</c:v>
                </c:pt>
                <c:pt idx="72">
                  <c:v>9.336941813261164E-2</c:v>
                </c:pt>
                <c:pt idx="73">
                  <c:v>0.10013531799729364</c:v>
                </c:pt>
                <c:pt idx="74">
                  <c:v>0.1111111111111111</c:v>
                </c:pt>
                <c:pt idx="75">
                  <c:v>0.11821974965229486</c:v>
                </c:pt>
                <c:pt idx="76">
                  <c:v>9.166666666666666E-2</c:v>
                </c:pt>
                <c:pt idx="77">
                  <c:v>9.7222222222222224E-2</c:v>
                </c:pt>
                <c:pt idx="78">
                  <c:v>8.1944444444444445E-2</c:v>
                </c:pt>
                <c:pt idx="79">
                  <c:v>6.805555555555555E-2</c:v>
                </c:pt>
                <c:pt idx="80">
                  <c:v>0.21333333333333335</c:v>
                </c:pt>
                <c:pt idx="81">
                  <c:v>0.22888888888888889</c:v>
                </c:pt>
                <c:pt idx="82">
                  <c:v>0.17402945113788487</c:v>
                </c:pt>
                <c:pt idx="83">
                  <c:v>0.17914438502673796</c:v>
                </c:pt>
                <c:pt idx="84">
                  <c:v>0.2232620320855615</c:v>
                </c:pt>
                <c:pt idx="85">
                  <c:v>0.13636363636363635</c:v>
                </c:pt>
                <c:pt idx="86">
                  <c:v>9.4919786096256689E-2</c:v>
                </c:pt>
                <c:pt idx="87">
                  <c:v>8.4444444444444447E-2</c:v>
                </c:pt>
                <c:pt idx="88">
                  <c:v>0.12</c:v>
                </c:pt>
                <c:pt idx="89">
                  <c:v>0.14888888888888888</c:v>
                </c:pt>
                <c:pt idx="90">
                  <c:v>0.14035087719298245</c:v>
                </c:pt>
                <c:pt idx="91">
                  <c:v>0.11201079622132254</c:v>
                </c:pt>
                <c:pt idx="92">
                  <c:v>0.10256410256410256</c:v>
                </c:pt>
                <c:pt idx="93">
                  <c:v>9.5816464237516871E-2</c:v>
                </c:pt>
                <c:pt idx="94">
                  <c:v>9.7165991902834009E-2</c:v>
                </c:pt>
                <c:pt idx="95">
                  <c:v>0.10796221322537113</c:v>
                </c:pt>
                <c:pt idx="96">
                  <c:v>0.6171428571428571</c:v>
                </c:pt>
                <c:pt idx="97">
                  <c:v>0.47042253521126759</c:v>
                </c:pt>
                <c:pt idx="98">
                  <c:v>2.2222222222222222E-3</c:v>
                </c:pt>
                <c:pt idx="99">
                  <c:v>7.9617834394904458E-3</c:v>
                </c:pt>
                <c:pt idx="100">
                  <c:v>6.6666666666666671E-3</c:v>
                </c:pt>
                <c:pt idx="101">
                  <c:v>4.2372881355932203E-3</c:v>
                </c:pt>
                <c:pt idx="102">
                  <c:v>4.2372881355932203E-3</c:v>
                </c:pt>
                <c:pt idx="103">
                  <c:v>8.8888888888888889E-3</c:v>
                </c:pt>
                <c:pt idx="104">
                  <c:v>1.3698630136986301E-2</c:v>
                </c:pt>
                <c:pt idx="105">
                  <c:v>0.18444444444444444</c:v>
                </c:pt>
                <c:pt idx="106">
                  <c:v>0.15111111111111111</c:v>
                </c:pt>
                <c:pt idx="107">
                  <c:v>0.16220472440944883</c:v>
                </c:pt>
                <c:pt idx="108">
                  <c:v>0.17007874015748031</c:v>
                </c:pt>
                <c:pt idx="109">
                  <c:v>0.13700787401574804</c:v>
                </c:pt>
                <c:pt idx="110">
                  <c:v>0.15590551181102363</c:v>
                </c:pt>
                <c:pt idx="111">
                  <c:v>0.16981132075471697</c:v>
                </c:pt>
                <c:pt idx="112">
                  <c:v>0.18666666666666668</c:v>
                </c:pt>
                <c:pt idx="113">
                  <c:v>0.25555555555555554</c:v>
                </c:pt>
                <c:pt idx="114">
                  <c:v>0.35562310030395139</c:v>
                </c:pt>
                <c:pt idx="115">
                  <c:v>0.37481031866464337</c:v>
                </c:pt>
                <c:pt idx="116">
                  <c:v>0.37025796661608495</c:v>
                </c:pt>
                <c:pt idx="117">
                  <c:v>0.10222222222222223</c:v>
                </c:pt>
                <c:pt idx="118">
                  <c:v>4.8888888888888891E-2</c:v>
                </c:pt>
                <c:pt idx="119">
                  <c:v>5.1546391752577317E-2</c:v>
                </c:pt>
                <c:pt idx="120">
                  <c:v>2.5036818851251842E-2</c:v>
                </c:pt>
                <c:pt idx="121">
                  <c:v>3.9705882352941174E-2</c:v>
                </c:pt>
                <c:pt idx="122">
                  <c:v>6.222222222222222E-2</c:v>
                </c:pt>
                <c:pt idx="123">
                  <c:v>5.1111111111111114E-2</c:v>
                </c:pt>
                <c:pt idx="124">
                  <c:v>0.10077519379844961</c:v>
                </c:pt>
                <c:pt idx="125">
                  <c:v>0.11162790697674418</c:v>
                </c:pt>
                <c:pt idx="126">
                  <c:v>3.5555555555555556E-2</c:v>
                </c:pt>
                <c:pt idx="127">
                  <c:v>4.5390070921985819E-2</c:v>
                </c:pt>
                <c:pt idx="128">
                  <c:v>3.2624113475177303E-2</c:v>
                </c:pt>
                <c:pt idx="129">
                  <c:v>1.7021276595744681E-2</c:v>
                </c:pt>
                <c:pt idx="130">
                  <c:v>1.7021276595744681E-2</c:v>
                </c:pt>
                <c:pt idx="131">
                  <c:v>5.1428571428571428E-2</c:v>
                </c:pt>
                <c:pt idx="132">
                  <c:v>3.5555555555555556E-2</c:v>
                </c:pt>
                <c:pt idx="133">
                  <c:v>4.4444444444444444E-3</c:v>
                </c:pt>
                <c:pt idx="134">
                  <c:v>3.1446540880503146E-3</c:v>
                </c:pt>
                <c:pt idx="135">
                  <c:v>1.3333333333333334E-2</c:v>
                </c:pt>
                <c:pt idx="136">
                  <c:v>1.6759776536312849E-2</c:v>
                </c:pt>
                <c:pt idx="137">
                  <c:v>6.6666666666666671E-3</c:v>
                </c:pt>
                <c:pt idx="138">
                  <c:v>1.5555555555555555E-2</c:v>
                </c:pt>
                <c:pt idx="139">
                  <c:v>3.9215686274509803E-3</c:v>
                </c:pt>
                <c:pt idx="140">
                  <c:v>3.9215686274509803E-3</c:v>
                </c:pt>
                <c:pt idx="141">
                  <c:v>0</c:v>
                </c:pt>
                <c:pt idx="142">
                  <c:v>0.13777777777777778</c:v>
                </c:pt>
                <c:pt idx="143">
                  <c:v>0.12607944732297063</c:v>
                </c:pt>
                <c:pt idx="144">
                  <c:v>0.12780656303972365</c:v>
                </c:pt>
                <c:pt idx="145">
                  <c:v>0.10535405872193437</c:v>
                </c:pt>
                <c:pt idx="146">
                  <c:v>8.7779690189328741E-2</c:v>
                </c:pt>
                <c:pt idx="147">
                  <c:v>0.16222222222222221</c:v>
                </c:pt>
                <c:pt idx="148">
                  <c:v>0.14666666666666667</c:v>
                </c:pt>
                <c:pt idx="149">
                  <c:v>0.12076583210603829</c:v>
                </c:pt>
                <c:pt idx="150">
                  <c:v>0.16789396170839468</c:v>
                </c:pt>
                <c:pt idx="151">
                  <c:v>0.16642120765832105</c:v>
                </c:pt>
                <c:pt idx="152">
                  <c:v>0.13696612665684832</c:v>
                </c:pt>
                <c:pt idx="153">
                  <c:v>0.1426470588235294</c:v>
                </c:pt>
                <c:pt idx="154">
                  <c:v>0.42222222222222222</c:v>
                </c:pt>
                <c:pt idx="155">
                  <c:v>0.46121883656509693</c:v>
                </c:pt>
                <c:pt idx="156">
                  <c:v>0.36842105263157893</c:v>
                </c:pt>
                <c:pt idx="157">
                  <c:v>0.34210526315789475</c:v>
                </c:pt>
                <c:pt idx="158">
                  <c:v>0.27906976744186046</c:v>
                </c:pt>
                <c:pt idx="159">
                  <c:v>0.2318840579710145</c:v>
                </c:pt>
                <c:pt idx="160">
                  <c:v>0.10033444816053512</c:v>
                </c:pt>
                <c:pt idx="161">
                  <c:v>2.6755852842809364E-2</c:v>
                </c:pt>
                <c:pt idx="162">
                  <c:v>0.2088888888888889</c:v>
                </c:pt>
                <c:pt idx="163">
                  <c:v>0.22222222222222221</c:v>
                </c:pt>
                <c:pt idx="164">
                  <c:v>0.23968253968253969</c:v>
                </c:pt>
                <c:pt idx="165">
                  <c:v>0.28843106180665612</c:v>
                </c:pt>
                <c:pt idx="166">
                  <c:v>0.30427892234548337</c:v>
                </c:pt>
                <c:pt idx="167">
                  <c:v>0.30269413629160064</c:v>
                </c:pt>
                <c:pt idx="168">
                  <c:v>0.15555555555555556</c:v>
                </c:pt>
                <c:pt idx="169">
                  <c:v>0.16320000000000001</c:v>
                </c:pt>
                <c:pt idx="170">
                  <c:v>0.25559105431309903</c:v>
                </c:pt>
                <c:pt idx="171">
                  <c:v>3.3333333333333333E-2</c:v>
                </c:pt>
                <c:pt idx="172">
                  <c:v>3.3333333333333333E-2</c:v>
                </c:pt>
                <c:pt idx="173">
                  <c:v>5.7649667405764965E-2</c:v>
                </c:pt>
                <c:pt idx="174">
                  <c:v>0.6346749226006192</c:v>
                </c:pt>
                <c:pt idx="175">
                  <c:v>0.71111111111111114</c:v>
                </c:pt>
                <c:pt idx="176">
                  <c:v>0.20222222222222222</c:v>
                </c:pt>
                <c:pt idx="177">
                  <c:v>0.19111111111111112</c:v>
                </c:pt>
                <c:pt idx="178">
                  <c:v>0.27555555555555555</c:v>
                </c:pt>
                <c:pt idx="179">
                  <c:v>0.24912891986062718</c:v>
                </c:pt>
                <c:pt idx="180">
                  <c:v>0.31010452961672474</c:v>
                </c:pt>
                <c:pt idx="181">
                  <c:v>0.38153310104529614</c:v>
                </c:pt>
                <c:pt idx="182">
                  <c:v>0.53111111111111109</c:v>
                </c:pt>
                <c:pt idx="183">
                  <c:v>0.49430894308943091</c:v>
                </c:pt>
                <c:pt idx="184">
                  <c:v>0.49837662337662336</c:v>
                </c:pt>
                <c:pt idx="185">
                  <c:v>0.25333333333333335</c:v>
                </c:pt>
                <c:pt idx="186">
                  <c:v>0.41860465116279072</c:v>
                </c:pt>
                <c:pt idx="187">
                  <c:v>0.48922056384742951</c:v>
                </c:pt>
                <c:pt idx="188">
                  <c:v>0.30222222222222223</c:v>
                </c:pt>
                <c:pt idx="189">
                  <c:v>0.30985915492957744</c:v>
                </c:pt>
                <c:pt idx="190">
                  <c:v>0.34585289514866979</c:v>
                </c:pt>
                <c:pt idx="191">
                  <c:v>0.26447574334898277</c:v>
                </c:pt>
                <c:pt idx="192">
                  <c:v>0.2300469483568075</c:v>
                </c:pt>
                <c:pt idx="193">
                  <c:v>0.42666666666666669</c:v>
                </c:pt>
                <c:pt idx="194">
                  <c:v>0.32569558101472995</c:v>
                </c:pt>
                <c:pt idx="195">
                  <c:v>0.4238952536824877</c:v>
                </c:pt>
                <c:pt idx="196">
                  <c:v>0.41243862520458263</c:v>
                </c:pt>
                <c:pt idx="197">
                  <c:v>0.40589198036006546</c:v>
                </c:pt>
                <c:pt idx="198">
                  <c:v>0.41788617886178864</c:v>
                </c:pt>
                <c:pt idx="199">
                  <c:v>0</c:v>
                </c:pt>
                <c:pt idx="200">
                  <c:v>7.0621468926553672E-3</c:v>
                </c:pt>
                <c:pt idx="201">
                  <c:v>1.5555555555555555E-2</c:v>
                </c:pt>
                <c:pt idx="202">
                  <c:v>4.1221374045801527E-2</c:v>
                </c:pt>
                <c:pt idx="203">
                  <c:v>3.3587786259541987E-2</c:v>
                </c:pt>
                <c:pt idx="204">
                  <c:v>1.4999999999999999E-2</c:v>
                </c:pt>
                <c:pt idx="205">
                  <c:v>3.0800821355236138E-2</c:v>
                </c:pt>
                <c:pt idx="206">
                  <c:v>0</c:v>
                </c:pt>
                <c:pt idx="207">
                  <c:v>1.384083044982699E-2</c:v>
                </c:pt>
                <c:pt idx="208">
                  <c:v>1.5555555555555555E-2</c:v>
                </c:pt>
                <c:pt idx="209">
                  <c:v>1.37524557956778E-2</c:v>
                </c:pt>
                <c:pt idx="210">
                  <c:v>2.9411764705882353E-2</c:v>
                </c:pt>
                <c:pt idx="211">
                  <c:v>0.13777777777777778</c:v>
                </c:pt>
                <c:pt idx="212">
                  <c:v>0.14444444444444443</c:v>
                </c:pt>
                <c:pt idx="213">
                  <c:v>0.20451127819548873</c:v>
                </c:pt>
                <c:pt idx="214">
                  <c:v>0.21771771771771772</c:v>
                </c:pt>
                <c:pt idx="215">
                  <c:v>1.5576323987538941E-2</c:v>
                </c:pt>
                <c:pt idx="216">
                  <c:v>2.4922118380062305E-2</c:v>
                </c:pt>
                <c:pt idx="217">
                  <c:v>0</c:v>
                </c:pt>
                <c:pt idx="218">
                  <c:v>9.3333333333333338E-2</c:v>
                </c:pt>
                <c:pt idx="219">
                  <c:v>7.5555555555555556E-2</c:v>
                </c:pt>
                <c:pt idx="220">
                  <c:v>6.8359375E-2</c:v>
                </c:pt>
                <c:pt idx="221">
                  <c:v>7.407407407407407E-2</c:v>
                </c:pt>
                <c:pt idx="222">
                  <c:v>6.6276803118908378E-2</c:v>
                </c:pt>
                <c:pt idx="223">
                  <c:v>4.4444444444444444E-3</c:v>
                </c:pt>
                <c:pt idx="224">
                  <c:v>0</c:v>
                </c:pt>
                <c:pt idx="225">
                  <c:v>0</c:v>
                </c:pt>
                <c:pt idx="226">
                  <c:v>5.3003533568904597E-3</c:v>
                </c:pt>
                <c:pt idx="227">
                  <c:v>7.5555555555555556E-2</c:v>
                </c:pt>
                <c:pt idx="228">
                  <c:v>2.4242424242424242E-2</c:v>
                </c:pt>
                <c:pt idx="229">
                  <c:v>2.7100271002710027E-3</c:v>
                </c:pt>
                <c:pt idx="230">
                  <c:v>0</c:v>
                </c:pt>
                <c:pt idx="231">
                  <c:v>1.4947683109118087E-3</c:v>
                </c:pt>
              </c:numCache>
            </c:numRef>
          </c:xVal>
          <c:yVal>
            <c:numRef>
              <c:f>RaceWorksheet!$A$2:$A$233</c:f>
              <c:numCache>
                <c:formatCode>0.0%</c:formatCode>
                <c:ptCount val="232"/>
                <c:pt idx="0">
                  <c:v>0.30219780219780218</c:v>
                </c:pt>
                <c:pt idx="1">
                  <c:v>0.30412371134020616</c:v>
                </c:pt>
                <c:pt idx="2">
                  <c:v>0.27459016393442626</c:v>
                </c:pt>
                <c:pt idx="3">
                  <c:v>0.30084745762711862</c:v>
                </c:pt>
                <c:pt idx="4">
                  <c:v>0.42884990253411304</c:v>
                </c:pt>
                <c:pt idx="5">
                  <c:v>0.40850277264325324</c:v>
                </c:pt>
                <c:pt idx="6">
                  <c:v>0.22222222222222221</c:v>
                </c:pt>
                <c:pt idx="7">
                  <c:v>0.20351758793969849</c:v>
                </c:pt>
                <c:pt idx="8">
                  <c:v>0.25140712945590993</c:v>
                </c:pt>
                <c:pt idx="9">
                  <c:v>0.15746421267893659</c:v>
                </c:pt>
                <c:pt idx="10">
                  <c:v>0.20799999999999999</c:v>
                </c:pt>
                <c:pt idx="11">
                  <c:v>0.26719056974459726</c:v>
                </c:pt>
                <c:pt idx="12">
                  <c:v>0.3</c:v>
                </c:pt>
                <c:pt idx="13">
                  <c:v>0.22586520947176686</c:v>
                </c:pt>
                <c:pt idx="14">
                  <c:v>0.18617021276595744</c:v>
                </c:pt>
                <c:pt idx="15">
                  <c:v>0.22500000000000001</c:v>
                </c:pt>
                <c:pt idx="16">
                  <c:v>0.26447876447876451</c:v>
                </c:pt>
                <c:pt idx="17">
                  <c:v>0.24007936507936509</c:v>
                </c:pt>
                <c:pt idx="18">
                  <c:v>0.23408239700374531</c:v>
                </c:pt>
                <c:pt idx="19">
                  <c:v>0.30297397769516726</c:v>
                </c:pt>
                <c:pt idx="20">
                  <c:v>0.25367647058823528</c:v>
                </c:pt>
                <c:pt idx="21">
                  <c:v>0.26176470588235295</c:v>
                </c:pt>
                <c:pt idx="22">
                  <c:v>0.36340852130325813</c:v>
                </c:pt>
                <c:pt idx="23">
                  <c:v>0.28907922912205569</c:v>
                </c:pt>
                <c:pt idx="24">
                  <c:v>0.23627684964200477</c:v>
                </c:pt>
                <c:pt idx="25">
                  <c:v>0.3160270880361174</c:v>
                </c:pt>
                <c:pt idx="26">
                  <c:v>0.29815303430079154</c:v>
                </c:pt>
                <c:pt idx="27">
                  <c:v>0.34011627906976744</c:v>
                </c:pt>
                <c:pt idx="28">
                  <c:v>0.27083333333333331</c:v>
                </c:pt>
                <c:pt idx="29">
                  <c:v>0.27615062761506276</c:v>
                </c:pt>
                <c:pt idx="30">
                  <c:v>0.33062880324543609</c:v>
                </c:pt>
                <c:pt idx="31">
                  <c:v>0.33601609657947684</c:v>
                </c:pt>
                <c:pt idx="32">
                  <c:v>0.61876832844574781</c:v>
                </c:pt>
                <c:pt idx="33">
                  <c:v>0.80034423407917388</c:v>
                </c:pt>
                <c:pt idx="34">
                  <c:v>0.69465648854961837</c:v>
                </c:pt>
                <c:pt idx="35">
                  <c:v>0.76988636363636365</c:v>
                </c:pt>
                <c:pt idx="36">
                  <c:v>0.23955431754874651</c:v>
                </c:pt>
                <c:pt idx="37">
                  <c:v>0.2544529262086514</c:v>
                </c:pt>
                <c:pt idx="38">
                  <c:v>0.24698795180722891</c:v>
                </c:pt>
                <c:pt idx="39">
                  <c:v>0.25</c:v>
                </c:pt>
                <c:pt idx="40">
                  <c:v>0.2413793103448276</c:v>
                </c:pt>
                <c:pt idx="41">
                  <c:v>0.29583333333333334</c:v>
                </c:pt>
                <c:pt idx="42">
                  <c:v>0.22113502935420742</c:v>
                </c:pt>
                <c:pt idx="43">
                  <c:v>0.12430939226519337</c:v>
                </c:pt>
                <c:pt idx="44">
                  <c:v>0.16517055655296231</c:v>
                </c:pt>
                <c:pt idx="45">
                  <c:v>0.16888045540796964</c:v>
                </c:pt>
                <c:pt idx="46">
                  <c:v>0.1944922547332186</c:v>
                </c:pt>
                <c:pt idx="47">
                  <c:v>0.34770114942528735</c:v>
                </c:pt>
                <c:pt idx="48">
                  <c:v>0.36249999999999999</c:v>
                </c:pt>
                <c:pt idx="49">
                  <c:v>0.32155477031802121</c:v>
                </c:pt>
                <c:pt idx="50">
                  <c:v>0.32904411764705882</c:v>
                </c:pt>
                <c:pt idx="51">
                  <c:v>0.35689655172413792</c:v>
                </c:pt>
                <c:pt idx="52">
                  <c:v>0.32554257095158595</c:v>
                </c:pt>
                <c:pt idx="53">
                  <c:v>0.41076487252124644</c:v>
                </c:pt>
                <c:pt idx="54">
                  <c:v>0.42833876221498374</c:v>
                </c:pt>
                <c:pt idx="55">
                  <c:v>0.58272058823529416</c:v>
                </c:pt>
                <c:pt idx="56">
                  <c:v>0.47924528301886793</c:v>
                </c:pt>
                <c:pt idx="57">
                  <c:v>0.46125461254612549</c:v>
                </c:pt>
                <c:pt idx="58">
                  <c:v>0.47707979626485569</c:v>
                </c:pt>
                <c:pt idx="59">
                  <c:v>0.4350758853288364</c:v>
                </c:pt>
                <c:pt idx="60">
                  <c:v>0.20207253886010362</c:v>
                </c:pt>
                <c:pt idx="61">
                  <c:v>0.26956521739130435</c:v>
                </c:pt>
                <c:pt idx="62">
                  <c:v>0.27697841726618705</c:v>
                </c:pt>
                <c:pt idx="63">
                  <c:v>0.3181019332161687</c:v>
                </c:pt>
                <c:pt idx="64">
                  <c:v>0.28378378378378377</c:v>
                </c:pt>
                <c:pt idx="65">
                  <c:v>0.2344632768361582</c:v>
                </c:pt>
                <c:pt idx="66">
                  <c:v>0.29601990049751242</c:v>
                </c:pt>
                <c:pt idx="67">
                  <c:v>0.28821656050955413</c:v>
                </c:pt>
                <c:pt idx="68">
                  <c:v>0.2807017543859649</c:v>
                </c:pt>
                <c:pt idx="69">
                  <c:v>0.25352112676056338</c:v>
                </c:pt>
                <c:pt idx="70">
                  <c:v>0.2611683848797251</c:v>
                </c:pt>
                <c:pt idx="71">
                  <c:v>0.31438127090301005</c:v>
                </c:pt>
                <c:pt idx="72">
                  <c:v>0.29967426710097722</c:v>
                </c:pt>
                <c:pt idx="73">
                  <c:v>0.30612244897959184</c:v>
                </c:pt>
                <c:pt idx="74">
                  <c:v>0.48757763975155277</c:v>
                </c:pt>
                <c:pt idx="75">
                  <c:v>0.4483695652173913</c:v>
                </c:pt>
                <c:pt idx="76">
                  <c:v>0.40536277602523657</c:v>
                </c:pt>
                <c:pt idx="77">
                  <c:v>0.41245791245791247</c:v>
                </c:pt>
                <c:pt idx="78">
                  <c:v>0.42342342342342343</c:v>
                </c:pt>
                <c:pt idx="79">
                  <c:v>0.28446771378708552</c:v>
                </c:pt>
                <c:pt idx="80">
                  <c:v>0.23671497584541062</c:v>
                </c:pt>
                <c:pt idx="81">
                  <c:v>0.2116991643454039</c:v>
                </c:pt>
                <c:pt idx="82">
                  <c:v>0.27914614121510672</c:v>
                </c:pt>
                <c:pt idx="83">
                  <c:v>0.25085910652920962</c:v>
                </c:pt>
                <c:pt idx="84">
                  <c:v>0.29276895943562609</c:v>
                </c:pt>
                <c:pt idx="85">
                  <c:v>0.29610829103214892</c:v>
                </c:pt>
                <c:pt idx="86">
                  <c:v>0.25844594594594594</c:v>
                </c:pt>
                <c:pt idx="87">
                  <c:v>0.41528239202657807</c:v>
                </c:pt>
                <c:pt idx="88">
                  <c:v>0.453125</c:v>
                </c:pt>
                <c:pt idx="89">
                  <c:v>0.52835051546391754</c:v>
                </c:pt>
                <c:pt idx="90">
                  <c:v>0.48281505728314239</c:v>
                </c:pt>
                <c:pt idx="91">
                  <c:v>0.43760683760683761</c:v>
                </c:pt>
                <c:pt idx="92">
                  <c:v>0.37696335078534032</c:v>
                </c:pt>
                <c:pt idx="93">
                  <c:v>0.38380281690140844</c:v>
                </c:pt>
                <c:pt idx="94">
                  <c:v>0.39721254355400698</c:v>
                </c:pt>
                <c:pt idx="95">
                  <c:v>0.36970684039087948</c:v>
                </c:pt>
                <c:pt idx="96">
                  <c:v>0.42366412213740456</c:v>
                </c:pt>
                <c:pt idx="97">
                  <c:v>0.49477351916376305</c:v>
                </c:pt>
                <c:pt idx="98">
                  <c:v>0.11299435028248588</c:v>
                </c:pt>
                <c:pt idx="99">
                  <c:v>9.3816631130063971E-2</c:v>
                </c:pt>
                <c:pt idx="100">
                  <c:v>0.13119533527696792</c:v>
                </c:pt>
                <c:pt idx="101">
                  <c:v>0.11873350923482849</c:v>
                </c:pt>
                <c:pt idx="102">
                  <c:v>0.15680473372781065</c:v>
                </c:pt>
                <c:pt idx="103">
                  <c:v>0.13573407202216067</c:v>
                </c:pt>
                <c:pt idx="104">
                  <c:v>0.17499999999999999</c:v>
                </c:pt>
                <c:pt idx="105">
                  <c:v>0.22754491017964071</c:v>
                </c:pt>
                <c:pt idx="106">
                  <c:v>0.23136246786632392</c:v>
                </c:pt>
                <c:pt idx="107">
                  <c:v>0.25830258302583026</c:v>
                </c:pt>
                <c:pt idx="108">
                  <c:v>0.26724137931034481</c:v>
                </c:pt>
                <c:pt idx="109">
                  <c:v>0.24948453608247423</c:v>
                </c:pt>
                <c:pt idx="110">
                  <c:v>0.28160919540229884</c:v>
                </c:pt>
                <c:pt idx="111">
                  <c:v>0.24349442379182157</c:v>
                </c:pt>
                <c:pt idx="112">
                  <c:v>0.32937685459940652</c:v>
                </c:pt>
                <c:pt idx="113">
                  <c:v>0.38095238095238093</c:v>
                </c:pt>
                <c:pt idx="114">
                  <c:v>0.44795539033457249</c:v>
                </c:pt>
                <c:pt idx="115">
                  <c:v>0.4181459566074951</c:v>
                </c:pt>
                <c:pt idx="116">
                  <c:v>0.40160642570281124</c:v>
                </c:pt>
                <c:pt idx="117">
                  <c:v>0.20869565217391303</c:v>
                </c:pt>
                <c:pt idx="118">
                  <c:v>0.13784461152882205</c:v>
                </c:pt>
                <c:pt idx="119">
                  <c:v>0.15053763440860216</c:v>
                </c:pt>
                <c:pt idx="120">
                  <c:v>0.11663479923518165</c:v>
                </c:pt>
                <c:pt idx="121">
                  <c:v>0.17173524150268335</c:v>
                </c:pt>
                <c:pt idx="122">
                  <c:v>0.16315789473684211</c:v>
                </c:pt>
                <c:pt idx="123">
                  <c:v>0.1915966386554622</c:v>
                </c:pt>
                <c:pt idx="124">
                  <c:v>0.28392857142857142</c:v>
                </c:pt>
                <c:pt idx="125">
                  <c:v>0.31724137931034485</c:v>
                </c:pt>
                <c:pt idx="126">
                  <c:v>0.23414634146341465</c:v>
                </c:pt>
                <c:pt idx="127">
                  <c:v>0.3125</c:v>
                </c:pt>
                <c:pt idx="128">
                  <c:v>0.30623306233062331</c:v>
                </c:pt>
                <c:pt idx="129">
                  <c:v>0.36382113821138212</c:v>
                </c:pt>
                <c:pt idx="130">
                  <c:v>0.33265720081135902</c:v>
                </c:pt>
                <c:pt idx="131">
                  <c:v>0.2578125</c:v>
                </c:pt>
                <c:pt idx="132">
                  <c:v>0.18457300275482094</c:v>
                </c:pt>
                <c:pt idx="133">
                  <c:v>0.11898016997167139</c:v>
                </c:pt>
                <c:pt idx="134">
                  <c:v>0.15127701375245581</c:v>
                </c:pt>
                <c:pt idx="135">
                  <c:v>0.13123359580052493</c:v>
                </c:pt>
                <c:pt idx="136">
                  <c:v>0.16129032258064516</c:v>
                </c:pt>
                <c:pt idx="137">
                  <c:v>0.13461538461538461</c:v>
                </c:pt>
                <c:pt idx="138">
                  <c:v>9.4629156010230184E-2</c:v>
                </c:pt>
                <c:pt idx="139">
                  <c:v>0.12623762376237624</c:v>
                </c:pt>
                <c:pt idx="140">
                  <c:v>0.14035087719298245</c:v>
                </c:pt>
                <c:pt idx="141">
                  <c:v>0.12903225806451613</c:v>
                </c:pt>
                <c:pt idx="142">
                  <c:v>0.26842105263157895</c:v>
                </c:pt>
                <c:pt idx="143">
                  <c:v>0.23360655737704919</c:v>
                </c:pt>
                <c:pt idx="144">
                  <c:v>0.31777777777777777</c:v>
                </c:pt>
                <c:pt idx="145">
                  <c:v>0.33105022831050229</c:v>
                </c:pt>
                <c:pt idx="146">
                  <c:v>0.26904761904761904</c:v>
                </c:pt>
                <c:pt idx="147">
                  <c:v>0.2144927536231884</c:v>
                </c:pt>
                <c:pt idx="148">
                  <c:v>0.27486910994764396</c:v>
                </c:pt>
                <c:pt idx="149">
                  <c:v>0.21588946459412781</c:v>
                </c:pt>
                <c:pt idx="150">
                  <c:v>0.3104089219330855</c:v>
                </c:pt>
                <c:pt idx="151">
                  <c:v>0.31001890359168244</c:v>
                </c:pt>
                <c:pt idx="152">
                  <c:v>0.30492424242424243</c:v>
                </c:pt>
                <c:pt idx="153">
                  <c:v>0.28673835125448027</c:v>
                </c:pt>
                <c:pt idx="154">
                  <c:v>0.2512690355329949</c:v>
                </c:pt>
                <c:pt idx="155">
                  <c:v>0.39246467817896391</c:v>
                </c:pt>
                <c:pt idx="156">
                  <c:v>0.3536379018612521</c:v>
                </c:pt>
                <c:pt idx="157">
                  <c:v>0.32896890343698854</c:v>
                </c:pt>
                <c:pt idx="158">
                  <c:v>0.40492957746478875</c:v>
                </c:pt>
                <c:pt idx="159">
                  <c:v>0.48581560283687941</c:v>
                </c:pt>
                <c:pt idx="160">
                  <c:v>0.23651452282157676</c:v>
                </c:pt>
                <c:pt idx="161">
                  <c:v>0.12449799196787148</c:v>
                </c:pt>
                <c:pt idx="162">
                  <c:v>0.41358024691358025</c:v>
                </c:pt>
                <c:pt idx="163">
                  <c:v>0.46216216216216216</c:v>
                </c:pt>
                <c:pt idx="164">
                  <c:v>0.5047801147227533</c:v>
                </c:pt>
                <c:pt idx="165">
                  <c:v>0.54435483870967738</c:v>
                </c:pt>
                <c:pt idx="166">
                  <c:v>0.58382642998027612</c:v>
                </c:pt>
                <c:pt idx="167">
                  <c:v>0.51136363636363635</c:v>
                </c:pt>
                <c:pt idx="168">
                  <c:v>0.3008595988538682</c:v>
                </c:pt>
                <c:pt idx="169">
                  <c:v>0.27647058823529413</c:v>
                </c:pt>
                <c:pt idx="170">
                  <c:v>0.32803180914512925</c:v>
                </c:pt>
                <c:pt idx="171">
                  <c:v>0.17464788732394365</c:v>
                </c:pt>
                <c:pt idx="172">
                  <c:v>0.17771883289124668</c:v>
                </c:pt>
                <c:pt idx="173">
                  <c:v>0.13297872340425532</c:v>
                </c:pt>
                <c:pt idx="174">
                  <c:v>0.48799999999999999</c:v>
                </c:pt>
                <c:pt idx="175">
                  <c:v>0.4609375</c:v>
                </c:pt>
                <c:pt idx="176">
                  <c:v>0.38244514106583072</c:v>
                </c:pt>
                <c:pt idx="177">
                  <c:v>0.45530726256983239</c:v>
                </c:pt>
                <c:pt idx="178">
                  <c:v>0.504</c:v>
                </c:pt>
                <c:pt idx="179">
                  <c:v>0.47157894736842104</c:v>
                </c:pt>
                <c:pt idx="180">
                  <c:v>0.50800915331807783</c:v>
                </c:pt>
                <c:pt idx="181">
                  <c:v>0.43902439024390244</c:v>
                </c:pt>
                <c:pt idx="182">
                  <c:v>0.46546546546546547</c:v>
                </c:pt>
                <c:pt idx="183">
                  <c:v>0.39173228346456695</c:v>
                </c:pt>
                <c:pt idx="184">
                  <c:v>0.46450304259634889</c:v>
                </c:pt>
                <c:pt idx="185">
                  <c:v>0.2265625</c:v>
                </c:pt>
                <c:pt idx="186">
                  <c:v>0.3987603305785124</c:v>
                </c:pt>
                <c:pt idx="187">
                  <c:v>0.41683366733466931</c:v>
                </c:pt>
                <c:pt idx="188">
                  <c:v>0.30808080808080807</c:v>
                </c:pt>
                <c:pt idx="189">
                  <c:v>0.388086642599278</c:v>
                </c:pt>
                <c:pt idx="190">
                  <c:v>0.44268774703557312</c:v>
                </c:pt>
                <c:pt idx="191">
                  <c:v>0.36799999999999999</c:v>
                </c:pt>
                <c:pt idx="192">
                  <c:v>0.38112522686025407</c:v>
                </c:pt>
                <c:pt idx="193">
                  <c:v>0.51902173913043481</c:v>
                </c:pt>
                <c:pt idx="194">
                  <c:v>0.57714285714285718</c:v>
                </c:pt>
                <c:pt idx="195">
                  <c:v>0.67535070140280562</c:v>
                </c:pt>
                <c:pt idx="196">
                  <c:v>0.61963190184049077</c:v>
                </c:pt>
                <c:pt idx="197">
                  <c:v>0.65617977528089888</c:v>
                </c:pt>
                <c:pt idx="198">
                  <c:v>0.61932938856015785</c:v>
                </c:pt>
                <c:pt idx="199">
                  <c:v>0.2138728323699422</c:v>
                </c:pt>
                <c:pt idx="200">
                  <c:v>0.21837088388214904</c:v>
                </c:pt>
                <c:pt idx="201">
                  <c:v>0.12844036697247707</c:v>
                </c:pt>
                <c:pt idx="202">
                  <c:v>0.20384615384615384</c:v>
                </c:pt>
                <c:pt idx="203">
                  <c:v>0.20348837209302326</c:v>
                </c:pt>
                <c:pt idx="204">
                  <c:v>0.13707165109034267</c:v>
                </c:pt>
                <c:pt idx="205">
                  <c:v>0.15324675324675324</c:v>
                </c:pt>
                <c:pt idx="206">
                  <c:v>0.14225053078556263</c:v>
                </c:pt>
                <c:pt idx="207">
                  <c:v>7.2494669509594878E-2</c:v>
                </c:pt>
                <c:pt idx="208">
                  <c:v>0.1440443213296399</c:v>
                </c:pt>
                <c:pt idx="209">
                  <c:v>0.18069306930693069</c:v>
                </c:pt>
                <c:pt idx="210">
                  <c:v>0.18981481481481483</c:v>
                </c:pt>
                <c:pt idx="211">
                  <c:v>0.36551724137931035</c:v>
                </c:pt>
                <c:pt idx="212">
                  <c:v>0.48333333333333334</c:v>
                </c:pt>
                <c:pt idx="213">
                  <c:v>0.50901803607214424</c:v>
                </c:pt>
                <c:pt idx="214">
                  <c:v>0.48296593186372744</c:v>
                </c:pt>
                <c:pt idx="215">
                  <c:v>0.17910447761194029</c:v>
                </c:pt>
                <c:pt idx="216">
                  <c:v>0.1417624521072797</c:v>
                </c:pt>
                <c:pt idx="217">
                  <c:v>0.23015873015873015</c:v>
                </c:pt>
                <c:pt idx="218">
                  <c:v>0.12662337662337661</c:v>
                </c:pt>
                <c:pt idx="219">
                  <c:v>0.16492146596858639</c:v>
                </c:pt>
                <c:pt idx="220">
                  <c:v>0.16750000000000001</c:v>
                </c:pt>
                <c:pt idx="221">
                  <c:v>0.1867007672634271</c:v>
                </c:pt>
                <c:pt idx="222">
                  <c:v>0.16190476190476191</c:v>
                </c:pt>
                <c:pt idx="223">
                  <c:v>0.13994169096209913</c:v>
                </c:pt>
                <c:pt idx="224">
                  <c:v>0.17105263157894737</c:v>
                </c:pt>
                <c:pt idx="225">
                  <c:v>0.13513513513513514</c:v>
                </c:pt>
                <c:pt idx="226">
                  <c:v>0.15659955257270694</c:v>
                </c:pt>
                <c:pt idx="227">
                  <c:v>0.2857142857142857</c:v>
                </c:pt>
                <c:pt idx="228">
                  <c:v>0.25789473684210529</c:v>
                </c:pt>
                <c:pt idx="229">
                  <c:v>0.132013201320132</c:v>
                </c:pt>
                <c:pt idx="230">
                  <c:v>0.12709030100334448</c:v>
                </c:pt>
                <c:pt idx="231">
                  <c:v>0.15313653136531366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61-447A-8E50-16888C9E3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337743"/>
        <c:axId val="653711824"/>
      </c:scatterChart>
      <c:valAx>
        <c:axId val="46633774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711824"/>
        <c:crosses val="autoZero"/>
        <c:crossBetween val="midCat"/>
      </c:valAx>
      <c:valAx>
        <c:axId val="65371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37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4360411198600174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BN% vs Indian% P131 Rembau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739151356080491"/>
                  <c:y val="-0.3615000729075532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RaceWorksheet!$K$2:$K$233</c:f>
              <c:numCache>
                <c:formatCode>0.0%</c:formatCode>
                <c:ptCount val="232"/>
                <c:pt idx="0">
                  <c:v>8.4444444444444447E-2</c:v>
                </c:pt>
                <c:pt idx="1">
                  <c:v>0.1</c:v>
                </c:pt>
                <c:pt idx="2">
                  <c:v>9.3851132686084138E-2</c:v>
                </c:pt>
                <c:pt idx="3">
                  <c:v>8.0906148867313912E-2</c:v>
                </c:pt>
                <c:pt idx="4">
                  <c:v>5.9870550161812294E-2</c:v>
                </c:pt>
                <c:pt idx="5">
                  <c:v>5.9773828756058162E-2</c:v>
                </c:pt>
                <c:pt idx="6">
                  <c:v>9.1111111111111115E-2</c:v>
                </c:pt>
                <c:pt idx="7">
                  <c:v>5.1111111111111114E-2</c:v>
                </c:pt>
                <c:pt idx="8">
                  <c:v>8.7912087912087919E-2</c:v>
                </c:pt>
                <c:pt idx="9">
                  <c:v>5.9654631083202514E-2</c:v>
                </c:pt>
                <c:pt idx="10">
                  <c:v>4.709576138147567E-2</c:v>
                </c:pt>
                <c:pt idx="11">
                  <c:v>3.924646781789639E-2</c:v>
                </c:pt>
                <c:pt idx="12">
                  <c:v>4.5525902668759811E-2</c:v>
                </c:pt>
                <c:pt idx="13">
                  <c:v>3.924646781789639E-2</c:v>
                </c:pt>
                <c:pt idx="14">
                  <c:v>0.08</c:v>
                </c:pt>
                <c:pt idx="15">
                  <c:v>0.10222222222222223</c:v>
                </c:pt>
                <c:pt idx="16">
                  <c:v>0.12713178294573643</c:v>
                </c:pt>
                <c:pt idx="17">
                  <c:v>0.10697674418604651</c:v>
                </c:pt>
                <c:pt idx="18">
                  <c:v>7.5968992248062014E-2</c:v>
                </c:pt>
                <c:pt idx="19">
                  <c:v>9.3023255813953487E-2</c:v>
                </c:pt>
                <c:pt idx="20">
                  <c:v>8.2170542635658914E-2</c:v>
                </c:pt>
                <c:pt idx="21">
                  <c:v>0.17333333333333334</c:v>
                </c:pt>
                <c:pt idx="22">
                  <c:v>0.18222222222222223</c:v>
                </c:pt>
                <c:pt idx="23">
                  <c:v>0.1623931623931624</c:v>
                </c:pt>
                <c:pt idx="24">
                  <c:v>9.5726495726495733E-2</c:v>
                </c:pt>
                <c:pt idx="25">
                  <c:v>8.0204778156996587E-2</c:v>
                </c:pt>
                <c:pt idx="26">
                  <c:v>0.12222222222222222</c:v>
                </c:pt>
                <c:pt idx="27">
                  <c:v>0.19111111111111112</c:v>
                </c:pt>
                <c:pt idx="28">
                  <c:v>0.10909090909090909</c:v>
                </c:pt>
                <c:pt idx="29">
                  <c:v>0.13036303630363036</c:v>
                </c:pt>
                <c:pt idx="30">
                  <c:v>0.15181518151815182</c:v>
                </c:pt>
                <c:pt idx="31">
                  <c:v>0.14521452145214522</c:v>
                </c:pt>
                <c:pt idx="32">
                  <c:v>0.62444444444444447</c:v>
                </c:pt>
                <c:pt idx="33">
                  <c:v>0.73521126760563382</c:v>
                </c:pt>
                <c:pt idx="34">
                  <c:v>0.59142857142857141</c:v>
                </c:pt>
                <c:pt idx="35">
                  <c:v>0.80281690140845074</c:v>
                </c:pt>
                <c:pt idx="36">
                  <c:v>1.1111111111111112E-2</c:v>
                </c:pt>
                <c:pt idx="37">
                  <c:v>1.0159651669085631E-2</c:v>
                </c:pt>
                <c:pt idx="38">
                  <c:v>1.4513788098693759E-2</c:v>
                </c:pt>
                <c:pt idx="39">
                  <c:v>7.2568940493468797E-3</c:v>
                </c:pt>
                <c:pt idx="40">
                  <c:v>9.555555555555556E-2</c:v>
                </c:pt>
                <c:pt idx="41">
                  <c:v>6.222222222222222E-2</c:v>
                </c:pt>
                <c:pt idx="42">
                  <c:v>8.5899513776337116E-2</c:v>
                </c:pt>
                <c:pt idx="43">
                  <c:v>6.6450567260940036E-2</c:v>
                </c:pt>
                <c:pt idx="44">
                  <c:v>4.0518638573743923E-2</c:v>
                </c:pt>
                <c:pt idx="45">
                  <c:v>3.4035656401944892E-2</c:v>
                </c:pt>
                <c:pt idx="46">
                  <c:v>4.6925566343042069E-2</c:v>
                </c:pt>
                <c:pt idx="47">
                  <c:v>0.4022222222222222</c:v>
                </c:pt>
                <c:pt idx="48">
                  <c:v>0.39260312944523473</c:v>
                </c:pt>
                <c:pt idx="49">
                  <c:v>0.55049786628733999</c:v>
                </c:pt>
                <c:pt idx="50">
                  <c:v>0.36842105263157893</c:v>
                </c:pt>
                <c:pt idx="51">
                  <c:v>0.29587482219061167</c:v>
                </c:pt>
                <c:pt idx="52">
                  <c:v>0.33854907539118068</c:v>
                </c:pt>
                <c:pt idx="53">
                  <c:v>0.30834512022630833</c:v>
                </c:pt>
                <c:pt idx="54">
                  <c:v>0.10666666666666667</c:v>
                </c:pt>
                <c:pt idx="55">
                  <c:v>0.10703812316715543</c:v>
                </c:pt>
                <c:pt idx="56">
                  <c:v>8.797653958944282E-2</c:v>
                </c:pt>
                <c:pt idx="57">
                  <c:v>6.5982404692082108E-2</c:v>
                </c:pt>
                <c:pt idx="58">
                  <c:v>9.3704245973645683E-2</c:v>
                </c:pt>
                <c:pt idx="59">
                  <c:v>0.28222222222222221</c:v>
                </c:pt>
                <c:pt idx="60">
                  <c:v>0.20666666666666667</c:v>
                </c:pt>
                <c:pt idx="61">
                  <c:v>0.19174041297935104</c:v>
                </c:pt>
                <c:pt idx="62">
                  <c:v>0.11356932153392331</c:v>
                </c:pt>
                <c:pt idx="63">
                  <c:v>0.10619469026548672</c:v>
                </c:pt>
                <c:pt idx="64">
                  <c:v>0.11192930780559647</c:v>
                </c:pt>
                <c:pt idx="65">
                  <c:v>0.18</c:v>
                </c:pt>
                <c:pt idx="66">
                  <c:v>0.15111111111111111</c:v>
                </c:pt>
                <c:pt idx="67">
                  <c:v>0.14363143631436315</c:v>
                </c:pt>
                <c:pt idx="68">
                  <c:v>0.19350473612990526</c:v>
                </c:pt>
                <c:pt idx="69">
                  <c:v>0.14343707713125844</c:v>
                </c:pt>
                <c:pt idx="70">
                  <c:v>0.10013531799729364</c:v>
                </c:pt>
                <c:pt idx="71">
                  <c:v>9.336941813261164E-2</c:v>
                </c:pt>
                <c:pt idx="72">
                  <c:v>9.336941813261164E-2</c:v>
                </c:pt>
                <c:pt idx="73">
                  <c:v>0.10013531799729364</c:v>
                </c:pt>
                <c:pt idx="74">
                  <c:v>0.1111111111111111</c:v>
                </c:pt>
                <c:pt idx="75">
                  <c:v>0.11821974965229486</c:v>
                </c:pt>
                <c:pt idx="76">
                  <c:v>9.166666666666666E-2</c:v>
                </c:pt>
                <c:pt idx="77">
                  <c:v>9.7222222222222224E-2</c:v>
                </c:pt>
                <c:pt idx="78">
                  <c:v>8.1944444444444445E-2</c:v>
                </c:pt>
                <c:pt idx="79">
                  <c:v>6.805555555555555E-2</c:v>
                </c:pt>
                <c:pt idx="80">
                  <c:v>0.21333333333333335</c:v>
                </c:pt>
                <c:pt idx="81">
                  <c:v>0.22888888888888889</c:v>
                </c:pt>
                <c:pt idx="82">
                  <c:v>0.17402945113788487</c:v>
                </c:pt>
                <c:pt idx="83">
                  <c:v>0.17914438502673796</c:v>
                </c:pt>
                <c:pt idx="84">
                  <c:v>0.2232620320855615</c:v>
                </c:pt>
                <c:pt idx="85">
                  <c:v>0.13636363636363635</c:v>
                </c:pt>
                <c:pt idx="86">
                  <c:v>9.4919786096256689E-2</c:v>
                </c:pt>
                <c:pt idx="87">
                  <c:v>8.4444444444444447E-2</c:v>
                </c:pt>
                <c:pt idx="88">
                  <c:v>0.12</c:v>
                </c:pt>
                <c:pt idx="89">
                  <c:v>0.14888888888888888</c:v>
                </c:pt>
                <c:pt idx="90">
                  <c:v>0.14035087719298245</c:v>
                </c:pt>
                <c:pt idx="91">
                  <c:v>0.11201079622132254</c:v>
                </c:pt>
                <c:pt idx="92">
                  <c:v>0.10256410256410256</c:v>
                </c:pt>
                <c:pt idx="93">
                  <c:v>9.5816464237516871E-2</c:v>
                </c:pt>
                <c:pt idx="94">
                  <c:v>9.7165991902834009E-2</c:v>
                </c:pt>
                <c:pt idx="95">
                  <c:v>0.10796221322537113</c:v>
                </c:pt>
                <c:pt idx="96">
                  <c:v>0.6171428571428571</c:v>
                </c:pt>
                <c:pt idx="97">
                  <c:v>0.47042253521126759</c:v>
                </c:pt>
                <c:pt idx="98">
                  <c:v>2.2222222222222222E-3</c:v>
                </c:pt>
                <c:pt idx="99">
                  <c:v>7.9617834394904458E-3</c:v>
                </c:pt>
                <c:pt idx="100">
                  <c:v>6.6666666666666671E-3</c:v>
                </c:pt>
                <c:pt idx="101">
                  <c:v>4.2372881355932203E-3</c:v>
                </c:pt>
                <c:pt idx="102">
                  <c:v>4.2372881355932203E-3</c:v>
                </c:pt>
                <c:pt idx="103">
                  <c:v>8.8888888888888889E-3</c:v>
                </c:pt>
                <c:pt idx="104">
                  <c:v>1.3698630136986301E-2</c:v>
                </c:pt>
                <c:pt idx="105">
                  <c:v>0.18444444444444444</c:v>
                </c:pt>
                <c:pt idx="106">
                  <c:v>0.15111111111111111</c:v>
                </c:pt>
                <c:pt idx="107">
                  <c:v>0.16220472440944883</c:v>
                </c:pt>
                <c:pt idx="108">
                  <c:v>0.17007874015748031</c:v>
                </c:pt>
                <c:pt idx="109">
                  <c:v>0.13700787401574804</c:v>
                </c:pt>
                <c:pt idx="110">
                  <c:v>0.15590551181102363</c:v>
                </c:pt>
                <c:pt idx="111">
                  <c:v>0.16981132075471697</c:v>
                </c:pt>
                <c:pt idx="112">
                  <c:v>0.18666666666666668</c:v>
                </c:pt>
                <c:pt idx="113">
                  <c:v>0.25555555555555554</c:v>
                </c:pt>
                <c:pt idx="114">
                  <c:v>0.35562310030395139</c:v>
                </c:pt>
                <c:pt idx="115">
                  <c:v>0.37481031866464337</c:v>
                </c:pt>
                <c:pt idx="116">
                  <c:v>0.37025796661608495</c:v>
                </c:pt>
                <c:pt idx="117">
                  <c:v>0.10222222222222223</c:v>
                </c:pt>
                <c:pt idx="118">
                  <c:v>4.8888888888888891E-2</c:v>
                </c:pt>
                <c:pt idx="119">
                  <c:v>5.1546391752577317E-2</c:v>
                </c:pt>
                <c:pt idx="120">
                  <c:v>2.5036818851251842E-2</c:v>
                </c:pt>
                <c:pt idx="121">
                  <c:v>3.9705882352941174E-2</c:v>
                </c:pt>
                <c:pt idx="122">
                  <c:v>6.222222222222222E-2</c:v>
                </c:pt>
                <c:pt idx="123">
                  <c:v>5.1111111111111114E-2</c:v>
                </c:pt>
                <c:pt idx="124">
                  <c:v>0.10077519379844961</c:v>
                </c:pt>
                <c:pt idx="125">
                  <c:v>0.11162790697674418</c:v>
                </c:pt>
                <c:pt idx="126">
                  <c:v>3.5555555555555556E-2</c:v>
                </c:pt>
                <c:pt idx="127">
                  <c:v>4.5390070921985819E-2</c:v>
                </c:pt>
                <c:pt idx="128">
                  <c:v>3.2624113475177303E-2</c:v>
                </c:pt>
                <c:pt idx="129">
                  <c:v>1.7021276595744681E-2</c:v>
                </c:pt>
                <c:pt idx="130">
                  <c:v>1.7021276595744681E-2</c:v>
                </c:pt>
                <c:pt idx="131">
                  <c:v>5.1428571428571428E-2</c:v>
                </c:pt>
                <c:pt idx="132">
                  <c:v>3.5555555555555556E-2</c:v>
                </c:pt>
                <c:pt idx="133">
                  <c:v>4.4444444444444444E-3</c:v>
                </c:pt>
                <c:pt idx="134">
                  <c:v>3.1446540880503146E-3</c:v>
                </c:pt>
                <c:pt idx="135">
                  <c:v>1.3333333333333334E-2</c:v>
                </c:pt>
                <c:pt idx="136">
                  <c:v>1.6759776536312849E-2</c:v>
                </c:pt>
                <c:pt idx="137">
                  <c:v>6.6666666666666671E-3</c:v>
                </c:pt>
                <c:pt idx="138">
                  <c:v>1.5555555555555555E-2</c:v>
                </c:pt>
                <c:pt idx="139">
                  <c:v>3.9215686274509803E-3</c:v>
                </c:pt>
                <c:pt idx="140">
                  <c:v>3.9215686274509803E-3</c:v>
                </c:pt>
                <c:pt idx="141">
                  <c:v>0</c:v>
                </c:pt>
                <c:pt idx="142">
                  <c:v>0.13777777777777778</c:v>
                </c:pt>
                <c:pt idx="143">
                  <c:v>0.12607944732297063</c:v>
                </c:pt>
                <c:pt idx="144">
                  <c:v>0.12780656303972365</c:v>
                </c:pt>
                <c:pt idx="145">
                  <c:v>0.10535405872193437</c:v>
                </c:pt>
                <c:pt idx="146">
                  <c:v>8.7779690189328741E-2</c:v>
                </c:pt>
                <c:pt idx="147">
                  <c:v>0.16222222222222221</c:v>
                </c:pt>
                <c:pt idx="148">
                  <c:v>0.14666666666666667</c:v>
                </c:pt>
                <c:pt idx="149">
                  <c:v>0.12076583210603829</c:v>
                </c:pt>
                <c:pt idx="150">
                  <c:v>0.16789396170839468</c:v>
                </c:pt>
                <c:pt idx="151">
                  <c:v>0.16642120765832105</c:v>
                </c:pt>
                <c:pt idx="152">
                  <c:v>0.13696612665684832</c:v>
                </c:pt>
                <c:pt idx="153">
                  <c:v>0.1426470588235294</c:v>
                </c:pt>
                <c:pt idx="154">
                  <c:v>0.42222222222222222</c:v>
                </c:pt>
                <c:pt idx="155">
                  <c:v>0.46121883656509693</c:v>
                </c:pt>
                <c:pt idx="156">
                  <c:v>0.36842105263157893</c:v>
                </c:pt>
                <c:pt idx="157">
                  <c:v>0.34210526315789475</c:v>
                </c:pt>
                <c:pt idx="158">
                  <c:v>0.27906976744186046</c:v>
                </c:pt>
                <c:pt idx="159">
                  <c:v>0.2318840579710145</c:v>
                </c:pt>
                <c:pt idx="160">
                  <c:v>0.10033444816053512</c:v>
                </c:pt>
                <c:pt idx="161">
                  <c:v>2.6755852842809364E-2</c:v>
                </c:pt>
                <c:pt idx="162">
                  <c:v>0.2088888888888889</c:v>
                </c:pt>
                <c:pt idx="163">
                  <c:v>0.22222222222222221</c:v>
                </c:pt>
                <c:pt idx="164">
                  <c:v>0.23968253968253969</c:v>
                </c:pt>
                <c:pt idx="165">
                  <c:v>0.28843106180665612</c:v>
                </c:pt>
                <c:pt idx="166">
                  <c:v>0.30427892234548337</c:v>
                </c:pt>
                <c:pt idx="167">
                  <c:v>0.30269413629160064</c:v>
                </c:pt>
                <c:pt idx="168">
                  <c:v>0.15555555555555556</c:v>
                </c:pt>
                <c:pt idx="169">
                  <c:v>0.16320000000000001</c:v>
                </c:pt>
                <c:pt idx="170">
                  <c:v>0.25559105431309903</c:v>
                </c:pt>
                <c:pt idx="171">
                  <c:v>3.3333333333333333E-2</c:v>
                </c:pt>
                <c:pt idx="172">
                  <c:v>3.3333333333333333E-2</c:v>
                </c:pt>
                <c:pt idx="173">
                  <c:v>5.7649667405764965E-2</c:v>
                </c:pt>
                <c:pt idx="174">
                  <c:v>0.6346749226006192</c:v>
                </c:pt>
                <c:pt idx="175">
                  <c:v>0.71111111111111114</c:v>
                </c:pt>
                <c:pt idx="176">
                  <c:v>0.20222222222222222</c:v>
                </c:pt>
                <c:pt idx="177">
                  <c:v>0.19111111111111112</c:v>
                </c:pt>
                <c:pt idx="178">
                  <c:v>0.27555555555555555</c:v>
                </c:pt>
                <c:pt idx="179">
                  <c:v>0.24912891986062718</c:v>
                </c:pt>
                <c:pt idx="180">
                  <c:v>0.31010452961672474</c:v>
                </c:pt>
                <c:pt idx="181">
                  <c:v>0.38153310104529614</c:v>
                </c:pt>
                <c:pt idx="182">
                  <c:v>0.53111111111111109</c:v>
                </c:pt>
                <c:pt idx="183">
                  <c:v>0.49430894308943091</c:v>
                </c:pt>
                <c:pt idx="184">
                  <c:v>0.49837662337662336</c:v>
                </c:pt>
                <c:pt idx="185">
                  <c:v>0.25333333333333335</c:v>
                </c:pt>
                <c:pt idx="186">
                  <c:v>0.41860465116279072</c:v>
                </c:pt>
                <c:pt idx="187">
                  <c:v>0.48922056384742951</c:v>
                </c:pt>
                <c:pt idx="188">
                  <c:v>0.30222222222222223</c:v>
                </c:pt>
                <c:pt idx="189">
                  <c:v>0.30985915492957744</c:v>
                </c:pt>
                <c:pt idx="190">
                  <c:v>0.34585289514866979</c:v>
                </c:pt>
                <c:pt idx="191">
                  <c:v>0.26447574334898277</c:v>
                </c:pt>
                <c:pt idx="192">
                  <c:v>0.2300469483568075</c:v>
                </c:pt>
                <c:pt idx="193">
                  <c:v>0.42666666666666669</c:v>
                </c:pt>
                <c:pt idx="194">
                  <c:v>0.32569558101472995</c:v>
                </c:pt>
                <c:pt idx="195">
                  <c:v>0.4238952536824877</c:v>
                </c:pt>
                <c:pt idx="196">
                  <c:v>0.41243862520458263</c:v>
                </c:pt>
                <c:pt idx="197">
                  <c:v>0.40589198036006546</c:v>
                </c:pt>
                <c:pt idx="198">
                  <c:v>0.41788617886178864</c:v>
                </c:pt>
                <c:pt idx="199">
                  <c:v>0</c:v>
                </c:pt>
                <c:pt idx="200">
                  <c:v>7.0621468926553672E-3</c:v>
                </c:pt>
                <c:pt idx="201">
                  <c:v>1.5555555555555555E-2</c:v>
                </c:pt>
                <c:pt idx="202">
                  <c:v>4.1221374045801527E-2</c:v>
                </c:pt>
                <c:pt idx="203">
                  <c:v>3.3587786259541987E-2</c:v>
                </c:pt>
                <c:pt idx="204">
                  <c:v>1.4999999999999999E-2</c:v>
                </c:pt>
                <c:pt idx="205">
                  <c:v>3.0800821355236138E-2</c:v>
                </c:pt>
                <c:pt idx="206">
                  <c:v>0</c:v>
                </c:pt>
                <c:pt idx="207">
                  <c:v>1.384083044982699E-2</c:v>
                </c:pt>
                <c:pt idx="208">
                  <c:v>1.5555555555555555E-2</c:v>
                </c:pt>
                <c:pt idx="209">
                  <c:v>1.37524557956778E-2</c:v>
                </c:pt>
                <c:pt idx="210">
                  <c:v>2.9411764705882353E-2</c:v>
                </c:pt>
                <c:pt idx="211">
                  <c:v>0.13777777777777778</c:v>
                </c:pt>
                <c:pt idx="212">
                  <c:v>0.14444444444444443</c:v>
                </c:pt>
                <c:pt idx="213">
                  <c:v>0.20451127819548873</c:v>
                </c:pt>
                <c:pt idx="214">
                  <c:v>0.21771771771771772</c:v>
                </c:pt>
                <c:pt idx="215">
                  <c:v>1.5576323987538941E-2</c:v>
                </c:pt>
                <c:pt idx="216">
                  <c:v>2.4922118380062305E-2</c:v>
                </c:pt>
                <c:pt idx="217">
                  <c:v>0</c:v>
                </c:pt>
                <c:pt idx="218">
                  <c:v>9.3333333333333338E-2</c:v>
                </c:pt>
                <c:pt idx="219">
                  <c:v>7.5555555555555556E-2</c:v>
                </c:pt>
                <c:pt idx="220">
                  <c:v>6.8359375E-2</c:v>
                </c:pt>
                <c:pt idx="221">
                  <c:v>7.407407407407407E-2</c:v>
                </c:pt>
                <c:pt idx="222">
                  <c:v>6.6276803118908378E-2</c:v>
                </c:pt>
                <c:pt idx="223">
                  <c:v>4.4444444444444444E-3</c:v>
                </c:pt>
                <c:pt idx="224">
                  <c:v>0</c:v>
                </c:pt>
                <c:pt idx="225">
                  <c:v>0</c:v>
                </c:pt>
                <c:pt idx="226">
                  <c:v>5.3003533568904597E-3</c:v>
                </c:pt>
                <c:pt idx="227">
                  <c:v>7.5555555555555556E-2</c:v>
                </c:pt>
                <c:pt idx="228">
                  <c:v>2.4242424242424242E-2</c:v>
                </c:pt>
                <c:pt idx="229">
                  <c:v>2.7100271002710027E-3</c:v>
                </c:pt>
                <c:pt idx="230">
                  <c:v>0</c:v>
                </c:pt>
                <c:pt idx="231">
                  <c:v>1.4947683109118087E-3</c:v>
                </c:pt>
              </c:numCache>
            </c:numRef>
          </c:xVal>
          <c:yVal>
            <c:numRef>
              <c:f>RaceWorksheet!$C$2:$C$233</c:f>
              <c:numCache>
                <c:formatCode>0.0%</c:formatCode>
                <c:ptCount val="232"/>
                <c:pt idx="0">
                  <c:v>0.48351648351648352</c:v>
                </c:pt>
                <c:pt idx="1">
                  <c:v>0.4484536082474227</c:v>
                </c:pt>
                <c:pt idx="2">
                  <c:v>0.44877049180327871</c:v>
                </c:pt>
                <c:pt idx="3">
                  <c:v>0.3940677966101695</c:v>
                </c:pt>
                <c:pt idx="4">
                  <c:v>0.35477582846003897</c:v>
                </c:pt>
                <c:pt idx="5">
                  <c:v>0.29205175600739369</c:v>
                </c:pt>
                <c:pt idx="6">
                  <c:v>0.5582655826558266</c:v>
                </c:pt>
                <c:pt idx="7">
                  <c:v>0.49246231155778897</c:v>
                </c:pt>
                <c:pt idx="8">
                  <c:v>0.40337711069418386</c:v>
                </c:pt>
                <c:pt idx="9">
                  <c:v>0.4887525562372188</c:v>
                </c:pt>
                <c:pt idx="10">
                  <c:v>0.46800000000000003</c:v>
                </c:pt>
                <c:pt idx="11">
                  <c:v>0.43222003929273084</c:v>
                </c:pt>
                <c:pt idx="12">
                  <c:v>0.3611111111111111</c:v>
                </c:pt>
                <c:pt idx="13">
                  <c:v>0.37158469945355194</c:v>
                </c:pt>
                <c:pt idx="14">
                  <c:v>0.59840425531914898</c:v>
                </c:pt>
                <c:pt idx="15">
                  <c:v>0.46500000000000002</c:v>
                </c:pt>
                <c:pt idx="16">
                  <c:v>0.40733590733590735</c:v>
                </c:pt>
                <c:pt idx="17">
                  <c:v>0.45833333333333331</c:v>
                </c:pt>
                <c:pt idx="18">
                  <c:v>0.46816479400749061</c:v>
                </c:pt>
                <c:pt idx="19">
                  <c:v>0.42193308550185876</c:v>
                </c:pt>
                <c:pt idx="20">
                  <c:v>0.34375</c:v>
                </c:pt>
                <c:pt idx="21">
                  <c:v>0.62647058823529411</c:v>
                </c:pt>
                <c:pt idx="22">
                  <c:v>0.45363408521303256</c:v>
                </c:pt>
                <c:pt idx="23">
                  <c:v>0.39828693790149894</c:v>
                </c:pt>
                <c:pt idx="24">
                  <c:v>0.47494033412887826</c:v>
                </c:pt>
                <c:pt idx="25">
                  <c:v>0.47855530474040631</c:v>
                </c:pt>
                <c:pt idx="26">
                  <c:v>0.55936675461741425</c:v>
                </c:pt>
                <c:pt idx="27">
                  <c:v>0.42151162790697677</c:v>
                </c:pt>
                <c:pt idx="28">
                  <c:v>0.48541666666666666</c:v>
                </c:pt>
                <c:pt idx="29">
                  <c:v>0.49163179916317989</c:v>
                </c:pt>
                <c:pt idx="30">
                  <c:v>0.44219066937119678</c:v>
                </c:pt>
                <c:pt idx="31">
                  <c:v>0.38430583501006038</c:v>
                </c:pt>
                <c:pt idx="32">
                  <c:v>0.2404692082111437</c:v>
                </c:pt>
                <c:pt idx="33">
                  <c:v>0.14802065404475043</c:v>
                </c:pt>
                <c:pt idx="34">
                  <c:v>0.21374045801526717</c:v>
                </c:pt>
                <c:pt idx="35">
                  <c:v>0.17897727272727273</c:v>
                </c:pt>
                <c:pt idx="36">
                  <c:v>0.50696378830083566</c:v>
                </c:pt>
                <c:pt idx="37">
                  <c:v>0.49872773536895676</c:v>
                </c:pt>
                <c:pt idx="38">
                  <c:v>0.37349397590361444</c:v>
                </c:pt>
                <c:pt idx="39">
                  <c:v>0.46367521367521369</c:v>
                </c:pt>
                <c:pt idx="40">
                  <c:v>0.46551724137931033</c:v>
                </c:pt>
                <c:pt idx="41">
                  <c:v>0.42083333333333334</c:v>
                </c:pt>
                <c:pt idx="42">
                  <c:v>0.39138943248532287</c:v>
                </c:pt>
                <c:pt idx="43">
                  <c:v>0.65745856353591159</c:v>
                </c:pt>
                <c:pt idx="44">
                  <c:v>0.52064631956912033</c:v>
                </c:pt>
                <c:pt idx="45">
                  <c:v>0.52371916508538896</c:v>
                </c:pt>
                <c:pt idx="46">
                  <c:v>0.46127366609294318</c:v>
                </c:pt>
                <c:pt idx="47">
                  <c:v>0.41091954022988508</c:v>
                </c:pt>
                <c:pt idx="48">
                  <c:v>0.41</c:v>
                </c:pt>
                <c:pt idx="49">
                  <c:v>0.3833922261484099</c:v>
                </c:pt>
                <c:pt idx="50">
                  <c:v>0.45588235294117646</c:v>
                </c:pt>
                <c:pt idx="51">
                  <c:v>0.4206896551724138</c:v>
                </c:pt>
                <c:pt idx="52">
                  <c:v>0.34724540901502504</c:v>
                </c:pt>
                <c:pt idx="53">
                  <c:v>0.40226628895184136</c:v>
                </c:pt>
                <c:pt idx="54">
                  <c:v>0.32573289902280128</c:v>
                </c:pt>
                <c:pt idx="55">
                  <c:v>0.22058823529411764</c:v>
                </c:pt>
                <c:pt idx="56">
                  <c:v>0.30566037735849055</c:v>
                </c:pt>
                <c:pt idx="57">
                  <c:v>0.3210332103321033</c:v>
                </c:pt>
                <c:pt idx="58">
                  <c:v>0.2699490662139219</c:v>
                </c:pt>
                <c:pt idx="59">
                  <c:v>0.26981450252951095</c:v>
                </c:pt>
                <c:pt idx="60">
                  <c:v>0.55958549222797926</c:v>
                </c:pt>
                <c:pt idx="61">
                  <c:v>0.39826086956521739</c:v>
                </c:pt>
                <c:pt idx="62">
                  <c:v>0.44064748201438847</c:v>
                </c:pt>
                <c:pt idx="63">
                  <c:v>0.39367311072056238</c:v>
                </c:pt>
                <c:pt idx="64">
                  <c:v>0.36148648648648651</c:v>
                </c:pt>
                <c:pt idx="65">
                  <c:v>0.58192090395480223</c:v>
                </c:pt>
                <c:pt idx="66">
                  <c:v>0.52985074626865669</c:v>
                </c:pt>
                <c:pt idx="67">
                  <c:v>0.43789808917197454</c:v>
                </c:pt>
                <c:pt idx="68">
                  <c:v>0.38070175438596493</c:v>
                </c:pt>
                <c:pt idx="69">
                  <c:v>0.448943661971831</c:v>
                </c:pt>
                <c:pt idx="70">
                  <c:v>0.45017182130584193</c:v>
                </c:pt>
                <c:pt idx="71">
                  <c:v>0.41638795986622074</c:v>
                </c:pt>
                <c:pt idx="72">
                  <c:v>0.41042345276872966</c:v>
                </c:pt>
                <c:pt idx="73">
                  <c:v>0.38461538461538464</c:v>
                </c:pt>
                <c:pt idx="74">
                  <c:v>0.38819875776397517</c:v>
                </c:pt>
                <c:pt idx="75">
                  <c:v>0.38315217391304346</c:v>
                </c:pt>
                <c:pt idx="76">
                  <c:v>0.38958990536277605</c:v>
                </c:pt>
                <c:pt idx="77">
                  <c:v>0.37542087542087543</c:v>
                </c:pt>
                <c:pt idx="78">
                  <c:v>0.36396396396396397</c:v>
                </c:pt>
                <c:pt idx="79">
                  <c:v>0.47120418848167539</c:v>
                </c:pt>
                <c:pt idx="80">
                  <c:v>0.43156199677938806</c:v>
                </c:pt>
                <c:pt idx="81">
                  <c:v>0.54596100278551529</c:v>
                </c:pt>
                <c:pt idx="82">
                  <c:v>0.44334975369458129</c:v>
                </c:pt>
                <c:pt idx="83">
                  <c:v>0.38831615120274915</c:v>
                </c:pt>
                <c:pt idx="84">
                  <c:v>0.42151675485008816</c:v>
                </c:pt>
                <c:pt idx="85">
                  <c:v>0.40778341793570222</c:v>
                </c:pt>
                <c:pt idx="86">
                  <c:v>0.40878378378378377</c:v>
                </c:pt>
                <c:pt idx="87">
                  <c:v>0.46179401993355484</c:v>
                </c:pt>
                <c:pt idx="88">
                  <c:v>0.40364583333333331</c:v>
                </c:pt>
                <c:pt idx="89">
                  <c:v>0.32731958762886598</c:v>
                </c:pt>
                <c:pt idx="90">
                  <c:v>0.30114566284779049</c:v>
                </c:pt>
                <c:pt idx="91">
                  <c:v>0.30256410256410254</c:v>
                </c:pt>
                <c:pt idx="92">
                  <c:v>0.38045375218150085</c:v>
                </c:pt>
                <c:pt idx="93">
                  <c:v>0.37323943661971831</c:v>
                </c:pt>
                <c:pt idx="94">
                  <c:v>0.35540069686411152</c:v>
                </c:pt>
                <c:pt idx="95">
                  <c:v>0.33713355048859933</c:v>
                </c:pt>
                <c:pt idx="96">
                  <c:v>0.41984732824427479</c:v>
                </c:pt>
                <c:pt idx="97">
                  <c:v>0.34843205574912894</c:v>
                </c:pt>
                <c:pt idx="98">
                  <c:v>0.73163841807909602</c:v>
                </c:pt>
                <c:pt idx="99">
                  <c:v>0.59914712153518124</c:v>
                </c:pt>
                <c:pt idx="100">
                  <c:v>0.70262390670553931</c:v>
                </c:pt>
                <c:pt idx="101">
                  <c:v>0.65435356200527706</c:v>
                </c:pt>
                <c:pt idx="102">
                  <c:v>0.57692307692307687</c:v>
                </c:pt>
                <c:pt idx="103">
                  <c:v>0.70914127423822715</c:v>
                </c:pt>
                <c:pt idx="104">
                  <c:v>0.57708333333333328</c:v>
                </c:pt>
                <c:pt idx="105">
                  <c:v>0.61676646706586824</c:v>
                </c:pt>
                <c:pt idx="106">
                  <c:v>0.56555269922879181</c:v>
                </c:pt>
                <c:pt idx="107">
                  <c:v>0.51845018450184499</c:v>
                </c:pt>
                <c:pt idx="108">
                  <c:v>0.47198275862068967</c:v>
                </c:pt>
                <c:pt idx="109">
                  <c:v>0.52783505154639176</c:v>
                </c:pt>
                <c:pt idx="110">
                  <c:v>0.49808429118773945</c:v>
                </c:pt>
                <c:pt idx="111">
                  <c:v>0.53345724907063197</c:v>
                </c:pt>
                <c:pt idx="112">
                  <c:v>0.56973293768545996</c:v>
                </c:pt>
                <c:pt idx="113">
                  <c:v>0.46560846560846558</c:v>
                </c:pt>
                <c:pt idx="114">
                  <c:v>0.38289962825278812</c:v>
                </c:pt>
                <c:pt idx="115">
                  <c:v>0.39842209072978302</c:v>
                </c:pt>
                <c:pt idx="116">
                  <c:v>0.40963855421686746</c:v>
                </c:pt>
                <c:pt idx="117">
                  <c:v>0.68985507246376809</c:v>
                </c:pt>
                <c:pt idx="118">
                  <c:v>0.67669172932330823</c:v>
                </c:pt>
                <c:pt idx="119">
                  <c:v>0.58064516129032262</c:v>
                </c:pt>
                <c:pt idx="120">
                  <c:v>0.60803059273422566</c:v>
                </c:pt>
                <c:pt idx="121">
                  <c:v>0.53488372093023251</c:v>
                </c:pt>
                <c:pt idx="122">
                  <c:v>0.62631578947368416</c:v>
                </c:pt>
                <c:pt idx="123">
                  <c:v>0.54621848739495793</c:v>
                </c:pt>
                <c:pt idx="124">
                  <c:v>0.45892857142857141</c:v>
                </c:pt>
                <c:pt idx="125">
                  <c:v>0.4086206896551724</c:v>
                </c:pt>
                <c:pt idx="126">
                  <c:v>0.40162601626016259</c:v>
                </c:pt>
                <c:pt idx="127">
                  <c:v>0.57565789473684215</c:v>
                </c:pt>
                <c:pt idx="128">
                  <c:v>0.55284552845528456</c:v>
                </c:pt>
                <c:pt idx="129">
                  <c:v>0.42276422764227645</c:v>
                </c:pt>
                <c:pt idx="130">
                  <c:v>0.45233265720081134</c:v>
                </c:pt>
                <c:pt idx="131">
                  <c:v>0.65234375</c:v>
                </c:pt>
                <c:pt idx="132">
                  <c:v>0.56473829201101933</c:v>
                </c:pt>
                <c:pt idx="133">
                  <c:v>0.72237960339943341</c:v>
                </c:pt>
                <c:pt idx="134">
                  <c:v>0.58939096267190572</c:v>
                </c:pt>
                <c:pt idx="135">
                  <c:v>0.71916010498687666</c:v>
                </c:pt>
                <c:pt idx="136">
                  <c:v>0.5585738539898133</c:v>
                </c:pt>
                <c:pt idx="137">
                  <c:v>0.73076923076923073</c:v>
                </c:pt>
                <c:pt idx="138">
                  <c:v>0.7493606138107417</c:v>
                </c:pt>
                <c:pt idx="139">
                  <c:v>0.63366336633663367</c:v>
                </c:pt>
                <c:pt idx="140">
                  <c:v>0.5864661654135338</c:v>
                </c:pt>
                <c:pt idx="141">
                  <c:v>0.63133640552995396</c:v>
                </c:pt>
                <c:pt idx="142">
                  <c:v>0.52105263157894732</c:v>
                </c:pt>
                <c:pt idx="143">
                  <c:v>0.51639344262295084</c:v>
                </c:pt>
                <c:pt idx="144">
                  <c:v>0.47555555555555556</c:v>
                </c:pt>
                <c:pt idx="145">
                  <c:v>0.4178082191780822</c:v>
                </c:pt>
                <c:pt idx="146">
                  <c:v>0.43571428571428572</c:v>
                </c:pt>
                <c:pt idx="147">
                  <c:v>0.663768115942029</c:v>
                </c:pt>
                <c:pt idx="148">
                  <c:v>0.60209424083769636</c:v>
                </c:pt>
                <c:pt idx="149">
                  <c:v>0.60276338514680483</c:v>
                </c:pt>
                <c:pt idx="150">
                  <c:v>0.49628252788104088</c:v>
                </c:pt>
                <c:pt idx="151">
                  <c:v>0.52551984877126656</c:v>
                </c:pt>
                <c:pt idx="152">
                  <c:v>0.48863636363636365</c:v>
                </c:pt>
                <c:pt idx="153">
                  <c:v>0.48745519713261648</c:v>
                </c:pt>
                <c:pt idx="154">
                  <c:v>0.64720812182741116</c:v>
                </c:pt>
                <c:pt idx="155">
                  <c:v>0.47095761381475665</c:v>
                </c:pt>
                <c:pt idx="156">
                  <c:v>0.52453468697123518</c:v>
                </c:pt>
                <c:pt idx="157">
                  <c:v>0.50736497545008186</c:v>
                </c:pt>
                <c:pt idx="158">
                  <c:v>0.50352112676056338</c:v>
                </c:pt>
                <c:pt idx="159">
                  <c:v>0.39361702127659576</c:v>
                </c:pt>
                <c:pt idx="160">
                  <c:v>0.6431535269709544</c:v>
                </c:pt>
                <c:pt idx="161">
                  <c:v>0.73493975903614461</c:v>
                </c:pt>
                <c:pt idx="162">
                  <c:v>0.5092592592592593</c:v>
                </c:pt>
                <c:pt idx="163">
                  <c:v>0.46216216216216216</c:v>
                </c:pt>
                <c:pt idx="164">
                  <c:v>0.40344168260038243</c:v>
                </c:pt>
                <c:pt idx="165">
                  <c:v>0.37903225806451613</c:v>
                </c:pt>
                <c:pt idx="166">
                  <c:v>0.34122287968441817</c:v>
                </c:pt>
                <c:pt idx="167">
                  <c:v>0.38257575757575757</c:v>
                </c:pt>
                <c:pt idx="168">
                  <c:v>0.62177650429799425</c:v>
                </c:pt>
                <c:pt idx="169">
                  <c:v>0.6215686274509804</c:v>
                </c:pt>
                <c:pt idx="170">
                  <c:v>0.55069582504970183</c:v>
                </c:pt>
                <c:pt idx="171">
                  <c:v>0.76338028169014083</c:v>
                </c:pt>
                <c:pt idx="172">
                  <c:v>0.73209549071618041</c:v>
                </c:pt>
                <c:pt idx="173">
                  <c:v>0.72872340425531912</c:v>
                </c:pt>
                <c:pt idx="174">
                  <c:v>0.44</c:v>
                </c:pt>
                <c:pt idx="175">
                  <c:v>0.45572916666666669</c:v>
                </c:pt>
                <c:pt idx="176">
                  <c:v>0.55485893416927901</c:v>
                </c:pt>
                <c:pt idx="177">
                  <c:v>0.49441340782122906</c:v>
                </c:pt>
                <c:pt idx="178">
                  <c:v>0.44266666666666665</c:v>
                </c:pt>
                <c:pt idx="179">
                  <c:v>0.44842105263157894</c:v>
                </c:pt>
                <c:pt idx="180">
                  <c:v>0.43249427917620137</c:v>
                </c:pt>
                <c:pt idx="181">
                  <c:v>0.4656319290465632</c:v>
                </c:pt>
                <c:pt idx="182">
                  <c:v>0.46546546546546547</c:v>
                </c:pt>
                <c:pt idx="183">
                  <c:v>0.49803149606299213</c:v>
                </c:pt>
                <c:pt idx="184">
                  <c:v>0.42190669371196754</c:v>
                </c:pt>
                <c:pt idx="185">
                  <c:v>0.70052083333333337</c:v>
                </c:pt>
                <c:pt idx="186">
                  <c:v>0.493801652892562</c:v>
                </c:pt>
                <c:pt idx="187">
                  <c:v>0.49498997995991983</c:v>
                </c:pt>
                <c:pt idx="188">
                  <c:v>0.60101010101010099</c:v>
                </c:pt>
                <c:pt idx="189">
                  <c:v>0.47472924187725629</c:v>
                </c:pt>
                <c:pt idx="190">
                  <c:v>0.46837944664031622</c:v>
                </c:pt>
                <c:pt idx="191">
                  <c:v>0.49</c:v>
                </c:pt>
                <c:pt idx="192">
                  <c:v>0.47731397459165154</c:v>
                </c:pt>
                <c:pt idx="193">
                  <c:v>0.40217391304347827</c:v>
                </c:pt>
                <c:pt idx="194">
                  <c:v>0.37523809523809526</c:v>
                </c:pt>
                <c:pt idx="195">
                  <c:v>0.27454909819639278</c:v>
                </c:pt>
                <c:pt idx="196">
                  <c:v>0.30674846625766872</c:v>
                </c:pt>
                <c:pt idx="197">
                  <c:v>0.25617977528089886</c:v>
                </c:pt>
                <c:pt idx="198">
                  <c:v>0.3057199211045365</c:v>
                </c:pt>
                <c:pt idx="199">
                  <c:v>0.65895953757225434</c:v>
                </c:pt>
                <c:pt idx="200">
                  <c:v>0.59618717504332752</c:v>
                </c:pt>
                <c:pt idx="201">
                  <c:v>0.72477064220183485</c:v>
                </c:pt>
                <c:pt idx="202">
                  <c:v>0.56346153846153846</c:v>
                </c:pt>
                <c:pt idx="203">
                  <c:v>0.55426356589147285</c:v>
                </c:pt>
                <c:pt idx="204">
                  <c:v>0.67601246105919</c:v>
                </c:pt>
                <c:pt idx="205">
                  <c:v>0.57662337662337659</c:v>
                </c:pt>
                <c:pt idx="206">
                  <c:v>0.65817409766454349</c:v>
                </c:pt>
                <c:pt idx="207">
                  <c:v>0.68230277185501065</c:v>
                </c:pt>
                <c:pt idx="208">
                  <c:v>0.69806094182825484</c:v>
                </c:pt>
                <c:pt idx="209">
                  <c:v>0.54950495049504955</c:v>
                </c:pt>
                <c:pt idx="210">
                  <c:v>0.49305555555555558</c:v>
                </c:pt>
                <c:pt idx="211">
                  <c:v>0.47931034482758622</c:v>
                </c:pt>
                <c:pt idx="212">
                  <c:v>0.38333333333333336</c:v>
                </c:pt>
                <c:pt idx="213">
                  <c:v>0.32665330661322645</c:v>
                </c:pt>
                <c:pt idx="214">
                  <c:v>0.31663326653306612</c:v>
                </c:pt>
                <c:pt idx="215">
                  <c:v>0.63805970149253732</c:v>
                </c:pt>
                <c:pt idx="216">
                  <c:v>0.56704980842911878</c:v>
                </c:pt>
                <c:pt idx="217">
                  <c:v>0.59523809523809523</c:v>
                </c:pt>
                <c:pt idx="218">
                  <c:v>0.72077922077922074</c:v>
                </c:pt>
                <c:pt idx="219">
                  <c:v>0.65445026178010468</c:v>
                </c:pt>
                <c:pt idx="220">
                  <c:v>0.5675</c:v>
                </c:pt>
                <c:pt idx="221">
                  <c:v>0.57544757033248084</c:v>
                </c:pt>
                <c:pt idx="222">
                  <c:v>0.580952380952381</c:v>
                </c:pt>
                <c:pt idx="223">
                  <c:v>0.69970845481049559</c:v>
                </c:pt>
                <c:pt idx="224">
                  <c:v>0.57105263157894737</c:v>
                </c:pt>
                <c:pt idx="225">
                  <c:v>0.56216216216216219</c:v>
                </c:pt>
                <c:pt idx="226">
                  <c:v>0.6174496644295302</c:v>
                </c:pt>
                <c:pt idx="227">
                  <c:v>0.54621848739495793</c:v>
                </c:pt>
                <c:pt idx="228">
                  <c:v>0.46052631578947367</c:v>
                </c:pt>
                <c:pt idx="229">
                  <c:v>0.69636963696369636</c:v>
                </c:pt>
                <c:pt idx="230">
                  <c:v>0.65551839464882944</c:v>
                </c:pt>
                <c:pt idx="231">
                  <c:v>0.57749077490774903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60-4893-BFC5-91929C70F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337743"/>
        <c:axId val="653711824"/>
      </c:scatterChart>
      <c:valAx>
        <c:axId val="46633774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711824"/>
        <c:crosses val="autoZero"/>
        <c:crossBetween val="midCat"/>
      </c:valAx>
      <c:valAx>
        <c:axId val="65371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37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4</xdr:row>
      <xdr:rowOff>0</xdr:rowOff>
    </xdr:from>
    <xdr:to>
      <xdr:col>21</xdr:col>
      <xdr:colOff>304800</xdr:colOff>
      <xdr:row>20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8CFE3C-F965-404D-A53E-BFA1E3FA80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23</xdr:row>
      <xdr:rowOff>0</xdr:rowOff>
    </xdr:from>
    <xdr:to>
      <xdr:col>21</xdr:col>
      <xdr:colOff>304800</xdr:colOff>
      <xdr:row>39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D3865D-201D-43D0-994E-8EA983A171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43</xdr:row>
      <xdr:rowOff>0</xdr:rowOff>
    </xdr:from>
    <xdr:to>
      <xdr:col>21</xdr:col>
      <xdr:colOff>304800</xdr:colOff>
      <xdr:row>59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11E29D-DD92-4F15-AE2C-F2E0589EA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30480</xdr:colOff>
      <xdr:row>3</xdr:row>
      <xdr:rowOff>152400</xdr:rowOff>
    </xdr:from>
    <xdr:to>
      <xdr:col>30</xdr:col>
      <xdr:colOff>335280</xdr:colOff>
      <xdr:row>20</xdr:row>
      <xdr:rowOff>45720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E7ED89D-5F9A-4826-81D0-6174861DBC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0</xdr:colOff>
      <xdr:row>4</xdr:row>
      <xdr:rowOff>0</xdr:rowOff>
    </xdr:from>
    <xdr:to>
      <xdr:col>39</xdr:col>
      <xdr:colOff>304800</xdr:colOff>
      <xdr:row>20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FA80465-1664-404C-BF32-2DDAC23E17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0</xdr:colOff>
      <xdr:row>43</xdr:row>
      <xdr:rowOff>0</xdr:rowOff>
    </xdr:from>
    <xdr:to>
      <xdr:col>39</xdr:col>
      <xdr:colOff>304800</xdr:colOff>
      <xdr:row>59</xdr:row>
      <xdr:rowOff>60960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40BA76B-F980-4BD3-8E9C-3EEBFCBB87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541147</xdr:colOff>
      <xdr:row>20</xdr:row>
      <xdr:rowOff>206501</xdr:rowOff>
    </xdr:from>
    <xdr:ext cx="3808729" cy="480059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202184</xdr:colOff>
      <xdr:row>3</xdr:row>
      <xdr:rowOff>761</xdr:rowOff>
    </xdr:from>
    <xdr:ext cx="381000" cy="381000"/>
    <xdr:pic>
      <xdr:nvPicPr>
        <xdr:cNvPr id="3" name="image1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6</xdr:col>
      <xdr:colOff>201930</xdr:colOff>
      <xdr:row>3</xdr:row>
      <xdr:rowOff>49142</xdr:rowOff>
    </xdr:from>
    <xdr:ext cx="381000" cy="290285"/>
    <xdr:pic>
      <xdr:nvPicPr>
        <xdr:cNvPr id="4" name="image2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49142</xdr:rowOff>
    </xdr:from>
    <xdr:ext cx="381000" cy="290285"/>
    <xdr:pic>
      <xdr:nvPicPr>
        <xdr:cNvPr id="5" name="image3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201930</xdr:colOff>
      <xdr:row>3</xdr:row>
      <xdr:rowOff>761</xdr:rowOff>
    </xdr:from>
    <xdr:ext cx="338666" cy="381000"/>
    <xdr:pic>
      <xdr:nvPicPr>
        <xdr:cNvPr id="6" name="image4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9</xdr:col>
      <xdr:colOff>298692</xdr:colOff>
      <xdr:row>3</xdr:row>
      <xdr:rowOff>49142</xdr:rowOff>
    </xdr:from>
    <xdr:ext cx="193523" cy="290285"/>
    <xdr:pic>
      <xdr:nvPicPr>
        <xdr:cNvPr id="7" name="image5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4</xdr:col>
      <xdr:colOff>541019</xdr:colOff>
      <xdr:row>22</xdr:row>
      <xdr:rowOff>0</xdr:rowOff>
    </xdr:from>
    <xdr:ext cx="4445635" cy="23939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4445635" cy="239395"/>
        </a:xfrm>
        <a:custGeom>
          <a:avLst/>
          <a:gdLst/>
          <a:ahLst/>
          <a:cxnLst/>
          <a:rect l="0" t="0" r="0" b="0"/>
          <a:pathLst>
            <a:path w="4445635" h="239395">
              <a:moveTo>
                <a:pt x="633984" y="0"/>
              </a:moveTo>
              <a:lnTo>
                <a:pt x="0" y="0"/>
              </a:lnTo>
              <a:lnTo>
                <a:pt x="0" y="239268"/>
              </a:lnTo>
              <a:lnTo>
                <a:pt x="633984" y="239268"/>
              </a:lnTo>
              <a:lnTo>
                <a:pt x="633984" y="0"/>
              </a:lnTo>
              <a:close/>
            </a:path>
            <a:path w="4445635" h="239395">
              <a:moveTo>
                <a:pt x="1397508" y="0"/>
              </a:moveTo>
              <a:lnTo>
                <a:pt x="637032" y="0"/>
              </a:lnTo>
              <a:lnTo>
                <a:pt x="637032" y="239268"/>
              </a:lnTo>
              <a:lnTo>
                <a:pt x="1397508" y="239268"/>
              </a:lnTo>
              <a:lnTo>
                <a:pt x="1397508" y="0"/>
              </a:lnTo>
              <a:close/>
            </a:path>
            <a:path w="4445635" h="239395">
              <a:moveTo>
                <a:pt x="2159508" y="0"/>
              </a:moveTo>
              <a:lnTo>
                <a:pt x="1400556" y="0"/>
              </a:lnTo>
              <a:lnTo>
                <a:pt x="1400556" y="239268"/>
              </a:lnTo>
              <a:lnTo>
                <a:pt x="2159508" y="239268"/>
              </a:lnTo>
              <a:lnTo>
                <a:pt x="2159508" y="0"/>
              </a:lnTo>
              <a:close/>
            </a:path>
            <a:path w="4445635" h="239395">
              <a:moveTo>
                <a:pt x="2921495" y="0"/>
              </a:moveTo>
              <a:lnTo>
                <a:pt x="2162556" y="0"/>
              </a:lnTo>
              <a:lnTo>
                <a:pt x="2162556" y="239268"/>
              </a:lnTo>
              <a:lnTo>
                <a:pt x="2921495" y="239268"/>
              </a:lnTo>
              <a:lnTo>
                <a:pt x="2921495" y="0"/>
              </a:lnTo>
              <a:close/>
            </a:path>
            <a:path w="4445635" h="239395">
              <a:moveTo>
                <a:pt x="3683508" y="0"/>
              </a:moveTo>
              <a:lnTo>
                <a:pt x="2924556" y="0"/>
              </a:lnTo>
              <a:lnTo>
                <a:pt x="2924556" y="239268"/>
              </a:lnTo>
              <a:lnTo>
                <a:pt x="3683508" y="239268"/>
              </a:lnTo>
              <a:lnTo>
                <a:pt x="3683508" y="0"/>
              </a:lnTo>
              <a:close/>
            </a:path>
            <a:path w="4445635" h="239395">
              <a:moveTo>
                <a:pt x="4445508" y="0"/>
              </a:moveTo>
              <a:lnTo>
                <a:pt x="3686556" y="0"/>
              </a:lnTo>
              <a:lnTo>
                <a:pt x="3686556" y="239268"/>
              </a:lnTo>
              <a:lnTo>
                <a:pt x="4445508" y="239268"/>
              </a:lnTo>
              <a:lnTo>
                <a:pt x="444550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11</xdr:col>
      <xdr:colOff>2159</xdr:colOff>
      <xdr:row>4</xdr:row>
      <xdr:rowOff>1524</xdr:rowOff>
    </xdr:from>
    <xdr:ext cx="645160" cy="23939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645160" cy="239395"/>
        </a:xfrm>
        <a:custGeom>
          <a:avLst/>
          <a:gdLst/>
          <a:ahLst/>
          <a:cxnLst/>
          <a:rect l="0" t="0" r="0" b="0"/>
          <a:pathLst>
            <a:path w="645160" h="239395">
              <a:moveTo>
                <a:pt x="644651" y="0"/>
              </a:moveTo>
              <a:lnTo>
                <a:pt x="0" y="0"/>
              </a:lnTo>
              <a:lnTo>
                <a:pt x="0" y="239268"/>
              </a:lnTo>
              <a:lnTo>
                <a:pt x="644651" y="239268"/>
              </a:lnTo>
              <a:lnTo>
                <a:pt x="644651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226060</xdr:colOff>
      <xdr:row>23</xdr:row>
      <xdr:rowOff>0</xdr:rowOff>
    </xdr:from>
    <xdr:ext cx="7486015" cy="225869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7486015" cy="2258695"/>
        </a:xfrm>
        <a:custGeom>
          <a:avLst/>
          <a:gdLst/>
          <a:ahLst/>
          <a:cxnLst/>
          <a:rect l="0" t="0" r="0" b="0"/>
          <a:pathLst>
            <a:path w="7486015" h="2258695">
              <a:moveTo>
                <a:pt x="312420" y="1961388"/>
              </a:moveTo>
              <a:lnTo>
                <a:pt x="0" y="1961388"/>
              </a:lnTo>
              <a:lnTo>
                <a:pt x="0" y="2258568"/>
              </a:lnTo>
              <a:lnTo>
                <a:pt x="312420" y="2258568"/>
              </a:lnTo>
              <a:lnTo>
                <a:pt x="312420" y="1961388"/>
              </a:lnTo>
              <a:close/>
            </a:path>
            <a:path w="7486015" h="2258695">
              <a:moveTo>
                <a:pt x="312420" y="1132332"/>
              </a:moveTo>
              <a:lnTo>
                <a:pt x="0" y="1132332"/>
              </a:lnTo>
              <a:lnTo>
                <a:pt x="0" y="1958340"/>
              </a:lnTo>
              <a:lnTo>
                <a:pt x="312420" y="1958340"/>
              </a:lnTo>
              <a:lnTo>
                <a:pt x="312420" y="1132332"/>
              </a:lnTo>
              <a:close/>
            </a:path>
            <a:path w="7486015" h="2258695">
              <a:moveTo>
                <a:pt x="312420" y="716280"/>
              </a:moveTo>
              <a:lnTo>
                <a:pt x="0" y="716280"/>
              </a:lnTo>
              <a:lnTo>
                <a:pt x="0" y="1129284"/>
              </a:lnTo>
              <a:lnTo>
                <a:pt x="312420" y="1129284"/>
              </a:lnTo>
              <a:lnTo>
                <a:pt x="312420" y="716280"/>
              </a:lnTo>
              <a:close/>
            </a:path>
            <a:path w="7486015" h="2258695">
              <a:moveTo>
                <a:pt x="312420" y="0"/>
              </a:moveTo>
              <a:lnTo>
                <a:pt x="0" y="0"/>
              </a:lnTo>
              <a:lnTo>
                <a:pt x="0" y="713232"/>
              </a:lnTo>
              <a:lnTo>
                <a:pt x="312420" y="713232"/>
              </a:lnTo>
              <a:lnTo>
                <a:pt x="312420" y="0"/>
              </a:lnTo>
              <a:close/>
            </a:path>
            <a:path w="7486015" h="2258695">
              <a:moveTo>
                <a:pt x="1264920" y="1961388"/>
              </a:moveTo>
              <a:lnTo>
                <a:pt x="315468" y="1961388"/>
              </a:lnTo>
              <a:lnTo>
                <a:pt x="315468" y="2258568"/>
              </a:lnTo>
              <a:lnTo>
                <a:pt x="1264920" y="2258568"/>
              </a:lnTo>
              <a:lnTo>
                <a:pt x="1264920" y="1961388"/>
              </a:lnTo>
              <a:close/>
            </a:path>
            <a:path w="7486015" h="2258695">
              <a:moveTo>
                <a:pt x="1264920" y="1132332"/>
              </a:moveTo>
              <a:lnTo>
                <a:pt x="315468" y="1132332"/>
              </a:lnTo>
              <a:lnTo>
                <a:pt x="315468" y="1958340"/>
              </a:lnTo>
              <a:lnTo>
                <a:pt x="1264920" y="1958340"/>
              </a:lnTo>
              <a:lnTo>
                <a:pt x="1264920" y="1132332"/>
              </a:lnTo>
              <a:close/>
            </a:path>
            <a:path w="7486015" h="2258695">
              <a:moveTo>
                <a:pt x="1264920" y="716280"/>
              </a:moveTo>
              <a:lnTo>
                <a:pt x="315468" y="716280"/>
              </a:lnTo>
              <a:lnTo>
                <a:pt x="315468" y="1129284"/>
              </a:lnTo>
              <a:lnTo>
                <a:pt x="1264920" y="1129284"/>
              </a:lnTo>
              <a:lnTo>
                <a:pt x="1264920" y="716280"/>
              </a:lnTo>
              <a:close/>
            </a:path>
            <a:path w="7486015" h="2258695">
              <a:moveTo>
                <a:pt x="1264920" y="0"/>
              </a:moveTo>
              <a:lnTo>
                <a:pt x="315468" y="0"/>
              </a:lnTo>
              <a:lnTo>
                <a:pt x="315468" y="713232"/>
              </a:lnTo>
              <a:lnTo>
                <a:pt x="1264920" y="713232"/>
              </a:lnTo>
              <a:lnTo>
                <a:pt x="1264920" y="0"/>
              </a:lnTo>
              <a:close/>
            </a:path>
            <a:path w="7486015" h="2258695">
              <a:moveTo>
                <a:pt x="2531364" y="1961388"/>
              </a:moveTo>
              <a:lnTo>
                <a:pt x="1267968" y="1961388"/>
              </a:lnTo>
              <a:lnTo>
                <a:pt x="1267968" y="2258568"/>
              </a:lnTo>
              <a:lnTo>
                <a:pt x="2531364" y="2258568"/>
              </a:lnTo>
              <a:lnTo>
                <a:pt x="2531364" y="1961388"/>
              </a:lnTo>
              <a:close/>
            </a:path>
            <a:path w="7486015" h="2258695">
              <a:moveTo>
                <a:pt x="2531364" y="1661160"/>
              </a:moveTo>
              <a:lnTo>
                <a:pt x="1267968" y="1661160"/>
              </a:lnTo>
              <a:lnTo>
                <a:pt x="1267968" y="1958340"/>
              </a:lnTo>
              <a:lnTo>
                <a:pt x="2531364" y="1958340"/>
              </a:lnTo>
              <a:lnTo>
                <a:pt x="2531364" y="1661160"/>
              </a:lnTo>
              <a:close/>
            </a:path>
            <a:path w="7486015" h="2258695">
              <a:moveTo>
                <a:pt x="2531364" y="1132332"/>
              </a:moveTo>
              <a:lnTo>
                <a:pt x="1267968" y="1132332"/>
              </a:lnTo>
              <a:lnTo>
                <a:pt x="1267968" y="1658112"/>
              </a:lnTo>
              <a:lnTo>
                <a:pt x="2531364" y="1658112"/>
              </a:lnTo>
              <a:lnTo>
                <a:pt x="2531364" y="1132332"/>
              </a:lnTo>
              <a:close/>
            </a:path>
            <a:path w="7486015" h="2258695">
              <a:moveTo>
                <a:pt x="2531364" y="716280"/>
              </a:moveTo>
              <a:lnTo>
                <a:pt x="1267968" y="716280"/>
              </a:lnTo>
              <a:lnTo>
                <a:pt x="1267968" y="1129284"/>
              </a:lnTo>
              <a:lnTo>
                <a:pt x="2531364" y="1129284"/>
              </a:lnTo>
              <a:lnTo>
                <a:pt x="2531364" y="716280"/>
              </a:lnTo>
              <a:close/>
            </a:path>
            <a:path w="7486015" h="2258695">
              <a:moveTo>
                <a:pt x="2531364" y="416052"/>
              </a:moveTo>
              <a:lnTo>
                <a:pt x="1267968" y="416052"/>
              </a:lnTo>
              <a:lnTo>
                <a:pt x="1267968" y="713232"/>
              </a:lnTo>
              <a:lnTo>
                <a:pt x="2531364" y="713232"/>
              </a:lnTo>
              <a:lnTo>
                <a:pt x="2531364" y="416052"/>
              </a:lnTo>
              <a:close/>
            </a:path>
            <a:path w="7486015" h="2258695">
              <a:moveTo>
                <a:pt x="2531364" y="0"/>
              </a:moveTo>
              <a:lnTo>
                <a:pt x="1267968" y="0"/>
              </a:lnTo>
              <a:lnTo>
                <a:pt x="1267968" y="413004"/>
              </a:lnTo>
              <a:lnTo>
                <a:pt x="2531364" y="413004"/>
              </a:lnTo>
              <a:lnTo>
                <a:pt x="2531364" y="0"/>
              </a:lnTo>
              <a:close/>
            </a:path>
            <a:path w="7486015" h="2258695">
              <a:moveTo>
                <a:pt x="3037332" y="1961388"/>
              </a:moveTo>
              <a:lnTo>
                <a:pt x="2534412" y="1961388"/>
              </a:lnTo>
              <a:lnTo>
                <a:pt x="2534412" y="2258568"/>
              </a:lnTo>
              <a:lnTo>
                <a:pt x="3037332" y="2258568"/>
              </a:lnTo>
              <a:lnTo>
                <a:pt x="3037332" y="1961388"/>
              </a:lnTo>
              <a:close/>
            </a:path>
            <a:path w="7486015" h="2258695">
              <a:moveTo>
                <a:pt x="3037332" y="1661160"/>
              </a:moveTo>
              <a:lnTo>
                <a:pt x="2534412" y="1661160"/>
              </a:lnTo>
              <a:lnTo>
                <a:pt x="2534412" y="1958340"/>
              </a:lnTo>
              <a:lnTo>
                <a:pt x="3037332" y="1958340"/>
              </a:lnTo>
              <a:lnTo>
                <a:pt x="3037332" y="1661160"/>
              </a:lnTo>
              <a:close/>
            </a:path>
            <a:path w="7486015" h="2258695">
              <a:moveTo>
                <a:pt x="3037332" y="1338072"/>
              </a:moveTo>
              <a:lnTo>
                <a:pt x="2534412" y="1338072"/>
              </a:lnTo>
              <a:lnTo>
                <a:pt x="2534412" y="1658112"/>
              </a:lnTo>
              <a:lnTo>
                <a:pt x="3037332" y="1658112"/>
              </a:lnTo>
              <a:lnTo>
                <a:pt x="3037332" y="1338072"/>
              </a:lnTo>
              <a:close/>
            </a:path>
            <a:path w="7486015" h="2258695">
              <a:moveTo>
                <a:pt x="3037332" y="1132332"/>
              </a:moveTo>
              <a:lnTo>
                <a:pt x="2534412" y="1132332"/>
              </a:lnTo>
              <a:lnTo>
                <a:pt x="2534412" y="1335024"/>
              </a:lnTo>
              <a:lnTo>
                <a:pt x="3037332" y="1335024"/>
              </a:lnTo>
              <a:lnTo>
                <a:pt x="3037332" y="1132332"/>
              </a:lnTo>
              <a:close/>
            </a:path>
            <a:path w="7486015" h="2258695">
              <a:moveTo>
                <a:pt x="3037332" y="716280"/>
              </a:moveTo>
              <a:lnTo>
                <a:pt x="2534412" y="716280"/>
              </a:lnTo>
              <a:lnTo>
                <a:pt x="2534412" y="1129284"/>
              </a:lnTo>
              <a:lnTo>
                <a:pt x="3037332" y="1129284"/>
              </a:lnTo>
              <a:lnTo>
                <a:pt x="3037332" y="716280"/>
              </a:lnTo>
              <a:close/>
            </a:path>
            <a:path w="7486015" h="2258695">
              <a:moveTo>
                <a:pt x="3037332" y="416052"/>
              </a:moveTo>
              <a:lnTo>
                <a:pt x="2534412" y="416052"/>
              </a:lnTo>
              <a:lnTo>
                <a:pt x="2534412" y="713232"/>
              </a:lnTo>
              <a:lnTo>
                <a:pt x="3037332" y="713232"/>
              </a:lnTo>
              <a:lnTo>
                <a:pt x="3037332" y="416052"/>
              </a:lnTo>
              <a:close/>
            </a:path>
            <a:path w="7486015" h="2258695">
              <a:moveTo>
                <a:pt x="3037332" y="207264"/>
              </a:moveTo>
              <a:lnTo>
                <a:pt x="2534412" y="207264"/>
              </a:lnTo>
              <a:lnTo>
                <a:pt x="2534412" y="413004"/>
              </a:lnTo>
              <a:lnTo>
                <a:pt x="3037332" y="413004"/>
              </a:lnTo>
              <a:lnTo>
                <a:pt x="3037332" y="207264"/>
              </a:lnTo>
              <a:close/>
            </a:path>
            <a:path w="7486015" h="2258695">
              <a:moveTo>
                <a:pt x="3037332" y="0"/>
              </a:moveTo>
              <a:lnTo>
                <a:pt x="2534412" y="0"/>
              </a:lnTo>
              <a:lnTo>
                <a:pt x="2534412" y="204216"/>
              </a:lnTo>
              <a:lnTo>
                <a:pt x="3037332" y="204216"/>
              </a:lnTo>
              <a:lnTo>
                <a:pt x="3037332" y="0"/>
              </a:lnTo>
              <a:close/>
            </a:path>
            <a:path w="7486015" h="2258695">
              <a:moveTo>
                <a:pt x="3674364" y="1961388"/>
              </a:moveTo>
              <a:lnTo>
                <a:pt x="3040380" y="1961388"/>
              </a:lnTo>
              <a:lnTo>
                <a:pt x="3040380" y="2258568"/>
              </a:lnTo>
              <a:lnTo>
                <a:pt x="3674364" y="2258568"/>
              </a:lnTo>
              <a:lnTo>
                <a:pt x="3674364" y="1961388"/>
              </a:lnTo>
              <a:close/>
            </a:path>
            <a:path w="7486015" h="2258695">
              <a:moveTo>
                <a:pt x="3674364" y="1661160"/>
              </a:moveTo>
              <a:lnTo>
                <a:pt x="3040380" y="1661160"/>
              </a:lnTo>
              <a:lnTo>
                <a:pt x="3040380" y="1958340"/>
              </a:lnTo>
              <a:lnTo>
                <a:pt x="3674364" y="1958340"/>
              </a:lnTo>
              <a:lnTo>
                <a:pt x="3674364" y="1661160"/>
              </a:lnTo>
              <a:close/>
            </a:path>
            <a:path w="7486015" h="2258695">
              <a:moveTo>
                <a:pt x="3674364" y="1338072"/>
              </a:moveTo>
              <a:lnTo>
                <a:pt x="3040380" y="1338072"/>
              </a:lnTo>
              <a:lnTo>
                <a:pt x="3040380" y="1658112"/>
              </a:lnTo>
              <a:lnTo>
                <a:pt x="3674364" y="1658112"/>
              </a:lnTo>
              <a:lnTo>
                <a:pt x="3674364" y="1338072"/>
              </a:lnTo>
              <a:close/>
            </a:path>
            <a:path w="7486015" h="2258695">
              <a:moveTo>
                <a:pt x="3674364" y="1132332"/>
              </a:moveTo>
              <a:lnTo>
                <a:pt x="3040380" y="1132332"/>
              </a:lnTo>
              <a:lnTo>
                <a:pt x="3040380" y="1335024"/>
              </a:lnTo>
              <a:lnTo>
                <a:pt x="3674364" y="1335024"/>
              </a:lnTo>
              <a:lnTo>
                <a:pt x="3674364" y="1132332"/>
              </a:lnTo>
              <a:close/>
            </a:path>
            <a:path w="7486015" h="2258695">
              <a:moveTo>
                <a:pt x="3674364" y="716280"/>
              </a:moveTo>
              <a:lnTo>
                <a:pt x="3040380" y="716280"/>
              </a:lnTo>
              <a:lnTo>
                <a:pt x="3040380" y="1129284"/>
              </a:lnTo>
              <a:lnTo>
                <a:pt x="3674364" y="1129284"/>
              </a:lnTo>
              <a:lnTo>
                <a:pt x="3674364" y="716280"/>
              </a:lnTo>
              <a:close/>
            </a:path>
            <a:path w="7486015" h="2258695">
              <a:moveTo>
                <a:pt x="3674364" y="416052"/>
              </a:moveTo>
              <a:lnTo>
                <a:pt x="3040380" y="416052"/>
              </a:lnTo>
              <a:lnTo>
                <a:pt x="3040380" y="713232"/>
              </a:lnTo>
              <a:lnTo>
                <a:pt x="3674364" y="713232"/>
              </a:lnTo>
              <a:lnTo>
                <a:pt x="3674364" y="416052"/>
              </a:lnTo>
              <a:close/>
            </a:path>
            <a:path w="7486015" h="2258695">
              <a:moveTo>
                <a:pt x="3674364" y="207264"/>
              </a:moveTo>
              <a:lnTo>
                <a:pt x="3040380" y="207264"/>
              </a:lnTo>
              <a:lnTo>
                <a:pt x="3040380" y="413004"/>
              </a:lnTo>
              <a:lnTo>
                <a:pt x="3674364" y="413004"/>
              </a:lnTo>
              <a:lnTo>
                <a:pt x="3674364" y="207264"/>
              </a:lnTo>
              <a:close/>
            </a:path>
            <a:path w="7486015" h="2258695">
              <a:moveTo>
                <a:pt x="3674364" y="0"/>
              </a:moveTo>
              <a:lnTo>
                <a:pt x="3040380" y="0"/>
              </a:lnTo>
              <a:lnTo>
                <a:pt x="3040380" y="204216"/>
              </a:lnTo>
              <a:lnTo>
                <a:pt x="3674364" y="204216"/>
              </a:lnTo>
              <a:lnTo>
                <a:pt x="3674364" y="0"/>
              </a:lnTo>
              <a:close/>
            </a:path>
            <a:path w="7486015" h="2258695">
              <a:moveTo>
                <a:pt x="4437888" y="1961388"/>
              </a:moveTo>
              <a:lnTo>
                <a:pt x="3677412" y="1961388"/>
              </a:lnTo>
              <a:lnTo>
                <a:pt x="3677412" y="2258568"/>
              </a:lnTo>
              <a:lnTo>
                <a:pt x="4437888" y="2258568"/>
              </a:lnTo>
              <a:lnTo>
                <a:pt x="4437888" y="1961388"/>
              </a:lnTo>
              <a:close/>
            </a:path>
            <a:path w="7486015" h="2258695">
              <a:moveTo>
                <a:pt x="4437888" y="1661160"/>
              </a:moveTo>
              <a:lnTo>
                <a:pt x="3677412" y="1661160"/>
              </a:lnTo>
              <a:lnTo>
                <a:pt x="3677412" y="1958340"/>
              </a:lnTo>
              <a:lnTo>
                <a:pt x="4437888" y="1958340"/>
              </a:lnTo>
              <a:lnTo>
                <a:pt x="4437888" y="1661160"/>
              </a:lnTo>
              <a:close/>
            </a:path>
            <a:path w="7486015" h="2258695">
              <a:moveTo>
                <a:pt x="4437888" y="1338072"/>
              </a:moveTo>
              <a:lnTo>
                <a:pt x="3677412" y="1338072"/>
              </a:lnTo>
              <a:lnTo>
                <a:pt x="3677412" y="1658112"/>
              </a:lnTo>
              <a:lnTo>
                <a:pt x="4437888" y="1658112"/>
              </a:lnTo>
              <a:lnTo>
                <a:pt x="4437888" y="1338072"/>
              </a:lnTo>
              <a:close/>
            </a:path>
            <a:path w="7486015" h="2258695">
              <a:moveTo>
                <a:pt x="4437888" y="1132332"/>
              </a:moveTo>
              <a:lnTo>
                <a:pt x="3677412" y="1132332"/>
              </a:lnTo>
              <a:lnTo>
                <a:pt x="3677412" y="1335024"/>
              </a:lnTo>
              <a:lnTo>
                <a:pt x="4437888" y="1335024"/>
              </a:lnTo>
              <a:lnTo>
                <a:pt x="4437888" y="1132332"/>
              </a:lnTo>
              <a:close/>
            </a:path>
            <a:path w="7486015" h="2258695">
              <a:moveTo>
                <a:pt x="4437888" y="716280"/>
              </a:moveTo>
              <a:lnTo>
                <a:pt x="3677412" y="716280"/>
              </a:lnTo>
              <a:lnTo>
                <a:pt x="3677412" y="1129284"/>
              </a:lnTo>
              <a:lnTo>
                <a:pt x="4437888" y="1129284"/>
              </a:lnTo>
              <a:lnTo>
                <a:pt x="4437888" y="716280"/>
              </a:lnTo>
              <a:close/>
            </a:path>
            <a:path w="7486015" h="2258695">
              <a:moveTo>
                <a:pt x="4437888" y="416052"/>
              </a:moveTo>
              <a:lnTo>
                <a:pt x="3677412" y="416052"/>
              </a:lnTo>
              <a:lnTo>
                <a:pt x="3677412" y="713232"/>
              </a:lnTo>
              <a:lnTo>
                <a:pt x="4437888" y="713232"/>
              </a:lnTo>
              <a:lnTo>
                <a:pt x="4437888" y="416052"/>
              </a:lnTo>
              <a:close/>
            </a:path>
            <a:path w="7486015" h="2258695">
              <a:moveTo>
                <a:pt x="4437888" y="207264"/>
              </a:moveTo>
              <a:lnTo>
                <a:pt x="3677412" y="207264"/>
              </a:lnTo>
              <a:lnTo>
                <a:pt x="3677412" y="413004"/>
              </a:lnTo>
              <a:lnTo>
                <a:pt x="4437888" y="413004"/>
              </a:lnTo>
              <a:lnTo>
                <a:pt x="4437888" y="207264"/>
              </a:lnTo>
              <a:close/>
            </a:path>
            <a:path w="7486015" h="2258695">
              <a:moveTo>
                <a:pt x="4437888" y="0"/>
              </a:moveTo>
              <a:lnTo>
                <a:pt x="3677412" y="0"/>
              </a:lnTo>
              <a:lnTo>
                <a:pt x="3677412" y="204216"/>
              </a:lnTo>
              <a:lnTo>
                <a:pt x="4437888" y="204216"/>
              </a:lnTo>
              <a:lnTo>
                <a:pt x="4437888" y="0"/>
              </a:lnTo>
              <a:close/>
            </a:path>
            <a:path w="7486015" h="2258695">
              <a:moveTo>
                <a:pt x="5199888" y="1961388"/>
              </a:moveTo>
              <a:lnTo>
                <a:pt x="4440936" y="1961388"/>
              </a:lnTo>
              <a:lnTo>
                <a:pt x="4440936" y="2258568"/>
              </a:lnTo>
              <a:lnTo>
                <a:pt x="5199888" y="2258568"/>
              </a:lnTo>
              <a:lnTo>
                <a:pt x="5199888" y="1961388"/>
              </a:lnTo>
              <a:close/>
            </a:path>
            <a:path w="7486015" h="2258695">
              <a:moveTo>
                <a:pt x="5199888" y="1661160"/>
              </a:moveTo>
              <a:lnTo>
                <a:pt x="4440936" y="1661160"/>
              </a:lnTo>
              <a:lnTo>
                <a:pt x="4440936" y="1958340"/>
              </a:lnTo>
              <a:lnTo>
                <a:pt x="5199888" y="1958340"/>
              </a:lnTo>
              <a:lnTo>
                <a:pt x="5199888" y="1661160"/>
              </a:lnTo>
              <a:close/>
            </a:path>
            <a:path w="7486015" h="2258695">
              <a:moveTo>
                <a:pt x="5199888" y="1338072"/>
              </a:moveTo>
              <a:lnTo>
                <a:pt x="4440936" y="1338072"/>
              </a:lnTo>
              <a:lnTo>
                <a:pt x="4440936" y="1658112"/>
              </a:lnTo>
              <a:lnTo>
                <a:pt x="5199888" y="1658112"/>
              </a:lnTo>
              <a:lnTo>
                <a:pt x="5199888" y="1338072"/>
              </a:lnTo>
              <a:close/>
            </a:path>
            <a:path w="7486015" h="2258695">
              <a:moveTo>
                <a:pt x="5199888" y="1132332"/>
              </a:moveTo>
              <a:lnTo>
                <a:pt x="4440936" y="1132332"/>
              </a:lnTo>
              <a:lnTo>
                <a:pt x="4440936" y="1335024"/>
              </a:lnTo>
              <a:lnTo>
                <a:pt x="5199888" y="1335024"/>
              </a:lnTo>
              <a:lnTo>
                <a:pt x="5199888" y="1132332"/>
              </a:lnTo>
              <a:close/>
            </a:path>
            <a:path w="7486015" h="2258695">
              <a:moveTo>
                <a:pt x="5199888" y="716280"/>
              </a:moveTo>
              <a:lnTo>
                <a:pt x="4440936" y="716280"/>
              </a:lnTo>
              <a:lnTo>
                <a:pt x="4440936" y="1129284"/>
              </a:lnTo>
              <a:lnTo>
                <a:pt x="5199888" y="1129284"/>
              </a:lnTo>
              <a:lnTo>
                <a:pt x="5199888" y="716280"/>
              </a:lnTo>
              <a:close/>
            </a:path>
            <a:path w="7486015" h="2258695">
              <a:moveTo>
                <a:pt x="5199888" y="416052"/>
              </a:moveTo>
              <a:lnTo>
                <a:pt x="4440936" y="416052"/>
              </a:lnTo>
              <a:lnTo>
                <a:pt x="4440936" y="713232"/>
              </a:lnTo>
              <a:lnTo>
                <a:pt x="5199888" y="713232"/>
              </a:lnTo>
              <a:lnTo>
                <a:pt x="5199888" y="416052"/>
              </a:lnTo>
              <a:close/>
            </a:path>
            <a:path w="7486015" h="2258695">
              <a:moveTo>
                <a:pt x="5199888" y="207264"/>
              </a:moveTo>
              <a:lnTo>
                <a:pt x="4440936" y="207264"/>
              </a:lnTo>
              <a:lnTo>
                <a:pt x="4440936" y="413004"/>
              </a:lnTo>
              <a:lnTo>
                <a:pt x="5199888" y="413004"/>
              </a:lnTo>
              <a:lnTo>
                <a:pt x="5199888" y="207264"/>
              </a:lnTo>
              <a:close/>
            </a:path>
            <a:path w="7486015" h="2258695">
              <a:moveTo>
                <a:pt x="5199888" y="0"/>
              </a:moveTo>
              <a:lnTo>
                <a:pt x="4440936" y="0"/>
              </a:lnTo>
              <a:lnTo>
                <a:pt x="4440936" y="204216"/>
              </a:lnTo>
              <a:lnTo>
                <a:pt x="5199888" y="204216"/>
              </a:lnTo>
              <a:lnTo>
                <a:pt x="5199888" y="0"/>
              </a:lnTo>
              <a:close/>
            </a:path>
            <a:path w="7486015" h="2258695">
              <a:moveTo>
                <a:pt x="5961875" y="1961388"/>
              </a:moveTo>
              <a:lnTo>
                <a:pt x="5202936" y="1961388"/>
              </a:lnTo>
              <a:lnTo>
                <a:pt x="5202936" y="2258568"/>
              </a:lnTo>
              <a:lnTo>
                <a:pt x="5961875" y="2258568"/>
              </a:lnTo>
              <a:lnTo>
                <a:pt x="5961875" y="1961388"/>
              </a:lnTo>
              <a:close/>
            </a:path>
            <a:path w="7486015" h="2258695">
              <a:moveTo>
                <a:pt x="5961875" y="1661160"/>
              </a:moveTo>
              <a:lnTo>
                <a:pt x="5202936" y="1661160"/>
              </a:lnTo>
              <a:lnTo>
                <a:pt x="5202936" y="1958340"/>
              </a:lnTo>
              <a:lnTo>
                <a:pt x="5961875" y="1958340"/>
              </a:lnTo>
              <a:lnTo>
                <a:pt x="5961875" y="1661160"/>
              </a:lnTo>
              <a:close/>
            </a:path>
            <a:path w="7486015" h="2258695">
              <a:moveTo>
                <a:pt x="5961875" y="1338072"/>
              </a:moveTo>
              <a:lnTo>
                <a:pt x="5202936" y="1338072"/>
              </a:lnTo>
              <a:lnTo>
                <a:pt x="5202936" y="1658112"/>
              </a:lnTo>
              <a:lnTo>
                <a:pt x="5961875" y="1658112"/>
              </a:lnTo>
              <a:lnTo>
                <a:pt x="5961875" y="1338072"/>
              </a:lnTo>
              <a:close/>
            </a:path>
            <a:path w="7486015" h="2258695">
              <a:moveTo>
                <a:pt x="5961875" y="1132332"/>
              </a:moveTo>
              <a:lnTo>
                <a:pt x="5202936" y="1132332"/>
              </a:lnTo>
              <a:lnTo>
                <a:pt x="5202936" y="1335024"/>
              </a:lnTo>
              <a:lnTo>
                <a:pt x="5961875" y="1335024"/>
              </a:lnTo>
              <a:lnTo>
                <a:pt x="5961875" y="1132332"/>
              </a:lnTo>
              <a:close/>
            </a:path>
            <a:path w="7486015" h="2258695">
              <a:moveTo>
                <a:pt x="5961875" y="716280"/>
              </a:moveTo>
              <a:lnTo>
                <a:pt x="5202936" y="716280"/>
              </a:lnTo>
              <a:lnTo>
                <a:pt x="5202936" y="1129284"/>
              </a:lnTo>
              <a:lnTo>
                <a:pt x="5961875" y="1129284"/>
              </a:lnTo>
              <a:lnTo>
                <a:pt x="5961875" y="716280"/>
              </a:lnTo>
              <a:close/>
            </a:path>
            <a:path w="7486015" h="2258695">
              <a:moveTo>
                <a:pt x="5961875" y="416052"/>
              </a:moveTo>
              <a:lnTo>
                <a:pt x="5202936" y="416052"/>
              </a:lnTo>
              <a:lnTo>
                <a:pt x="5202936" y="713232"/>
              </a:lnTo>
              <a:lnTo>
                <a:pt x="5961875" y="713232"/>
              </a:lnTo>
              <a:lnTo>
                <a:pt x="5961875" y="416052"/>
              </a:lnTo>
              <a:close/>
            </a:path>
            <a:path w="7486015" h="2258695">
              <a:moveTo>
                <a:pt x="5961875" y="207264"/>
              </a:moveTo>
              <a:lnTo>
                <a:pt x="5202936" y="207264"/>
              </a:lnTo>
              <a:lnTo>
                <a:pt x="5202936" y="413004"/>
              </a:lnTo>
              <a:lnTo>
                <a:pt x="5961875" y="413004"/>
              </a:lnTo>
              <a:lnTo>
                <a:pt x="5961875" y="207264"/>
              </a:lnTo>
              <a:close/>
            </a:path>
            <a:path w="7486015" h="2258695">
              <a:moveTo>
                <a:pt x="5961875" y="0"/>
              </a:moveTo>
              <a:lnTo>
                <a:pt x="5202936" y="0"/>
              </a:lnTo>
              <a:lnTo>
                <a:pt x="5202936" y="204216"/>
              </a:lnTo>
              <a:lnTo>
                <a:pt x="5961875" y="204216"/>
              </a:lnTo>
              <a:lnTo>
                <a:pt x="5961875" y="0"/>
              </a:lnTo>
              <a:close/>
            </a:path>
            <a:path w="7486015" h="2258695">
              <a:moveTo>
                <a:pt x="6723888" y="1961388"/>
              </a:moveTo>
              <a:lnTo>
                <a:pt x="5964936" y="1961388"/>
              </a:lnTo>
              <a:lnTo>
                <a:pt x="5964936" y="2258568"/>
              </a:lnTo>
              <a:lnTo>
                <a:pt x="6723888" y="2258568"/>
              </a:lnTo>
              <a:lnTo>
                <a:pt x="6723888" y="1961388"/>
              </a:lnTo>
              <a:close/>
            </a:path>
            <a:path w="7486015" h="2258695">
              <a:moveTo>
                <a:pt x="6723888" y="1661160"/>
              </a:moveTo>
              <a:lnTo>
                <a:pt x="5964936" y="1661160"/>
              </a:lnTo>
              <a:lnTo>
                <a:pt x="5964936" y="1958340"/>
              </a:lnTo>
              <a:lnTo>
                <a:pt x="6723888" y="1958340"/>
              </a:lnTo>
              <a:lnTo>
                <a:pt x="6723888" y="1661160"/>
              </a:lnTo>
              <a:close/>
            </a:path>
            <a:path w="7486015" h="2258695">
              <a:moveTo>
                <a:pt x="6723888" y="1338072"/>
              </a:moveTo>
              <a:lnTo>
                <a:pt x="5964936" y="1338072"/>
              </a:lnTo>
              <a:lnTo>
                <a:pt x="5964936" y="1658112"/>
              </a:lnTo>
              <a:lnTo>
                <a:pt x="6723888" y="1658112"/>
              </a:lnTo>
              <a:lnTo>
                <a:pt x="6723888" y="1338072"/>
              </a:lnTo>
              <a:close/>
            </a:path>
            <a:path w="7486015" h="2258695">
              <a:moveTo>
                <a:pt x="6723888" y="1132332"/>
              </a:moveTo>
              <a:lnTo>
                <a:pt x="5964936" y="1132332"/>
              </a:lnTo>
              <a:lnTo>
                <a:pt x="5964936" y="1335024"/>
              </a:lnTo>
              <a:lnTo>
                <a:pt x="6723888" y="1335024"/>
              </a:lnTo>
              <a:lnTo>
                <a:pt x="6723888" y="1132332"/>
              </a:lnTo>
              <a:close/>
            </a:path>
            <a:path w="7486015" h="2258695">
              <a:moveTo>
                <a:pt x="6723888" y="716280"/>
              </a:moveTo>
              <a:lnTo>
                <a:pt x="5964936" y="716280"/>
              </a:lnTo>
              <a:lnTo>
                <a:pt x="5964936" y="1129284"/>
              </a:lnTo>
              <a:lnTo>
                <a:pt x="6723888" y="1129284"/>
              </a:lnTo>
              <a:lnTo>
                <a:pt x="6723888" y="716280"/>
              </a:lnTo>
              <a:close/>
            </a:path>
            <a:path w="7486015" h="2258695">
              <a:moveTo>
                <a:pt x="6723888" y="416052"/>
              </a:moveTo>
              <a:lnTo>
                <a:pt x="5964936" y="416052"/>
              </a:lnTo>
              <a:lnTo>
                <a:pt x="5964936" y="713232"/>
              </a:lnTo>
              <a:lnTo>
                <a:pt x="6723888" y="713232"/>
              </a:lnTo>
              <a:lnTo>
                <a:pt x="6723888" y="416052"/>
              </a:lnTo>
              <a:close/>
            </a:path>
            <a:path w="7486015" h="2258695">
              <a:moveTo>
                <a:pt x="6723888" y="207264"/>
              </a:moveTo>
              <a:lnTo>
                <a:pt x="5964936" y="207264"/>
              </a:lnTo>
              <a:lnTo>
                <a:pt x="5964936" y="413004"/>
              </a:lnTo>
              <a:lnTo>
                <a:pt x="6723888" y="413004"/>
              </a:lnTo>
              <a:lnTo>
                <a:pt x="6723888" y="207264"/>
              </a:lnTo>
              <a:close/>
            </a:path>
            <a:path w="7486015" h="2258695">
              <a:moveTo>
                <a:pt x="6723888" y="0"/>
              </a:moveTo>
              <a:lnTo>
                <a:pt x="5964936" y="0"/>
              </a:lnTo>
              <a:lnTo>
                <a:pt x="5964936" y="204216"/>
              </a:lnTo>
              <a:lnTo>
                <a:pt x="6723888" y="204216"/>
              </a:lnTo>
              <a:lnTo>
                <a:pt x="6723888" y="0"/>
              </a:lnTo>
              <a:close/>
            </a:path>
            <a:path w="7486015" h="2258695">
              <a:moveTo>
                <a:pt x="7485888" y="1961388"/>
              </a:moveTo>
              <a:lnTo>
                <a:pt x="6726936" y="1961388"/>
              </a:lnTo>
              <a:lnTo>
                <a:pt x="6726936" y="2258568"/>
              </a:lnTo>
              <a:lnTo>
                <a:pt x="7485888" y="2258568"/>
              </a:lnTo>
              <a:lnTo>
                <a:pt x="7485888" y="1961388"/>
              </a:lnTo>
              <a:close/>
            </a:path>
            <a:path w="7486015" h="2258695">
              <a:moveTo>
                <a:pt x="7485888" y="1661160"/>
              </a:moveTo>
              <a:lnTo>
                <a:pt x="6726936" y="1661160"/>
              </a:lnTo>
              <a:lnTo>
                <a:pt x="6726936" y="1958340"/>
              </a:lnTo>
              <a:lnTo>
                <a:pt x="7485888" y="1958340"/>
              </a:lnTo>
              <a:lnTo>
                <a:pt x="7485888" y="1661160"/>
              </a:lnTo>
              <a:close/>
            </a:path>
            <a:path w="7486015" h="2258695">
              <a:moveTo>
                <a:pt x="7485888" y="1338072"/>
              </a:moveTo>
              <a:lnTo>
                <a:pt x="6726936" y="1338072"/>
              </a:lnTo>
              <a:lnTo>
                <a:pt x="6726936" y="1658112"/>
              </a:lnTo>
              <a:lnTo>
                <a:pt x="7485888" y="1658112"/>
              </a:lnTo>
              <a:lnTo>
                <a:pt x="7485888" y="1338072"/>
              </a:lnTo>
              <a:close/>
            </a:path>
            <a:path w="7486015" h="2258695">
              <a:moveTo>
                <a:pt x="7485888" y="1132332"/>
              </a:moveTo>
              <a:lnTo>
                <a:pt x="6726936" y="1132332"/>
              </a:lnTo>
              <a:lnTo>
                <a:pt x="6726936" y="1335024"/>
              </a:lnTo>
              <a:lnTo>
                <a:pt x="7485888" y="1335024"/>
              </a:lnTo>
              <a:lnTo>
                <a:pt x="7485888" y="1132332"/>
              </a:lnTo>
              <a:close/>
            </a:path>
            <a:path w="7486015" h="2258695">
              <a:moveTo>
                <a:pt x="7485888" y="716280"/>
              </a:moveTo>
              <a:lnTo>
                <a:pt x="6726936" y="716280"/>
              </a:lnTo>
              <a:lnTo>
                <a:pt x="6726936" y="1129284"/>
              </a:lnTo>
              <a:lnTo>
                <a:pt x="7485888" y="1129284"/>
              </a:lnTo>
              <a:lnTo>
                <a:pt x="7485888" y="716280"/>
              </a:lnTo>
              <a:close/>
            </a:path>
            <a:path w="7486015" h="2258695">
              <a:moveTo>
                <a:pt x="7485888" y="416052"/>
              </a:moveTo>
              <a:lnTo>
                <a:pt x="6726936" y="416052"/>
              </a:lnTo>
              <a:lnTo>
                <a:pt x="6726936" y="713232"/>
              </a:lnTo>
              <a:lnTo>
                <a:pt x="7485888" y="713232"/>
              </a:lnTo>
              <a:lnTo>
                <a:pt x="7485888" y="416052"/>
              </a:lnTo>
              <a:close/>
            </a:path>
            <a:path w="7486015" h="2258695">
              <a:moveTo>
                <a:pt x="7485888" y="207264"/>
              </a:moveTo>
              <a:lnTo>
                <a:pt x="6726936" y="207264"/>
              </a:lnTo>
              <a:lnTo>
                <a:pt x="6726936" y="413004"/>
              </a:lnTo>
              <a:lnTo>
                <a:pt x="7485888" y="413004"/>
              </a:lnTo>
              <a:lnTo>
                <a:pt x="7485888" y="207264"/>
              </a:lnTo>
              <a:close/>
            </a:path>
            <a:path w="7486015" h="2258695">
              <a:moveTo>
                <a:pt x="7485888" y="0"/>
              </a:moveTo>
              <a:lnTo>
                <a:pt x="6726936" y="0"/>
              </a:lnTo>
              <a:lnTo>
                <a:pt x="6726936" y="204216"/>
              </a:lnTo>
              <a:lnTo>
                <a:pt x="7485888" y="204216"/>
              </a:lnTo>
              <a:lnTo>
                <a:pt x="748588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11</xdr:col>
      <xdr:colOff>541401</xdr:colOff>
      <xdr:row>24</xdr:row>
      <xdr:rowOff>0</xdr:rowOff>
    </xdr:from>
    <xdr:ext cx="645160" cy="225869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645160" cy="2258695"/>
        </a:xfrm>
        <a:custGeom>
          <a:avLst/>
          <a:gdLst/>
          <a:ahLst/>
          <a:cxnLst/>
          <a:rect l="0" t="0" r="0" b="0"/>
          <a:pathLst>
            <a:path w="645160" h="2258695">
              <a:moveTo>
                <a:pt x="644652" y="1961388"/>
              </a:moveTo>
              <a:lnTo>
                <a:pt x="0" y="1961388"/>
              </a:lnTo>
              <a:lnTo>
                <a:pt x="0" y="2258568"/>
              </a:lnTo>
              <a:lnTo>
                <a:pt x="644652" y="2258568"/>
              </a:lnTo>
              <a:lnTo>
                <a:pt x="644652" y="1961388"/>
              </a:lnTo>
              <a:close/>
            </a:path>
            <a:path w="645160" h="2258695">
              <a:moveTo>
                <a:pt x="644652" y="1661160"/>
              </a:moveTo>
              <a:lnTo>
                <a:pt x="0" y="1661160"/>
              </a:lnTo>
              <a:lnTo>
                <a:pt x="0" y="1958340"/>
              </a:lnTo>
              <a:lnTo>
                <a:pt x="644652" y="1958340"/>
              </a:lnTo>
              <a:lnTo>
                <a:pt x="644652" y="1661160"/>
              </a:lnTo>
              <a:close/>
            </a:path>
            <a:path w="645160" h="2258695">
              <a:moveTo>
                <a:pt x="644652" y="1338072"/>
              </a:moveTo>
              <a:lnTo>
                <a:pt x="0" y="1338072"/>
              </a:lnTo>
              <a:lnTo>
                <a:pt x="0" y="1658112"/>
              </a:lnTo>
              <a:lnTo>
                <a:pt x="644652" y="1658112"/>
              </a:lnTo>
              <a:lnTo>
                <a:pt x="644652" y="1338072"/>
              </a:lnTo>
              <a:close/>
            </a:path>
            <a:path w="645160" h="2258695">
              <a:moveTo>
                <a:pt x="644652" y="1132332"/>
              </a:moveTo>
              <a:lnTo>
                <a:pt x="0" y="1132332"/>
              </a:lnTo>
              <a:lnTo>
                <a:pt x="0" y="1335024"/>
              </a:lnTo>
              <a:lnTo>
                <a:pt x="644652" y="1335024"/>
              </a:lnTo>
              <a:lnTo>
                <a:pt x="644652" y="1132332"/>
              </a:lnTo>
              <a:close/>
            </a:path>
            <a:path w="645160" h="2258695">
              <a:moveTo>
                <a:pt x="644652" y="716280"/>
              </a:moveTo>
              <a:lnTo>
                <a:pt x="0" y="716280"/>
              </a:lnTo>
              <a:lnTo>
                <a:pt x="0" y="1129284"/>
              </a:lnTo>
              <a:lnTo>
                <a:pt x="644652" y="1129284"/>
              </a:lnTo>
              <a:lnTo>
                <a:pt x="644652" y="716280"/>
              </a:lnTo>
              <a:close/>
            </a:path>
            <a:path w="645160" h="2258695">
              <a:moveTo>
                <a:pt x="644652" y="416052"/>
              </a:moveTo>
              <a:lnTo>
                <a:pt x="0" y="416052"/>
              </a:lnTo>
              <a:lnTo>
                <a:pt x="0" y="713232"/>
              </a:lnTo>
              <a:lnTo>
                <a:pt x="644652" y="713232"/>
              </a:lnTo>
              <a:lnTo>
                <a:pt x="644652" y="416052"/>
              </a:lnTo>
              <a:close/>
            </a:path>
            <a:path w="645160" h="2258695">
              <a:moveTo>
                <a:pt x="644652" y="207264"/>
              </a:moveTo>
              <a:lnTo>
                <a:pt x="0" y="207264"/>
              </a:lnTo>
              <a:lnTo>
                <a:pt x="0" y="413004"/>
              </a:lnTo>
              <a:lnTo>
                <a:pt x="644652" y="413004"/>
              </a:lnTo>
              <a:lnTo>
                <a:pt x="644652" y="207264"/>
              </a:lnTo>
              <a:close/>
            </a:path>
            <a:path w="645160" h="2258695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226060</xdr:colOff>
      <xdr:row>25</xdr:row>
      <xdr:rowOff>0</xdr:rowOff>
    </xdr:from>
    <xdr:ext cx="7486015" cy="123952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7486015" cy="1239520"/>
        </a:xfrm>
        <a:custGeom>
          <a:avLst/>
          <a:gdLst/>
          <a:ahLst/>
          <a:cxnLst/>
          <a:rect l="0" t="0" r="0" b="0"/>
          <a:pathLst>
            <a:path w="7486015" h="1239520">
              <a:moveTo>
                <a:pt x="312420" y="0"/>
              </a:moveTo>
              <a:lnTo>
                <a:pt x="0" y="0"/>
              </a:lnTo>
              <a:lnTo>
                <a:pt x="0" y="1239012"/>
              </a:lnTo>
              <a:lnTo>
                <a:pt x="312420" y="1239012"/>
              </a:lnTo>
              <a:lnTo>
                <a:pt x="312420" y="0"/>
              </a:lnTo>
              <a:close/>
            </a:path>
            <a:path w="7486015" h="1239520">
              <a:moveTo>
                <a:pt x="1264920" y="0"/>
              </a:moveTo>
              <a:lnTo>
                <a:pt x="315468" y="0"/>
              </a:lnTo>
              <a:lnTo>
                <a:pt x="315468" y="1239012"/>
              </a:lnTo>
              <a:lnTo>
                <a:pt x="1264920" y="1239012"/>
              </a:lnTo>
              <a:lnTo>
                <a:pt x="1264920" y="0"/>
              </a:lnTo>
              <a:close/>
            </a:path>
            <a:path w="7486015" h="1239520">
              <a:moveTo>
                <a:pt x="2531364" y="0"/>
              </a:moveTo>
              <a:lnTo>
                <a:pt x="1267968" y="0"/>
              </a:lnTo>
              <a:lnTo>
                <a:pt x="1267968" y="1239012"/>
              </a:lnTo>
              <a:lnTo>
                <a:pt x="2531364" y="1239012"/>
              </a:lnTo>
              <a:lnTo>
                <a:pt x="2531364" y="0"/>
              </a:lnTo>
              <a:close/>
            </a:path>
            <a:path w="7486015" h="1239520">
              <a:moveTo>
                <a:pt x="3037332" y="1034796"/>
              </a:moveTo>
              <a:lnTo>
                <a:pt x="2534412" y="1034796"/>
              </a:lnTo>
              <a:lnTo>
                <a:pt x="2534412" y="1239012"/>
              </a:lnTo>
              <a:lnTo>
                <a:pt x="3037332" y="1239012"/>
              </a:lnTo>
              <a:lnTo>
                <a:pt x="3037332" y="1034796"/>
              </a:lnTo>
              <a:close/>
            </a:path>
            <a:path w="7486015" h="1239520">
              <a:moveTo>
                <a:pt x="3037332" y="827532"/>
              </a:moveTo>
              <a:lnTo>
                <a:pt x="2534412" y="827532"/>
              </a:lnTo>
              <a:lnTo>
                <a:pt x="2534412" y="1031748"/>
              </a:lnTo>
              <a:lnTo>
                <a:pt x="3037332" y="1031748"/>
              </a:lnTo>
              <a:lnTo>
                <a:pt x="3037332" y="827532"/>
              </a:lnTo>
              <a:close/>
            </a:path>
            <a:path w="7486015" h="1239520">
              <a:moveTo>
                <a:pt x="3037332" y="620268"/>
              </a:moveTo>
              <a:lnTo>
                <a:pt x="2534412" y="620268"/>
              </a:lnTo>
              <a:lnTo>
                <a:pt x="2534412" y="824484"/>
              </a:lnTo>
              <a:lnTo>
                <a:pt x="3037332" y="824484"/>
              </a:lnTo>
              <a:lnTo>
                <a:pt x="3037332" y="620268"/>
              </a:lnTo>
              <a:close/>
            </a:path>
            <a:path w="7486015" h="1239520">
              <a:moveTo>
                <a:pt x="3037332" y="414528"/>
              </a:moveTo>
              <a:lnTo>
                <a:pt x="2534412" y="414528"/>
              </a:lnTo>
              <a:lnTo>
                <a:pt x="2534412" y="617220"/>
              </a:lnTo>
              <a:lnTo>
                <a:pt x="3037332" y="617220"/>
              </a:lnTo>
              <a:lnTo>
                <a:pt x="3037332" y="414528"/>
              </a:lnTo>
              <a:close/>
            </a:path>
            <a:path w="7486015" h="1239520">
              <a:moveTo>
                <a:pt x="3037332" y="207264"/>
              </a:moveTo>
              <a:lnTo>
                <a:pt x="2534412" y="207264"/>
              </a:lnTo>
              <a:lnTo>
                <a:pt x="2534412" y="411480"/>
              </a:lnTo>
              <a:lnTo>
                <a:pt x="3037332" y="411480"/>
              </a:lnTo>
              <a:lnTo>
                <a:pt x="3037332" y="207264"/>
              </a:lnTo>
              <a:close/>
            </a:path>
            <a:path w="7486015" h="1239520">
              <a:moveTo>
                <a:pt x="3037332" y="0"/>
              </a:moveTo>
              <a:lnTo>
                <a:pt x="2534412" y="0"/>
              </a:lnTo>
              <a:lnTo>
                <a:pt x="2534412" y="204216"/>
              </a:lnTo>
              <a:lnTo>
                <a:pt x="3037332" y="204216"/>
              </a:lnTo>
              <a:lnTo>
                <a:pt x="3037332" y="0"/>
              </a:lnTo>
              <a:close/>
            </a:path>
            <a:path w="7486015" h="1239520">
              <a:moveTo>
                <a:pt x="3674364" y="1034796"/>
              </a:moveTo>
              <a:lnTo>
                <a:pt x="3040380" y="1034796"/>
              </a:lnTo>
              <a:lnTo>
                <a:pt x="3040380" y="1239012"/>
              </a:lnTo>
              <a:lnTo>
                <a:pt x="3674364" y="1239012"/>
              </a:lnTo>
              <a:lnTo>
                <a:pt x="3674364" y="1034796"/>
              </a:lnTo>
              <a:close/>
            </a:path>
            <a:path w="7486015" h="1239520">
              <a:moveTo>
                <a:pt x="3674364" y="827532"/>
              </a:moveTo>
              <a:lnTo>
                <a:pt x="3040380" y="827532"/>
              </a:lnTo>
              <a:lnTo>
                <a:pt x="3040380" y="1031748"/>
              </a:lnTo>
              <a:lnTo>
                <a:pt x="3674364" y="1031748"/>
              </a:lnTo>
              <a:lnTo>
                <a:pt x="3674364" y="827532"/>
              </a:lnTo>
              <a:close/>
            </a:path>
            <a:path w="7486015" h="1239520">
              <a:moveTo>
                <a:pt x="3674364" y="620268"/>
              </a:moveTo>
              <a:lnTo>
                <a:pt x="3040380" y="620268"/>
              </a:lnTo>
              <a:lnTo>
                <a:pt x="3040380" y="824484"/>
              </a:lnTo>
              <a:lnTo>
                <a:pt x="3674364" y="824484"/>
              </a:lnTo>
              <a:lnTo>
                <a:pt x="3674364" y="620268"/>
              </a:lnTo>
              <a:close/>
            </a:path>
            <a:path w="7486015" h="1239520">
              <a:moveTo>
                <a:pt x="3674364" y="414528"/>
              </a:moveTo>
              <a:lnTo>
                <a:pt x="3040380" y="414528"/>
              </a:lnTo>
              <a:lnTo>
                <a:pt x="3040380" y="617220"/>
              </a:lnTo>
              <a:lnTo>
                <a:pt x="3674364" y="617220"/>
              </a:lnTo>
              <a:lnTo>
                <a:pt x="3674364" y="414528"/>
              </a:lnTo>
              <a:close/>
            </a:path>
            <a:path w="7486015" h="1239520">
              <a:moveTo>
                <a:pt x="3674364" y="207264"/>
              </a:moveTo>
              <a:lnTo>
                <a:pt x="3040380" y="207264"/>
              </a:lnTo>
              <a:lnTo>
                <a:pt x="3040380" y="411480"/>
              </a:lnTo>
              <a:lnTo>
                <a:pt x="3674364" y="411480"/>
              </a:lnTo>
              <a:lnTo>
                <a:pt x="3674364" y="207264"/>
              </a:lnTo>
              <a:close/>
            </a:path>
            <a:path w="7486015" h="1239520">
              <a:moveTo>
                <a:pt x="3674364" y="0"/>
              </a:moveTo>
              <a:lnTo>
                <a:pt x="3040380" y="0"/>
              </a:lnTo>
              <a:lnTo>
                <a:pt x="3040380" y="204216"/>
              </a:lnTo>
              <a:lnTo>
                <a:pt x="3674364" y="204216"/>
              </a:lnTo>
              <a:lnTo>
                <a:pt x="3674364" y="0"/>
              </a:lnTo>
              <a:close/>
            </a:path>
            <a:path w="7486015" h="1239520">
              <a:moveTo>
                <a:pt x="4437888" y="1034796"/>
              </a:moveTo>
              <a:lnTo>
                <a:pt x="3677412" y="1034796"/>
              </a:lnTo>
              <a:lnTo>
                <a:pt x="3677412" y="1239012"/>
              </a:lnTo>
              <a:lnTo>
                <a:pt x="4437888" y="1239012"/>
              </a:lnTo>
              <a:lnTo>
                <a:pt x="4437888" y="1034796"/>
              </a:lnTo>
              <a:close/>
            </a:path>
            <a:path w="7486015" h="1239520">
              <a:moveTo>
                <a:pt x="4437888" y="827532"/>
              </a:moveTo>
              <a:lnTo>
                <a:pt x="3677412" y="827532"/>
              </a:lnTo>
              <a:lnTo>
                <a:pt x="3677412" y="1031748"/>
              </a:lnTo>
              <a:lnTo>
                <a:pt x="4437888" y="1031748"/>
              </a:lnTo>
              <a:lnTo>
                <a:pt x="4437888" y="827532"/>
              </a:lnTo>
              <a:close/>
            </a:path>
            <a:path w="7486015" h="1239520">
              <a:moveTo>
                <a:pt x="4437888" y="620268"/>
              </a:moveTo>
              <a:lnTo>
                <a:pt x="3677412" y="620268"/>
              </a:lnTo>
              <a:lnTo>
                <a:pt x="3677412" y="824484"/>
              </a:lnTo>
              <a:lnTo>
                <a:pt x="4437888" y="824484"/>
              </a:lnTo>
              <a:lnTo>
                <a:pt x="4437888" y="620268"/>
              </a:lnTo>
              <a:close/>
            </a:path>
            <a:path w="7486015" h="1239520">
              <a:moveTo>
                <a:pt x="4437888" y="414528"/>
              </a:moveTo>
              <a:lnTo>
                <a:pt x="3677412" y="414528"/>
              </a:lnTo>
              <a:lnTo>
                <a:pt x="3677412" y="617220"/>
              </a:lnTo>
              <a:lnTo>
                <a:pt x="4437888" y="617220"/>
              </a:lnTo>
              <a:lnTo>
                <a:pt x="4437888" y="414528"/>
              </a:lnTo>
              <a:close/>
            </a:path>
            <a:path w="7486015" h="1239520">
              <a:moveTo>
                <a:pt x="4437888" y="207264"/>
              </a:moveTo>
              <a:lnTo>
                <a:pt x="3677412" y="207264"/>
              </a:lnTo>
              <a:lnTo>
                <a:pt x="3677412" y="411480"/>
              </a:lnTo>
              <a:lnTo>
                <a:pt x="4437888" y="411480"/>
              </a:lnTo>
              <a:lnTo>
                <a:pt x="4437888" y="207264"/>
              </a:lnTo>
              <a:close/>
            </a:path>
            <a:path w="7486015" h="1239520">
              <a:moveTo>
                <a:pt x="4437888" y="0"/>
              </a:moveTo>
              <a:lnTo>
                <a:pt x="3677412" y="0"/>
              </a:lnTo>
              <a:lnTo>
                <a:pt x="3677412" y="204216"/>
              </a:lnTo>
              <a:lnTo>
                <a:pt x="4437888" y="204216"/>
              </a:lnTo>
              <a:lnTo>
                <a:pt x="4437888" y="0"/>
              </a:lnTo>
              <a:close/>
            </a:path>
            <a:path w="7486015" h="1239520">
              <a:moveTo>
                <a:pt x="5199888" y="1034796"/>
              </a:moveTo>
              <a:lnTo>
                <a:pt x="4440936" y="1034796"/>
              </a:lnTo>
              <a:lnTo>
                <a:pt x="4440936" y="1239012"/>
              </a:lnTo>
              <a:lnTo>
                <a:pt x="5199888" y="1239012"/>
              </a:lnTo>
              <a:lnTo>
                <a:pt x="5199888" y="1034796"/>
              </a:lnTo>
              <a:close/>
            </a:path>
            <a:path w="7486015" h="1239520">
              <a:moveTo>
                <a:pt x="5199888" y="827532"/>
              </a:moveTo>
              <a:lnTo>
                <a:pt x="4440936" y="827532"/>
              </a:lnTo>
              <a:lnTo>
                <a:pt x="4440936" y="1031748"/>
              </a:lnTo>
              <a:lnTo>
                <a:pt x="5199888" y="1031748"/>
              </a:lnTo>
              <a:lnTo>
                <a:pt x="5199888" y="827532"/>
              </a:lnTo>
              <a:close/>
            </a:path>
            <a:path w="7486015" h="1239520">
              <a:moveTo>
                <a:pt x="5199888" y="620268"/>
              </a:moveTo>
              <a:lnTo>
                <a:pt x="4440936" y="620268"/>
              </a:lnTo>
              <a:lnTo>
                <a:pt x="4440936" y="824484"/>
              </a:lnTo>
              <a:lnTo>
                <a:pt x="5199888" y="824484"/>
              </a:lnTo>
              <a:lnTo>
                <a:pt x="5199888" y="620268"/>
              </a:lnTo>
              <a:close/>
            </a:path>
            <a:path w="7486015" h="1239520">
              <a:moveTo>
                <a:pt x="5199888" y="414528"/>
              </a:moveTo>
              <a:lnTo>
                <a:pt x="4440936" y="414528"/>
              </a:lnTo>
              <a:lnTo>
                <a:pt x="4440936" y="617220"/>
              </a:lnTo>
              <a:lnTo>
                <a:pt x="5199888" y="617220"/>
              </a:lnTo>
              <a:lnTo>
                <a:pt x="5199888" y="414528"/>
              </a:lnTo>
              <a:close/>
            </a:path>
            <a:path w="7486015" h="1239520">
              <a:moveTo>
                <a:pt x="5199888" y="207264"/>
              </a:moveTo>
              <a:lnTo>
                <a:pt x="4440936" y="207264"/>
              </a:lnTo>
              <a:lnTo>
                <a:pt x="4440936" y="411480"/>
              </a:lnTo>
              <a:lnTo>
                <a:pt x="5199888" y="411480"/>
              </a:lnTo>
              <a:lnTo>
                <a:pt x="5199888" y="207264"/>
              </a:lnTo>
              <a:close/>
            </a:path>
            <a:path w="7486015" h="1239520">
              <a:moveTo>
                <a:pt x="5199888" y="0"/>
              </a:moveTo>
              <a:lnTo>
                <a:pt x="4440936" y="0"/>
              </a:lnTo>
              <a:lnTo>
                <a:pt x="4440936" y="204216"/>
              </a:lnTo>
              <a:lnTo>
                <a:pt x="5199888" y="204216"/>
              </a:lnTo>
              <a:lnTo>
                <a:pt x="5199888" y="0"/>
              </a:lnTo>
              <a:close/>
            </a:path>
            <a:path w="7486015" h="1239520">
              <a:moveTo>
                <a:pt x="5961875" y="1034796"/>
              </a:moveTo>
              <a:lnTo>
                <a:pt x="5202936" y="1034796"/>
              </a:lnTo>
              <a:lnTo>
                <a:pt x="5202936" y="1239012"/>
              </a:lnTo>
              <a:lnTo>
                <a:pt x="5961875" y="1239012"/>
              </a:lnTo>
              <a:lnTo>
                <a:pt x="5961875" y="1034796"/>
              </a:lnTo>
              <a:close/>
            </a:path>
            <a:path w="7486015" h="1239520">
              <a:moveTo>
                <a:pt x="5961875" y="827532"/>
              </a:moveTo>
              <a:lnTo>
                <a:pt x="5202936" y="827532"/>
              </a:lnTo>
              <a:lnTo>
                <a:pt x="5202936" y="1031748"/>
              </a:lnTo>
              <a:lnTo>
                <a:pt x="5961875" y="1031748"/>
              </a:lnTo>
              <a:lnTo>
                <a:pt x="5961875" y="827532"/>
              </a:lnTo>
              <a:close/>
            </a:path>
            <a:path w="7486015" h="1239520">
              <a:moveTo>
                <a:pt x="5961875" y="620268"/>
              </a:moveTo>
              <a:lnTo>
                <a:pt x="5202936" y="620268"/>
              </a:lnTo>
              <a:lnTo>
                <a:pt x="5202936" y="824484"/>
              </a:lnTo>
              <a:lnTo>
                <a:pt x="5961875" y="824484"/>
              </a:lnTo>
              <a:lnTo>
                <a:pt x="5961875" y="620268"/>
              </a:lnTo>
              <a:close/>
            </a:path>
            <a:path w="7486015" h="1239520">
              <a:moveTo>
                <a:pt x="5961875" y="414528"/>
              </a:moveTo>
              <a:lnTo>
                <a:pt x="5202936" y="414528"/>
              </a:lnTo>
              <a:lnTo>
                <a:pt x="5202936" y="617220"/>
              </a:lnTo>
              <a:lnTo>
                <a:pt x="5961875" y="617220"/>
              </a:lnTo>
              <a:lnTo>
                <a:pt x="5961875" y="414528"/>
              </a:lnTo>
              <a:close/>
            </a:path>
            <a:path w="7486015" h="1239520">
              <a:moveTo>
                <a:pt x="5961875" y="207264"/>
              </a:moveTo>
              <a:lnTo>
                <a:pt x="5202936" y="207264"/>
              </a:lnTo>
              <a:lnTo>
                <a:pt x="5202936" y="411480"/>
              </a:lnTo>
              <a:lnTo>
                <a:pt x="5961875" y="411480"/>
              </a:lnTo>
              <a:lnTo>
                <a:pt x="5961875" y="207264"/>
              </a:lnTo>
              <a:close/>
            </a:path>
            <a:path w="7486015" h="1239520">
              <a:moveTo>
                <a:pt x="5961875" y="0"/>
              </a:moveTo>
              <a:lnTo>
                <a:pt x="5202936" y="0"/>
              </a:lnTo>
              <a:lnTo>
                <a:pt x="5202936" y="204216"/>
              </a:lnTo>
              <a:lnTo>
                <a:pt x="5961875" y="204216"/>
              </a:lnTo>
              <a:lnTo>
                <a:pt x="5961875" y="0"/>
              </a:lnTo>
              <a:close/>
            </a:path>
            <a:path w="7486015" h="1239520">
              <a:moveTo>
                <a:pt x="6723888" y="1034796"/>
              </a:moveTo>
              <a:lnTo>
                <a:pt x="5964936" y="1034796"/>
              </a:lnTo>
              <a:lnTo>
                <a:pt x="5964936" y="1239012"/>
              </a:lnTo>
              <a:lnTo>
                <a:pt x="6723888" y="1239012"/>
              </a:lnTo>
              <a:lnTo>
                <a:pt x="6723888" y="1034796"/>
              </a:lnTo>
              <a:close/>
            </a:path>
            <a:path w="7486015" h="1239520">
              <a:moveTo>
                <a:pt x="6723888" y="827532"/>
              </a:moveTo>
              <a:lnTo>
                <a:pt x="5964936" y="827532"/>
              </a:lnTo>
              <a:lnTo>
                <a:pt x="5964936" y="1031748"/>
              </a:lnTo>
              <a:lnTo>
                <a:pt x="6723888" y="1031748"/>
              </a:lnTo>
              <a:lnTo>
                <a:pt x="6723888" y="827532"/>
              </a:lnTo>
              <a:close/>
            </a:path>
            <a:path w="7486015" h="1239520">
              <a:moveTo>
                <a:pt x="6723888" y="620268"/>
              </a:moveTo>
              <a:lnTo>
                <a:pt x="5964936" y="620268"/>
              </a:lnTo>
              <a:lnTo>
                <a:pt x="5964936" y="824484"/>
              </a:lnTo>
              <a:lnTo>
                <a:pt x="6723888" y="824484"/>
              </a:lnTo>
              <a:lnTo>
                <a:pt x="6723888" y="620268"/>
              </a:lnTo>
              <a:close/>
            </a:path>
            <a:path w="7486015" h="1239520">
              <a:moveTo>
                <a:pt x="6723888" y="414528"/>
              </a:moveTo>
              <a:lnTo>
                <a:pt x="5964936" y="414528"/>
              </a:lnTo>
              <a:lnTo>
                <a:pt x="5964936" y="617220"/>
              </a:lnTo>
              <a:lnTo>
                <a:pt x="6723888" y="617220"/>
              </a:lnTo>
              <a:lnTo>
                <a:pt x="6723888" y="414528"/>
              </a:lnTo>
              <a:close/>
            </a:path>
            <a:path w="7486015" h="1239520">
              <a:moveTo>
                <a:pt x="6723888" y="207264"/>
              </a:moveTo>
              <a:lnTo>
                <a:pt x="5964936" y="207264"/>
              </a:lnTo>
              <a:lnTo>
                <a:pt x="5964936" y="411480"/>
              </a:lnTo>
              <a:lnTo>
                <a:pt x="6723888" y="411480"/>
              </a:lnTo>
              <a:lnTo>
                <a:pt x="6723888" y="207264"/>
              </a:lnTo>
              <a:close/>
            </a:path>
            <a:path w="7486015" h="1239520">
              <a:moveTo>
                <a:pt x="6723888" y="0"/>
              </a:moveTo>
              <a:lnTo>
                <a:pt x="5964936" y="0"/>
              </a:lnTo>
              <a:lnTo>
                <a:pt x="5964936" y="204216"/>
              </a:lnTo>
              <a:lnTo>
                <a:pt x="6723888" y="204216"/>
              </a:lnTo>
              <a:lnTo>
                <a:pt x="6723888" y="0"/>
              </a:lnTo>
              <a:close/>
            </a:path>
            <a:path w="7486015" h="1239520">
              <a:moveTo>
                <a:pt x="7485888" y="1034796"/>
              </a:moveTo>
              <a:lnTo>
                <a:pt x="6726936" y="1034796"/>
              </a:lnTo>
              <a:lnTo>
                <a:pt x="6726936" y="1239012"/>
              </a:lnTo>
              <a:lnTo>
                <a:pt x="7485888" y="1239012"/>
              </a:lnTo>
              <a:lnTo>
                <a:pt x="7485888" y="1034796"/>
              </a:lnTo>
              <a:close/>
            </a:path>
            <a:path w="7486015" h="1239520">
              <a:moveTo>
                <a:pt x="7485888" y="827532"/>
              </a:moveTo>
              <a:lnTo>
                <a:pt x="6726936" y="827532"/>
              </a:lnTo>
              <a:lnTo>
                <a:pt x="6726936" y="1031748"/>
              </a:lnTo>
              <a:lnTo>
                <a:pt x="7485888" y="1031748"/>
              </a:lnTo>
              <a:lnTo>
                <a:pt x="7485888" y="827532"/>
              </a:lnTo>
              <a:close/>
            </a:path>
            <a:path w="7486015" h="1239520">
              <a:moveTo>
                <a:pt x="7485888" y="620268"/>
              </a:moveTo>
              <a:lnTo>
                <a:pt x="6726936" y="620268"/>
              </a:lnTo>
              <a:lnTo>
                <a:pt x="6726936" y="824484"/>
              </a:lnTo>
              <a:lnTo>
                <a:pt x="7485888" y="824484"/>
              </a:lnTo>
              <a:lnTo>
                <a:pt x="7485888" y="620268"/>
              </a:lnTo>
              <a:close/>
            </a:path>
            <a:path w="7486015" h="1239520">
              <a:moveTo>
                <a:pt x="7485888" y="414528"/>
              </a:moveTo>
              <a:lnTo>
                <a:pt x="6726936" y="414528"/>
              </a:lnTo>
              <a:lnTo>
                <a:pt x="6726936" y="617220"/>
              </a:lnTo>
              <a:lnTo>
                <a:pt x="7485888" y="617220"/>
              </a:lnTo>
              <a:lnTo>
                <a:pt x="7485888" y="414528"/>
              </a:lnTo>
              <a:close/>
            </a:path>
            <a:path w="7486015" h="1239520">
              <a:moveTo>
                <a:pt x="7485888" y="207264"/>
              </a:moveTo>
              <a:lnTo>
                <a:pt x="6726936" y="207264"/>
              </a:lnTo>
              <a:lnTo>
                <a:pt x="6726936" y="411480"/>
              </a:lnTo>
              <a:lnTo>
                <a:pt x="7485888" y="411480"/>
              </a:lnTo>
              <a:lnTo>
                <a:pt x="7485888" y="207264"/>
              </a:lnTo>
              <a:close/>
            </a:path>
            <a:path w="7486015" h="1239520">
              <a:moveTo>
                <a:pt x="7485888" y="0"/>
              </a:moveTo>
              <a:lnTo>
                <a:pt x="6726936" y="0"/>
              </a:lnTo>
              <a:lnTo>
                <a:pt x="6726936" y="204216"/>
              </a:lnTo>
              <a:lnTo>
                <a:pt x="7485888" y="204216"/>
              </a:lnTo>
              <a:lnTo>
                <a:pt x="748588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11</xdr:col>
      <xdr:colOff>541401</xdr:colOff>
      <xdr:row>26</xdr:row>
      <xdr:rowOff>0</xdr:rowOff>
    </xdr:from>
    <xdr:ext cx="645160" cy="123952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645160" cy="1239520"/>
        </a:xfrm>
        <a:custGeom>
          <a:avLst/>
          <a:gdLst/>
          <a:ahLst/>
          <a:cxnLst/>
          <a:rect l="0" t="0" r="0" b="0"/>
          <a:pathLst>
            <a:path w="645160" h="1239520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1239520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1239520">
              <a:moveTo>
                <a:pt x="644652" y="620268"/>
              </a:moveTo>
              <a:lnTo>
                <a:pt x="0" y="620268"/>
              </a:lnTo>
              <a:lnTo>
                <a:pt x="0" y="824484"/>
              </a:lnTo>
              <a:lnTo>
                <a:pt x="644652" y="824484"/>
              </a:lnTo>
              <a:lnTo>
                <a:pt x="644652" y="620268"/>
              </a:lnTo>
              <a:close/>
            </a:path>
            <a:path w="645160" h="1239520">
              <a:moveTo>
                <a:pt x="644652" y="414528"/>
              </a:moveTo>
              <a:lnTo>
                <a:pt x="0" y="414528"/>
              </a:lnTo>
              <a:lnTo>
                <a:pt x="0" y="617220"/>
              </a:lnTo>
              <a:lnTo>
                <a:pt x="644652" y="617220"/>
              </a:lnTo>
              <a:lnTo>
                <a:pt x="644652" y="414528"/>
              </a:lnTo>
              <a:close/>
            </a:path>
            <a:path w="645160" h="1239520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1239520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23</xdr:row>
      <xdr:rowOff>206501</xdr:rowOff>
    </xdr:from>
    <xdr:ext cx="3808729" cy="480059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761</xdr:rowOff>
    </xdr:from>
    <xdr:ext cx="381000" cy="381000"/>
    <xdr:pic>
      <xdr:nvPicPr>
        <xdr:cNvPr id="15" name="image1.jpe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49142</xdr:rowOff>
    </xdr:from>
    <xdr:ext cx="381000" cy="290285"/>
    <xdr:pic>
      <xdr:nvPicPr>
        <xdr:cNvPr id="16" name="image2.jpe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49142</xdr:rowOff>
    </xdr:from>
    <xdr:ext cx="381000" cy="290285"/>
    <xdr:pic>
      <xdr:nvPicPr>
        <xdr:cNvPr id="17" name="image3.jpe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201929</xdr:colOff>
      <xdr:row>3</xdr:row>
      <xdr:rowOff>761</xdr:rowOff>
    </xdr:from>
    <xdr:ext cx="338666" cy="381000"/>
    <xdr:pic>
      <xdr:nvPicPr>
        <xdr:cNvPr id="18" name="image4.jpe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9</xdr:col>
      <xdr:colOff>298691</xdr:colOff>
      <xdr:row>3</xdr:row>
      <xdr:rowOff>49142</xdr:rowOff>
    </xdr:from>
    <xdr:ext cx="193523" cy="290285"/>
    <xdr:pic>
      <xdr:nvPicPr>
        <xdr:cNvPr id="19" name="image5.jpe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25</xdr:row>
      <xdr:rowOff>0</xdr:rowOff>
    </xdr:from>
    <xdr:ext cx="7486015" cy="4136390"/>
    <xdr:grpSp>
      <xdr:nvGrpSpPr>
        <xdr:cNvPr id="20" name="Group 20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pSpPr/>
      </xdr:nvGrpSpPr>
      <xdr:grpSpPr>
        <a:xfrm>
          <a:off x="607059" y="6256020"/>
          <a:ext cx="7486015" cy="4136390"/>
          <a:chOff x="0" y="0"/>
          <a:chExt cx="7486015" cy="4136390"/>
        </a:xfrm>
      </xdr:grpSpPr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/>
        </xdr:nvSpPr>
        <xdr:spPr>
          <a:xfrm>
            <a:off x="1267968" y="0"/>
            <a:ext cx="6217920" cy="2066925"/>
          </a:xfrm>
          <a:custGeom>
            <a:avLst/>
            <a:gdLst/>
            <a:ahLst/>
            <a:cxnLst/>
            <a:rect l="0" t="0" r="0" b="0"/>
            <a:pathLst>
              <a:path w="6217920" h="2066925">
                <a:moveTo>
                  <a:pt x="1263396" y="0"/>
                </a:moveTo>
                <a:lnTo>
                  <a:pt x="0" y="0"/>
                </a:lnTo>
                <a:lnTo>
                  <a:pt x="0" y="1652016"/>
                </a:lnTo>
                <a:lnTo>
                  <a:pt x="1263396" y="1652016"/>
                </a:lnTo>
                <a:lnTo>
                  <a:pt x="1263396" y="0"/>
                </a:lnTo>
                <a:close/>
              </a:path>
              <a:path w="6217920" h="2066925">
                <a:moveTo>
                  <a:pt x="1769364" y="1862328"/>
                </a:moveTo>
                <a:lnTo>
                  <a:pt x="1266444" y="1862328"/>
                </a:lnTo>
                <a:lnTo>
                  <a:pt x="1266444" y="2066544"/>
                </a:lnTo>
                <a:lnTo>
                  <a:pt x="1769364" y="2066544"/>
                </a:lnTo>
                <a:lnTo>
                  <a:pt x="1769364" y="1862328"/>
                </a:lnTo>
                <a:close/>
              </a:path>
              <a:path w="6217920" h="2066925">
                <a:moveTo>
                  <a:pt x="1769364" y="1655064"/>
                </a:moveTo>
                <a:lnTo>
                  <a:pt x="1266444" y="1655064"/>
                </a:lnTo>
                <a:lnTo>
                  <a:pt x="1266444" y="1859280"/>
                </a:lnTo>
                <a:lnTo>
                  <a:pt x="1769364" y="1859280"/>
                </a:lnTo>
                <a:lnTo>
                  <a:pt x="1769364" y="1655064"/>
                </a:lnTo>
                <a:close/>
              </a:path>
              <a:path w="6217920" h="2066925">
                <a:moveTo>
                  <a:pt x="1769364" y="1449324"/>
                </a:moveTo>
                <a:lnTo>
                  <a:pt x="1266444" y="1449324"/>
                </a:lnTo>
                <a:lnTo>
                  <a:pt x="1266444" y="1652016"/>
                </a:lnTo>
                <a:lnTo>
                  <a:pt x="1769364" y="1652016"/>
                </a:lnTo>
                <a:lnTo>
                  <a:pt x="1769364" y="1449324"/>
                </a:lnTo>
                <a:close/>
              </a:path>
              <a:path w="6217920" h="2066925">
                <a:moveTo>
                  <a:pt x="1769364" y="1242060"/>
                </a:moveTo>
                <a:lnTo>
                  <a:pt x="1266444" y="1242060"/>
                </a:lnTo>
                <a:lnTo>
                  <a:pt x="1266444" y="1446276"/>
                </a:lnTo>
                <a:lnTo>
                  <a:pt x="1769364" y="1446276"/>
                </a:lnTo>
                <a:lnTo>
                  <a:pt x="1769364" y="1242060"/>
                </a:lnTo>
                <a:close/>
              </a:path>
              <a:path w="6217920" h="2066925">
                <a:moveTo>
                  <a:pt x="1769364" y="1034796"/>
                </a:moveTo>
                <a:lnTo>
                  <a:pt x="1266444" y="1034796"/>
                </a:lnTo>
                <a:lnTo>
                  <a:pt x="1266444" y="1239012"/>
                </a:lnTo>
                <a:lnTo>
                  <a:pt x="1769364" y="1239012"/>
                </a:lnTo>
                <a:lnTo>
                  <a:pt x="1769364" y="1034796"/>
                </a:lnTo>
                <a:close/>
              </a:path>
              <a:path w="6217920" h="2066925">
                <a:moveTo>
                  <a:pt x="1769364" y="827532"/>
                </a:moveTo>
                <a:lnTo>
                  <a:pt x="1266444" y="827532"/>
                </a:lnTo>
                <a:lnTo>
                  <a:pt x="1266444" y="1031748"/>
                </a:lnTo>
                <a:lnTo>
                  <a:pt x="1769364" y="1031748"/>
                </a:lnTo>
                <a:lnTo>
                  <a:pt x="1769364" y="827532"/>
                </a:lnTo>
                <a:close/>
              </a:path>
              <a:path w="6217920" h="2066925">
                <a:moveTo>
                  <a:pt x="1769364" y="621792"/>
                </a:moveTo>
                <a:lnTo>
                  <a:pt x="1266444" y="621792"/>
                </a:lnTo>
                <a:lnTo>
                  <a:pt x="1266444" y="824484"/>
                </a:lnTo>
                <a:lnTo>
                  <a:pt x="1769364" y="824484"/>
                </a:lnTo>
                <a:lnTo>
                  <a:pt x="1769364" y="621792"/>
                </a:lnTo>
                <a:close/>
              </a:path>
              <a:path w="6217920" h="2066925">
                <a:moveTo>
                  <a:pt x="1769364" y="414528"/>
                </a:moveTo>
                <a:lnTo>
                  <a:pt x="1266444" y="414528"/>
                </a:lnTo>
                <a:lnTo>
                  <a:pt x="1266444" y="618744"/>
                </a:lnTo>
                <a:lnTo>
                  <a:pt x="1769364" y="618744"/>
                </a:lnTo>
                <a:lnTo>
                  <a:pt x="1769364" y="414528"/>
                </a:lnTo>
                <a:close/>
              </a:path>
              <a:path w="6217920" h="2066925">
                <a:moveTo>
                  <a:pt x="1769364" y="207264"/>
                </a:moveTo>
                <a:lnTo>
                  <a:pt x="1266444" y="207264"/>
                </a:lnTo>
                <a:lnTo>
                  <a:pt x="1266444" y="411480"/>
                </a:lnTo>
                <a:lnTo>
                  <a:pt x="1769364" y="411480"/>
                </a:lnTo>
                <a:lnTo>
                  <a:pt x="1769364" y="207264"/>
                </a:lnTo>
                <a:close/>
              </a:path>
              <a:path w="6217920" h="2066925">
                <a:moveTo>
                  <a:pt x="1769364" y="0"/>
                </a:moveTo>
                <a:lnTo>
                  <a:pt x="1266444" y="0"/>
                </a:lnTo>
                <a:lnTo>
                  <a:pt x="1266444" y="204216"/>
                </a:lnTo>
                <a:lnTo>
                  <a:pt x="1769364" y="204216"/>
                </a:lnTo>
                <a:lnTo>
                  <a:pt x="1769364" y="0"/>
                </a:lnTo>
                <a:close/>
              </a:path>
              <a:path w="6217920" h="2066925">
                <a:moveTo>
                  <a:pt x="2406396" y="1862328"/>
                </a:moveTo>
                <a:lnTo>
                  <a:pt x="1772412" y="1862328"/>
                </a:lnTo>
                <a:lnTo>
                  <a:pt x="1772412" y="2066544"/>
                </a:lnTo>
                <a:lnTo>
                  <a:pt x="2406396" y="2066544"/>
                </a:lnTo>
                <a:lnTo>
                  <a:pt x="2406396" y="1862328"/>
                </a:lnTo>
                <a:close/>
              </a:path>
              <a:path w="6217920" h="2066925">
                <a:moveTo>
                  <a:pt x="2406396" y="1655064"/>
                </a:moveTo>
                <a:lnTo>
                  <a:pt x="1772412" y="1655064"/>
                </a:lnTo>
                <a:lnTo>
                  <a:pt x="1772412" y="1859280"/>
                </a:lnTo>
                <a:lnTo>
                  <a:pt x="2406396" y="1859280"/>
                </a:lnTo>
                <a:lnTo>
                  <a:pt x="2406396" y="1655064"/>
                </a:lnTo>
                <a:close/>
              </a:path>
              <a:path w="6217920" h="2066925">
                <a:moveTo>
                  <a:pt x="2406396" y="1449324"/>
                </a:moveTo>
                <a:lnTo>
                  <a:pt x="1772412" y="1449324"/>
                </a:lnTo>
                <a:lnTo>
                  <a:pt x="1772412" y="1652016"/>
                </a:lnTo>
                <a:lnTo>
                  <a:pt x="2406396" y="1652016"/>
                </a:lnTo>
                <a:lnTo>
                  <a:pt x="2406396" y="1449324"/>
                </a:lnTo>
                <a:close/>
              </a:path>
              <a:path w="6217920" h="2066925">
                <a:moveTo>
                  <a:pt x="2406396" y="1242060"/>
                </a:moveTo>
                <a:lnTo>
                  <a:pt x="1772412" y="1242060"/>
                </a:lnTo>
                <a:lnTo>
                  <a:pt x="1772412" y="1446276"/>
                </a:lnTo>
                <a:lnTo>
                  <a:pt x="2406396" y="1446276"/>
                </a:lnTo>
                <a:lnTo>
                  <a:pt x="2406396" y="1242060"/>
                </a:lnTo>
                <a:close/>
              </a:path>
              <a:path w="6217920" h="2066925">
                <a:moveTo>
                  <a:pt x="2406396" y="1034796"/>
                </a:moveTo>
                <a:lnTo>
                  <a:pt x="1772412" y="1034796"/>
                </a:lnTo>
                <a:lnTo>
                  <a:pt x="1772412" y="1239012"/>
                </a:lnTo>
                <a:lnTo>
                  <a:pt x="2406396" y="1239012"/>
                </a:lnTo>
                <a:lnTo>
                  <a:pt x="2406396" y="1034796"/>
                </a:lnTo>
                <a:close/>
              </a:path>
              <a:path w="6217920" h="2066925">
                <a:moveTo>
                  <a:pt x="2406396" y="827532"/>
                </a:moveTo>
                <a:lnTo>
                  <a:pt x="1772412" y="827532"/>
                </a:lnTo>
                <a:lnTo>
                  <a:pt x="1772412" y="1031748"/>
                </a:lnTo>
                <a:lnTo>
                  <a:pt x="2406396" y="1031748"/>
                </a:lnTo>
                <a:lnTo>
                  <a:pt x="2406396" y="827532"/>
                </a:lnTo>
                <a:close/>
              </a:path>
              <a:path w="6217920" h="2066925">
                <a:moveTo>
                  <a:pt x="2406396" y="621792"/>
                </a:moveTo>
                <a:lnTo>
                  <a:pt x="1772412" y="621792"/>
                </a:lnTo>
                <a:lnTo>
                  <a:pt x="1772412" y="824484"/>
                </a:lnTo>
                <a:lnTo>
                  <a:pt x="2406396" y="824484"/>
                </a:lnTo>
                <a:lnTo>
                  <a:pt x="2406396" y="621792"/>
                </a:lnTo>
                <a:close/>
              </a:path>
              <a:path w="6217920" h="2066925">
                <a:moveTo>
                  <a:pt x="2406396" y="414528"/>
                </a:moveTo>
                <a:lnTo>
                  <a:pt x="1772412" y="414528"/>
                </a:lnTo>
                <a:lnTo>
                  <a:pt x="1772412" y="618744"/>
                </a:lnTo>
                <a:lnTo>
                  <a:pt x="2406396" y="618744"/>
                </a:lnTo>
                <a:lnTo>
                  <a:pt x="2406396" y="414528"/>
                </a:lnTo>
                <a:close/>
              </a:path>
              <a:path w="6217920" h="2066925">
                <a:moveTo>
                  <a:pt x="2406396" y="207264"/>
                </a:moveTo>
                <a:lnTo>
                  <a:pt x="1772412" y="207264"/>
                </a:lnTo>
                <a:lnTo>
                  <a:pt x="1772412" y="411480"/>
                </a:lnTo>
                <a:lnTo>
                  <a:pt x="2406396" y="411480"/>
                </a:lnTo>
                <a:lnTo>
                  <a:pt x="2406396" y="207264"/>
                </a:lnTo>
                <a:close/>
              </a:path>
              <a:path w="6217920" h="2066925">
                <a:moveTo>
                  <a:pt x="2406396" y="0"/>
                </a:moveTo>
                <a:lnTo>
                  <a:pt x="1772412" y="0"/>
                </a:lnTo>
                <a:lnTo>
                  <a:pt x="1772412" y="204216"/>
                </a:lnTo>
                <a:lnTo>
                  <a:pt x="2406396" y="204216"/>
                </a:lnTo>
                <a:lnTo>
                  <a:pt x="2406396" y="0"/>
                </a:lnTo>
                <a:close/>
              </a:path>
              <a:path w="6217920" h="2066925">
                <a:moveTo>
                  <a:pt x="3169920" y="1862328"/>
                </a:moveTo>
                <a:lnTo>
                  <a:pt x="2409444" y="1862328"/>
                </a:lnTo>
                <a:lnTo>
                  <a:pt x="2409444" y="2066544"/>
                </a:lnTo>
                <a:lnTo>
                  <a:pt x="3169920" y="2066544"/>
                </a:lnTo>
                <a:lnTo>
                  <a:pt x="3169920" y="1862328"/>
                </a:lnTo>
                <a:close/>
              </a:path>
              <a:path w="6217920" h="2066925">
                <a:moveTo>
                  <a:pt x="3169920" y="1655064"/>
                </a:moveTo>
                <a:lnTo>
                  <a:pt x="2409444" y="1655064"/>
                </a:lnTo>
                <a:lnTo>
                  <a:pt x="2409444" y="1859280"/>
                </a:lnTo>
                <a:lnTo>
                  <a:pt x="3169920" y="1859280"/>
                </a:lnTo>
                <a:lnTo>
                  <a:pt x="3169920" y="1655064"/>
                </a:lnTo>
                <a:close/>
              </a:path>
              <a:path w="6217920" h="2066925">
                <a:moveTo>
                  <a:pt x="3169920" y="1449324"/>
                </a:moveTo>
                <a:lnTo>
                  <a:pt x="2409444" y="1449324"/>
                </a:lnTo>
                <a:lnTo>
                  <a:pt x="2409444" y="1652016"/>
                </a:lnTo>
                <a:lnTo>
                  <a:pt x="3169920" y="1652016"/>
                </a:lnTo>
                <a:lnTo>
                  <a:pt x="3169920" y="1449324"/>
                </a:lnTo>
                <a:close/>
              </a:path>
              <a:path w="6217920" h="2066925">
                <a:moveTo>
                  <a:pt x="3169920" y="1242060"/>
                </a:moveTo>
                <a:lnTo>
                  <a:pt x="2409444" y="1242060"/>
                </a:lnTo>
                <a:lnTo>
                  <a:pt x="2409444" y="1446276"/>
                </a:lnTo>
                <a:lnTo>
                  <a:pt x="3169920" y="1446276"/>
                </a:lnTo>
                <a:lnTo>
                  <a:pt x="3169920" y="1242060"/>
                </a:lnTo>
                <a:close/>
              </a:path>
              <a:path w="6217920" h="2066925">
                <a:moveTo>
                  <a:pt x="3169920" y="1034796"/>
                </a:moveTo>
                <a:lnTo>
                  <a:pt x="2409444" y="1034796"/>
                </a:lnTo>
                <a:lnTo>
                  <a:pt x="2409444" y="1239012"/>
                </a:lnTo>
                <a:lnTo>
                  <a:pt x="3169920" y="1239012"/>
                </a:lnTo>
                <a:lnTo>
                  <a:pt x="3169920" y="1034796"/>
                </a:lnTo>
                <a:close/>
              </a:path>
              <a:path w="6217920" h="2066925">
                <a:moveTo>
                  <a:pt x="3169920" y="827532"/>
                </a:moveTo>
                <a:lnTo>
                  <a:pt x="2409444" y="827532"/>
                </a:lnTo>
                <a:lnTo>
                  <a:pt x="2409444" y="1031748"/>
                </a:lnTo>
                <a:lnTo>
                  <a:pt x="3169920" y="1031748"/>
                </a:lnTo>
                <a:lnTo>
                  <a:pt x="3169920" y="827532"/>
                </a:lnTo>
                <a:close/>
              </a:path>
              <a:path w="6217920" h="2066925">
                <a:moveTo>
                  <a:pt x="3169920" y="621792"/>
                </a:moveTo>
                <a:lnTo>
                  <a:pt x="2409444" y="621792"/>
                </a:lnTo>
                <a:lnTo>
                  <a:pt x="2409444" y="824484"/>
                </a:lnTo>
                <a:lnTo>
                  <a:pt x="3169920" y="824484"/>
                </a:lnTo>
                <a:lnTo>
                  <a:pt x="3169920" y="621792"/>
                </a:lnTo>
                <a:close/>
              </a:path>
              <a:path w="6217920" h="2066925">
                <a:moveTo>
                  <a:pt x="3169920" y="414528"/>
                </a:moveTo>
                <a:lnTo>
                  <a:pt x="2409444" y="414528"/>
                </a:lnTo>
                <a:lnTo>
                  <a:pt x="2409444" y="618744"/>
                </a:lnTo>
                <a:lnTo>
                  <a:pt x="3169920" y="618744"/>
                </a:lnTo>
                <a:lnTo>
                  <a:pt x="3169920" y="414528"/>
                </a:lnTo>
                <a:close/>
              </a:path>
              <a:path w="6217920" h="2066925">
                <a:moveTo>
                  <a:pt x="3169920" y="207264"/>
                </a:moveTo>
                <a:lnTo>
                  <a:pt x="2409444" y="207264"/>
                </a:lnTo>
                <a:lnTo>
                  <a:pt x="2409444" y="411480"/>
                </a:lnTo>
                <a:lnTo>
                  <a:pt x="3169920" y="411480"/>
                </a:lnTo>
                <a:lnTo>
                  <a:pt x="3169920" y="207264"/>
                </a:lnTo>
                <a:close/>
              </a:path>
              <a:path w="6217920" h="2066925">
                <a:moveTo>
                  <a:pt x="3169920" y="0"/>
                </a:moveTo>
                <a:lnTo>
                  <a:pt x="2409444" y="0"/>
                </a:lnTo>
                <a:lnTo>
                  <a:pt x="2409444" y="204216"/>
                </a:lnTo>
                <a:lnTo>
                  <a:pt x="3169920" y="204216"/>
                </a:lnTo>
                <a:lnTo>
                  <a:pt x="3169920" y="0"/>
                </a:lnTo>
                <a:close/>
              </a:path>
              <a:path w="6217920" h="2066925">
                <a:moveTo>
                  <a:pt x="3931920" y="1862328"/>
                </a:moveTo>
                <a:lnTo>
                  <a:pt x="3172968" y="1862328"/>
                </a:lnTo>
                <a:lnTo>
                  <a:pt x="3172968" y="2066544"/>
                </a:lnTo>
                <a:lnTo>
                  <a:pt x="3931920" y="2066544"/>
                </a:lnTo>
                <a:lnTo>
                  <a:pt x="3931920" y="1862328"/>
                </a:lnTo>
                <a:close/>
              </a:path>
              <a:path w="6217920" h="2066925">
                <a:moveTo>
                  <a:pt x="3931920" y="1655064"/>
                </a:moveTo>
                <a:lnTo>
                  <a:pt x="3172968" y="1655064"/>
                </a:lnTo>
                <a:lnTo>
                  <a:pt x="3172968" y="1859280"/>
                </a:lnTo>
                <a:lnTo>
                  <a:pt x="3931920" y="1859280"/>
                </a:lnTo>
                <a:lnTo>
                  <a:pt x="3931920" y="1655064"/>
                </a:lnTo>
                <a:close/>
              </a:path>
              <a:path w="6217920" h="2066925">
                <a:moveTo>
                  <a:pt x="3931920" y="1449324"/>
                </a:moveTo>
                <a:lnTo>
                  <a:pt x="3172968" y="1449324"/>
                </a:lnTo>
                <a:lnTo>
                  <a:pt x="3172968" y="1652016"/>
                </a:lnTo>
                <a:lnTo>
                  <a:pt x="3931920" y="1652016"/>
                </a:lnTo>
                <a:lnTo>
                  <a:pt x="3931920" y="1449324"/>
                </a:lnTo>
                <a:close/>
              </a:path>
              <a:path w="6217920" h="2066925">
                <a:moveTo>
                  <a:pt x="3931920" y="1242060"/>
                </a:moveTo>
                <a:lnTo>
                  <a:pt x="3172968" y="1242060"/>
                </a:lnTo>
                <a:lnTo>
                  <a:pt x="3172968" y="1446276"/>
                </a:lnTo>
                <a:lnTo>
                  <a:pt x="3931920" y="1446276"/>
                </a:lnTo>
                <a:lnTo>
                  <a:pt x="3931920" y="1242060"/>
                </a:lnTo>
                <a:close/>
              </a:path>
              <a:path w="6217920" h="2066925">
                <a:moveTo>
                  <a:pt x="3931920" y="1034796"/>
                </a:moveTo>
                <a:lnTo>
                  <a:pt x="3172968" y="1034796"/>
                </a:lnTo>
                <a:lnTo>
                  <a:pt x="3172968" y="1239012"/>
                </a:lnTo>
                <a:lnTo>
                  <a:pt x="3931920" y="1239012"/>
                </a:lnTo>
                <a:lnTo>
                  <a:pt x="3931920" y="1034796"/>
                </a:lnTo>
                <a:close/>
              </a:path>
              <a:path w="6217920" h="2066925">
                <a:moveTo>
                  <a:pt x="3931920" y="827532"/>
                </a:moveTo>
                <a:lnTo>
                  <a:pt x="3172968" y="827532"/>
                </a:lnTo>
                <a:lnTo>
                  <a:pt x="3172968" y="1031748"/>
                </a:lnTo>
                <a:lnTo>
                  <a:pt x="3931920" y="1031748"/>
                </a:lnTo>
                <a:lnTo>
                  <a:pt x="3931920" y="827532"/>
                </a:lnTo>
                <a:close/>
              </a:path>
              <a:path w="6217920" h="2066925">
                <a:moveTo>
                  <a:pt x="3931920" y="621792"/>
                </a:moveTo>
                <a:lnTo>
                  <a:pt x="3172968" y="621792"/>
                </a:lnTo>
                <a:lnTo>
                  <a:pt x="3172968" y="824484"/>
                </a:lnTo>
                <a:lnTo>
                  <a:pt x="3931920" y="824484"/>
                </a:lnTo>
                <a:lnTo>
                  <a:pt x="3931920" y="621792"/>
                </a:lnTo>
                <a:close/>
              </a:path>
              <a:path w="6217920" h="2066925">
                <a:moveTo>
                  <a:pt x="3931920" y="414528"/>
                </a:moveTo>
                <a:lnTo>
                  <a:pt x="3172968" y="414528"/>
                </a:lnTo>
                <a:lnTo>
                  <a:pt x="3172968" y="618744"/>
                </a:lnTo>
                <a:lnTo>
                  <a:pt x="3931920" y="618744"/>
                </a:lnTo>
                <a:lnTo>
                  <a:pt x="3931920" y="414528"/>
                </a:lnTo>
                <a:close/>
              </a:path>
              <a:path w="6217920" h="2066925">
                <a:moveTo>
                  <a:pt x="3931920" y="207264"/>
                </a:moveTo>
                <a:lnTo>
                  <a:pt x="3172968" y="207264"/>
                </a:lnTo>
                <a:lnTo>
                  <a:pt x="3172968" y="411480"/>
                </a:lnTo>
                <a:lnTo>
                  <a:pt x="3931920" y="411480"/>
                </a:lnTo>
                <a:lnTo>
                  <a:pt x="3931920" y="207264"/>
                </a:lnTo>
                <a:close/>
              </a:path>
              <a:path w="6217920" h="2066925">
                <a:moveTo>
                  <a:pt x="3931920" y="0"/>
                </a:moveTo>
                <a:lnTo>
                  <a:pt x="3172968" y="0"/>
                </a:lnTo>
                <a:lnTo>
                  <a:pt x="3172968" y="204216"/>
                </a:lnTo>
                <a:lnTo>
                  <a:pt x="3931920" y="204216"/>
                </a:lnTo>
                <a:lnTo>
                  <a:pt x="3931920" y="0"/>
                </a:lnTo>
                <a:close/>
              </a:path>
              <a:path w="6217920" h="2066925">
                <a:moveTo>
                  <a:pt x="4693907" y="1862328"/>
                </a:moveTo>
                <a:lnTo>
                  <a:pt x="3934968" y="1862328"/>
                </a:lnTo>
                <a:lnTo>
                  <a:pt x="3934968" y="2066544"/>
                </a:lnTo>
                <a:lnTo>
                  <a:pt x="4693907" y="2066544"/>
                </a:lnTo>
                <a:lnTo>
                  <a:pt x="4693907" y="1862328"/>
                </a:lnTo>
                <a:close/>
              </a:path>
              <a:path w="6217920" h="2066925">
                <a:moveTo>
                  <a:pt x="4693907" y="1655064"/>
                </a:moveTo>
                <a:lnTo>
                  <a:pt x="3934968" y="1655064"/>
                </a:lnTo>
                <a:lnTo>
                  <a:pt x="3934968" y="1859280"/>
                </a:lnTo>
                <a:lnTo>
                  <a:pt x="4693907" y="1859280"/>
                </a:lnTo>
                <a:lnTo>
                  <a:pt x="4693907" y="1655064"/>
                </a:lnTo>
                <a:close/>
              </a:path>
              <a:path w="6217920" h="2066925">
                <a:moveTo>
                  <a:pt x="4693907" y="1449324"/>
                </a:moveTo>
                <a:lnTo>
                  <a:pt x="3934968" y="1449324"/>
                </a:lnTo>
                <a:lnTo>
                  <a:pt x="3934968" y="1652016"/>
                </a:lnTo>
                <a:lnTo>
                  <a:pt x="4693907" y="1652016"/>
                </a:lnTo>
                <a:lnTo>
                  <a:pt x="4693907" y="1449324"/>
                </a:lnTo>
                <a:close/>
              </a:path>
              <a:path w="6217920" h="2066925">
                <a:moveTo>
                  <a:pt x="4693907" y="1242060"/>
                </a:moveTo>
                <a:lnTo>
                  <a:pt x="3934968" y="1242060"/>
                </a:lnTo>
                <a:lnTo>
                  <a:pt x="3934968" y="1446276"/>
                </a:lnTo>
                <a:lnTo>
                  <a:pt x="4693907" y="1446276"/>
                </a:lnTo>
                <a:lnTo>
                  <a:pt x="4693907" y="1242060"/>
                </a:lnTo>
                <a:close/>
              </a:path>
              <a:path w="6217920" h="2066925">
                <a:moveTo>
                  <a:pt x="4693907" y="1034796"/>
                </a:moveTo>
                <a:lnTo>
                  <a:pt x="3934968" y="1034796"/>
                </a:lnTo>
                <a:lnTo>
                  <a:pt x="3934968" y="1239012"/>
                </a:lnTo>
                <a:lnTo>
                  <a:pt x="4693907" y="1239012"/>
                </a:lnTo>
                <a:lnTo>
                  <a:pt x="4693907" y="1034796"/>
                </a:lnTo>
                <a:close/>
              </a:path>
              <a:path w="6217920" h="2066925">
                <a:moveTo>
                  <a:pt x="4693907" y="827532"/>
                </a:moveTo>
                <a:lnTo>
                  <a:pt x="3934968" y="827532"/>
                </a:lnTo>
                <a:lnTo>
                  <a:pt x="3934968" y="1031748"/>
                </a:lnTo>
                <a:lnTo>
                  <a:pt x="4693907" y="1031748"/>
                </a:lnTo>
                <a:lnTo>
                  <a:pt x="4693907" y="827532"/>
                </a:lnTo>
                <a:close/>
              </a:path>
              <a:path w="6217920" h="2066925">
                <a:moveTo>
                  <a:pt x="4693907" y="621792"/>
                </a:moveTo>
                <a:lnTo>
                  <a:pt x="3934968" y="621792"/>
                </a:lnTo>
                <a:lnTo>
                  <a:pt x="3934968" y="824484"/>
                </a:lnTo>
                <a:lnTo>
                  <a:pt x="4693907" y="824484"/>
                </a:lnTo>
                <a:lnTo>
                  <a:pt x="4693907" y="621792"/>
                </a:lnTo>
                <a:close/>
              </a:path>
              <a:path w="6217920" h="2066925">
                <a:moveTo>
                  <a:pt x="4693907" y="414528"/>
                </a:moveTo>
                <a:lnTo>
                  <a:pt x="3934968" y="414528"/>
                </a:lnTo>
                <a:lnTo>
                  <a:pt x="3934968" y="618744"/>
                </a:lnTo>
                <a:lnTo>
                  <a:pt x="4693907" y="618744"/>
                </a:lnTo>
                <a:lnTo>
                  <a:pt x="4693907" y="414528"/>
                </a:lnTo>
                <a:close/>
              </a:path>
              <a:path w="6217920" h="2066925">
                <a:moveTo>
                  <a:pt x="4693907" y="207264"/>
                </a:moveTo>
                <a:lnTo>
                  <a:pt x="3934968" y="207264"/>
                </a:lnTo>
                <a:lnTo>
                  <a:pt x="3934968" y="411480"/>
                </a:lnTo>
                <a:lnTo>
                  <a:pt x="4693907" y="411480"/>
                </a:lnTo>
                <a:lnTo>
                  <a:pt x="4693907" y="207264"/>
                </a:lnTo>
                <a:close/>
              </a:path>
              <a:path w="6217920" h="2066925">
                <a:moveTo>
                  <a:pt x="4693907" y="0"/>
                </a:moveTo>
                <a:lnTo>
                  <a:pt x="3934968" y="0"/>
                </a:lnTo>
                <a:lnTo>
                  <a:pt x="3934968" y="204216"/>
                </a:lnTo>
                <a:lnTo>
                  <a:pt x="4693907" y="204216"/>
                </a:lnTo>
                <a:lnTo>
                  <a:pt x="4693907" y="0"/>
                </a:lnTo>
                <a:close/>
              </a:path>
              <a:path w="6217920" h="2066925">
                <a:moveTo>
                  <a:pt x="5455920" y="1862328"/>
                </a:moveTo>
                <a:lnTo>
                  <a:pt x="4696968" y="1862328"/>
                </a:lnTo>
                <a:lnTo>
                  <a:pt x="4696968" y="2066544"/>
                </a:lnTo>
                <a:lnTo>
                  <a:pt x="5455920" y="2066544"/>
                </a:lnTo>
                <a:lnTo>
                  <a:pt x="5455920" y="1862328"/>
                </a:lnTo>
                <a:close/>
              </a:path>
              <a:path w="6217920" h="2066925">
                <a:moveTo>
                  <a:pt x="5455920" y="1655064"/>
                </a:moveTo>
                <a:lnTo>
                  <a:pt x="4696968" y="1655064"/>
                </a:lnTo>
                <a:lnTo>
                  <a:pt x="4696968" y="1859280"/>
                </a:lnTo>
                <a:lnTo>
                  <a:pt x="5455920" y="1859280"/>
                </a:lnTo>
                <a:lnTo>
                  <a:pt x="5455920" y="1655064"/>
                </a:lnTo>
                <a:close/>
              </a:path>
              <a:path w="6217920" h="2066925">
                <a:moveTo>
                  <a:pt x="5455920" y="1449324"/>
                </a:moveTo>
                <a:lnTo>
                  <a:pt x="4696968" y="1449324"/>
                </a:lnTo>
                <a:lnTo>
                  <a:pt x="4696968" y="1652016"/>
                </a:lnTo>
                <a:lnTo>
                  <a:pt x="5455920" y="1652016"/>
                </a:lnTo>
                <a:lnTo>
                  <a:pt x="5455920" y="1449324"/>
                </a:lnTo>
                <a:close/>
              </a:path>
              <a:path w="6217920" h="2066925">
                <a:moveTo>
                  <a:pt x="5455920" y="1242060"/>
                </a:moveTo>
                <a:lnTo>
                  <a:pt x="4696968" y="1242060"/>
                </a:lnTo>
                <a:lnTo>
                  <a:pt x="4696968" y="1446276"/>
                </a:lnTo>
                <a:lnTo>
                  <a:pt x="5455920" y="1446276"/>
                </a:lnTo>
                <a:lnTo>
                  <a:pt x="5455920" y="1242060"/>
                </a:lnTo>
                <a:close/>
              </a:path>
              <a:path w="6217920" h="2066925">
                <a:moveTo>
                  <a:pt x="5455920" y="1034796"/>
                </a:moveTo>
                <a:lnTo>
                  <a:pt x="4696968" y="1034796"/>
                </a:lnTo>
                <a:lnTo>
                  <a:pt x="4696968" y="1239012"/>
                </a:lnTo>
                <a:lnTo>
                  <a:pt x="5455920" y="1239012"/>
                </a:lnTo>
                <a:lnTo>
                  <a:pt x="5455920" y="1034796"/>
                </a:lnTo>
                <a:close/>
              </a:path>
              <a:path w="6217920" h="2066925">
                <a:moveTo>
                  <a:pt x="5455920" y="827532"/>
                </a:moveTo>
                <a:lnTo>
                  <a:pt x="4696968" y="827532"/>
                </a:lnTo>
                <a:lnTo>
                  <a:pt x="4696968" y="1031748"/>
                </a:lnTo>
                <a:lnTo>
                  <a:pt x="5455920" y="1031748"/>
                </a:lnTo>
                <a:lnTo>
                  <a:pt x="5455920" y="827532"/>
                </a:lnTo>
                <a:close/>
              </a:path>
              <a:path w="6217920" h="2066925">
                <a:moveTo>
                  <a:pt x="5455920" y="621792"/>
                </a:moveTo>
                <a:lnTo>
                  <a:pt x="4696968" y="621792"/>
                </a:lnTo>
                <a:lnTo>
                  <a:pt x="4696968" y="824484"/>
                </a:lnTo>
                <a:lnTo>
                  <a:pt x="5455920" y="824484"/>
                </a:lnTo>
                <a:lnTo>
                  <a:pt x="5455920" y="621792"/>
                </a:lnTo>
                <a:close/>
              </a:path>
              <a:path w="6217920" h="2066925">
                <a:moveTo>
                  <a:pt x="5455920" y="414528"/>
                </a:moveTo>
                <a:lnTo>
                  <a:pt x="4696968" y="414528"/>
                </a:lnTo>
                <a:lnTo>
                  <a:pt x="4696968" y="618744"/>
                </a:lnTo>
                <a:lnTo>
                  <a:pt x="5455920" y="618744"/>
                </a:lnTo>
                <a:lnTo>
                  <a:pt x="5455920" y="414528"/>
                </a:lnTo>
                <a:close/>
              </a:path>
              <a:path w="6217920" h="2066925">
                <a:moveTo>
                  <a:pt x="5455920" y="207264"/>
                </a:moveTo>
                <a:lnTo>
                  <a:pt x="4696968" y="207264"/>
                </a:lnTo>
                <a:lnTo>
                  <a:pt x="4696968" y="411480"/>
                </a:lnTo>
                <a:lnTo>
                  <a:pt x="5455920" y="411480"/>
                </a:lnTo>
                <a:lnTo>
                  <a:pt x="5455920" y="207264"/>
                </a:lnTo>
                <a:close/>
              </a:path>
              <a:path w="6217920" h="2066925">
                <a:moveTo>
                  <a:pt x="5455920" y="0"/>
                </a:moveTo>
                <a:lnTo>
                  <a:pt x="4696968" y="0"/>
                </a:lnTo>
                <a:lnTo>
                  <a:pt x="4696968" y="204216"/>
                </a:lnTo>
                <a:lnTo>
                  <a:pt x="5455920" y="204216"/>
                </a:lnTo>
                <a:lnTo>
                  <a:pt x="5455920" y="0"/>
                </a:lnTo>
                <a:close/>
              </a:path>
              <a:path w="6217920" h="2066925">
                <a:moveTo>
                  <a:pt x="6217920" y="1862328"/>
                </a:moveTo>
                <a:lnTo>
                  <a:pt x="5458968" y="1862328"/>
                </a:lnTo>
                <a:lnTo>
                  <a:pt x="5458968" y="2066544"/>
                </a:lnTo>
                <a:lnTo>
                  <a:pt x="6217920" y="2066544"/>
                </a:lnTo>
                <a:lnTo>
                  <a:pt x="6217920" y="1862328"/>
                </a:lnTo>
                <a:close/>
              </a:path>
              <a:path w="6217920" h="2066925">
                <a:moveTo>
                  <a:pt x="6217920" y="1655064"/>
                </a:moveTo>
                <a:lnTo>
                  <a:pt x="5458968" y="1655064"/>
                </a:lnTo>
                <a:lnTo>
                  <a:pt x="5458968" y="1859280"/>
                </a:lnTo>
                <a:lnTo>
                  <a:pt x="6217920" y="1859280"/>
                </a:lnTo>
                <a:lnTo>
                  <a:pt x="6217920" y="1655064"/>
                </a:lnTo>
                <a:close/>
              </a:path>
              <a:path w="6217920" h="2066925">
                <a:moveTo>
                  <a:pt x="6217920" y="1449324"/>
                </a:moveTo>
                <a:lnTo>
                  <a:pt x="5458968" y="1449324"/>
                </a:lnTo>
                <a:lnTo>
                  <a:pt x="5458968" y="1652016"/>
                </a:lnTo>
                <a:lnTo>
                  <a:pt x="6217920" y="1652016"/>
                </a:lnTo>
                <a:lnTo>
                  <a:pt x="6217920" y="1449324"/>
                </a:lnTo>
                <a:close/>
              </a:path>
              <a:path w="6217920" h="2066925">
                <a:moveTo>
                  <a:pt x="6217920" y="1242060"/>
                </a:moveTo>
                <a:lnTo>
                  <a:pt x="5458968" y="1242060"/>
                </a:lnTo>
                <a:lnTo>
                  <a:pt x="5458968" y="1446276"/>
                </a:lnTo>
                <a:lnTo>
                  <a:pt x="6217920" y="1446276"/>
                </a:lnTo>
                <a:lnTo>
                  <a:pt x="6217920" y="1242060"/>
                </a:lnTo>
                <a:close/>
              </a:path>
              <a:path w="6217920" h="2066925">
                <a:moveTo>
                  <a:pt x="6217920" y="1034796"/>
                </a:moveTo>
                <a:lnTo>
                  <a:pt x="5458968" y="1034796"/>
                </a:lnTo>
                <a:lnTo>
                  <a:pt x="5458968" y="1239012"/>
                </a:lnTo>
                <a:lnTo>
                  <a:pt x="6217920" y="1239012"/>
                </a:lnTo>
                <a:lnTo>
                  <a:pt x="6217920" y="1034796"/>
                </a:lnTo>
                <a:close/>
              </a:path>
              <a:path w="6217920" h="2066925">
                <a:moveTo>
                  <a:pt x="6217920" y="827532"/>
                </a:moveTo>
                <a:lnTo>
                  <a:pt x="5458968" y="827532"/>
                </a:lnTo>
                <a:lnTo>
                  <a:pt x="5458968" y="1031748"/>
                </a:lnTo>
                <a:lnTo>
                  <a:pt x="6217920" y="1031748"/>
                </a:lnTo>
                <a:lnTo>
                  <a:pt x="6217920" y="827532"/>
                </a:lnTo>
                <a:close/>
              </a:path>
              <a:path w="6217920" h="2066925">
                <a:moveTo>
                  <a:pt x="6217920" y="621792"/>
                </a:moveTo>
                <a:lnTo>
                  <a:pt x="5458968" y="621792"/>
                </a:lnTo>
                <a:lnTo>
                  <a:pt x="5458968" y="824484"/>
                </a:lnTo>
                <a:lnTo>
                  <a:pt x="6217920" y="824484"/>
                </a:lnTo>
                <a:lnTo>
                  <a:pt x="6217920" y="621792"/>
                </a:lnTo>
                <a:close/>
              </a:path>
              <a:path w="6217920" h="2066925">
                <a:moveTo>
                  <a:pt x="6217920" y="414528"/>
                </a:moveTo>
                <a:lnTo>
                  <a:pt x="5458968" y="414528"/>
                </a:lnTo>
                <a:lnTo>
                  <a:pt x="5458968" y="618744"/>
                </a:lnTo>
                <a:lnTo>
                  <a:pt x="6217920" y="618744"/>
                </a:lnTo>
                <a:lnTo>
                  <a:pt x="6217920" y="414528"/>
                </a:lnTo>
                <a:close/>
              </a:path>
              <a:path w="6217920" h="2066925">
                <a:moveTo>
                  <a:pt x="6217920" y="207264"/>
                </a:moveTo>
                <a:lnTo>
                  <a:pt x="5458968" y="207264"/>
                </a:lnTo>
                <a:lnTo>
                  <a:pt x="5458968" y="411480"/>
                </a:lnTo>
                <a:lnTo>
                  <a:pt x="6217920" y="411480"/>
                </a:lnTo>
                <a:lnTo>
                  <a:pt x="6217920" y="207264"/>
                </a:lnTo>
                <a:close/>
              </a:path>
              <a:path w="6217920" h="2066925">
                <a:moveTo>
                  <a:pt x="6217920" y="0"/>
                </a:moveTo>
                <a:lnTo>
                  <a:pt x="5458968" y="0"/>
                </a:lnTo>
                <a:lnTo>
                  <a:pt x="5458968" y="204216"/>
                </a:lnTo>
                <a:lnTo>
                  <a:pt x="6217920" y="204216"/>
                </a:lnTo>
                <a:lnTo>
                  <a:pt x="6217920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/>
        </xdr:nvSpPr>
        <xdr:spPr>
          <a:xfrm>
            <a:off x="0" y="0"/>
            <a:ext cx="7486015" cy="4136390"/>
          </a:xfrm>
          <a:custGeom>
            <a:avLst/>
            <a:gdLst/>
            <a:ahLst/>
            <a:cxnLst/>
            <a:rect l="0" t="0" r="0" b="0"/>
            <a:pathLst>
              <a:path w="7486015" h="4136390">
                <a:moveTo>
                  <a:pt x="312420" y="0"/>
                </a:moveTo>
                <a:lnTo>
                  <a:pt x="0" y="0"/>
                </a:lnTo>
                <a:lnTo>
                  <a:pt x="0" y="3101340"/>
                </a:lnTo>
                <a:lnTo>
                  <a:pt x="312420" y="3101340"/>
                </a:lnTo>
                <a:lnTo>
                  <a:pt x="312420" y="0"/>
                </a:lnTo>
                <a:close/>
              </a:path>
              <a:path w="7486015" h="4136390">
                <a:moveTo>
                  <a:pt x="1264920" y="0"/>
                </a:moveTo>
                <a:lnTo>
                  <a:pt x="315468" y="0"/>
                </a:lnTo>
                <a:lnTo>
                  <a:pt x="315468" y="3101340"/>
                </a:lnTo>
                <a:lnTo>
                  <a:pt x="1264920" y="3101340"/>
                </a:lnTo>
                <a:lnTo>
                  <a:pt x="1264920" y="0"/>
                </a:lnTo>
                <a:close/>
              </a:path>
              <a:path w="7486015" h="4136390">
                <a:moveTo>
                  <a:pt x="2531364" y="3104388"/>
                </a:moveTo>
                <a:lnTo>
                  <a:pt x="1267968" y="3104388"/>
                </a:lnTo>
                <a:lnTo>
                  <a:pt x="1267968" y="4136136"/>
                </a:lnTo>
                <a:lnTo>
                  <a:pt x="2531364" y="4136136"/>
                </a:lnTo>
                <a:lnTo>
                  <a:pt x="2531364" y="3104388"/>
                </a:lnTo>
                <a:close/>
              </a:path>
              <a:path w="7486015" h="4136390">
                <a:moveTo>
                  <a:pt x="2531364" y="1655064"/>
                </a:moveTo>
                <a:lnTo>
                  <a:pt x="1267968" y="1655064"/>
                </a:lnTo>
                <a:lnTo>
                  <a:pt x="1267968" y="3101340"/>
                </a:lnTo>
                <a:lnTo>
                  <a:pt x="2531364" y="3101340"/>
                </a:lnTo>
                <a:lnTo>
                  <a:pt x="2531364" y="1655064"/>
                </a:lnTo>
                <a:close/>
              </a:path>
              <a:path w="7486015" h="4136390">
                <a:moveTo>
                  <a:pt x="3037332" y="3931920"/>
                </a:moveTo>
                <a:lnTo>
                  <a:pt x="2534412" y="3931920"/>
                </a:lnTo>
                <a:lnTo>
                  <a:pt x="2534412" y="4136136"/>
                </a:lnTo>
                <a:lnTo>
                  <a:pt x="3037332" y="4136136"/>
                </a:lnTo>
                <a:lnTo>
                  <a:pt x="3037332" y="3931920"/>
                </a:lnTo>
                <a:close/>
              </a:path>
              <a:path w="7486015" h="4136390">
                <a:moveTo>
                  <a:pt x="3037332" y="3724656"/>
                </a:moveTo>
                <a:lnTo>
                  <a:pt x="2534412" y="3724656"/>
                </a:lnTo>
                <a:lnTo>
                  <a:pt x="2534412" y="3928872"/>
                </a:lnTo>
                <a:lnTo>
                  <a:pt x="3037332" y="3928872"/>
                </a:lnTo>
                <a:lnTo>
                  <a:pt x="3037332" y="3724656"/>
                </a:lnTo>
                <a:close/>
              </a:path>
              <a:path w="7486015" h="4136390">
                <a:moveTo>
                  <a:pt x="3037332" y="3517392"/>
                </a:moveTo>
                <a:lnTo>
                  <a:pt x="2534412" y="3517392"/>
                </a:lnTo>
                <a:lnTo>
                  <a:pt x="2534412" y="3721608"/>
                </a:lnTo>
                <a:lnTo>
                  <a:pt x="3037332" y="3721608"/>
                </a:lnTo>
                <a:lnTo>
                  <a:pt x="3037332" y="3517392"/>
                </a:lnTo>
                <a:close/>
              </a:path>
              <a:path w="7486015" h="4136390">
                <a:moveTo>
                  <a:pt x="3037332" y="3311652"/>
                </a:moveTo>
                <a:lnTo>
                  <a:pt x="2534412" y="3311652"/>
                </a:lnTo>
                <a:lnTo>
                  <a:pt x="2534412" y="3514344"/>
                </a:lnTo>
                <a:lnTo>
                  <a:pt x="3037332" y="3514344"/>
                </a:lnTo>
                <a:lnTo>
                  <a:pt x="3037332" y="3311652"/>
                </a:lnTo>
                <a:close/>
              </a:path>
              <a:path w="7486015" h="4136390">
                <a:moveTo>
                  <a:pt x="3037332" y="3104388"/>
                </a:moveTo>
                <a:lnTo>
                  <a:pt x="2534412" y="3104388"/>
                </a:lnTo>
                <a:lnTo>
                  <a:pt x="2534412" y="3308604"/>
                </a:lnTo>
                <a:lnTo>
                  <a:pt x="3037332" y="3308604"/>
                </a:lnTo>
                <a:lnTo>
                  <a:pt x="3037332" y="3104388"/>
                </a:lnTo>
                <a:close/>
              </a:path>
              <a:path w="7486015" h="4136390">
                <a:moveTo>
                  <a:pt x="3037332" y="2897124"/>
                </a:moveTo>
                <a:lnTo>
                  <a:pt x="2534412" y="2897124"/>
                </a:lnTo>
                <a:lnTo>
                  <a:pt x="2534412" y="3101340"/>
                </a:lnTo>
                <a:lnTo>
                  <a:pt x="3037332" y="3101340"/>
                </a:lnTo>
                <a:lnTo>
                  <a:pt x="3037332" y="2897124"/>
                </a:lnTo>
                <a:close/>
              </a:path>
              <a:path w="7486015" h="4136390">
                <a:moveTo>
                  <a:pt x="3037332" y="2689860"/>
                </a:moveTo>
                <a:lnTo>
                  <a:pt x="2534412" y="2689860"/>
                </a:lnTo>
                <a:lnTo>
                  <a:pt x="2534412" y="2894076"/>
                </a:lnTo>
                <a:lnTo>
                  <a:pt x="3037332" y="2894076"/>
                </a:lnTo>
                <a:lnTo>
                  <a:pt x="3037332" y="2689860"/>
                </a:lnTo>
                <a:close/>
              </a:path>
              <a:path w="7486015" h="4136390">
                <a:moveTo>
                  <a:pt x="3037332" y="2482596"/>
                </a:moveTo>
                <a:lnTo>
                  <a:pt x="2534412" y="2482596"/>
                </a:lnTo>
                <a:lnTo>
                  <a:pt x="2534412" y="2686812"/>
                </a:lnTo>
                <a:lnTo>
                  <a:pt x="3037332" y="2686812"/>
                </a:lnTo>
                <a:lnTo>
                  <a:pt x="3037332" y="2482596"/>
                </a:lnTo>
                <a:close/>
              </a:path>
              <a:path w="7486015" h="4136390">
                <a:moveTo>
                  <a:pt x="3037332" y="2276856"/>
                </a:moveTo>
                <a:lnTo>
                  <a:pt x="2534412" y="2276856"/>
                </a:lnTo>
                <a:lnTo>
                  <a:pt x="2534412" y="2479548"/>
                </a:lnTo>
                <a:lnTo>
                  <a:pt x="3037332" y="2479548"/>
                </a:lnTo>
                <a:lnTo>
                  <a:pt x="3037332" y="2276856"/>
                </a:lnTo>
                <a:close/>
              </a:path>
              <a:path w="7486015" h="4136390">
                <a:moveTo>
                  <a:pt x="3037332" y="2069592"/>
                </a:moveTo>
                <a:lnTo>
                  <a:pt x="2534412" y="2069592"/>
                </a:lnTo>
                <a:lnTo>
                  <a:pt x="2534412" y="2273808"/>
                </a:lnTo>
                <a:lnTo>
                  <a:pt x="3037332" y="2273808"/>
                </a:lnTo>
                <a:lnTo>
                  <a:pt x="3037332" y="2069592"/>
                </a:lnTo>
                <a:close/>
              </a:path>
              <a:path w="7486015" h="4136390">
                <a:moveTo>
                  <a:pt x="3674364" y="3931920"/>
                </a:moveTo>
                <a:lnTo>
                  <a:pt x="3040380" y="3931920"/>
                </a:lnTo>
                <a:lnTo>
                  <a:pt x="3040380" y="4136136"/>
                </a:lnTo>
                <a:lnTo>
                  <a:pt x="3674364" y="4136136"/>
                </a:lnTo>
                <a:lnTo>
                  <a:pt x="3674364" y="3931920"/>
                </a:lnTo>
                <a:close/>
              </a:path>
              <a:path w="7486015" h="4136390">
                <a:moveTo>
                  <a:pt x="3674364" y="3724656"/>
                </a:moveTo>
                <a:lnTo>
                  <a:pt x="3040380" y="3724656"/>
                </a:lnTo>
                <a:lnTo>
                  <a:pt x="3040380" y="3928872"/>
                </a:lnTo>
                <a:lnTo>
                  <a:pt x="3674364" y="3928872"/>
                </a:lnTo>
                <a:lnTo>
                  <a:pt x="3674364" y="3724656"/>
                </a:lnTo>
                <a:close/>
              </a:path>
              <a:path w="7486015" h="4136390">
                <a:moveTo>
                  <a:pt x="3674364" y="3517392"/>
                </a:moveTo>
                <a:lnTo>
                  <a:pt x="3040380" y="3517392"/>
                </a:lnTo>
                <a:lnTo>
                  <a:pt x="3040380" y="3721608"/>
                </a:lnTo>
                <a:lnTo>
                  <a:pt x="3674364" y="3721608"/>
                </a:lnTo>
                <a:lnTo>
                  <a:pt x="3674364" y="3517392"/>
                </a:lnTo>
                <a:close/>
              </a:path>
              <a:path w="7486015" h="4136390">
                <a:moveTo>
                  <a:pt x="3674364" y="3311652"/>
                </a:moveTo>
                <a:lnTo>
                  <a:pt x="3040380" y="3311652"/>
                </a:lnTo>
                <a:lnTo>
                  <a:pt x="3040380" y="3514344"/>
                </a:lnTo>
                <a:lnTo>
                  <a:pt x="3674364" y="3514344"/>
                </a:lnTo>
                <a:lnTo>
                  <a:pt x="3674364" y="3311652"/>
                </a:lnTo>
                <a:close/>
              </a:path>
              <a:path w="7486015" h="4136390">
                <a:moveTo>
                  <a:pt x="3674364" y="3104388"/>
                </a:moveTo>
                <a:lnTo>
                  <a:pt x="3040380" y="3104388"/>
                </a:lnTo>
                <a:lnTo>
                  <a:pt x="3040380" y="3308604"/>
                </a:lnTo>
                <a:lnTo>
                  <a:pt x="3674364" y="3308604"/>
                </a:lnTo>
                <a:lnTo>
                  <a:pt x="3674364" y="3104388"/>
                </a:lnTo>
                <a:close/>
              </a:path>
              <a:path w="7486015" h="4136390">
                <a:moveTo>
                  <a:pt x="3674364" y="2897124"/>
                </a:moveTo>
                <a:lnTo>
                  <a:pt x="3040380" y="2897124"/>
                </a:lnTo>
                <a:lnTo>
                  <a:pt x="3040380" y="3101340"/>
                </a:lnTo>
                <a:lnTo>
                  <a:pt x="3674364" y="3101340"/>
                </a:lnTo>
                <a:lnTo>
                  <a:pt x="3674364" y="2897124"/>
                </a:lnTo>
                <a:close/>
              </a:path>
              <a:path w="7486015" h="4136390">
                <a:moveTo>
                  <a:pt x="3674364" y="2689860"/>
                </a:moveTo>
                <a:lnTo>
                  <a:pt x="3040380" y="2689860"/>
                </a:lnTo>
                <a:lnTo>
                  <a:pt x="3040380" y="2894076"/>
                </a:lnTo>
                <a:lnTo>
                  <a:pt x="3674364" y="2894076"/>
                </a:lnTo>
                <a:lnTo>
                  <a:pt x="3674364" y="2689860"/>
                </a:lnTo>
                <a:close/>
              </a:path>
              <a:path w="7486015" h="4136390">
                <a:moveTo>
                  <a:pt x="3674364" y="2482596"/>
                </a:moveTo>
                <a:lnTo>
                  <a:pt x="3040380" y="2482596"/>
                </a:lnTo>
                <a:lnTo>
                  <a:pt x="3040380" y="2686812"/>
                </a:lnTo>
                <a:lnTo>
                  <a:pt x="3674364" y="2686812"/>
                </a:lnTo>
                <a:lnTo>
                  <a:pt x="3674364" y="2482596"/>
                </a:lnTo>
                <a:close/>
              </a:path>
              <a:path w="7486015" h="4136390">
                <a:moveTo>
                  <a:pt x="3674364" y="2276856"/>
                </a:moveTo>
                <a:lnTo>
                  <a:pt x="3040380" y="2276856"/>
                </a:lnTo>
                <a:lnTo>
                  <a:pt x="3040380" y="2479548"/>
                </a:lnTo>
                <a:lnTo>
                  <a:pt x="3674364" y="2479548"/>
                </a:lnTo>
                <a:lnTo>
                  <a:pt x="3674364" y="2276856"/>
                </a:lnTo>
                <a:close/>
              </a:path>
              <a:path w="7486015" h="4136390">
                <a:moveTo>
                  <a:pt x="3674364" y="2069592"/>
                </a:moveTo>
                <a:lnTo>
                  <a:pt x="3040380" y="2069592"/>
                </a:lnTo>
                <a:lnTo>
                  <a:pt x="3040380" y="2273808"/>
                </a:lnTo>
                <a:lnTo>
                  <a:pt x="3674364" y="2273808"/>
                </a:lnTo>
                <a:lnTo>
                  <a:pt x="3674364" y="2069592"/>
                </a:lnTo>
                <a:close/>
              </a:path>
              <a:path w="7486015" h="4136390">
                <a:moveTo>
                  <a:pt x="4437888" y="3931920"/>
                </a:moveTo>
                <a:lnTo>
                  <a:pt x="3677412" y="3931920"/>
                </a:lnTo>
                <a:lnTo>
                  <a:pt x="3677412" y="4136136"/>
                </a:lnTo>
                <a:lnTo>
                  <a:pt x="4437888" y="4136136"/>
                </a:lnTo>
                <a:lnTo>
                  <a:pt x="4437888" y="3931920"/>
                </a:lnTo>
                <a:close/>
              </a:path>
              <a:path w="7486015" h="4136390">
                <a:moveTo>
                  <a:pt x="4437888" y="3724656"/>
                </a:moveTo>
                <a:lnTo>
                  <a:pt x="3677412" y="3724656"/>
                </a:lnTo>
                <a:lnTo>
                  <a:pt x="3677412" y="3928872"/>
                </a:lnTo>
                <a:lnTo>
                  <a:pt x="4437888" y="3928872"/>
                </a:lnTo>
                <a:lnTo>
                  <a:pt x="4437888" y="3724656"/>
                </a:lnTo>
                <a:close/>
              </a:path>
              <a:path w="7486015" h="4136390">
                <a:moveTo>
                  <a:pt x="4437888" y="3517392"/>
                </a:moveTo>
                <a:lnTo>
                  <a:pt x="3677412" y="3517392"/>
                </a:lnTo>
                <a:lnTo>
                  <a:pt x="3677412" y="3721608"/>
                </a:lnTo>
                <a:lnTo>
                  <a:pt x="4437888" y="3721608"/>
                </a:lnTo>
                <a:lnTo>
                  <a:pt x="4437888" y="3517392"/>
                </a:lnTo>
                <a:close/>
              </a:path>
              <a:path w="7486015" h="4136390">
                <a:moveTo>
                  <a:pt x="4437888" y="3311652"/>
                </a:moveTo>
                <a:lnTo>
                  <a:pt x="3677412" y="3311652"/>
                </a:lnTo>
                <a:lnTo>
                  <a:pt x="3677412" y="3514344"/>
                </a:lnTo>
                <a:lnTo>
                  <a:pt x="4437888" y="3514344"/>
                </a:lnTo>
                <a:lnTo>
                  <a:pt x="4437888" y="3311652"/>
                </a:lnTo>
                <a:close/>
              </a:path>
              <a:path w="7486015" h="4136390">
                <a:moveTo>
                  <a:pt x="4437888" y="3104388"/>
                </a:moveTo>
                <a:lnTo>
                  <a:pt x="3677412" y="3104388"/>
                </a:lnTo>
                <a:lnTo>
                  <a:pt x="3677412" y="3308604"/>
                </a:lnTo>
                <a:lnTo>
                  <a:pt x="4437888" y="3308604"/>
                </a:lnTo>
                <a:lnTo>
                  <a:pt x="4437888" y="3104388"/>
                </a:lnTo>
                <a:close/>
              </a:path>
              <a:path w="7486015" h="4136390">
                <a:moveTo>
                  <a:pt x="4437888" y="2897124"/>
                </a:moveTo>
                <a:lnTo>
                  <a:pt x="3677412" y="2897124"/>
                </a:lnTo>
                <a:lnTo>
                  <a:pt x="3677412" y="3101340"/>
                </a:lnTo>
                <a:lnTo>
                  <a:pt x="4437888" y="3101340"/>
                </a:lnTo>
                <a:lnTo>
                  <a:pt x="4437888" y="2897124"/>
                </a:lnTo>
                <a:close/>
              </a:path>
              <a:path w="7486015" h="4136390">
                <a:moveTo>
                  <a:pt x="4437888" y="2689860"/>
                </a:moveTo>
                <a:lnTo>
                  <a:pt x="3677412" y="2689860"/>
                </a:lnTo>
                <a:lnTo>
                  <a:pt x="3677412" y="2894076"/>
                </a:lnTo>
                <a:lnTo>
                  <a:pt x="4437888" y="2894076"/>
                </a:lnTo>
                <a:lnTo>
                  <a:pt x="4437888" y="2689860"/>
                </a:lnTo>
                <a:close/>
              </a:path>
              <a:path w="7486015" h="4136390">
                <a:moveTo>
                  <a:pt x="4437888" y="2482596"/>
                </a:moveTo>
                <a:lnTo>
                  <a:pt x="3677412" y="2482596"/>
                </a:lnTo>
                <a:lnTo>
                  <a:pt x="3677412" y="2686812"/>
                </a:lnTo>
                <a:lnTo>
                  <a:pt x="4437888" y="2686812"/>
                </a:lnTo>
                <a:lnTo>
                  <a:pt x="4437888" y="2482596"/>
                </a:lnTo>
                <a:close/>
              </a:path>
              <a:path w="7486015" h="4136390">
                <a:moveTo>
                  <a:pt x="4437888" y="2276856"/>
                </a:moveTo>
                <a:lnTo>
                  <a:pt x="3677412" y="2276856"/>
                </a:lnTo>
                <a:lnTo>
                  <a:pt x="3677412" y="2479548"/>
                </a:lnTo>
                <a:lnTo>
                  <a:pt x="4437888" y="2479548"/>
                </a:lnTo>
                <a:lnTo>
                  <a:pt x="4437888" y="2276856"/>
                </a:lnTo>
                <a:close/>
              </a:path>
              <a:path w="7486015" h="4136390">
                <a:moveTo>
                  <a:pt x="4437888" y="2069592"/>
                </a:moveTo>
                <a:lnTo>
                  <a:pt x="3677412" y="2069592"/>
                </a:lnTo>
                <a:lnTo>
                  <a:pt x="3677412" y="2273808"/>
                </a:lnTo>
                <a:lnTo>
                  <a:pt x="4437888" y="2273808"/>
                </a:lnTo>
                <a:lnTo>
                  <a:pt x="4437888" y="2069592"/>
                </a:lnTo>
                <a:close/>
              </a:path>
              <a:path w="7486015" h="4136390">
                <a:moveTo>
                  <a:pt x="5199888" y="3724656"/>
                </a:moveTo>
                <a:lnTo>
                  <a:pt x="4440936" y="3724656"/>
                </a:lnTo>
                <a:lnTo>
                  <a:pt x="4440936" y="3928872"/>
                </a:lnTo>
                <a:lnTo>
                  <a:pt x="5199888" y="3928872"/>
                </a:lnTo>
                <a:lnTo>
                  <a:pt x="5199888" y="3724656"/>
                </a:lnTo>
                <a:close/>
              </a:path>
              <a:path w="7486015" h="4136390">
                <a:moveTo>
                  <a:pt x="5199888" y="3517392"/>
                </a:moveTo>
                <a:lnTo>
                  <a:pt x="4440936" y="3517392"/>
                </a:lnTo>
                <a:lnTo>
                  <a:pt x="4440936" y="3721608"/>
                </a:lnTo>
                <a:lnTo>
                  <a:pt x="5199888" y="3721608"/>
                </a:lnTo>
                <a:lnTo>
                  <a:pt x="5199888" y="3517392"/>
                </a:lnTo>
                <a:close/>
              </a:path>
              <a:path w="7486015" h="4136390">
                <a:moveTo>
                  <a:pt x="5199888" y="3311652"/>
                </a:moveTo>
                <a:lnTo>
                  <a:pt x="4440936" y="3311652"/>
                </a:lnTo>
                <a:lnTo>
                  <a:pt x="4440936" y="3514344"/>
                </a:lnTo>
                <a:lnTo>
                  <a:pt x="5199888" y="3514344"/>
                </a:lnTo>
                <a:lnTo>
                  <a:pt x="5199888" y="3311652"/>
                </a:lnTo>
                <a:close/>
              </a:path>
              <a:path w="7486015" h="4136390">
                <a:moveTo>
                  <a:pt x="5199888" y="3104388"/>
                </a:moveTo>
                <a:lnTo>
                  <a:pt x="4440936" y="3104388"/>
                </a:lnTo>
                <a:lnTo>
                  <a:pt x="4440936" y="3308604"/>
                </a:lnTo>
                <a:lnTo>
                  <a:pt x="5199888" y="3308604"/>
                </a:lnTo>
                <a:lnTo>
                  <a:pt x="5199888" y="3104388"/>
                </a:lnTo>
                <a:close/>
              </a:path>
              <a:path w="7486015" h="4136390">
                <a:moveTo>
                  <a:pt x="5199888" y="2897124"/>
                </a:moveTo>
                <a:lnTo>
                  <a:pt x="4440936" y="2897124"/>
                </a:lnTo>
                <a:lnTo>
                  <a:pt x="4440936" y="3101340"/>
                </a:lnTo>
                <a:lnTo>
                  <a:pt x="5199888" y="3101340"/>
                </a:lnTo>
                <a:lnTo>
                  <a:pt x="5199888" y="2897124"/>
                </a:lnTo>
                <a:close/>
              </a:path>
              <a:path w="7486015" h="4136390">
                <a:moveTo>
                  <a:pt x="5199888" y="2689860"/>
                </a:moveTo>
                <a:lnTo>
                  <a:pt x="4440936" y="2689860"/>
                </a:lnTo>
                <a:lnTo>
                  <a:pt x="4440936" y="2894076"/>
                </a:lnTo>
                <a:lnTo>
                  <a:pt x="5199888" y="2894076"/>
                </a:lnTo>
                <a:lnTo>
                  <a:pt x="5199888" y="2689860"/>
                </a:lnTo>
                <a:close/>
              </a:path>
              <a:path w="7486015" h="4136390">
                <a:moveTo>
                  <a:pt x="5199888" y="2482596"/>
                </a:moveTo>
                <a:lnTo>
                  <a:pt x="4440936" y="2482596"/>
                </a:lnTo>
                <a:lnTo>
                  <a:pt x="4440936" y="2686812"/>
                </a:lnTo>
                <a:lnTo>
                  <a:pt x="5199888" y="2686812"/>
                </a:lnTo>
                <a:lnTo>
                  <a:pt x="5199888" y="2482596"/>
                </a:lnTo>
                <a:close/>
              </a:path>
              <a:path w="7486015" h="4136390">
                <a:moveTo>
                  <a:pt x="5199888" y="2276856"/>
                </a:moveTo>
                <a:lnTo>
                  <a:pt x="4440936" y="2276856"/>
                </a:lnTo>
                <a:lnTo>
                  <a:pt x="4440936" y="2479548"/>
                </a:lnTo>
                <a:lnTo>
                  <a:pt x="5199888" y="2479548"/>
                </a:lnTo>
                <a:lnTo>
                  <a:pt x="5199888" y="2276856"/>
                </a:lnTo>
                <a:close/>
              </a:path>
              <a:path w="7486015" h="4136390">
                <a:moveTo>
                  <a:pt x="5199888" y="2069592"/>
                </a:moveTo>
                <a:lnTo>
                  <a:pt x="4440936" y="2069592"/>
                </a:lnTo>
                <a:lnTo>
                  <a:pt x="4440936" y="2273808"/>
                </a:lnTo>
                <a:lnTo>
                  <a:pt x="5199888" y="2273808"/>
                </a:lnTo>
                <a:lnTo>
                  <a:pt x="5199888" y="2069592"/>
                </a:lnTo>
                <a:close/>
              </a:path>
              <a:path w="7486015" h="4136390">
                <a:moveTo>
                  <a:pt x="5961875" y="3724656"/>
                </a:moveTo>
                <a:lnTo>
                  <a:pt x="5202936" y="3724656"/>
                </a:lnTo>
                <a:lnTo>
                  <a:pt x="5202936" y="3928872"/>
                </a:lnTo>
                <a:lnTo>
                  <a:pt x="5961875" y="3928872"/>
                </a:lnTo>
                <a:lnTo>
                  <a:pt x="5961875" y="3724656"/>
                </a:lnTo>
                <a:close/>
              </a:path>
              <a:path w="7486015" h="4136390">
                <a:moveTo>
                  <a:pt x="5961875" y="3517392"/>
                </a:moveTo>
                <a:lnTo>
                  <a:pt x="5202936" y="3517392"/>
                </a:lnTo>
                <a:lnTo>
                  <a:pt x="5202936" y="3721608"/>
                </a:lnTo>
                <a:lnTo>
                  <a:pt x="5961875" y="3721608"/>
                </a:lnTo>
                <a:lnTo>
                  <a:pt x="5961875" y="3517392"/>
                </a:lnTo>
                <a:close/>
              </a:path>
              <a:path w="7486015" h="4136390">
                <a:moveTo>
                  <a:pt x="5961875" y="3311652"/>
                </a:moveTo>
                <a:lnTo>
                  <a:pt x="5202936" y="3311652"/>
                </a:lnTo>
                <a:lnTo>
                  <a:pt x="5202936" y="3514344"/>
                </a:lnTo>
                <a:lnTo>
                  <a:pt x="5961875" y="3514344"/>
                </a:lnTo>
                <a:lnTo>
                  <a:pt x="5961875" y="3311652"/>
                </a:lnTo>
                <a:close/>
              </a:path>
              <a:path w="7486015" h="4136390">
                <a:moveTo>
                  <a:pt x="5961875" y="3104388"/>
                </a:moveTo>
                <a:lnTo>
                  <a:pt x="5202936" y="3104388"/>
                </a:lnTo>
                <a:lnTo>
                  <a:pt x="5202936" y="3308604"/>
                </a:lnTo>
                <a:lnTo>
                  <a:pt x="5961875" y="3308604"/>
                </a:lnTo>
                <a:lnTo>
                  <a:pt x="5961875" y="3104388"/>
                </a:lnTo>
                <a:close/>
              </a:path>
              <a:path w="7486015" h="4136390">
                <a:moveTo>
                  <a:pt x="5961875" y="2897124"/>
                </a:moveTo>
                <a:lnTo>
                  <a:pt x="5202936" y="2897124"/>
                </a:lnTo>
                <a:lnTo>
                  <a:pt x="5202936" y="3101340"/>
                </a:lnTo>
                <a:lnTo>
                  <a:pt x="5961875" y="3101340"/>
                </a:lnTo>
                <a:lnTo>
                  <a:pt x="5961875" y="2897124"/>
                </a:lnTo>
                <a:close/>
              </a:path>
              <a:path w="7486015" h="4136390">
                <a:moveTo>
                  <a:pt x="5961875" y="2689860"/>
                </a:moveTo>
                <a:lnTo>
                  <a:pt x="5202936" y="2689860"/>
                </a:lnTo>
                <a:lnTo>
                  <a:pt x="5202936" y="2894076"/>
                </a:lnTo>
                <a:lnTo>
                  <a:pt x="5961875" y="2894076"/>
                </a:lnTo>
                <a:lnTo>
                  <a:pt x="5961875" y="2689860"/>
                </a:lnTo>
                <a:close/>
              </a:path>
              <a:path w="7486015" h="4136390">
                <a:moveTo>
                  <a:pt x="5961875" y="2482596"/>
                </a:moveTo>
                <a:lnTo>
                  <a:pt x="5202936" y="2482596"/>
                </a:lnTo>
                <a:lnTo>
                  <a:pt x="5202936" y="2686812"/>
                </a:lnTo>
                <a:lnTo>
                  <a:pt x="5961875" y="2686812"/>
                </a:lnTo>
                <a:lnTo>
                  <a:pt x="5961875" y="2482596"/>
                </a:lnTo>
                <a:close/>
              </a:path>
              <a:path w="7486015" h="4136390">
                <a:moveTo>
                  <a:pt x="5961875" y="2276856"/>
                </a:moveTo>
                <a:lnTo>
                  <a:pt x="5202936" y="2276856"/>
                </a:lnTo>
                <a:lnTo>
                  <a:pt x="5202936" y="2479548"/>
                </a:lnTo>
                <a:lnTo>
                  <a:pt x="5961875" y="2479548"/>
                </a:lnTo>
                <a:lnTo>
                  <a:pt x="5961875" y="2276856"/>
                </a:lnTo>
                <a:close/>
              </a:path>
              <a:path w="7486015" h="4136390">
                <a:moveTo>
                  <a:pt x="5961875" y="2069592"/>
                </a:moveTo>
                <a:lnTo>
                  <a:pt x="5202936" y="2069592"/>
                </a:lnTo>
                <a:lnTo>
                  <a:pt x="5202936" y="2273808"/>
                </a:lnTo>
                <a:lnTo>
                  <a:pt x="5961875" y="2273808"/>
                </a:lnTo>
                <a:lnTo>
                  <a:pt x="5961875" y="2069592"/>
                </a:lnTo>
                <a:close/>
              </a:path>
              <a:path w="7486015" h="4136390">
                <a:moveTo>
                  <a:pt x="6723888" y="3724656"/>
                </a:moveTo>
                <a:lnTo>
                  <a:pt x="5964936" y="3724656"/>
                </a:lnTo>
                <a:lnTo>
                  <a:pt x="5964936" y="3928872"/>
                </a:lnTo>
                <a:lnTo>
                  <a:pt x="6723888" y="3928872"/>
                </a:lnTo>
                <a:lnTo>
                  <a:pt x="6723888" y="3724656"/>
                </a:lnTo>
                <a:close/>
              </a:path>
              <a:path w="7486015" h="4136390">
                <a:moveTo>
                  <a:pt x="6723888" y="3517392"/>
                </a:moveTo>
                <a:lnTo>
                  <a:pt x="5964936" y="3517392"/>
                </a:lnTo>
                <a:lnTo>
                  <a:pt x="5964936" y="3721608"/>
                </a:lnTo>
                <a:lnTo>
                  <a:pt x="6723888" y="3721608"/>
                </a:lnTo>
                <a:lnTo>
                  <a:pt x="6723888" y="3517392"/>
                </a:lnTo>
                <a:close/>
              </a:path>
              <a:path w="7486015" h="4136390">
                <a:moveTo>
                  <a:pt x="6723888" y="3311652"/>
                </a:moveTo>
                <a:lnTo>
                  <a:pt x="5964936" y="3311652"/>
                </a:lnTo>
                <a:lnTo>
                  <a:pt x="5964936" y="3514344"/>
                </a:lnTo>
                <a:lnTo>
                  <a:pt x="6723888" y="3514344"/>
                </a:lnTo>
                <a:lnTo>
                  <a:pt x="6723888" y="3311652"/>
                </a:lnTo>
                <a:close/>
              </a:path>
              <a:path w="7486015" h="4136390">
                <a:moveTo>
                  <a:pt x="6723888" y="3104388"/>
                </a:moveTo>
                <a:lnTo>
                  <a:pt x="5964936" y="3104388"/>
                </a:lnTo>
                <a:lnTo>
                  <a:pt x="5964936" y="3308604"/>
                </a:lnTo>
                <a:lnTo>
                  <a:pt x="6723888" y="3308604"/>
                </a:lnTo>
                <a:lnTo>
                  <a:pt x="6723888" y="3104388"/>
                </a:lnTo>
                <a:close/>
              </a:path>
              <a:path w="7486015" h="4136390">
                <a:moveTo>
                  <a:pt x="6723888" y="2897124"/>
                </a:moveTo>
                <a:lnTo>
                  <a:pt x="5964936" y="2897124"/>
                </a:lnTo>
                <a:lnTo>
                  <a:pt x="5964936" y="3101340"/>
                </a:lnTo>
                <a:lnTo>
                  <a:pt x="6723888" y="3101340"/>
                </a:lnTo>
                <a:lnTo>
                  <a:pt x="6723888" y="2897124"/>
                </a:lnTo>
                <a:close/>
              </a:path>
              <a:path w="7486015" h="4136390">
                <a:moveTo>
                  <a:pt x="6723888" y="2689860"/>
                </a:moveTo>
                <a:lnTo>
                  <a:pt x="5964936" y="2689860"/>
                </a:lnTo>
                <a:lnTo>
                  <a:pt x="5964936" y="2894076"/>
                </a:lnTo>
                <a:lnTo>
                  <a:pt x="6723888" y="2894076"/>
                </a:lnTo>
                <a:lnTo>
                  <a:pt x="6723888" y="2689860"/>
                </a:lnTo>
                <a:close/>
              </a:path>
              <a:path w="7486015" h="4136390">
                <a:moveTo>
                  <a:pt x="6723888" y="2482596"/>
                </a:moveTo>
                <a:lnTo>
                  <a:pt x="5964936" y="2482596"/>
                </a:lnTo>
                <a:lnTo>
                  <a:pt x="5964936" y="2686812"/>
                </a:lnTo>
                <a:lnTo>
                  <a:pt x="6723888" y="2686812"/>
                </a:lnTo>
                <a:lnTo>
                  <a:pt x="6723888" y="2482596"/>
                </a:lnTo>
                <a:close/>
              </a:path>
              <a:path w="7486015" h="4136390">
                <a:moveTo>
                  <a:pt x="6723888" y="2276856"/>
                </a:moveTo>
                <a:lnTo>
                  <a:pt x="5964936" y="2276856"/>
                </a:lnTo>
                <a:lnTo>
                  <a:pt x="5964936" y="2479548"/>
                </a:lnTo>
                <a:lnTo>
                  <a:pt x="6723888" y="2479548"/>
                </a:lnTo>
                <a:lnTo>
                  <a:pt x="6723888" y="2276856"/>
                </a:lnTo>
                <a:close/>
              </a:path>
              <a:path w="7486015" h="4136390">
                <a:moveTo>
                  <a:pt x="6723888" y="2069592"/>
                </a:moveTo>
                <a:lnTo>
                  <a:pt x="5964936" y="2069592"/>
                </a:lnTo>
                <a:lnTo>
                  <a:pt x="5964936" y="2273808"/>
                </a:lnTo>
                <a:lnTo>
                  <a:pt x="6723888" y="2273808"/>
                </a:lnTo>
                <a:lnTo>
                  <a:pt x="6723888" y="2069592"/>
                </a:lnTo>
                <a:close/>
              </a:path>
              <a:path w="7486015" h="4136390">
                <a:moveTo>
                  <a:pt x="7485888" y="3724656"/>
                </a:moveTo>
                <a:lnTo>
                  <a:pt x="6726936" y="3724656"/>
                </a:lnTo>
                <a:lnTo>
                  <a:pt x="6726936" y="3928872"/>
                </a:lnTo>
                <a:lnTo>
                  <a:pt x="7485888" y="3928872"/>
                </a:lnTo>
                <a:lnTo>
                  <a:pt x="7485888" y="3724656"/>
                </a:lnTo>
                <a:close/>
              </a:path>
              <a:path w="7486015" h="4136390">
                <a:moveTo>
                  <a:pt x="7485888" y="3517392"/>
                </a:moveTo>
                <a:lnTo>
                  <a:pt x="6726936" y="3517392"/>
                </a:lnTo>
                <a:lnTo>
                  <a:pt x="6726936" y="3721608"/>
                </a:lnTo>
                <a:lnTo>
                  <a:pt x="7485888" y="3721608"/>
                </a:lnTo>
                <a:lnTo>
                  <a:pt x="7485888" y="3517392"/>
                </a:lnTo>
                <a:close/>
              </a:path>
              <a:path w="7486015" h="4136390">
                <a:moveTo>
                  <a:pt x="7485888" y="3311652"/>
                </a:moveTo>
                <a:lnTo>
                  <a:pt x="6726936" y="3311652"/>
                </a:lnTo>
                <a:lnTo>
                  <a:pt x="6726936" y="3514344"/>
                </a:lnTo>
                <a:lnTo>
                  <a:pt x="7485888" y="3514344"/>
                </a:lnTo>
                <a:lnTo>
                  <a:pt x="7485888" y="3311652"/>
                </a:lnTo>
                <a:close/>
              </a:path>
              <a:path w="7486015" h="4136390">
                <a:moveTo>
                  <a:pt x="7485888" y="3104388"/>
                </a:moveTo>
                <a:lnTo>
                  <a:pt x="6726936" y="3104388"/>
                </a:lnTo>
                <a:lnTo>
                  <a:pt x="6726936" y="3308604"/>
                </a:lnTo>
                <a:lnTo>
                  <a:pt x="7485888" y="3308604"/>
                </a:lnTo>
                <a:lnTo>
                  <a:pt x="7485888" y="3104388"/>
                </a:lnTo>
                <a:close/>
              </a:path>
              <a:path w="7486015" h="4136390">
                <a:moveTo>
                  <a:pt x="7485888" y="2897124"/>
                </a:moveTo>
                <a:lnTo>
                  <a:pt x="6726936" y="2897124"/>
                </a:lnTo>
                <a:lnTo>
                  <a:pt x="6726936" y="3101340"/>
                </a:lnTo>
                <a:lnTo>
                  <a:pt x="7485888" y="3101340"/>
                </a:lnTo>
                <a:lnTo>
                  <a:pt x="7485888" y="2897124"/>
                </a:lnTo>
                <a:close/>
              </a:path>
              <a:path w="7486015" h="4136390">
                <a:moveTo>
                  <a:pt x="7485888" y="2689860"/>
                </a:moveTo>
                <a:lnTo>
                  <a:pt x="6726936" y="2689860"/>
                </a:lnTo>
                <a:lnTo>
                  <a:pt x="6726936" y="2894076"/>
                </a:lnTo>
                <a:lnTo>
                  <a:pt x="7485888" y="2894076"/>
                </a:lnTo>
                <a:lnTo>
                  <a:pt x="7485888" y="2689860"/>
                </a:lnTo>
                <a:close/>
              </a:path>
              <a:path w="7486015" h="4136390">
                <a:moveTo>
                  <a:pt x="7485888" y="2482596"/>
                </a:moveTo>
                <a:lnTo>
                  <a:pt x="6726936" y="2482596"/>
                </a:lnTo>
                <a:lnTo>
                  <a:pt x="6726936" y="2686812"/>
                </a:lnTo>
                <a:lnTo>
                  <a:pt x="7485888" y="2686812"/>
                </a:lnTo>
                <a:lnTo>
                  <a:pt x="7485888" y="2482596"/>
                </a:lnTo>
                <a:close/>
              </a:path>
              <a:path w="7486015" h="4136390">
                <a:moveTo>
                  <a:pt x="7485888" y="2276856"/>
                </a:moveTo>
                <a:lnTo>
                  <a:pt x="6726936" y="2276856"/>
                </a:lnTo>
                <a:lnTo>
                  <a:pt x="6726936" y="2479548"/>
                </a:lnTo>
                <a:lnTo>
                  <a:pt x="7485888" y="2479548"/>
                </a:lnTo>
                <a:lnTo>
                  <a:pt x="7485888" y="2276856"/>
                </a:lnTo>
                <a:close/>
              </a:path>
              <a:path w="7486015" h="4136390">
                <a:moveTo>
                  <a:pt x="7485888" y="2069592"/>
                </a:moveTo>
                <a:lnTo>
                  <a:pt x="6726936" y="2069592"/>
                </a:lnTo>
                <a:lnTo>
                  <a:pt x="6726936" y="2273808"/>
                </a:lnTo>
                <a:lnTo>
                  <a:pt x="7485888" y="2273808"/>
                </a:lnTo>
                <a:lnTo>
                  <a:pt x="7485888" y="2069592"/>
                </a:lnTo>
                <a:close/>
              </a:path>
              <a:path w="7486015" h="4136390">
                <a:moveTo>
                  <a:pt x="7485888" y="1862328"/>
                </a:moveTo>
                <a:lnTo>
                  <a:pt x="6726936" y="1862328"/>
                </a:lnTo>
                <a:lnTo>
                  <a:pt x="6726936" y="2066544"/>
                </a:lnTo>
                <a:lnTo>
                  <a:pt x="7485888" y="2066544"/>
                </a:lnTo>
                <a:lnTo>
                  <a:pt x="7485888" y="1862328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/>
        </xdr:nvSpPr>
        <xdr:spPr>
          <a:xfrm>
            <a:off x="3677412" y="3931920"/>
            <a:ext cx="3808729" cy="204470"/>
          </a:xfrm>
          <a:custGeom>
            <a:avLst/>
            <a:gdLst/>
            <a:ahLst/>
            <a:cxnLst/>
            <a:rect l="0" t="0" r="0" b="0"/>
            <a:pathLst>
              <a:path w="3808729" h="204470">
                <a:moveTo>
                  <a:pt x="760476" y="0"/>
                </a:moveTo>
                <a:lnTo>
                  <a:pt x="0" y="0"/>
                </a:lnTo>
                <a:lnTo>
                  <a:pt x="0" y="204216"/>
                </a:lnTo>
                <a:lnTo>
                  <a:pt x="760476" y="204216"/>
                </a:lnTo>
                <a:lnTo>
                  <a:pt x="760476" y="0"/>
                </a:lnTo>
                <a:close/>
              </a:path>
              <a:path w="3808729" h="204470">
                <a:moveTo>
                  <a:pt x="1522476" y="0"/>
                </a:moveTo>
                <a:lnTo>
                  <a:pt x="763524" y="0"/>
                </a:lnTo>
                <a:lnTo>
                  <a:pt x="763524" y="204216"/>
                </a:lnTo>
                <a:lnTo>
                  <a:pt x="1522476" y="204216"/>
                </a:lnTo>
                <a:lnTo>
                  <a:pt x="1522476" y="0"/>
                </a:lnTo>
                <a:close/>
              </a:path>
              <a:path w="3808729" h="204470">
                <a:moveTo>
                  <a:pt x="2284463" y="0"/>
                </a:moveTo>
                <a:lnTo>
                  <a:pt x="1525524" y="0"/>
                </a:lnTo>
                <a:lnTo>
                  <a:pt x="1525524" y="204216"/>
                </a:lnTo>
                <a:lnTo>
                  <a:pt x="2284463" y="204216"/>
                </a:lnTo>
                <a:lnTo>
                  <a:pt x="2284463" y="0"/>
                </a:lnTo>
                <a:close/>
              </a:path>
              <a:path w="3808729" h="204470">
                <a:moveTo>
                  <a:pt x="3046476" y="0"/>
                </a:moveTo>
                <a:lnTo>
                  <a:pt x="2287524" y="0"/>
                </a:lnTo>
                <a:lnTo>
                  <a:pt x="2287524" y="204216"/>
                </a:lnTo>
                <a:lnTo>
                  <a:pt x="3046476" y="204216"/>
                </a:lnTo>
                <a:lnTo>
                  <a:pt x="3046476" y="0"/>
                </a:lnTo>
                <a:close/>
              </a:path>
              <a:path w="3808729" h="204470">
                <a:moveTo>
                  <a:pt x="3808476" y="0"/>
                </a:moveTo>
                <a:lnTo>
                  <a:pt x="3049524" y="0"/>
                </a:lnTo>
                <a:lnTo>
                  <a:pt x="3049524" y="204216"/>
                </a:lnTo>
                <a:lnTo>
                  <a:pt x="3808476" y="204216"/>
                </a:lnTo>
                <a:lnTo>
                  <a:pt x="3808476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26</xdr:row>
      <xdr:rowOff>0</xdr:rowOff>
    </xdr:from>
    <xdr:ext cx="645160" cy="413639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0" y="0"/>
          <a:ext cx="645160" cy="4136390"/>
        </a:xfrm>
        <a:custGeom>
          <a:avLst/>
          <a:gdLst/>
          <a:ahLst/>
          <a:cxnLst/>
          <a:rect l="0" t="0" r="0" b="0"/>
          <a:pathLst>
            <a:path w="645160" h="4136390">
              <a:moveTo>
                <a:pt x="644652" y="3931920"/>
              </a:moveTo>
              <a:lnTo>
                <a:pt x="0" y="3931920"/>
              </a:lnTo>
              <a:lnTo>
                <a:pt x="0" y="4136136"/>
              </a:lnTo>
              <a:lnTo>
                <a:pt x="644652" y="4136136"/>
              </a:lnTo>
              <a:lnTo>
                <a:pt x="644652" y="3931920"/>
              </a:lnTo>
              <a:close/>
            </a:path>
            <a:path w="645160" h="4136390">
              <a:moveTo>
                <a:pt x="644652" y="3724656"/>
              </a:moveTo>
              <a:lnTo>
                <a:pt x="0" y="3724656"/>
              </a:lnTo>
              <a:lnTo>
                <a:pt x="0" y="3928872"/>
              </a:lnTo>
              <a:lnTo>
                <a:pt x="644652" y="3928872"/>
              </a:lnTo>
              <a:lnTo>
                <a:pt x="644652" y="3724656"/>
              </a:lnTo>
              <a:close/>
            </a:path>
            <a:path w="645160" h="4136390">
              <a:moveTo>
                <a:pt x="644652" y="3517392"/>
              </a:moveTo>
              <a:lnTo>
                <a:pt x="0" y="3517392"/>
              </a:lnTo>
              <a:lnTo>
                <a:pt x="0" y="3721608"/>
              </a:lnTo>
              <a:lnTo>
                <a:pt x="644652" y="3721608"/>
              </a:lnTo>
              <a:lnTo>
                <a:pt x="644652" y="3517392"/>
              </a:lnTo>
              <a:close/>
            </a:path>
            <a:path w="645160" h="4136390">
              <a:moveTo>
                <a:pt x="644652" y="3311652"/>
              </a:moveTo>
              <a:lnTo>
                <a:pt x="0" y="3311652"/>
              </a:lnTo>
              <a:lnTo>
                <a:pt x="0" y="3514344"/>
              </a:lnTo>
              <a:lnTo>
                <a:pt x="644652" y="3514344"/>
              </a:lnTo>
              <a:lnTo>
                <a:pt x="644652" y="3311652"/>
              </a:lnTo>
              <a:close/>
            </a:path>
            <a:path w="645160" h="4136390">
              <a:moveTo>
                <a:pt x="644652" y="3104388"/>
              </a:moveTo>
              <a:lnTo>
                <a:pt x="0" y="3104388"/>
              </a:lnTo>
              <a:lnTo>
                <a:pt x="0" y="3308604"/>
              </a:lnTo>
              <a:lnTo>
                <a:pt x="644652" y="3308604"/>
              </a:lnTo>
              <a:lnTo>
                <a:pt x="644652" y="3104388"/>
              </a:lnTo>
              <a:close/>
            </a:path>
            <a:path w="645160" h="4136390">
              <a:moveTo>
                <a:pt x="644652" y="2897124"/>
              </a:moveTo>
              <a:lnTo>
                <a:pt x="0" y="2897124"/>
              </a:lnTo>
              <a:lnTo>
                <a:pt x="0" y="3101340"/>
              </a:lnTo>
              <a:lnTo>
                <a:pt x="644652" y="3101340"/>
              </a:lnTo>
              <a:lnTo>
                <a:pt x="644652" y="2897124"/>
              </a:lnTo>
              <a:close/>
            </a:path>
            <a:path w="645160" h="4136390">
              <a:moveTo>
                <a:pt x="644652" y="2689860"/>
              </a:moveTo>
              <a:lnTo>
                <a:pt x="0" y="2689860"/>
              </a:lnTo>
              <a:lnTo>
                <a:pt x="0" y="2894076"/>
              </a:lnTo>
              <a:lnTo>
                <a:pt x="644652" y="2894076"/>
              </a:lnTo>
              <a:lnTo>
                <a:pt x="644652" y="2689860"/>
              </a:lnTo>
              <a:close/>
            </a:path>
            <a:path w="645160" h="4136390">
              <a:moveTo>
                <a:pt x="644652" y="2482596"/>
              </a:moveTo>
              <a:lnTo>
                <a:pt x="0" y="2482596"/>
              </a:lnTo>
              <a:lnTo>
                <a:pt x="0" y="2686812"/>
              </a:lnTo>
              <a:lnTo>
                <a:pt x="644652" y="2686812"/>
              </a:lnTo>
              <a:lnTo>
                <a:pt x="644652" y="2482596"/>
              </a:lnTo>
              <a:close/>
            </a:path>
            <a:path w="645160" h="4136390">
              <a:moveTo>
                <a:pt x="644652" y="2276856"/>
              </a:moveTo>
              <a:lnTo>
                <a:pt x="0" y="2276856"/>
              </a:lnTo>
              <a:lnTo>
                <a:pt x="0" y="2479548"/>
              </a:lnTo>
              <a:lnTo>
                <a:pt x="644652" y="2479548"/>
              </a:lnTo>
              <a:lnTo>
                <a:pt x="644652" y="2276856"/>
              </a:lnTo>
              <a:close/>
            </a:path>
            <a:path w="645160" h="4136390">
              <a:moveTo>
                <a:pt x="644652" y="2069592"/>
              </a:moveTo>
              <a:lnTo>
                <a:pt x="0" y="2069592"/>
              </a:lnTo>
              <a:lnTo>
                <a:pt x="0" y="2273808"/>
              </a:lnTo>
              <a:lnTo>
                <a:pt x="644652" y="2273808"/>
              </a:lnTo>
              <a:lnTo>
                <a:pt x="644652" y="2069592"/>
              </a:lnTo>
              <a:close/>
            </a:path>
            <a:path w="645160" h="4136390">
              <a:moveTo>
                <a:pt x="644652" y="1862328"/>
              </a:moveTo>
              <a:lnTo>
                <a:pt x="0" y="1862328"/>
              </a:lnTo>
              <a:lnTo>
                <a:pt x="0" y="2066544"/>
              </a:lnTo>
              <a:lnTo>
                <a:pt x="644652" y="2066544"/>
              </a:lnTo>
              <a:lnTo>
                <a:pt x="644652" y="1862328"/>
              </a:lnTo>
              <a:close/>
            </a:path>
            <a:path w="645160" h="4136390">
              <a:moveTo>
                <a:pt x="644652" y="1655064"/>
              </a:moveTo>
              <a:lnTo>
                <a:pt x="0" y="1655064"/>
              </a:lnTo>
              <a:lnTo>
                <a:pt x="0" y="1859280"/>
              </a:lnTo>
              <a:lnTo>
                <a:pt x="644652" y="1859280"/>
              </a:lnTo>
              <a:lnTo>
                <a:pt x="644652" y="1655064"/>
              </a:lnTo>
              <a:close/>
            </a:path>
            <a:path w="645160" h="4136390">
              <a:moveTo>
                <a:pt x="644652" y="1449324"/>
              </a:moveTo>
              <a:lnTo>
                <a:pt x="0" y="1449324"/>
              </a:lnTo>
              <a:lnTo>
                <a:pt x="0" y="1652016"/>
              </a:lnTo>
              <a:lnTo>
                <a:pt x="644652" y="1652016"/>
              </a:lnTo>
              <a:lnTo>
                <a:pt x="644652" y="1449324"/>
              </a:lnTo>
              <a:close/>
            </a:path>
            <a:path w="645160" h="4136390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4136390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4136390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4136390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4136390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4136390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4136390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20</xdr:row>
      <xdr:rowOff>206501</xdr:rowOff>
    </xdr:from>
    <xdr:ext cx="3808729" cy="480059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761</xdr:rowOff>
    </xdr:from>
    <xdr:ext cx="381000" cy="381000"/>
    <xdr:pic>
      <xdr:nvPicPr>
        <xdr:cNvPr id="26" name="image1.jpe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49142</xdr:rowOff>
    </xdr:from>
    <xdr:ext cx="381000" cy="290285"/>
    <xdr:pic>
      <xdr:nvPicPr>
        <xdr:cNvPr id="27" name="image2.jpe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49142</xdr:rowOff>
    </xdr:from>
    <xdr:ext cx="381000" cy="290285"/>
    <xdr:pic>
      <xdr:nvPicPr>
        <xdr:cNvPr id="28" name="image3.jpe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201929</xdr:colOff>
      <xdr:row>3</xdr:row>
      <xdr:rowOff>761</xdr:rowOff>
    </xdr:from>
    <xdr:ext cx="338666" cy="381000"/>
    <xdr:pic>
      <xdr:nvPicPr>
        <xdr:cNvPr id="29" name="image4.jpe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9</xdr:col>
      <xdr:colOff>298691</xdr:colOff>
      <xdr:row>3</xdr:row>
      <xdr:rowOff>49142</xdr:rowOff>
    </xdr:from>
    <xdr:ext cx="193523" cy="290285"/>
    <xdr:pic>
      <xdr:nvPicPr>
        <xdr:cNvPr id="30" name="image5.jpe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22</xdr:row>
      <xdr:rowOff>0</xdr:rowOff>
    </xdr:from>
    <xdr:ext cx="7486015" cy="3517900"/>
    <xdr:grpSp>
      <xdr:nvGrpSpPr>
        <xdr:cNvPr id="31" name="Group 3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GrpSpPr/>
      </xdr:nvGrpSpPr>
      <xdr:grpSpPr>
        <a:xfrm>
          <a:off x="607059" y="5615940"/>
          <a:ext cx="7486015" cy="3517900"/>
          <a:chOff x="0" y="0"/>
          <a:chExt cx="7486015" cy="3517900"/>
        </a:xfrm>
      </xdr:grpSpPr>
      <xdr:sp macro="" textlink="">
        <xdr:nvSpPr>
          <xdr:cNvPr id="32" name="Shape 32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/>
        </xdr:nvSpPr>
        <xdr:spPr>
          <a:xfrm>
            <a:off x="0" y="0"/>
            <a:ext cx="7486015" cy="2068195"/>
          </a:xfrm>
          <a:custGeom>
            <a:avLst/>
            <a:gdLst/>
            <a:ahLst/>
            <a:cxnLst/>
            <a:rect l="0" t="0" r="0" b="0"/>
            <a:pathLst>
              <a:path w="7486015" h="2068195">
                <a:moveTo>
                  <a:pt x="312420" y="1656588"/>
                </a:moveTo>
                <a:lnTo>
                  <a:pt x="0" y="1656588"/>
                </a:lnTo>
                <a:lnTo>
                  <a:pt x="0" y="2068068"/>
                </a:lnTo>
                <a:lnTo>
                  <a:pt x="312420" y="2068068"/>
                </a:lnTo>
                <a:lnTo>
                  <a:pt x="312420" y="1656588"/>
                </a:lnTo>
                <a:close/>
              </a:path>
              <a:path w="7486015" h="2068195">
                <a:moveTo>
                  <a:pt x="312420" y="1242060"/>
                </a:moveTo>
                <a:lnTo>
                  <a:pt x="0" y="1242060"/>
                </a:lnTo>
                <a:lnTo>
                  <a:pt x="0" y="1653540"/>
                </a:lnTo>
                <a:lnTo>
                  <a:pt x="312420" y="1653540"/>
                </a:lnTo>
                <a:lnTo>
                  <a:pt x="312420" y="1242060"/>
                </a:lnTo>
                <a:close/>
              </a:path>
              <a:path w="7486015" h="2068195">
                <a:moveTo>
                  <a:pt x="312420" y="0"/>
                </a:moveTo>
                <a:lnTo>
                  <a:pt x="0" y="0"/>
                </a:lnTo>
                <a:lnTo>
                  <a:pt x="0" y="1239012"/>
                </a:lnTo>
                <a:lnTo>
                  <a:pt x="312420" y="1239012"/>
                </a:lnTo>
                <a:lnTo>
                  <a:pt x="312420" y="0"/>
                </a:lnTo>
                <a:close/>
              </a:path>
              <a:path w="7486015" h="2068195">
                <a:moveTo>
                  <a:pt x="1264920" y="1656588"/>
                </a:moveTo>
                <a:lnTo>
                  <a:pt x="315468" y="1656588"/>
                </a:lnTo>
                <a:lnTo>
                  <a:pt x="315468" y="2068068"/>
                </a:lnTo>
                <a:lnTo>
                  <a:pt x="1264920" y="2068068"/>
                </a:lnTo>
                <a:lnTo>
                  <a:pt x="1264920" y="1656588"/>
                </a:lnTo>
                <a:close/>
              </a:path>
              <a:path w="7486015" h="2068195">
                <a:moveTo>
                  <a:pt x="1264920" y="1242060"/>
                </a:moveTo>
                <a:lnTo>
                  <a:pt x="315468" y="1242060"/>
                </a:lnTo>
                <a:lnTo>
                  <a:pt x="315468" y="1653540"/>
                </a:lnTo>
                <a:lnTo>
                  <a:pt x="1264920" y="1653540"/>
                </a:lnTo>
                <a:lnTo>
                  <a:pt x="1264920" y="1242060"/>
                </a:lnTo>
                <a:close/>
              </a:path>
              <a:path w="7486015" h="2068195">
                <a:moveTo>
                  <a:pt x="1264920" y="0"/>
                </a:moveTo>
                <a:lnTo>
                  <a:pt x="315468" y="0"/>
                </a:lnTo>
                <a:lnTo>
                  <a:pt x="315468" y="1239012"/>
                </a:lnTo>
                <a:lnTo>
                  <a:pt x="1264920" y="1239012"/>
                </a:lnTo>
                <a:lnTo>
                  <a:pt x="1264920" y="0"/>
                </a:lnTo>
                <a:close/>
              </a:path>
              <a:path w="7486015" h="2068195">
                <a:moveTo>
                  <a:pt x="2531364" y="1242060"/>
                </a:moveTo>
                <a:lnTo>
                  <a:pt x="1267968" y="1242060"/>
                </a:lnTo>
                <a:lnTo>
                  <a:pt x="1267968" y="1653540"/>
                </a:lnTo>
                <a:lnTo>
                  <a:pt x="2531364" y="1653540"/>
                </a:lnTo>
                <a:lnTo>
                  <a:pt x="2531364" y="1242060"/>
                </a:lnTo>
                <a:close/>
              </a:path>
              <a:path w="7486015" h="2068195">
                <a:moveTo>
                  <a:pt x="2531364" y="0"/>
                </a:moveTo>
                <a:lnTo>
                  <a:pt x="1267968" y="0"/>
                </a:lnTo>
                <a:lnTo>
                  <a:pt x="1267968" y="1239012"/>
                </a:lnTo>
                <a:lnTo>
                  <a:pt x="2531364" y="1239012"/>
                </a:lnTo>
                <a:lnTo>
                  <a:pt x="2531364" y="0"/>
                </a:lnTo>
                <a:close/>
              </a:path>
              <a:path w="7486015" h="2068195">
                <a:moveTo>
                  <a:pt x="3037332" y="1656588"/>
                </a:moveTo>
                <a:lnTo>
                  <a:pt x="2534412" y="1656588"/>
                </a:lnTo>
                <a:lnTo>
                  <a:pt x="2534412" y="1860804"/>
                </a:lnTo>
                <a:lnTo>
                  <a:pt x="3037332" y="1860804"/>
                </a:lnTo>
                <a:lnTo>
                  <a:pt x="3037332" y="1656588"/>
                </a:lnTo>
                <a:close/>
              </a:path>
              <a:path w="7486015" h="2068195">
                <a:moveTo>
                  <a:pt x="3037332" y="1449324"/>
                </a:moveTo>
                <a:lnTo>
                  <a:pt x="2534412" y="1449324"/>
                </a:lnTo>
                <a:lnTo>
                  <a:pt x="2534412" y="1653540"/>
                </a:lnTo>
                <a:lnTo>
                  <a:pt x="3037332" y="1653540"/>
                </a:lnTo>
                <a:lnTo>
                  <a:pt x="3037332" y="1449324"/>
                </a:lnTo>
                <a:close/>
              </a:path>
              <a:path w="7486015" h="206819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06819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06819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068195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06819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06819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068195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2068195">
                <a:moveTo>
                  <a:pt x="3674364" y="1656588"/>
                </a:moveTo>
                <a:lnTo>
                  <a:pt x="3040380" y="1656588"/>
                </a:lnTo>
                <a:lnTo>
                  <a:pt x="3040380" y="1860804"/>
                </a:lnTo>
                <a:lnTo>
                  <a:pt x="3674364" y="1860804"/>
                </a:lnTo>
                <a:lnTo>
                  <a:pt x="3674364" y="1656588"/>
                </a:lnTo>
                <a:close/>
              </a:path>
              <a:path w="7486015" h="2068195">
                <a:moveTo>
                  <a:pt x="3674364" y="1449324"/>
                </a:moveTo>
                <a:lnTo>
                  <a:pt x="3040380" y="1449324"/>
                </a:lnTo>
                <a:lnTo>
                  <a:pt x="3040380" y="1653540"/>
                </a:lnTo>
                <a:lnTo>
                  <a:pt x="3674364" y="1653540"/>
                </a:lnTo>
                <a:lnTo>
                  <a:pt x="3674364" y="1449324"/>
                </a:lnTo>
                <a:close/>
              </a:path>
              <a:path w="7486015" h="206819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06819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06819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068195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06819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06819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06819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2068195">
                <a:moveTo>
                  <a:pt x="4437888" y="1656588"/>
                </a:moveTo>
                <a:lnTo>
                  <a:pt x="3677412" y="1656588"/>
                </a:lnTo>
                <a:lnTo>
                  <a:pt x="3677412" y="1860804"/>
                </a:lnTo>
                <a:lnTo>
                  <a:pt x="4437888" y="1860804"/>
                </a:lnTo>
                <a:lnTo>
                  <a:pt x="4437888" y="1656588"/>
                </a:lnTo>
                <a:close/>
              </a:path>
              <a:path w="7486015" h="2068195">
                <a:moveTo>
                  <a:pt x="4437888" y="1449324"/>
                </a:moveTo>
                <a:lnTo>
                  <a:pt x="3677412" y="1449324"/>
                </a:lnTo>
                <a:lnTo>
                  <a:pt x="3677412" y="1653540"/>
                </a:lnTo>
                <a:lnTo>
                  <a:pt x="4437888" y="1653540"/>
                </a:lnTo>
                <a:lnTo>
                  <a:pt x="4437888" y="1449324"/>
                </a:lnTo>
                <a:close/>
              </a:path>
              <a:path w="7486015" h="206819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06819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06819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068195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06819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06819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06819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2068195">
                <a:moveTo>
                  <a:pt x="5199888" y="1656588"/>
                </a:moveTo>
                <a:lnTo>
                  <a:pt x="4440936" y="1656588"/>
                </a:lnTo>
                <a:lnTo>
                  <a:pt x="4440936" y="1860804"/>
                </a:lnTo>
                <a:lnTo>
                  <a:pt x="5199888" y="1860804"/>
                </a:lnTo>
                <a:lnTo>
                  <a:pt x="5199888" y="1656588"/>
                </a:lnTo>
                <a:close/>
              </a:path>
              <a:path w="7486015" h="2068195">
                <a:moveTo>
                  <a:pt x="5199888" y="1449324"/>
                </a:moveTo>
                <a:lnTo>
                  <a:pt x="4440936" y="1449324"/>
                </a:lnTo>
                <a:lnTo>
                  <a:pt x="4440936" y="1653540"/>
                </a:lnTo>
                <a:lnTo>
                  <a:pt x="5199888" y="1653540"/>
                </a:lnTo>
                <a:lnTo>
                  <a:pt x="5199888" y="1449324"/>
                </a:lnTo>
                <a:close/>
              </a:path>
              <a:path w="7486015" h="206819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06819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06819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068195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06819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06819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06819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2068195">
                <a:moveTo>
                  <a:pt x="5961875" y="1656588"/>
                </a:moveTo>
                <a:lnTo>
                  <a:pt x="5202936" y="1656588"/>
                </a:lnTo>
                <a:lnTo>
                  <a:pt x="5202936" y="1860804"/>
                </a:lnTo>
                <a:lnTo>
                  <a:pt x="5961875" y="1860804"/>
                </a:lnTo>
                <a:lnTo>
                  <a:pt x="5961875" y="1656588"/>
                </a:lnTo>
                <a:close/>
              </a:path>
              <a:path w="7486015" h="2068195">
                <a:moveTo>
                  <a:pt x="5961875" y="1449324"/>
                </a:moveTo>
                <a:lnTo>
                  <a:pt x="5202936" y="1449324"/>
                </a:lnTo>
                <a:lnTo>
                  <a:pt x="5202936" y="1653540"/>
                </a:lnTo>
                <a:lnTo>
                  <a:pt x="5961875" y="1653540"/>
                </a:lnTo>
                <a:lnTo>
                  <a:pt x="5961875" y="1449324"/>
                </a:lnTo>
                <a:close/>
              </a:path>
              <a:path w="7486015" h="206819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06819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06819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068195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06819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06819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06819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068195">
                <a:moveTo>
                  <a:pt x="6723888" y="1656588"/>
                </a:moveTo>
                <a:lnTo>
                  <a:pt x="5964936" y="1656588"/>
                </a:lnTo>
                <a:lnTo>
                  <a:pt x="5964936" y="1860804"/>
                </a:lnTo>
                <a:lnTo>
                  <a:pt x="6723888" y="1860804"/>
                </a:lnTo>
                <a:lnTo>
                  <a:pt x="6723888" y="1656588"/>
                </a:lnTo>
                <a:close/>
              </a:path>
              <a:path w="7486015" h="2068195">
                <a:moveTo>
                  <a:pt x="6723888" y="1449324"/>
                </a:moveTo>
                <a:lnTo>
                  <a:pt x="5964936" y="1449324"/>
                </a:lnTo>
                <a:lnTo>
                  <a:pt x="5964936" y="1653540"/>
                </a:lnTo>
                <a:lnTo>
                  <a:pt x="6723888" y="1653540"/>
                </a:lnTo>
                <a:lnTo>
                  <a:pt x="6723888" y="1449324"/>
                </a:lnTo>
                <a:close/>
              </a:path>
              <a:path w="7486015" h="206819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06819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06819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068195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06819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06819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06819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068195">
                <a:moveTo>
                  <a:pt x="7485888" y="1656588"/>
                </a:moveTo>
                <a:lnTo>
                  <a:pt x="6726936" y="1656588"/>
                </a:lnTo>
                <a:lnTo>
                  <a:pt x="6726936" y="1860804"/>
                </a:lnTo>
                <a:lnTo>
                  <a:pt x="7485888" y="1860804"/>
                </a:lnTo>
                <a:lnTo>
                  <a:pt x="7485888" y="1656588"/>
                </a:lnTo>
                <a:close/>
              </a:path>
              <a:path w="7486015" h="2068195">
                <a:moveTo>
                  <a:pt x="7485888" y="1449324"/>
                </a:moveTo>
                <a:lnTo>
                  <a:pt x="6726936" y="1449324"/>
                </a:lnTo>
                <a:lnTo>
                  <a:pt x="6726936" y="1653540"/>
                </a:lnTo>
                <a:lnTo>
                  <a:pt x="7485888" y="1653540"/>
                </a:lnTo>
                <a:lnTo>
                  <a:pt x="7485888" y="1449324"/>
                </a:lnTo>
                <a:close/>
              </a:path>
              <a:path w="7486015" h="206819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06819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06819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06819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06819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06819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06819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33" name="Shape 33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/>
        </xdr:nvSpPr>
        <xdr:spPr>
          <a:xfrm>
            <a:off x="315468" y="1656587"/>
            <a:ext cx="7170420" cy="1861185"/>
          </a:xfrm>
          <a:custGeom>
            <a:avLst/>
            <a:gdLst/>
            <a:ahLst/>
            <a:cxnLst/>
            <a:rect l="0" t="0" r="0" b="0"/>
            <a:pathLst>
              <a:path w="7170420" h="1861185">
                <a:moveTo>
                  <a:pt x="949452" y="0"/>
                </a:moveTo>
                <a:lnTo>
                  <a:pt x="0" y="0"/>
                </a:lnTo>
                <a:lnTo>
                  <a:pt x="0" y="411480"/>
                </a:lnTo>
                <a:lnTo>
                  <a:pt x="949452" y="411480"/>
                </a:lnTo>
                <a:lnTo>
                  <a:pt x="949452" y="0"/>
                </a:lnTo>
                <a:close/>
              </a:path>
              <a:path w="7170420" h="1861185">
                <a:moveTo>
                  <a:pt x="2215896" y="414528"/>
                </a:moveTo>
                <a:lnTo>
                  <a:pt x="952500" y="414528"/>
                </a:lnTo>
                <a:lnTo>
                  <a:pt x="952500" y="1860804"/>
                </a:lnTo>
                <a:lnTo>
                  <a:pt x="2215896" y="1860804"/>
                </a:lnTo>
                <a:lnTo>
                  <a:pt x="2215896" y="414528"/>
                </a:lnTo>
                <a:close/>
              </a:path>
              <a:path w="7170420" h="1861185">
                <a:moveTo>
                  <a:pt x="2215896" y="0"/>
                </a:moveTo>
                <a:lnTo>
                  <a:pt x="952500" y="0"/>
                </a:lnTo>
                <a:lnTo>
                  <a:pt x="952500" y="411480"/>
                </a:lnTo>
                <a:lnTo>
                  <a:pt x="2215896" y="411480"/>
                </a:lnTo>
                <a:lnTo>
                  <a:pt x="2215896" y="0"/>
                </a:lnTo>
                <a:close/>
              </a:path>
              <a:path w="7170420" h="1861185">
                <a:moveTo>
                  <a:pt x="2721864" y="1656588"/>
                </a:moveTo>
                <a:lnTo>
                  <a:pt x="2218944" y="1656588"/>
                </a:lnTo>
                <a:lnTo>
                  <a:pt x="2218944" y="1860804"/>
                </a:lnTo>
                <a:lnTo>
                  <a:pt x="2721864" y="1860804"/>
                </a:lnTo>
                <a:lnTo>
                  <a:pt x="2721864" y="1656588"/>
                </a:lnTo>
                <a:close/>
              </a:path>
              <a:path w="7170420" h="1861185">
                <a:moveTo>
                  <a:pt x="2721864" y="1449324"/>
                </a:moveTo>
                <a:lnTo>
                  <a:pt x="2218944" y="1449324"/>
                </a:lnTo>
                <a:lnTo>
                  <a:pt x="2218944" y="1653540"/>
                </a:lnTo>
                <a:lnTo>
                  <a:pt x="2721864" y="1653540"/>
                </a:lnTo>
                <a:lnTo>
                  <a:pt x="2721864" y="1449324"/>
                </a:lnTo>
                <a:close/>
              </a:path>
              <a:path w="7170420" h="1861185">
                <a:moveTo>
                  <a:pt x="2721864" y="1243584"/>
                </a:moveTo>
                <a:lnTo>
                  <a:pt x="2218944" y="1243584"/>
                </a:lnTo>
                <a:lnTo>
                  <a:pt x="2218944" y="1446276"/>
                </a:lnTo>
                <a:lnTo>
                  <a:pt x="2721864" y="1446276"/>
                </a:lnTo>
                <a:lnTo>
                  <a:pt x="2721864" y="1243584"/>
                </a:lnTo>
                <a:close/>
              </a:path>
              <a:path w="7170420" h="1861185">
                <a:moveTo>
                  <a:pt x="2721864" y="1036320"/>
                </a:moveTo>
                <a:lnTo>
                  <a:pt x="2218944" y="1036320"/>
                </a:lnTo>
                <a:lnTo>
                  <a:pt x="2218944" y="1240536"/>
                </a:lnTo>
                <a:lnTo>
                  <a:pt x="2721864" y="1240536"/>
                </a:lnTo>
                <a:lnTo>
                  <a:pt x="2721864" y="1036320"/>
                </a:lnTo>
                <a:close/>
              </a:path>
              <a:path w="7170420" h="1861185">
                <a:moveTo>
                  <a:pt x="2721864" y="829056"/>
                </a:moveTo>
                <a:lnTo>
                  <a:pt x="2218944" y="829056"/>
                </a:lnTo>
                <a:lnTo>
                  <a:pt x="2218944" y="1033272"/>
                </a:lnTo>
                <a:lnTo>
                  <a:pt x="2721864" y="1033272"/>
                </a:lnTo>
                <a:lnTo>
                  <a:pt x="2721864" y="829056"/>
                </a:lnTo>
                <a:close/>
              </a:path>
              <a:path w="7170420" h="1861185">
                <a:moveTo>
                  <a:pt x="2721864" y="621792"/>
                </a:moveTo>
                <a:lnTo>
                  <a:pt x="2218944" y="621792"/>
                </a:lnTo>
                <a:lnTo>
                  <a:pt x="2218944" y="826008"/>
                </a:lnTo>
                <a:lnTo>
                  <a:pt x="2721864" y="826008"/>
                </a:lnTo>
                <a:lnTo>
                  <a:pt x="2721864" y="621792"/>
                </a:lnTo>
                <a:close/>
              </a:path>
              <a:path w="7170420" h="1861185">
                <a:moveTo>
                  <a:pt x="2721864" y="414528"/>
                </a:moveTo>
                <a:lnTo>
                  <a:pt x="2218944" y="414528"/>
                </a:lnTo>
                <a:lnTo>
                  <a:pt x="2218944" y="618744"/>
                </a:lnTo>
                <a:lnTo>
                  <a:pt x="2721864" y="618744"/>
                </a:lnTo>
                <a:lnTo>
                  <a:pt x="2721864" y="414528"/>
                </a:lnTo>
                <a:close/>
              </a:path>
              <a:path w="7170420" h="1861185">
                <a:moveTo>
                  <a:pt x="2721864" y="207264"/>
                </a:moveTo>
                <a:lnTo>
                  <a:pt x="2218944" y="207264"/>
                </a:lnTo>
                <a:lnTo>
                  <a:pt x="2218944" y="411480"/>
                </a:lnTo>
                <a:lnTo>
                  <a:pt x="2721864" y="411480"/>
                </a:lnTo>
                <a:lnTo>
                  <a:pt x="2721864" y="207264"/>
                </a:lnTo>
                <a:close/>
              </a:path>
              <a:path w="7170420" h="1861185">
                <a:moveTo>
                  <a:pt x="3358896" y="1656588"/>
                </a:moveTo>
                <a:lnTo>
                  <a:pt x="2724912" y="1656588"/>
                </a:lnTo>
                <a:lnTo>
                  <a:pt x="2724912" y="1860804"/>
                </a:lnTo>
                <a:lnTo>
                  <a:pt x="3358896" y="1860804"/>
                </a:lnTo>
                <a:lnTo>
                  <a:pt x="3358896" y="1656588"/>
                </a:lnTo>
                <a:close/>
              </a:path>
              <a:path w="7170420" h="1861185">
                <a:moveTo>
                  <a:pt x="3358896" y="1449324"/>
                </a:moveTo>
                <a:lnTo>
                  <a:pt x="2724912" y="1449324"/>
                </a:lnTo>
                <a:lnTo>
                  <a:pt x="2724912" y="1653540"/>
                </a:lnTo>
                <a:lnTo>
                  <a:pt x="3358896" y="1653540"/>
                </a:lnTo>
                <a:lnTo>
                  <a:pt x="3358896" y="1449324"/>
                </a:lnTo>
                <a:close/>
              </a:path>
              <a:path w="7170420" h="1861185">
                <a:moveTo>
                  <a:pt x="3358896" y="1243584"/>
                </a:moveTo>
                <a:lnTo>
                  <a:pt x="2724912" y="1243584"/>
                </a:lnTo>
                <a:lnTo>
                  <a:pt x="2724912" y="1446276"/>
                </a:lnTo>
                <a:lnTo>
                  <a:pt x="3358896" y="1446276"/>
                </a:lnTo>
                <a:lnTo>
                  <a:pt x="3358896" y="1243584"/>
                </a:lnTo>
                <a:close/>
              </a:path>
              <a:path w="7170420" h="1861185">
                <a:moveTo>
                  <a:pt x="3358896" y="1036320"/>
                </a:moveTo>
                <a:lnTo>
                  <a:pt x="2724912" y="1036320"/>
                </a:lnTo>
                <a:lnTo>
                  <a:pt x="2724912" y="1240536"/>
                </a:lnTo>
                <a:lnTo>
                  <a:pt x="3358896" y="1240536"/>
                </a:lnTo>
                <a:lnTo>
                  <a:pt x="3358896" y="1036320"/>
                </a:lnTo>
                <a:close/>
              </a:path>
              <a:path w="7170420" h="1861185">
                <a:moveTo>
                  <a:pt x="3358896" y="829056"/>
                </a:moveTo>
                <a:lnTo>
                  <a:pt x="2724912" y="829056"/>
                </a:lnTo>
                <a:lnTo>
                  <a:pt x="2724912" y="1033272"/>
                </a:lnTo>
                <a:lnTo>
                  <a:pt x="3358896" y="1033272"/>
                </a:lnTo>
                <a:lnTo>
                  <a:pt x="3358896" y="829056"/>
                </a:lnTo>
                <a:close/>
              </a:path>
              <a:path w="7170420" h="1861185">
                <a:moveTo>
                  <a:pt x="3358896" y="621792"/>
                </a:moveTo>
                <a:lnTo>
                  <a:pt x="2724912" y="621792"/>
                </a:lnTo>
                <a:lnTo>
                  <a:pt x="2724912" y="826008"/>
                </a:lnTo>
                <a:lnTo>
                  <a:pt x="3358896" y="826008"/>
                </a:lnTo>
                <a:lnTo>
                  <a:pt x="3358896" y="621792"/>
                </a:lnTo>
                <a:close/>
              </a:path>
              <a:path w="7170420" h="1861185">
                <a:moveTo>
                  <a:pt x="3358896" y="414528"/>
                </a:moveTo>
                <a:lnTo>
                  <a:pt x="2724912" y="414528"/>
                </a:lnTo>
                <a:lnTo>
                  <a:pt x="2724912" y="618744"/>
                </a:lnTo>
                <a:lnTo>
                  <a:pt x="3358896" y="618744"/>
                </a:lnTo>
                <a:lnTo>
                  <a:pt x="3358896" y="414528"/>
                </a:lnTo>
                <a:close/>
              </a:path>
              <a:path w="7170420" h="1861185">
                <a:moveTo>
                  <a:pt x="3358896" y="207264"/>
                </a:moveTo>
                <a:lnTo>
                  <a:pt x="2724912" y="207264"/>
                </a:lnTo>
                <a:lnTo>
                  <a:pt x="2724912" y="411480"/>
                </a:lnTo>
                <a:lnTo>
                  <a:pt x="3358896" y="411480"/>
                </a:lnTo>
                <a:lnTo>
                  <a:pt x="3358896" y="207264"/>
                </a:lnTo>
                <a:close/>
              </a:path>
              <a:path w="7170420" h="1861185">
                <a:moveTo>
                  <a:pt x="4122420" y="1656588"/>
                </a:moveTo>
                <a:lnTo>
                  <a:pt x="3361944" y="1656588"/>
                </a:lnTo>
                <a:lnTo>
                  <a:pt x="3361944" y="1860804"/>
                </a:lnTo>
                <a:lnTo>
                  <a:pt x="4122420" y="1860804"/>
                </a:lnTo>
                <a:lnTo>
                  <a:pt x="4122420" y="1656588"/>
                </a:lnTo>
                <a:close/>
              </a:path>
              <a:path w="7170420" h="1861185">
                <a:moveTo>
                  <a:pt x="4122420" y="1449324"/>
                </a:moveTo>
                <a:lnTo>
                  <a:pt x="3361944" y="1449324"/>
                </a:lnTo>
                <a:lnTo>
                  <a:pt x="3361944" y="1653540"/>
                </a:lnTo>
                <a:lnTo>
                  <a:pt x="4122420" y="1653540"/>
                </a:lnTo>
                <a:lnTo>
                  <a:pt x="4122420" y="1449324"/>
                </a:lnTo>
                <a:close/>
              </a:path>
              <a:path w="7170420" h="1861185">
                <a:moveTo>
                  <a:pt x="4122420" y="1243584"/>
                </a:moveTo>
                <a:lnTo>
                  <a:pt x="3361944" y="1243584"/>
                </a:lnTo>
                <a:lnTo>
                  <a:pt x="3361944" y="1446276"/>
                </a:lnTo>
                <a:lnTo>
                  <a:pt x="4122420" y="1446276"/>
                </a:lnTo>
                <a:lnTo>
                  <a:pt x="4122420" y="1243584"/>
                </a:lnTo>
                <a:close/>
              </a:path>
              <a:path w="7170420" h="1861185">
                <a:moveTo>
                  <a:pt x="4122420" y="1036320"/>
                </a:moveTo>
                <a:lnTo>
                  <a:pt x="3361944" y="1036320"/>
                </a:lnTo>
                <a:lnTo>
                  <a:pt x="3361944" y="1240536"/>
                </a:lnTo>
                <a:lnTo>
                  <a:pt x="4122420" y="1240536"/>
                </a:lnTo>
                <a:lnTo>
                  <a:pt x="4122420" y="1036320"/>
                </a:lnTo>
                <a:close/>
              </a:path>
              <a:path w="7170420" h="1861185">
                <a:moveTo>
                  <a:pt x="4122420" y="829056"/>
                </a:moveTo>
                <a:lnTo>
                  <a:pt x="3361944" y="829056"/>
                </a:lnTo>
                <a:lnTo>
                  <a:pt x="3361944" y="1033272"/>
                </a:lnTo>
                <a:lnTo>
                  <a:pt x="4122420" y="1033272"/>
                </a:lnTo>
                <a:lnTo>
                  <a:pt x="4122420" y="829056"/>
                </a:lnTo>
                <a:close/>
              </a:path>
              <a:path w="7170420" h="1861185">
                <a:moveTo>
                  <a:pt x="4122420" y="621792"/>
                </a:moveTo>
                <a:lnTo>
                  <a:pt x="3361944" y="621792"/>
                </a:lnTo>
                <a:lnTo>
                  <a:pt x="3361944" y="826008"/>
                </a:lnTo>
                <a:lnTo>
                  <a:pt x="4122420" y="826008"/>
                </a:lnTo>
                <a:lnTo>
                  <a:pt x="4122420" y="621792"/>
                </a:lnTo>
                <a:close/>
              </a:path>
              <a:path w="7170420" h="1861185">
                <a:moveTo>
                  <a:pt x="4122420" y="414528"/>
                </a:moveTo>
                <a:lnTo>
                  <a:pt x="3361944" y="414528"/>
                </a:lnTo>
                <a:lnTo>
                  <a:pt x="3361944" y="618744"/>
                </a:lnTo>
                <a:lnTo>
                  <a:pt x="4122420" y="618744"/>
                </a:lnTo>
                <a:lnTo>
                  <a:pt x="4122420" y="414528"/>
                </a:lnTo>
                <a:close/>
              </a:path>
              <a:path w="7170420" h="1861185">
                <a:moveTo>
                  <a:pt x="4122420" y="207264"/>
                </a:moveTo>
                <a:lnTo>
                  <a:pt x="3361944" y="207264"/>
                </a:lnTo>
                <a:lnTo>
                  <a:pt x="3361944" y="411480"/>
                </a:lnTo>
                <a:lnTo>
                  <a:pt x="4122420" y="411480"/>
                </a:lnTo>
                <a:lnTo>
                  <a:pt x="4122420" y="207264"/>
                </a:lnTo>
                <a:close/>
              </a:path>
              <a:path w="7170420" h="1861185">
                <a:moveTo>
                  <a:pt x="4884420" y="1656588"/>
                </a:moveTo>
                <a:lnTo>
                  <a:pt x="4125468" y="1656588"/>
                </a:lnTo>
                <a:lnTo>
                  <a:pt x="4125468" y="1860804"/>
                </a:lnTo>
                <a:lnTo>
                  <a:pt x="4884420" y="1860804"/>
                </a:lnTo>
                <a:lnTo>
                  <a:pt x="4884420" y="1656588"/>
                </a:lnTo>
                <a:close/>
              </a:path>
              <a:path w="7170420" h="1861185">
                <a:moveTo>
                  <a:pt x="4884420" y="1449324"/>
                </a:moveTo>
                <a:lnTo>
                  <a:pt x="4125468" y="1449324"/>
                </a:lnTo>
                <a:lnTo>
                  <a:pt x="4125468" y="1653540"/>
                </a:lnTo>
                <a:lnTo>
                  <a:pt x="4884420" y="1653540"/>
                </a:lnTo>
                <a:lnTo>
                  <a:pt x="4884420" y="1449324"/>
                </a:lnTo>
                <a:close/>
              </a:path>
              <a:path w="7170420" h="1861185">
                <a:moveTo>
                  <a:pt x="4884420" y="1243584"/>
                </a:moveTo>
                <a:lnTo>
                  <a:pt x="4125468" y="1243584"/>
                </a:lnTo>
                <a:lnTo>
                  <a:pt x="4125468" y="1446276"/>
                </a:lnTo>
                <a:lnTo>
                  <a:pt x="4884420" y="1446276"/>
                </a:lnTo>
                <a:lnTo>
                  <a:pt x="4884420" y="1243584"/>
                </a:lnTo>
                <a:close/>
              </a:path>
              <a:path w="7170420" h="1861185">
                <a:moveTo>
                  <a:pt x="4884420" y="1036320"/>
                </a:moveTo>
                <a:lnTo>
                  <a:pt x="4125468" y="1036320"/>
                </a:lnTo>
                <a:lnTo>
                  <a:pt x="4125468" y="1240536"/>
                </a:lnTo>
                <a:lnTo>
                  <a:pt x="4884420" y="1240536"/>
                </a:lnTo>
                <a:lnTo>
                  <a:pt x="4884420" y="1036320"/>
                </a:lnTo>
                <a:close/>
              </a:path>
              <a:path w="7170420" h="1861185">
                <a:moveTo>
                  <a:pt x="4884420" y="829056"/>
                </a:moveTo>
                <a:lnTo>
                  <a:pt x="4125468" y="829056"/>
                </a:lnTo>
                <a:lnTo>
                  <a:pt x="4125468" y="1033272"/>
                </a:lnTo>
                <a:lnTo>
                  <a:pt x="4884420" y="1033272"/>
                </a:lnTo>
                <a:lnTo>
                  <a:pt x="4884420" y="829056"/>
                </a:lnTo>
                <a:close/>
              </a:path>
              <a:path w="7170420" h="1861185">
                <a:moveTo>
                  <a:pt x="4884420" y="621792"/>
                </a:moveTo>
                <a:lnTo>
                  <a:pt x="4125468" y="621792"/>
                </a:lnTo>
                <a:lnTo>
                  <a:pt x="4125468" y="826008"/>
                </a:lnTo>
                <a:lnTo>
                  <a:pt x="4884420" y="826008"/>
                </a:lnTo>
                <a:lnTo>
                  <a:pt x="4884420" y="621792"/>
                </a:lnTo>
                <a:close/>
              </a:path>
              <a:path w="7170420" h="1861185">
                <a:moveTo>
                  <a:pt x="4884420" y="414528"/>
                </a:moveTo>
                <a:lnTo>
                  <a:pt x="4125468" y="414528"/>
                </a:lnTo>
                <a:lnTo>
                  <a:pt x="4125468" y="618744"/>
                </a:lnTo>
                <a:lnTo>
                  <a:pt x="4884420" y="618744"/>
                </a:lnTo>
                <a:lnTo>
                  <a:pt x="4884420" y="414528"/>
                </a:lnTo>
                <a:close/>
              </a:path>
              <a:path w="7170420" h="1861185">
                <a:moveTo>
                  <a:pt x="4884420" y="207264"/>
                </a:moveTo>
                <a:lnTo>
                  <a:pt x="4125468" y="207264"/>
                </a:lnTo>
                <a:lnTo>
                  <a:pt x="4125468" y="411480"/>
                </a:lnTo>
                <a:lnTo>
                  <a:pt x="4884420" y="411480"/>
                </a:lnTo>
                <a:lnTo>
                  <a:pt x="4884420" y="207264"/>
                </a:lnTo>
                <a:close/>
              </a:path>
              <a:path w="7170420" h="1861185">
                <a:moveTo>
                  <a:pt x="5646407" y="1656588"/>
                </a:moveTo>
                <a:lnTo>
                  <a:pt x="4887468" y="1656588"/>
                </a:lnTo>
                <a:lnTo>
                  <a:pt x="4887468" y="1860804"/>
                </a:lnTo>
                <a:lnTo>
                  <a:pt x="5646407" y="1860804"/>
                </a:lnTo>
                <a:lnTo>
                  <a:pt x="5646407" y="1656588"/>
                </a:lnTo>
                <a:close/>
              </a:path>
              <a:path w="7170420" h="1861185">
                <a:moveTo>
                  <a:pt x="5646407" y="1449324"/>
                </a:moveTo>
                <a:lnTo>
                  <a:pt x="4887468" y="1449324"/>
                </a:lnTo>
                <a:lnTo>
                  <a:pt x="4887468" y="1653540"/>
                </a:lnTo>
                <a:lnTo>
                  <a:pt x="5646407" y="1653540"/>
                </a:lnTo>
                <a:lnTo>
                  <a:pt x="5646407" y="1449324"/>
                </a:lnTo>
                <a:close/>
              </a:path>
              <a:path w="7170420" h="1861185">
                <a:moveTo>
                  <a:pt x="5646407" y="1243584"/>
                </a:moveTo>
                <a:lnTo>
                  <a:pt x="4887468" y="1243584"/>
                </a:lnTo>
                <a:lnTo>
                  <a:pt x="4887468" y="1446276"/>
                </a:lnTo>
                <a:lnTo>
                  <a:pt x="5646407" y="1446276"/>
                </a:lnTo>
                <a:lnTo>
                  <a:pt x="5646407" y="1243584"/>
                </a:lnTo>
                <a:close/>
              </a:path>
              <a:path w="7170420" h="1861185">
                <a:moveTo>
                  <a:pt x="5646407" y="1036320"/>
                </a:moveTo>
                <a:lnTo>
                  <a:pt x="4887468" y="1036320"/>
                </a:lnTo>
                <a:lnTo>
                  <a:pt x="4887468" y="1240536"/>
                </a:lnTo>
                <a:lnTo>
                  <a:pt x="5646407" y="1240536"/>
                </a:lnTo>
                <a:lnTo>
                  <a:pt x="5646407" y="1036320"/>
                </a:lnTo>
                <a:close/>
              </a:path>
              <a:path w="7170420" h="1861185">
                <a:moveTo>
                  <a:pt x="5646407" y="829056"/>
                </a:moveTo>
                <a:lnTo>
                  <a:pt x="4887468" y="829056"/>
                </a:lnTo>
                <a:lnTo>
                  <a:pt x="4887468" y="1033272"/>
                </a:lnTo>
                <a:lnTo>
                  <a:pt x="5646407" y="1033272"/>
                </a:lnTo>
                <a:lnTo>
                  <a:pt x="5646407" y="829056"/>
                </a:lnTo>
                <a:close/>
              </a:path>
              <a:path w="7170420" h="1861185">
                <a:moveTo>
                  <a:pt x="5646407" y="621792"/>
                </a:moveTo>
                <a:lnTo>
                  <a:pt x="4887468" y="621792"/>
                </a:lnTo>
                <a:lnTo>
                  <a:pt x="4887468" y="826008"/>
                </a:lnTo>
                <a:lnTo>
                  <a:pt x="5646407" y="826008"/>
                </a:lnTo>
                <a:lnTo>
                  <a:pt x="5646407" y="621792"/>
                </a:lnTo>
                <a:close/>
              </a:path>
              <a:path w="7170420" h="1861185">
                <a:moveTo>
                  <a:pt x="5646407" y="414528"/>
                </a:moveTo>
                <a:lnTo>
                  <a:pt x="4887468" y="414528"/>
                </a:lnTo>
                <a:lnTo>
                  <a:pt x="4887468" y="618744"/>
                </a:lnTo>
                <a:lnTo>
                  <a:pt x="5646407" y="618744"/>
                </a:lnTo>
                <a:lnTo>
                  <a:pt x="5646407" y="414528"/>
                </a:lnTo>
                <a:close/>
              </a:path>
              <a:path w="7170420" h="1861185">
                <a:moveTo>
                  <a:pt x="5646407" y="207264"/>
                </a:moveTo>
                <a:lnTo>
                  <a:pt x="4887468" y="207264"/>
                </a:lnTo>
                <a:lnTo>
                  <a:pt x="4887468" y="411480"/>
                </a:lnTo>
                <a:lnTo>
                  <a:pt x="5646407" y="411480"/>
                </a:lnTo>
                <a:lnTo>
                  <a:pt x="5646407" y="207264"/>
                </a:lnTo>
                <a:close/>
              </a:path>
              <a:path w="7170420" h="1861185">
                <a:moveTo>
                  <a:pt x="6408420" y="1656588"/>
                </a:moveTo>
                <a:lnTo>
                  <a:pt x="5649468" y="1656588"/>
                </a:lnTo>
                <a:lnTo>
                  <a:pt x="5649468" y="1860804"/>
                </a:lnTo>
                <a:lnTo>
                  <a:pt x="6408420" y="1860804"/>
                </a:lnTo>
                <a:lnTo>
                  <a:pt x="6408420" y="1656588"/>
                </a:lnTo>
                <a:close/>
              </a:path>
              <a:path w="7170420" h="1861185">
                <a:moveTo>
                  <a:pt x="6408420" y="1449324"/>
                </a:moveTo>
                <a:lnTo>
                  <a:pt x="5649468" y="1449324"/>
                </a:lnTo>
                <a:lnTo>
                  <a:pt x="5649468" y="1653540"/>
                </a:lnTo>
                <a:lnTo>
                  <a:pt x="6408420" y="1653540"/>
                </a:lnTo>
                <a:lnTo>
                  <a:pt x="6408420" y="1449324"/>
                </a:lnTo>
                <a:close/>
              </a:path>
              <a:path w="7170420" h="1861185">
                <a:moveTo>
                  <a:pt x="6408420" y="1243584"/>
                </a:moveTo>
                <a:lnTo>
                  <a:pt x="5649468" y="1243584"/>
                </a:lnTo>
                <a:lnTo>
                  <a:pt x="5649468" y="1446276"/>
                </a:lnTo>
                <a:lnTo>
                  <a:pt x="6408420" y="1446276"/>
                </a:lnTo>
                <a:lnTo>
                  <a:pt x="6408420" y="1243584"/>
                </a:lnTo>
                <a:close/>
              </a:path>
              <a:path w="7170420" h="1861185">
                <a:moveTo>
                  <a:pt x="6408420" y="1036320"/>
                </a:moveTo>
                <a:lnTo>
                  <a:pt x="5649468" y="1036320"/>
                </a:lnTo>
                <a:lnTo>
                  <a:pt x="5649468" y="1240536"/>
                </a:lnTo>
                <a:lnTo>
                  <a:pt x="6408420" y="1240536"/>
                </a:lnTo>
                <a:lnTo>
                  <a:pt x="6408420" y="1036320"/>
                </a:lnTo>
                <a:close/>
              </a:path>
              <a:path w="7170420" h="1861185">
                <a:moveTo>
                  <a:pt x="6408420" y="829056"/>
                </a:moveTo>
                <a:lnTo>
                  <a:pt x="5649468" y="829056"/>
                </a:lnTo>
                <a:lnTo>
                  <a:pt x="5649468" y="1033272"/>
                </a:lnTo>
                <a:lnTo>
                  <a:pt x="6408420" y="1033272"/>
                </a:lnTo>
                <a:lnTo>
                  <a:pt x="6408420" y="829056"/>
                </a:lnTo>
                <a:close/>
              </a:path>
              <a:path w="7170420" h="1861185">
                <a:moveTo>
                  <a:pt x="6408420" y="621792"/>
                </a:moveTo>
                <a:lnTo>
                  <a:pt x="5649468" y="621792"/>
                </a:lnTo>
                <a:lnTo>
                  <a:pt x="5649468" y="826008"/>
                </a:lnTo>
                <a:lnTo>
                  <a:pt x="6408420" y="826008"/>
                </a:lnTo>
                <a:lnTo>
                  <a:pt x="6408420" y="621792"/>
                </a:lnTo>
                <a:close/>
              </a:path>
              <a:path w="7170420" h="1861185">
                <a:moveTo>
                  <a:pt x="6408420" y="414528"/>
                </a:moveTo>
                <a:lnTo>
                  <a:pt x="5649468" y="414528"/>
                </a:lnTo>
                <a:lnTo>
                  <a:pt x="5649468" y="618744"/>
                </a:lnTo>
                <a:lnTo>
                  <a:pt x="6408420" y="618744"/>
                </a:lnTo>
                <a:lnTo>
                  <a:pt x="6408420" y="414528"/>
                </a:lnTo>
                <a:close/>
              </a:path>
              <a:path w="7170420" h="1861185">
                <a:moveTo>
                  <a:pt x="6408420" y="207264"/>
                </a:moveTo>
                <a:lnTo>
                  <a:pt x="5649468" y="207264"/>
                </a:lnTo>
                <a:lnTo>
                  <a:pt x="5649468" y="411480"/>
                </a:lnTo>
                <a:lnTo>
                  <a:pt x="6408420" y="411480"/>
                </a:lnTo>
                <a:lnTo>
                  <a:pt x="6408420" y="207264"/>
                </a:lnTo>
                <a:close/>
              </a:path>
              <a:path w="7170420" h="1861185">
                <a:moveTo>
                  <a:pt x="7170420" y="1656588"/>
                </a:moveTo>
                <a:lnTo>
                  <a:pt x="6411468" y="1656588"/>
                </a:lnTo>
                <a:lnTo>
                  <a:pt x="6411468" y="1860804"/>
                </a:lnTo>
                <a:lnTo>
                  <a:pt x="7170420" y="1860804"/>
                </a:lnTo>
                <a:lnTo>
                  <a:pt x="7170420" y="1656588"/>
                </a:lnTo>
                <a:close/>
              </a:path>
              <a:path w="7170420" h="1861185">
                <a:moveTo>
                  <a:pt x="7170420" y="1449324"/>
                </a:moveTo>
                <a:lnTo>
                  <a:pt x="6411468" y="1449324"/>
                </a:lnTo>
                <a:lnTo>
                  <a:pt x="6411468" y="1653540"/>
                </a:lnTo>
                <a:lnTo>
                  <a:pt x="7170420" y="1653540"/>
                </a:lnTo>
                <a:lnTo>
                  <a:pt x="7170420" y="1449324"/>
                </a:lnTo>
                <a:close/>
              </a:path>
              <a:path w="7170420" h="1861185">
                <a:moveTo>
                  <a:pt x="7170420" y="1243584"/>
                </a:moveTo>
                <a:lnTo>
                  <a:pt x="6411468" y="1243584"/>
                </a:lnTo>
                <a:lnTo>
                  <a:pt x="6411468" y="1446276"/>
                </a:lnTo>
                <a:lnTo>
                  <a:pt x="7170420" y="1446276"/>
                </a:lnTo>
                <a:lnTo>
                  <a:pt x="7170420" y="1243584"/>
                </a:lnTo>
                <a:close/>
              </a:path>
              <a:path w="7170420" h="1861185">
                <a:moveTo>
                  <a:pt x="7170420" y="1036320"/>
                </a:moveTo>
                <a:lnTo>
                  <a:pt x="6411468" y="1036320"/>
                </a:lnTo>
                <a:lnTo>
                  <a:pt x="6411468" y="1240536"/>
                </a:lnTo>
                <a:lnTo>
                  <a:pt x="7170420" y="1240536"/>
                </a:lnTo>
                <a:lnTo>
                  <a:pt x="7170420" y="1036320"/>
                </a:lnTo>
                <a:close/>
              </a:path>
              <a:path w="7170420" h="1861185">
                <a:moveTo>
                  <a:pt x="7170420" y="829056"/>
                </a:moveTo>
                <a:lnTo>
                  <a:pt x="6411468" y="829056"/>
                </a:lnTo>
                <a:lnTo>
                  <a:pt x="6411468" y="1033272"/>
                </a:lnTo>
                <a:lnTo>
                  <a:pt x="7170420" y="1033272"/>
                </a:lnTo>
                <a:lnTo>
                  <a:pt x="7170420" y="829056"/>
                </a:lnTo>
                <a:close/>
              </a:path>
              <a:path w="7170420" h="1861185">
                <a:moveTo>
                  <a:pt x="7170420" y="621792"/>
                </a:moveTo>
                <a:lnTo>
                  <a:pt x="6411468" y="621792"/>
                </a:lnTo>
                <a:lnTo>
                  <a:pt x="6411468" y="826008"/>
                </a:lnTo>
                <a:lnTo>
                  <a:pt x="7170420" y="826008"/>
                </a:lnTo>
                <a:lnTo>
                  <a:pt x="7170420" y="621792"/>
                </a:lnTo>
                <a:close/>
              </a:path>
              <a:path w="7170420" h="1861185">
                <a:moveTo>
                  <a:pt x="7170420" y="414528"/>
                </a:moveTo>
                <a:lnTo>
                  <a:pt x="6411468" y="414528"/>
                </a:lnTo>
                <a:lnTo>
                  <a:pt x="6411468" y="618744"/>
                </a:lnTo>
                <a:lnTo>
                  <a:pt x="7170420" y="618744"/>
                </a:lnTo>
                <a:lnTo>
                  <a:pt x="7170420" y="414528"/>
                </a:lnTo>
                <a:close/>
              </a:path>
              <a:path w="7170420" h="1861185">
                <a:moveTo>
                  <a:pt x="7170420" y="207264"/>
                </a:moveTo>
                <a:lnTo>
                  <a:pt x="6411468" y="207264"/>
                </a:lnTo>
                <a:lnTo>
                  <a:pt x="6411468" y="411480"/>
                </a:lnTo>
                <a:lnTo>
                  <a:pt x="7170420" y="411480"/>
                </a:lnTo>
                <a:lnTo>
                  <a:pt x="7170420" y="207264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23</xdr:row>
      <xdr:rowOff>0</xdr:rowOff>
    </xdr:from>
    <xdr:ext cx="645160" cy="3517900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0" y="0"/>
          <a:ext cx="645160" cy="3517900"/>
        </a:xfrm>
        <a:custGeom>
          <a:avLst/>
          <a:gdLst/>
          <a:ahLst/>
          <a:cxnLst/>
          <a:rect l="0" t="0" r="0" b="0"/>
          <a:pathLst>
            <a:path w="645160" h="3517900">
              <a:moveTo>
                <a:pt x="644652" y="3313176"/>
              </a:moveTo>
              <a:lnTo>
                <a:pt x="0" y="3313176"/>
              </a:lnTo>
              <a:lnTo>
                <a:pt x="0" y="3517392"/>
              </a:lnTo>
              <a:lnTo>
                <a:pt x="644652" y="3517392"/>
              </a:lnTo>
              <a:lnTo>
                <a:pt x="644652" y="3313176"/>
              </a:lnTo>
              <a:close/>
            </a:path>
            <a:path w="645160" h="3517900">
              <a:moveTo>
                <a:pt x="644652" y="3105912"/>
              </a:moveTo>
              <a:lnTo>
                <a:pt x="0" y="3105912"/>
              </a:lnTo>
              <a:lnTo>
                <a:pt x="0" y="3310128"/>
              </a:lnTo>
              <a:lnTo>
                <a:pt x="644652" y="3310128"/>
              </a:lnTo>
              <a:lnTo>
                <a:pt x="644652" y="3105912"/>
              </a:lnTo>
              <a:close/>
            </a:path>
            <a:path w="645160" h="3517900">
              <a:moveTo>
                <a:pt x="644652" y="2900172"/>
              </a:moveTo>
              <a:lnTo>
                <a:pt x="0" y="2900172"/>
              </a:lnTo>
              <a:lnTo>
                <a:pt x="0" y="3102864"/>
              </a:lnTo>
              <a:lnTo>
                <a:pt x="644652" y="3102864"/>
              </a:lnTo>
              <a:lnTo>
                <a:pt x="644652" y="2900172"/>
              </a:lnTo>
              <a:close/>
            </a:path>
            <a:path w="645160" h="3517900">
              <a:moveTo>
                <a:pt x="644652" y="2692908"/>
              </a:moveTo>
              <a:lnTo>
                <a:pt x="0" y="2692908"/>
              </a:lnTo>
              <a:lnTo>
                <a:pt x="0" y="2897124"/>
              </a:lnTo>
              <a:lnTo>
                <a:pt x="644652" y="2897124"/>
              </a:lnTo>
              <a:lnTo>
                <a:pt x="644652" y="2692908"/>
              </a:lnTo>
              <a:close/>
            </a:path>
            <a:path w="645160" h="3517900">
              <a:moveTo>
                <a:pt x="644652" y="2485644"/>
              </a:moveTo>
              <a:lnTo>
                <a:pt x="0" y="2485644"/>
              </a:lnTo>
              <a:lnTo>
                <a:pt x="0" y="2689860"/>
              </a:lnTo>
              <a:lnTo>
                <a:pt x="644652" y="2689860"/>
              </a:lnTo>
              <a:lnTo>
                <a:pt x="644652" y="2485644"/>
              </a:lnTo>
              <a:close/>
            </a:path>
            <a:path w="645160" h="3517900">
              <a:moveTo>
                <a:pt x="644652" y="2278380"/>
              </a:moveTo>
              <a:lnTo>
                <a:pt x="0" y="2278380"/>
              </a:lnTo>
              <a:lnTo>
                <a:pt x="0" y="2482596"/>
              </a:lnTo>
              <a:lnTo>
                <a:pt x="644652" y="2482596"/>
              </a:lnTo>
              <a:lnTo>
                <a:pt x="644652" y="2278380"/>
              </a:lnTo>
              <a:close/>
            </a:path>
            <a:path w="645160" h="3517900">
              <a:moveTo>
                <a:pt x="644652" y="2071116"/>
              </a:moveTo>
              <a:lnTo>
                <a:pt x="0" y="2071116"/>
              </a:lnTo>
              <a:lnTo>
                <a:pt x="0" y="2275332"/>
              </a:lnTo>
              <a:lnTo>
                <a:pt x="644652" y="2275332"/>
              </a:lnTo>
              <a:lnTo>
                <a:pt x="644652" y="2071116"/>
              </a:lnTo>
              <a:close/>
            </a:path>
            <a:path w="645160" h="3517900">
              <a:moveTo>
                <a:pt x="644652" y="1863852"/>
              </a:moveTo>
              <a:lnTo>
                <a:pt x="0" y="1863852"/>
              </a:lnTo>
              <a:lnTo>
                <a:pt x="0" y="2068068"/>
              </a:lnTo>
              <a:lnTo>
                <a:pt x="644652" y="2068068"/>
              </a:lnTo>
              <a:lnTo>
                <a:pt x="644652" y="1863852"/>
              </a:lnTo>
              <a:close/>
            </a:path>
            <a:path w="645160" h="3517900">
              <a:moveTo>
                <a:pt x="644652" y="1656588"/>
              </a:moveTo>
              <a:lnTo>
                <a:pt x="0" y="1656588"/>
              </a:lnTo>
              <a:lnTo>
                <a:pt x="0" y="1860804"/>
              </a:lnTo>
              <a:lnTo>
                <a:pt x="644652" y="1860804"/>
              </a:lnTo>
              <a:lnTo>
                <a:pt x="644652" y="1656588"/>
              </a:lnTo>
              <a:close/>
            </a:path>
            <a:path w="645160" h="3517900">
              <a:moveTo>
                <a:pt x="644652" y="1449324"/>
              </a:moveTo>
              <a:lnTo>
                <a:pt x="0" y="1449324"/>
              </a:lnTo>
              <a:lnTo>
                <a:pt x="0" y="1653540"/>
              </a:lnTo>
              <a:lnTo>
                <a:pt x="644652" y="1653540"/>
              </a:lnTo>
              <a:lnTo>
                <a:pt x="644652" y="1449324"/>
              </a:lnTo>
              <a:close/>
            </a:path>
            <a:path w="645160" h="3517900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3517900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3517900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3517900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3517900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3517900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3517900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20</xdr:row>
      <xdr:rowOff>204977</xdr:rowOff>
    </xdr:from>
    <xdr:ext cx="3808729" cy="480059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761</xdr:rowOff>
    </xdr:from>
    <xdr:ext cx="381000" cy="381000"/>
    <xdr:pic>
      <xdr:nvPicPr>
        <xdr:cNvPr id="36" name="image1.jpeg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49142</xdr:rowOff>
    </xdr:from>
    <xdr:ext cx="381000" cy="290285"/>
    <xdr:pic>
      <xdr:nvPicPr>
        <xdr:cNvPr id="37" name="image2.jpeg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49142</xdr:rowOff>
    </xdr:from>
    <xdr:ext cx="381000" cy="290285"/>
    <xdr:pic>
      <xdr:nvPicPr>
        <xdr:cNvPr id="38" name="image3.jpeg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201929</xdr:colOff>
      <xdr:row>3</xdr:row>
      <xdr:rowOff>761</xdr:rowOff>
    </xdr:from>
    <xdr:ext cx="338666" cy="381000"/>
    <xdr:pic>
      <xdr:nvPicPr>
        <xdr:cNvPr id="39" name="image4.jpeg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9</xdr:col>
      <xdr:colOff>298691</xdr:colOff>
      <xdr:row>3</xdr:row>
      <xdr:rowOff>49142</xdr:rowOff>
    </xdr:from>
    <xdr:ext cx="193523" cy="290285"/>
    <xdr:pic>
      <xdr:nvPicPr>
        <xdr:cNvPr id="40" name="image5.jpeg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22</xdr:row>
      <xdr:rowOff>0</xdr:rowOff>
    </xdr:from>
    <xdr:ext cx="7486015" cy="3514725"/>
    <xdr:grpSp>
      <xdr:nvGrpSpPr>
        <xdr:cNvPr id="41" name="Group 41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GrpSpPr/>
      </xdr:nvGrpSpPr>
      <xdr:grpSpPr>
        <a:xfrm>
          <a:off x="607059" y="5615940"/>
          <a:ext cx="7486015" cy="3514725"/>
          <a:chOff x="0" y="0"/>
          <a:chExt cx="7486015" cy="3514725"/>
        </a:xfrm>
      </xdr:grpSpPr>
      <xdr:sp macro="" textlink="">
        <xdr:nvSpPr>
          <xdr:cNvPr id="42" name="Shape 42">
            <a:extLst>
              <a:ext uri="{FF2B5EF4-FFF2-40B4-BE49-F238E27FC236}">
                <a16:creationId xmlns:a16="http://schemas.microsoft.com/office/drawing/2014/main" id="{00000000-0008-0000-0300-00002A000000}"/>
              </a:ext>
            </a:extLst>
          </xdr:cNvPr>
          <xdr:cNvSpPr/>
        </xdr:nvSpPr>
        <xdr:spPr>
          <a:xfrm>
            <a:off x="0" y="0"/>
            <a:ext cx="7486015" cy="2066925"/>
          </a:xfrm>
          <a:custGeom>
            <a:avLst/>
            <a:gdLst/>
            <a:ahLst/>
            <a:cxnLst/>
            <a:rect l="0" t="0" r="0" b="0"/>
            <a:pathLst>
              <a:path w="7486015" h="2066925">
                <a:moveTo>
                  <a:pt x="312420" y="0"/>
                </a:moveTo>
                <a:lnTo>
                  <a:pt x="0" y="0"/>
                </a:lnTo>
                <a:lnTo>
                  <a:pt x="0" y="824484"/>
                </a:lnTo>
                <a:lnTo>
                  <a:pt x="312420" y="824484"/>
                </a:lnTo>
                <a:lnTo>
                  <a:pt x="312420" y="0"/>
                </a:lnTo>
                <a:close/>
              </a:path>
              <a:path w="7486015" h="2066925">
                <a:moveTo>
                  <a:pt x="1264920" y="0"/>
                </a:moveTo>
                <a:lnTo>
                  <a:pt x="315468" y="0"/>
                </a:lnTo>
                <a:lnTo>
                  <a:pt x="315468" y="824484"/>
                </a:lnTo>
                <a:lnTo>
                  <a:pt x="1264920" y="824484"/>
                </a:lnTo>
                <a:lnTo>
                  <a:pt x="1264920" y="0"/>
                </a:lnTo>
                <a:close/>
              </a:path>
              <a:path w="7486015" h="2066925">
                <a:moveTo>
                  <a:pt x="2531364" y="827532"/>
                </a:moveTo>
                <a:lnTo>
                  <a:pt x="1267968" y="827532"/>
                </a:lnTo>
                <a:lnTo>
                  <a:pt x="1267968" y="2066544"/>
                </a:lnTo>
                <a:lnTo>
                  <a:pt x="2531364" y="2066544"/>
                </a:lnTo>
                <a:lnTo>
                  <a:pt x="2531364" y="827532"/>
                </a:lnTo>
                <a:close/>
              </a:path>
              <a:path w="7486015" h="2066925">
                <a:moveTo>
                  <a:pt x="2531364" y="0"/>
                </a:moveTo>
                <a:lnTo>
                  <a:pt x="1267968" y="0"/>
                </a:lnTo>
                <a:lnTo>
                  <a:pt x="1267968" y="824484"/>
                </a:lnTo>
                <a:lnTo>
                  <a:pt x="2531364" y="824484"/>
                </a:lnTo>
                <a:lnTo>
                  <a:pt x="2531364" y="0"/>
                </a:lnTo>
                <a:close/>
              </a:path>
              <a:path w="7486015" h="2066925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066925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066925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206692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06692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06692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066925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06692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06692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066925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2066925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066925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066925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206692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06692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06692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066925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06692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06692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06692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2066925">
                <a:moveTo>
                  <a:pt x="4437888" y="1862328"/>
                </a:moveTo>
                <a:lnTo>
                  <a:pt x="3677412" y="1862328"/>
                </a:lnTo>
                <a:lnTo>
                  <a:pt x="3677412" y="2066544"/>
                </a:lnTo>
                <a:lnTo>
                  <a:pt x="4437888" y="2066544"/>
                </a:lnTo>
                <a:lnTo>
                  <a:pt x="4437888" y="1862328"/>
                </a:lnTo>
                <a:close/>
              </a:path>
              <a:path w="7486015" h="2066925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066925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206692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06692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06692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066925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06692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06692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06692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2066925">
                <a:moveTo>
                  <a:pt x="5199888" y="1862328"/>
                </a:moveTo>
                <a:lnTo>
                  <a:pt x="4440936" y="1862328"/>
                </a:lnTo>
                <a:lnTo>
                  <a:pt x="4440936" y="2066544"/>
                </a:lnTo>
                <a:lnTo>
                  <a:pt x="5199888" y="2066544"/>
                </a:lnTo>
                <a:lnTo>
                  <a:pt x="5199888" y="1862328"/>
                </a:lnTo>
                <a:close/>
              </a:path>
              <a:path w="7486015" h="2066925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066925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206692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06692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06692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066925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06692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06692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06692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2066925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066925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206692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06692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06692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066925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06692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06692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06692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066925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066925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206692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06692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06692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066925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06692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06692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06692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066925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066925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206692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06692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06692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06692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06692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06692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06692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43" name="Shape 43">
            <a:extLst>
              <a:ext uri="{FF2B5EF4-FFF2-40B4-BE49-F238E27FC236}">
                <a16:creationId xmlns:a16="http://schemas.microsoft.com/office/drawing/2014/main" id="{00000000-0008-0000-0300-00002B000000}"/>
              </a:ext>
            </a:extLst>
          </xdr:cNvPr>
          <xdr:cNvSpPr/>
        </xdr:nvSpPr>
        <xdr:spPr>
          <a:xfrm>
            <a:off x="1267968" y="1862327"/>
            <a:ext cx="6217920" cy="1652270"/>
          </a:xfrm>
          <a:custGeom>
            <a:avLst/>
            <a:gdLst/>
            <a:ahLst/>
            <a:cxnLst/>
            <a:rect l="0" t="0" r="0" b="0"/>
            <a:pathLst>
              <a:path w="6217920" h="1652270">
                <a:moveTo>
                  <a:pt x="1263396" y="207264"/>
                </a:moveTo>
                <a:lnTo>
                  <a:pt x="0" y="207264"/>
                </a:lnTo>
                <a:lnTo>
                  <a:pt x="0" y="1652016"/>
                </a:lnTo>
                <a:lnTo>
                  <a:pt x="1263396" y="1652016"/>
                </a:lnTo>
                <a:lnTo>
                  <a:pt x="1263396" y="207264"/>
                </a:lnTo>
                <a:close/>
              </a:path>
              <a:path w="6217920" h="1652270">
                <a:moveTo>
                  <a:pt x="1769364" y="1449324"/>
                </a:moveTo>
                <a:lnTo>
                  <a:pt x="1266444" y="1449324"/>
                </a:lnTo>
                <a:lnTo>
                  <a:pt x="1266444" y="1652016"/>
                </a:lnTo>
                <a:lnTo>
                  <a:pt x="1769364" y="1652016"/>
                </a:lnTo>
                <a:lnTo>
                  <a:pt x="1769364" y="1449324"/>
                </a:lnTo>
                <a:close/>
              </a:path>
              <a:path w="6217920" h="1652270">
                <a:moveTo>
                  <a:pt x="1769364" y="1242060"/>
                </a:moveTo>
                <a:lnTo>
                  <a:pt x="1266444" y="1242060"/>
                </a:lnTo>
                <a:lnTo>
                  <a:pt x="1266444" y="1446276"/>
                </a:lnTo>
                <a:lnTo>
                  <a:pt x="1769364" y="1446276"/>
                </a:lnTo>
                <a:lnTo>
                  <a:pt x="1769364" y="1242060"/>
                </a:lnTo>
                <a:close/>
              </a:path>
              <a:path w="6217920" h="1652270">
                <a:moveTo>
                  <a:pt x="1769364" y="1034796"/>
                </a:moveTo>
                <a:lnTo>
                  <a:pt x="1266444" y="1034796"/>
                </a:lnTo>
                <a:lnTo>
                  <a:pt x="1266444" y="1239012"/>
                </a:lnTo>
                <a:lnTo>
                  <a:pt x="1769364" y="1239012"/>
                </a:lnTo>
                <a:lnTo>
                  <a:pt x="1769364" y="1034796"/>
                </a:lnTo>
                <a:close/>
              </a:path>
              <a:path w="6217920" h="1652270">
                <a:moveTo>
                  <a:pt x="1769364" y="827532"/>
                </a:moveTo>
                <a:lnTo>
                  <a:pt x="1266444" y="827532"/>
                </a:lnTo>
                <a:lnTo>
                  <a:pt x="1266444" y="1031748"/>
                </a:lnTo>
                <a:lnTo>
                  <a:pt x="1769364" y="1031748"/>
                </a:lnTo>
                <a:lnTo>
                  <a:pt x="1769364" y="827532"/>
                </a:lnTo>
                <a:close/>
              </a:path>
              <a:path w="6217920" h="1652270">
                <a:moveTo>
                  <a:pt x="1769364" y="620268"/>
                </a:moveTo>
                <a:lnTo>
                  <a:pt x="1266444" y="620268"/>
                </a:lnTo>
                <a:lnTo>
                  <a:pt x="1266444" y="824484"/>
                </a:lnTo>
                <a:lnTo>
                  <a:pt x="1769364" y="824484"/>
                </a:lnTo>
                <a:lnTo>
                  <a:pt x="1769364" y="620268"/>
                </a:lnTo>
                <a:close/>
              </a:path>
              <a:path w="6217920" h="1652270">
                <a:moveTo>
                  <a:pt x="1769364" y="414528"/>
                </a:moveTo>
                <a:lnTo>
                  <a:pt x="1266444" y="414528"/>
                </a:lnTo>
                <a:lnTo>
                  <a:pt x="1266444" y="617220"/>
                </a:lnTo>
                <a:lnTo>
                  <a:pt x="1769364" y="617220"/>
                </a:lnTo>
                <a:lnTo>
                  <a:pt x="1769364" y="414528"/>
                </a:lnTo>
                <a:close/>
              </a:path>
              <a:path w="6217920" h="1652270">
                <a:moveTo>
                  <a:pt x="1769364" y="207264"/>
                </a:moveTo>
                <a:lnTo>
                  <a:pt x="1266444" y="207264"/>
                </a:lnTo>
                <a:lnTo>
                  <a:pt x="1266444" y="411480"/>
                </a:lnTo>
                <a:lnTo>
                  <a:pt x="1769364" y="411480"/>
                </a:lnTo>
                <a:lnTo>
                  <a:pt x="1769364" y="207264"/>
                </a:lnTo>
                <a:close/>
              </a:path>
              <a:path w="6217920" h="1652270">
                <a:moveTo>
                  <a:pt x="2406396" y="1449324"/>
                </a:moveTo>
                <a:lnTo>
                  <a:pt x="1772412" y="1449324"/>
                </a:lnTo>
                <a:lnTo>
                  <a:pt x="1772412" y="1652016"/>
                </a:lnTo>
                <a:lnTo>
                  <a:pt x="2406396" y="1652016"/>
                </a:lnTo>
                <a:lnTo>
                  <a:pt x="2406396" y="1449324"/>
                </a:lnTo>
                <a:close/>
              </a:path>
              <a:path w="6217920" h="1652270">
                <a:moveTo>
                  <a:pt x="2406396" y="1242060"/>
                </a:moveTo>
                <a:lnTo>
                  <a:pt x="1772412" y="1242060"/>
                </a:lnTo>
                <a:lnTo>
                  <a:pt x="1772412" y="1446276"/>
                </a:lnTo>
                <a:lnTo>
                  <a:pt x="2406396" y="1446276"/>
                </a:lnTo>
                <a:lnTo>
                  <a:pt x="2406396" y="1242060"/>
                </a:lnTo>
                <a:close/>
              </a:path>
              <a:path w="6217920" h="1652270">
                <a:moveTo>
                  <a:pt x="2406396" y="1034796"/>
                </a:moveTo>
                <a:lnTo>
                  <a:pt x="1772412" y="1034796"/>
                </a:lnTo>
                <a:lnTo>
                  <a:pt x="1772412" y="1239012"/>
                </a:lnTo>
                <a:lnTo>
                  <a:pt x="2406396" y="1239012"/>
                </a:lnTo>
                <a:lnTo>
                  <a:pt x="2406396" y="1034796"/>
                </a:lnTo>
                <a:close/>
              </a:path>
              <a:path w="6217920" h="1652270">
                <a:moveTo>
                  <a:pt x="2406396" y="827532"/>
                </a:moveTo>
                <a:lnTo>
                  <a:pt x="1772412" y="827532"/>
                </a:lnTo>
                <a:lnTo>
                  <a:pt x="1772412" y="1031748"/>
                </a:lnTo>
                <a:lnTo>
                  <a:pt x="2406396" y="1031748"/>
                </a:lnTo>
                <a:lnTo>
                  <a:pt x="2406396" y="827532"/>
                </a:lnTo>
                <a:close/>
              </a:path>
              <a:path w="6217920" h="1652270">
                <a:moveTo>
                  <a:pt x="2406396" y="620268"/>
                </a:moveTo>
                <a:lnTo>
                  <a:pt x="1772412" y="620268"/>
                </a:lnTo>
                <a:lnTo>
                  <a:pt x="1772412" y="824484"/>
                </a:lnTo>
                <a:lnTo>
                  <a:pt x="2406396" y="824484"/>
                </a:lnTo>
                <a:lnTo>
                  <a:pt x="2406396" y="620268"/>
                </a:lnTo>
                <a:close/>
              </a:path>
              <a:path w="6217920" h="1652270">
                <a:moveTo>
                  <a:pt x="2406396" y="414528"/>
                </a:moveTo>
                <a:lnTo>
                  <a:pt x="1772412" y="414528"/>
                </a:lnTo>
                <a:lnTo>
                  <a:pt x="1772412" y="617220"/>
                </a:lnTo>
                <a:lnTo>
                  <a:pt x="2406396" y="617220"/>
                </a:lnTo>
                <a:lnTo>
                  <a:pt x="2406396" y="414528"/>
                </a:lnTo>
                <a:close/>
              </a:path>
              <a:path w="6217920" h="1652270">
                <a:moveTo>
                  <a:pt x="2406396" y="207264"/>
                </a:moveTo>
                <a:lnTo>
                  <a:pt x="1772412" y="207264"/>
                </a:lnTo>
                <a:lnTo>
                  <a:pt x="1772412" y="411480"/>
                </a:lnTo>
                <a:lnTo>
                  <a:pt x="2406396" y="411480"/>
                </a:lnTo>
                <a:lnTo>
                  <a:pt x="2406396" y="207264"/>
                </a:lnTo>
                <a:close/>
              </a:path>
              <a:path w="6217920" h="1652270">
                <a:moveTo>
                  <a:pt x="3169920" y="1449324"/>
                </a:moveTo>
                <a:lnTo>
                  <a:pt x="2409444" y="1449324"/>
                </a:lnTo>
                <a:lnTo>
                  <a:pt x="2409444" y="1652016"/>
                </a:lnTo>
                <a:lnTo>
                  <a:pt x="3169920" y="1652016"/>
                </a:lnTo>
                <a:lnTo>
                  <a:pt x="3169920" y="1449324"/>
                </a:lnTo>
                <a:close/>
              </a:path>
              <a:path w="6217920" h="1652270">
                <a:moveTo>
                  <a:pt x="3169920" y="1242060"/>
                </a:moveTo>
                <a:lnTo>
                  <a:pt x="2409444" y="1242060"/>
                </a:lnTo>
                <a:lnTo>
                  <a:pt x="2409444" y="1446276"/>
                </a:lnTo>
                <a:lnTo>
                  <a:pt x="3169920" y="1446276"/>
                </a:lnTo>
                <a:lnTo>
                  <a:pt x="3169920" y="1242060"/>
                </a:lnTo>
                <a:close/>
              </a:path>
              <a:path w="6217920" h="1652270">
                <a:moveTo>
                  <a:pt x="3169920" y="1034796"/>
                </a:moveTo>
                <a:lnTo>
                  <a:pt x="2409444" y="1034796"/>
                </a:lnTo>
                <a:lnTo>
                  <a:pt x="2409444" y="1239012"/>
                </a:lnTo>
                <a:lnTo>
                  <a:pt x="3169920" y="1239012"/>
                </a:lnTo>
                <a:lnTo>
                  <a:pt x="3169920" y="1034796"/>
                </a:lnTo>
                <a:close/>
              </a:path>
              <a:path w="6217920" h="1652270">
                <a:moveTo>
                  <a:pt x="3169920" y="827532"/>
                </a:moveTo>
                <a:lnTo>
                  <a:pt x="2409444" y="827532"/>
                </a:lnTo>
                <a:lnTo>
                  <a:pt x="2409444" y="1031748"/>
                </a:lnTo>
                <a:lnTo>
                  <a:pt x="3169920" y="1031748"/>
                </a:lnTo>
                <a:lnTo>
                  <a:pt x="3169920" y="827532"/>
                </a:lnTo>
                <a:close/>
              </a:path>
              <a:path w="6217920" h="1652270">
                <a:moveTo>
                  <a:pt x="3169920" y="620268"/>
                </a:moveTo>
                <a:lnTo>
                  <a:pt x="2409444" y="620268"/>
                </a:lnTo>
                <a:lnTo>
                  <a:pt x="2409444" y="824484"/>
                </a:lnTo>
                <a:lnTo>
                  <a:pt x="3169920" y="824484"/>
                </a:lnTo>
                <a:lnTo>
                  <a:pt x="3169920" y="620268"/>
                </a:lnTo>
                <a:close/>
              </a:path>
              <a:path w="6217920" h="1652270">
                <a:moveTo>
                  <a:pt x="3169920" y="414528"/>
                </a:moveTo>
                <a:lnTo>
                  <a:pt x="2409444" y="414528"/>
                </a:lnTo>
                <a:lnTo>
                  <a:pt x="2409444" y="617220"/>
                </a:lnTo>
                <a:lnTo>
                  <a:pt x="3169920" y="617220"/>
                </a:lnTo>
                <a:lnTo>
                  <a:pt x="3169920" y="414528"/>
                </a:lnTo>
                <a:close/>
              </a:path>
              <a:path w="6217920" h="1652270">
                <a:moveTo>
                  <a:pt x="3169920" y="207264"/>
                </a:moveTo>
                <a:lnTo>
                  <a:pt x="2409444" y="207264"/>
                </a:lnTo>
                <a:lnTo>
                  <a:pt x="2409444" y="411480"/>
                </a:lnTo>
                <a:lnTo>
                  <a:pt x="3169920" y="411480"/>
                </a:lnTo>
                <a:lnTo>
                  <a:pt x="3169920" y="207264"/>
                </a:lnTo>
                <a:close/>
              </a:path>
              <a:path w="6217920" h="1652270">
                <a:moveTo>
                  <a:pt x="3931920" y="1449324"/>
                </a:moveTo>
                <a:lnTo>
                  <a:pt x="3172968" y="1449324"/>
                </a:lnTo>
                <a:lnTo>
                  <a:pt x="3172968" y="1652016"/>
                </a:lnTo>
                <a:lnTo>
                  <a:pt x="3931920" y="1652016"/>
                </a:lnTo>
                <a:lnTo>
                  <a:pt x="3931920" y="1449324"/>
                </a:lnTo>
                <a:close/>
              </a:path>
              <a:path w="6217920" h="1652270">
                <a:moveTo>
                  <a:pt x="3931920" y="1242060"/>
                </a:moveTo>
                <a:lnTo>
                  <a:pt x="3172968" y="1242060"/>
                </a:lnTo>
                <a:lnTo>
                  <a:pt x="3172968" y="1446276"/>
                </a:lnTo>
                <a:lnTo>
                  <a:pt x="3931920" y="1446276"/>
                </a:lnTo>
                <a:lnTo>
                  <a:pt x="3931920" y="1242060"/>
                </a:lnTo>
                <a:close/>
              </a:path>
              <a:path w="6217920" h="1652270">
                <a:moveTo>
                  <a:pt x="3931920" y="1034796"/>
                </a:moveTo>
                <a:lnTo>
                  <a:pt x="3172968" y="1034796"/>
                </a:lnTo>
                <a:lnTo>
                  <a:pt x="3172968" y="1239012"/>
                </a:lnTo>
                <a:lnTo>
                  <a:pt x="3931920" y="1239012"/>
                </a:lnTo>
                <a:lnTo>
                  <a:pt x="3931920" y="1034796"/>
                </a:lnTo>
                <a:close/>
              </a:path>
              <a:path w="6217920" h="1652270">
                <a:moveTo>
                  <a:pt x="3931920" y="827532"/>
                </a:moveTo>
                <a:lnTo>
                  <a:pt x="3172968" y="827532"/>
                </a:lnTo>
                <a:lnTo>
                  <a:pt x="3172968" y="1031748"/>
                </a:lnTo>
                <a:lnTo>
                  <a:pt x="3931920" y="1031748"/>
                </a:lnTo>
                <a:lnTo>
                  <a:pt x="3931920" y="827532"/>
                </a:lnTo>
                <a:close/>
              </a:path>
              <a:path w="6217920" h="1652270">
                <a:moveTo>
                  <a:pt x="3931920" y="620268"/>
                </a:moveTo>
                <a:lnTo>
                  <a:pt x="3172968" y="620268"/>
                </a:lnTo>
                <a:lnTo>
                  <a:pt x="3172968" y="824484"/>
                </a:lnTo>
                <a:lnTo>
                  <a:pt x="3931920" y="824484"/>
                </a:lnTo>
                <a:lnTo>
                  <a:pt x="3931920" y="620268"/>
                </a:lnTo>
                <a:close/>
              </a:path>
              <a:path w="6217920" h="1652270">
                <a:moveTo>
                  <a:pt x="3931920" y="414528"/>
                </a:moveTo>
                <a:lnTo>
                  <a:pt x="3172968" y="414528"/>
                </a:lnTo>
                <a:lnTo>
                  <a:pt x="3172968" y="617220"/>
                </a:lnTo>
                <a:lnTo>
                  <a:pt x="3931920" y="617220"/>
                </a:lnTo>
                <a:lnTo>
                  <a:pt x="3931920" y="414528"/>
                </a:lnTo>
                <a:close/>
              </a:path>
              <a:path w="6217920" h="1652270">
                <a:moveTo>
                  <a:pt x="3931920" y="207264"/>
                </a:moveTo>
                <a:lnTo>
                  <a:pt x="3172968" y="207264"/>
                </a:lnTo>
                <a:lnTo>
                  <a:pt x="3172968" y="411480"/>
                </a:lnTo>
                <a:lnTo>
                  <a:pt x="3931920" y="411480"/>
                </a:lnTo>
                <a:lnTo>
                  <a:pt x="3931920" y="207264"/>
                </a:lnTo>
                <a:close/>
              </a:path>
              <a:path w="6217920" h="1652270">
                <a:moveTo>
                  <a:pt x="3931920" y="0"/>
                </a:moveTo>
                <a:lnTo>
                  <a:pt x="3172968" y="0"/>
                </a:lnTo>
                <a:lnTo>
                  <a:pt x="3172968" y="204216"/>
                </a:lnTo>
                <a:lnTo>
                  <a:pt x="3931920" y="204216"/>
                </a:lnTo>
                <a:lnTo>
                  <a:pt x="3931920" y="0"/>
                </a:lnTo>
                <a:close/>
              </a:path>
              <a:path w="6217920" h="1652270">
                <a:moveTo>
                  <a:pt x="4693907" y="1449324"/>
                </a:moveTo>
                <a:lnTo>
                  <a:pt x="3934968" y="1449324"/>
                </a:lnTo>
                <a:lnTo>
                  <a:pt x="3934968" y="1652016"/>
                </a:lnTo>
                <a:lnTo>
                  <a:pt x="4693907" y="1652016"/>
                </a:lnTo>
                <a:lnTo>
                  <a:pt x="4693907" y="1449324"/>
                </a:lnTo>
                <a:close/>
              </a:path>
              <a:path w="6217920" h="1652270">
                <a:moveTo>
                  <a:pt x="4693907" y="1242060"/>
                </a:moveTo>
                <a:lnTo>
                  <a:pt x="3934968" y="1242060"/>
                </a:lnTo>
                <a:lnTo>
                  <a:pt x="3934968" y="1446276"/>
                </a:lnTo>
                <a:lnTo>
                  <a:pt x="4693907" y="1446276"/>
                </a:lnTo>
                <a:lnTo>
                  <a:pt x="4693907" y="1242060"/>
                </a:lnTo>
                <a:close/>
              </a:path>
              <a:path w="6217920" h="1652270">
                <a:moveTo>
                  <a:pt x="4693907" y="1034796"/>
                </a:moveTo>
                <a:lnTo>
                  <a:pt x="3934968" y="1034796"/>
                </a:lnTo>
                <a:lnTo>
                  <a:pt x="3934968" y="1239012"/>
                </a:lnTo>
                <a:lnTo>
                  <a:pt x="4693907" y="1239012"/>
                </a:lnTo>
                <a:lnTo>
                  <a:pt x="4693907" y="1034796"/>
                </a:lnTo>
                <a:close/>
              </a:path>
              <a:path w="6217920" h="1652270">
                <a:moveTo>
                  <a:pt x="4693907" y="827532"/>
                </a:moveTo>
                <a:lnTo>
                  <a:pt x="3934968" y="827532"/>
                </a:lnTo>
                <a:lnTo>
                  <a:pt x="3934968" y="1031748"/>
                </a:lnTo>
                <a:lnTo>
                  <a:pt x="4693907" y="1031748"/>
                </a:lnTo>
                <a:lnTo>
                  <a:pt x="4693907" y="827532"/>
                </a:lnTo>
                <a:close/>
              </a:path>
              <a:path w="6217920" h="1652270">
                <a:moveTo>
                  <a:pt x="4693907" y="620268"/>
                </a:moveTo>
                <a:lnTo>
                  <a:pt x="3934968" y="620268"/>
                </a:lnTo>
                <a:lnTo>
                  <a:pt x="3934968" y="824484"/>
                </a:lnTo>
                <a:lnTo>
                  <a:pt x="4693907" y="824484"/>
                </a:lnTo>
                <a:lnTo>
                  <a:pt x="4693907" y="620268"/>
                </a:lnTo>
                <a:close/>
              </a:path>
              <a:path w="6217920" h="1652270">
                <a:moveTo>
                  <a:pt x="4693907" y="414528"/>
                </a:moveTo>
                <a:lnTo>
                  <a:pt x="3934968" y="414528"/>
                </a:lnTo>
                <a:lnTo>
                  <a:pt x="3934968" y="617220"/>
                </a:lnTo>
                <a:lnTo>
                  <a:pt x="4693907" y="617220"/>
                </a:lnTo>
                <a:lnTo>
                  <a:pt x="4693907" y="414528"/>
                </a:lnTo>
                <a:close/>
              </a:path>
              <a:path w="6217920" h="1652270">
                <a:moveTo>
                  <a:pt x="4693907" y="207264"/>
                </a:moveTo>
                <a:lnTo>
                  <a:pt x="3934968" y="207264"/>
                </a:lnTo>
                <a:lnTo>
                  <a:pt x="3934968" y="411480"/>
                </a:lnTo>
                <a:lnTo>
                  <a:pt x="4693907" y="411480"/>
                </a:lnTo>
                <a:lnTo>
                  <a:pt x="4693907" y="207264"/>
                </a:lnTo>
                <a:close/>
              </a:path>
              <a:path w="6217920" h="1652270">
                <a:moveTo>
                  <a:pt x="4693907" y="0"/>
                </a:moveTo>
                <a:lnTo>
                  <a:pt x="3934968" y="0"/>
                </a:lnTo>
                <a:lnTo>
                  <a:pt x="3934968" y="204216"/>
                </a:lnTo>
                <a:lnTo>
                  <a:pt x="4693907" y="204216"/>
                </a:lnTo>
                <a:lnTo>
                  <a:pt x="4693907" y="0"/>
                </a:lnTo>
                <a:close/>
              </a:path>
              <a:path w="6217920" h="1652270">
                <a:moveTo>
                  <a:pt x="5455920" y="1449324"/>
                </a:moveTo>
                <a:lnTo>
                  <a:pt x="4696968" y="1449324"/>
                </a:lnTo>
                <a:lnTo>
                  <a:pt x="4696968" y="1652016"/>
                </a:lnTo>
                <a:lnTo>
                  <a:pt x="5455920" y="1652016"/>
                </a:lnTo>
                <a:lnTo>
                  <a:pt x="5455920" y="1449324"/>
                </a:lnTo>
                <a:close/>
              </a:path>
              <a:path w="6217920" h="1652270">
                <a:moveTo>
                  <a:pt x="5455920" y="1242060"/>
                </a:moveTo>
                <a:lnTo>
                  <a:pt x="4696968" y="1242060"/>
                </a:lnTo>
                <a:lnTo>
                  <a:pt x="4696968" y="1446276"/>
                </a:lnTo>
                <a:lnTo>
                  <a:pt x="5455920" y="1446276"/>
                </a:lnTo>
                <a:lnTo>
                  <a:pt x="5455920" y="1242060"/>
                </a:lnTo>
                <a:close/>
              </a:path>
              <a:path w="6217920" h="1652270">
                <a:moveTo>
                  <a:pt x="5455920" y="1034796"/>
                </a:moveTo>
                <a:lnTo>
                  <a:pt x="4696968" y="1034796"/>
                </a:lnTo>
                <a:lnTo>
                  <a:pt x="4696968" y="1239012"/>
                </a:lnTo>
                <a:lnTo>
                  <a:pt x="5455920" y="1239012"/>
                </a:lnTo>
                <a:lnTo>
                  <a:pt x="5455920" y="1034796"/>
                </a:lnTo>
                <a:close/>
              </a:path>
              <a:path w="6217920" h="1652270">
                <a:moveTo>
                  <a:pt x="5455920" y="827532"/>
                </a:moveTo>
                <a:lnTo>
                  <a:pt x="4696968" y="827532"/>
                </a:lnTo>
                <a:lnTo>
                  <a:pt x="4696968" y="1031748"/>
                </a:lnTo>
                <a:lnTo>
                  <a:pt x="5455920" y="1031748"/>
                </a:lnTo>
                <a:lnTo>
                  <a:pt x="5455920" y="827532"/>
                </a:lnTo>
                <a:close/>
              </a:path>
              <a:path w="6217920" h="1652270">
                <a:moveTo>
                  <a:pt x="5455920" y="620268"/>
                </a:moveTo>
                <a:lnTo>
                  <a:pt x="4696968" y="620268"/>
                </a:lnTo>
                <a:lnTo>
                  <a:pt x="4696968" y="824484"/>
                </a:lnTo>
                <a:lnTo>
                  <a:pt x="5455920" y="824484"/>
                </a:lnTo>
                <a:lnTo>
                  <a:pt x="5455920" y="620268"/>
                </a:lnTo>
                <a:close/>
              </a:path>
              <a:path w="6217920" h="1652270">
                <a:moveTo>
                  <a:pt x="5455920" y="414528"/>
                </a:moveTo>
                <a:lnTo>
                  <a:pt x="4696968" y="414528"/>
                </a:lnTo>
                <a:lnTo>
                  <a:pt x="4696968" y="617220"/>
                </a:lnTo>
                <a:lnTo>
                  <a:pt x="5455920" y="617220"/>
                </a:lnTo>
                <a:lnTo>
                  <a:pt x="5455920" y="414528"/>
                </a:lnTo>
                <a:close/>
              </a:path>
              <a:path w="6217920" h="1652270">
                <a:moveTo>
                  <a:pt x="5455920" y="207264"/>
                </a:moveTo>
                <a:lnTo>
                  <a:pt x="4696968" y="207264"/>
                </a:lnTo>
                <a:lnTo>
                  <a:pt x="4696968" y="411480"/>
                </a:lnTo>
                <a:lnTo>
                  <a:pt x="5455920" y="411480"/>
                </a:lnTo>
                <a:lnTo>
                  <a:pt x="5455920" y="207264"/>
                </a:lnTo>
                <a:close/>
              </a:path>
              <a:path w="6217920" h="1652270">
                <a:moveTo>
                  <a:pt x="5455920" y="0"/>
                </a:moveTo>
                <a:lnTo>
                  <a:pt x="4696968" y="0"/>
                </a:lnTo>
                <a:lnTo>
                  <a:pt x="4696968" y="204216"/>
                </a:lnTo>
                <a:lnTo>
                  <a:pt x="5455920" y="204216"/>
                </a:lnTo>
                <a:lnTo>
                  <a:pt x="5455920" y="0"/>
                </a:lnTo>
                <a:close/>
              </a:path>
              <a:path w="6217920" h="1652270">
                <a:moveTo>
                  <a:pt x="6217920" y="1449324"/>
                </a:moveTo>
                <a:lnTo>
                  <a:pt x="5458968" y="1449324"/>
                </a:lnTo>
                <a:lnTo>
                  <a:pt x="5458968" y="1652016"/>
                </a:lnTo>
                <a:lnTo>
                  <a:pt x="6217920" y="1652016"/>
                </a:lnTo>
                <a:lnTo>
                  <a:pt x="6217920" y="1449324"/>
                </a:lnTo>
                <a:close/>
              </a:path>
              <a:path w="6217920" h="1652270">
                <a:moveTo>
                  <a:pt x="6217920" y="1242060"/>
                </a:moveTo>
                <a:lnTo>
                  <a:pt x="5458968" y="1242060"/>
                </a:lnTo>
                <a:lnTo>
                  <a:pt x="5458968" y="1446276"/>
                </a:lnTo>
                <a:lnTo>
                  <a:pt x="6217920" y="1446276"/>
                </a:lnTo>
                <a:lnTo>
                  <a:pt x="6217920" y="1242060"/>
                </a:lnTo>
                <a:close/>
              </a:path>
              <a:path w="6217920" h="1652270">
                <a:moveTo>
                  <a:pt x="6217920" y="1034796"/>
                </a:moveTo>
                <a:lnTo>
                  <a:pt x="5458968" y="1034796"/>
                </a:lnTo>
                <a:lnTo>
                  <a:pt x="5458968" y="1239012"/>
                </a:lnTo>
                <a:lnTo>
                  <a:pt x="6217920" y="1239012"/>
                </a:lnTo>
                <a:lnTo>
                  <a:pt x="6217920" y="1034796"/>
                </a:lnTo>
                <a:close/>
              </a:path>
              <a:path w="6217920" h="1652270">
                <a:moveTo>
                  <a:pt x="6217920" y="827532"/>
                </a:moveTo>
                <a:lnTo>
                  <a:pt x="5458968" y="827532"/>
                </a:lnTo>
                <a:lnTo>
                  <a:pt x="5458968" y="1031748"/>
                </a:lnTo>
                <a:lnTo>
                  <a:pt x="6217920" y="1031748"/>
                </a:lnTo>
                <a:lnTo>
                  <a:pt x="6217920" y="827532"/>
                </a:lnTo>
                <a:close/>
              </a:path>
              <a:path w="6217920" h="1652270">
                <a:moveTo>
                  <a:pt x="6217920" y="620268"/>
                </a:moveTo>
                <a:lnTo>
                  <a:pt x="5458968" y="620268"/>
                </a:lnTo>
                <a:lnTo>
                  <a:pt x="5458968" y="824484"/>
                </a:lnTo>
                <a:lnTo>
                  <a:pt x="6217920" y="824484"/>
                </a:lnTo>
                <a:lnTo>
                  <a:pt x="6217920" y="620268"/>
                </a:lnTo>
                <a:close/>
              </a:path>
              <a:path w="6217920" h="1652270">
                <a:moveTo>
                  <a:pt x="6217920" y="414528"/>
                </a:moveTo>
                <a:lnTo>
                  <a:pt x="5458968" y="414528"/>
                </a:lnTo>
                <a:lnTo>
                  <a:pt x="5458968" y="617220"/>
                </a:lnTo>
                <a:lnTo>
                  <a:pt x="6217920" y="617220"/>
                </a:lnTo>
                <a:lnTo>
                  <a:pt x="6217920" y="414528"/>
                </a:lnTo>
                <a:close/>
              </a:path>
              <a:path w="6217920" h="1652270">
                <a:moveTo>
                  <a:pt x="6217920" y="207264"/>
                </a:moveTo>
                <a:lnTo>
                  <a:pt x="5458968" y="207264"/>
                </a:lnTo>
                <a:lnTo>
                  <a:pt x="5458968" y="411480"/>
                </a:lnTo>
                <a:lnTo>
                  <a:pt x="6217920" y="411480"/>
                </a:lnTo>
                <a:lnTo>
                  <a:pt x="6217920" y="207264"/>
                </a:lnTo>
                <a:close/>
              </a:path>
              <a:path w="6217920" h="1652270">
                <a:moveTo>
                  <a:pt x="6217920" y="0"/>
                </a:moveTo>
                <a:lnTo>
                  <a:pt x="5458968" y="0"/>
                </a:lnTo>
                <a:lnTo>
                  <a:pt x="5458968" y="204216"/>
                </a:lnTo>
                <a:lnTo>
                  <a:pt x="6217920" y="204216"/>
                </a:lnTo>
                <a:lnTo>
                  <a:pt x="6217920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23</xdr:row>
      <xdr:rowOff>0</xdr:rowOff>
    </xdr:from>
    <xdr:ext cx="645160" cy="3514725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/>
      </xdr:nvSpPr>
      <xdr:spPr>
        <a:xfrm>
          <a:off x="0" y="0"/>
          <a:ext cx="645160" cy="3514725"/>
        </a:xfrm>
        <a:custGeom>
          <a:avLst/>
          <a:gdLst/>
          <a:ahLst/>
          <a:cxnLst/>
          <a:rect l="0" t="0" r="0" b="0"/>
          <a:pathLst>
            <a:path w="645160" h="3514725">
              <a:moveTo>
                <a:pt x="644652" y="3311652"/>
              </a:moveTo>
              <a:lnTo>
                <a:pt x="0" y="3311652"/>
              </a:lnTo>
              <a:lnTo>
                <a:pt x="0" y="3514344"/>
              </a:lnTo>
              <a:lnTo>
                <a:pt x="644652" y="3514344"/>
              </a:lnTo>
              <a:lnTo>
                <a:pt x="644652" y="3311652"/>
              </a:lnTo>
              <a:close/>
            </a:path>
            <a:path w="645160" h="3514725">
              <a:moveTo>
                <a:pt x="644652" y="3104388"/>
              </a:moveTo>
              <a:lnTo>
                <a:pt x="0" y="3104388"/>
              </a:lnTo>
              <a:lnTo>
                <a:pt x="0" y="3308604"/>
              </a:lnTo>
              <a:lnTo>
                <a:pt x="644652" y="3308604"/>
              </a:lnTo>
              <a:lnTo>
                <a:pt x="644652" y="3104388"/>
              </a:lnTo>
              <a:close/>
            </a:path>
            <a:path w="645160" h="3514725">
              <a:moveTo>
                <a:pt x="644652" y="2897124"/>
              </a:moveTo>
              <a:lnTo>
                <a:pt x="0" y="2897124"/>
              </a:lnTo>
              <a:lnTo>
                <a:pt x="0" y="3101340"/>
              </a:lnTo>
              <a:lnTo>
                <a:pt x="644652" y="3101340"/>
              </a:lnTo>
              <a:lnTo>
                <a:pt x="644652" y="2897124"/>
              </a:lnTo>
              <a:close/>
            </a:path>
            <a:path w="645160" h="3514725">
              <a:moveTo>
                <a:pt x="644652" y="2689860"/>
              </a:moveTo>
              <a:lnTo>
                <a:pt x="0" y="2689860"/>
              </a:lnTo>
              <a:lnTo>
                <a:pt x="0" y="2894076"/>
              </a:lnTo>
              <a:lnTo>
                <a:pt x="644652" y="2894076"/>
              </a:lnTo>
              <a:lnTo>
                <a:pt x="644652" y="2689860"/>
              </a:lnTo>
              <a:close/>
            </a:path>
            <a:path w="645160" h="3514725">
              <a:moveTo>
                <a:pt x="644652" y="2482596"/>
              </a:moveTo>
              <a:lnTo>
                <a:pt x="0" y="2482596"/>
              </a:lnTo>
              <a:lnTo>
                <a:pt x="0" y="2686812"/>
              </a:lnTo>
              <a:lnTo>
                <a:pt x="644652" y="2686812"/>
              </a:lnTo>
              <a:lnTo>
                <a:pt x="644652" y="2482596"/>
              </a:lnTo>
              <a:close/>
            </a:path>
            <a:path w="645160" h="3514725">
              <a:moveTo>
                <a:pt x="644652" y="2276856"/>
              </a:moveTo>
              <a:lnTo>
                <a:pt x="0" y="2276856"/>
              </a:lnTo>
              <a:lnTo>
                <a:pt x="0" y="2479548"/>
              </a:lnTo>
              <a:lnTo>
                <a:pt x="644652" y="2479548"/>
              </a:lnTo>
              <a:lnTo>
                <a:pt x="644652" y="2276856"/>
              </a:lnTo>
              <a:close/>
            </a:path>
            <a:path w="645160" h="3514725">
              <a:moveTo>
                <a:pt x="644652" y="2069592"/>
              </a:moveTo>
              <a:lnTo>
                <a:pt x="0" y="2069592"/>
              </a:lnTo>
              <a:lnTo>
                <a:pt x="0" y="2273808"/>
              </a:lnTo>
              <a:lnTo>
                <a:pt x="644652" y="2273808"/>
              </a:lnTo>
              <a:lnTo>
                <a:pt x="644652" y="2069592"/>
              </a:lnTo>
              <a:close/>
            </a:path>
            <a:path w="645160" h="3514725">
              <a:moveTo>
                <a:pt x="644652" y="1862328"/>
              </a:moveTo>
              <a:lnTo>
                <a:pt x="0" y="1862328"/>
              </a:lnTo>
              <a:lnTo>
                <a:pt x="0" y="2066544"/>
              </a:lnTo>
              <a:lnTo>
                <a:pt x="644652" y="2066544"/>
              </a:lnTo>
              <a:lnTo>
                <a:pt x="644652" y="1862328"/>
              </a:lnTo>
              <a:close/>
            </a:path>
            <a:path w="645160" h="3514725">
              <a:moveTo>
                <a:pt x="644652" y="1655064"/>
              </a:moveTo>
              <a:lnTo>
                <a:pt x="0" y="1655064"/>
              </a:lnTo>
              <a:lnTo>
                <a:pt x="0" y="1859280"/>
              </a:lnTo>
              <a:lnTo>
                <a:pt x="644652" y="1859280"/>
              </a:lnTo>
              <a:lnTo>
                <a:pt x="644652" y="1655064"/>
              </a:lnTo>
              <a:close/>
            </a:path>
            <a:path w="645160" h="3514725">
              <a:moveTo>
                <a:pt x="644652" y="1449324"/>
              </a:moveTo>
              <a:lnTo>
                <a:pt x="0" y="1449324"/>
              </a:lnTo>
              <a:lnTo>
                <a:pt x="0" y="1652016"/>
              </a:lnTo>
              <a:lnTo>
                <a:pt x="644652" y="1652016"/>
              </a:lnTo>
              <a:lnTo>
                <a:pt x="644652" y="1449324"/>
              </a:lnTo>
              <a:close/>
            </a:path>
            <a:path w="645160" h="3514725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3514725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3514725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3514725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3514725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3514725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3514725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24</xdr:row>
      <xdr:rowOff>206501</xdr:rowOff>
    </xdr:from>
    <xdr:ext cx="3808729" cy="480059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761</xdr:rowOff>
    </xdr:from>
    <xdr:ext cx="381000" cy="381000"/>
    <xdr:pic>
      <xdr:nvPicPr>
        <xdr:cNvPr id="46" name="image1.jpe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49142</xdr:rowOff>
    </xdr:from>
    <xdr:ext cx="381000" cy="290285"/>
    <xdr:pic>
      <xdr:nvPicPr>
        <xdr:cNvPr id="47" name="image2.jpe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49142</xdr:rowOff>
    </xdr:from>
    <xdr:ext cx="381000" cy="290285"/>
    <xdr:pic>
      <xdr:nvPicPr>
        <xdr:cNvPr id="48" name="image3.jpe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201929</xdr:colOff>
      <xdr:row>3</xdr:row>
      <xdr:rowOff>761</xdr:rowOff>
    </xdr:from>
    <xdr:ext cx="338666" cy="381000"/>
    <xdr:pic>
      <xdr:nvPicPr>
        <xdr:cNvPr id="49" name="image4.jpe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9</xdr:col>
      <xdr:colOff>298691</xdr:colOff>
      <xdr:row>3</xdr:row>
      <xdr:rowOff>49142</xdr:rowOff>
    </xdr:from>
    <xdr:ext cx="193523" cy="290285"/>
    <xdr:pic>
      <xdr:nvPicPr>
        <xdr:cNvPr id="50" name="image5.jpe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26</xdr:row>
      <xdr:rowOff>0</xdr:rowOff>
    </xdr:from>
    <xdr:ext cx="7486015" cy="4343400"/>
    <xdr:grpSp>
      <xdr:nvGrpSpPr>
        <xdr:cNvPr id="51" name="Group 51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GrpSpPr/>
      </xdr:nvGrpSpPr>
      <xdr:grpSpPr>
        <a:xfrm>
          <a:off x="607059" y="6469380"/>
          <a:ext cx="7486015" cy="4343400"/>
          <a:chOff x="0" y="0"/>
          <a:chExt cx="7486015" cy="4343400"/>
        </a:xfrm>
      </xdr:grpSpPr>
      <xdr:sp macro="" textlink="">
        <xdr:nvSpPr>
          <xdr:cNvPr id="52" name="Shape 52">
            <a:extLst>
              <a:ext uri="{FF2B5EF4-FFF2-40B4-BE49-F238E27FC236}">
                <a16:creationId xmlns:a16="http://schemas.microsoft.com/office/drawing/2014/main" id="{00000000-0008-0000-0400-000034000000}"/>
              </a:ext>
            </a:extLst>
          </xdr:cNvPr>
          <xdr:cNvSpPr/>
        </xdr:nvSpPr>
        <xdr:spPr>
          <a:xfrm>
            <a:off x="0" y="0"/>
            <a:ext cx="7486015" cy="2066925"/>
          </a:xfrm>
          <a:custGeom>
            <a:avLst/>
            <a:gdLst/>
            <a:ahLst/>
            <a:cxnLst/>
            <a:rect l="0" t="0" r="0" b="0"/>
            <a:pathLst>
              <a:path w="7486015" h="2066925">
                <a:moveTo>
                  <a:pt x="312420" y="0"/>
                </a:moveTo>
                <a:lnTo>
                  <a:pt x="0" y="0"/>
                </a:lnTo>
                <a:lnTo>
                  <a:pt x="0" y="1031748"/>
                </a:lnTo>
                <a:lnTo>
                  <a:pt x="312420" y="1031748"/>
                </a:lnTo>
                <a:lnTo>
                  <a:pt x="312420" y="0"/>
                </a:lnTo>
                <a:close/>
              </a:path>
              <a:path w="7486015" h="2066925">
                <a:moveTo>
                  <a:pt x="1264920" y="0"/>
                </a:moveTo>
                <a:lnTo>
                  <a:pt x="315468" y="0"/>
                </a:lnTo>
                <a:lnTo>
                  <a:pt x="315468" y="1031748"/>
                </a:lnTo>
                <a:lnTo>
                  <a:pt x="1264920" y="1031748"/>
                </a:lnTo>
                <a:lnTo>
                  <a:pt x="1264920" y="0"/>
                </a:lnTo>
                <a:close/>
              </a:path>
              <a:path w="7486015" h="2066925">
                <a:moveTo>
                  <a:pt x="2531364" y="0"/>
                </a:moveTo>
                <a:lnTo>
                  <a:pt x="1267968" y="0"/>
                </a:lnTo>
                <a:lnTo>
                  <a:pt x="1267968" y="1031748"/>
                </a:lnTo>
                <a:lnTo>
                  <a:pt x="2531364" y="1031748"/>
                </a:lnTo>
                <a:lnTo>
                  <a:pt x="2531364" y="0"/>
                </a:lnTo>
                <a:close/>
              </a:path>
              <a:path w="7486015" h="2066925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066925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066925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206692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06692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06692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066925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06692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06692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066925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2066925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066925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066925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206692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06692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06692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066925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06692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06692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06692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2066925">
                <a:moveTo>
                  <a:pt x="4437888" y="1862328"/>
                </a:moveTo>
                <a:lnTo>
                  <a:pt x="3677412" y="1862328"/>
                </a:lnTo>
                <a:lnTo>
                  <a:pt x="3677412" y="2066544"/>
                </a:lnTo>
                <a:lnTo>
                  <a:pt x="4437888" y="2066544"/>
                </a:lnTo>
                <a:lnTo>
                  <a:pt x="4437888" y="1862328"/>
                </a:lnTo>
                <a:close/>
              </a:path>
              <a:path w="7486015" h="2066925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066925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206692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06692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06692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066925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06692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06692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06692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2066925">
                <a:moveTo>
                  <a:pt x="5199888" y="1862328"/>
                </a:moveTo>
                <a:lnTo>
                  <a:pt x="4440936" y="1862328"/>
                </a:lnTo>
                <a:lnTo>
                  <a:pt x="4440936" y="2066544"/>
                </a:lnTo>
                <a:lnTo>
                  <a:pt x="5199888" y="2066544"/>
                </a:lnTo>
                <a:lnTo>
                  <a:pt x="5199888" y="1862328"/>
                </a:lnTo>
                <a:close/>
              </a:path>
              <a:path w="7486015" h="2066925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066925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206692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06692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06692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066925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06692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06692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06692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2066925">
                <a:moveTo>
                  <a:pt x="5961875" y="1862328"/>
                </a:moveTo>
                <a:lnTo>
                  <a:pt x="5202936" y="1862328"/>
                </a:lnTo>
                <a:lnTo>
                  <a:pt x="5202936" y="2066544"/>
                </a:lnTo>
                <a:lnTo>
                  <a:pt x="5961875" y="2066544"/>
                </a:lnTo>
                <a:lnTo>
                  <a:pt x="5961875" y="1862328"/>
                </a:lnTo>
                <a:close/>
              </a:path>
              <a:path w="7486015" h="2066925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066925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206692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06692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06692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066925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06692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06692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06692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066925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066925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206692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06692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06692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066925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06692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06692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06692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066925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066925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206692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06692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06692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06692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06692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06692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06692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53" name="Shape 53">
            <a:extLst>
              <a:ext uri="{FF2B5EF4-FFF2-40B4-BE49-F238E27FC236}">
                <a16:creationId xmlns:a16="http://schemas.microsoft.com/office/drawing/2014/main" id="{00000000-0008-0000-0400-000035000000}"/>
              </a:ext>
            </a:extLst>
          </xdr:cNvPr>
          <xdr:cNvSpPr/>
        </xdr:nvSpPr>
        <xdr:spPr>
          <a:xfrm>
            <a:off x="0" y="1034795"/>
            <a:ext cx="7486015" cy="3101340"/>
          </a:xfrm>
          <a:custGeom>
            <a:avLst/>
            <a:gdLst/>
            <a:ahLst/>
            <a:cxnLst/>
            <a:rect l="0" t="0" r="0" b="0"/>
            <a:pathLst>
              <a:path w="7486015" h="3101340">
                <a:moveTo>
                  <a:pt x="312420" y="0"/>
                </a:moveTo>
                <a:lnTo>
                  <a:pt x="0" y="0"/>
                </a:lnTo>
                <a:lnTo>
                  <a:pt x="0" y="1859280"/>
                </a:lnTo>
                <a:lnTo>
                  <a:pt x="312420" y="1859280"/>
                </a:lnTo>
                <a:lnTo>
                  <a:pt x="312420" y="0"/>
                </a:lnTo>
                <a:close/>
              </a:path>
              <a:path w="7486015" h="3101340">
                <a:moveTo>
                  <a:pt x="1264920" y="0"/>
                </a:moveTo>
                <a:lnTo>
                  <a:pt x="315468" y="0"/>
                </a:lnTo>
                <a:lnTo>
                  <a:pt x="315468" y="1859280"/>
                </a:lnTo>
                <a:lnTo>
                  <a:pt x="1264920" y="1859280"/>
                </a:lnTo>
                <a:lnTo>
                  <a:pt x="1264920" y="0"/>
                </a:lnTo>
                <a:close/>
              </a:path>
              <a:path w="7486015" h="3101340">
                <a:moveTo>
                  <a:pt x="2531364" y="0"/>
                </a:moveTo>
                <a:lnTo>
                  <a:pt x="1267968" y="0"/>
                </a:lnTo>
                <a:lnTo>
                  <a:pt x="1267968" y="1859280"/>
                </a:lnTo>
                <a:lnTo>
                  <a:pt x="2531364" y="1859280"/>
                </a:lnTo>
                <a:lnTo>
                  <a:pt x="2531364" y="0"/>
                </a:lnTo>
                <a:close/>
              </a:path>
              <a:path w="7486015" h="3101340">
                <a:moveTo>
                  <a:pt x="3037332" y="2897124"/>
                </a:moveTo>
                <a:lnTo>
                  <a:pt x="2534412" y="2897124"/>
                </a:lnTo>
                <a:lnTo>
                  <a:pt x="2534412" y="3101340"/>
                </a:lnTo>
                <a:lnTo>
                  <a:pt x="3037332" y="3101340"/>
                </a:lnTo>
                <a:lnTo>
                  <a:pt x="3037332" y="2897124"/>
                </a:lnTo>
                <a:close/>
              </a:path>
              <a:path w="7486015" h="3101340">
                <a:moveTo>
                  <a:pt x="3037332" y="2689860"/>
                </a:moveTo>
                <a:lnTo>
                  <a:pt x="2534412" y="2689860"/>
                </a:lnTo>
                <a:lnTo>
                  <a:pt x="2534412" y="2894076"/>
                </a:lnTo>
                <a:lnTo>
                  <a:pt x="3037332" y="2894076"/>
                </a:lnTo>
                <a:lnTo>
                  <a:pt x="3037332" y="2689860"/>
                </a:lnTo>
                <a:close/>
              </a:path>
              <a:path w="7486015" h="3101340">
                <a:moveTo>
                  <a:pt x="3037332" y="2482596"/>
                </a:moveTo>
                <a:lnTo>
                  <a:pt x="2534412" y="2482596"/>
                </a:lnTo>
                <a:lnTo>
                  <a:pt x="2534412" y="2686812"/>
                </a:lnTo>
                <a:lnTo>
                  <a:pt x="3037332" y="2686812"/>
                </a:lnTo>
                <a:lnTo>
                  <a:pt x="3037332" y="2482596"/>
                </a:lnTo>
                <a:close/>
              </a:path>
              <a:path w="7486015" h="3101340">
                <a:moveTo>
                  <a:pt x="3037332" y="2276856"/>
                </a:moveTo>
                <a:lnTo>
                  <a:pt x="2534412" y="2276856"/>
                </a:lnTo>
                <a:lnTo>
                  <a:pt x="2534412" y="2479548"/>
                </a:lnTo>
                <a:lnTo>
                  <a:pt x="3037332" y="2479548"/>
                </a:lnTo>
                <a:lnTo>
                  <a:pt x="3037332" y="2276856"/>
                </a:lnTo>
                <a:close/>
              </a:path>
              <a:path w="7486015" h="3101340">
                <a:moveTo>
                  <a:pt x="3037332" y="2069592"/>
                </a:moveTo>
                <a:lnTo>
                  <a:pt x="2534412" y="2069592"/>
                </a:lnTo>
                <a:lnTo>
                  <a:pt x="2534412" y="2273808"/>
                </a:lnTo>
                <a:lnTo>
                  <a:pt x="3037332" y="2273808"/>
                </a:lnTo>
                <a:lnTo>
                  <a:pt x="3037332" y="2069592"/>
                </a:lnTo>
                <a:close/>
              </a:path>
              <a:path w="7486015" h="3101340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3101340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3101340">
                <a:moveTo>
                  <a:pt x="3037332" y="1447800"/>
                </a:moveTo>
                <a:lnTo>
                  <a:pt x="2534412" y="1447800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7800"/>
                </a:lnTo>
                <a:close/>
              </a:path>
              <a:path w="7486015" h="3101340">
                <a:moveTo>
                  <a:pt x="3037332" y="1242060"/>
                </a:moveTo>
                <a:lnTo>
                  <a:pt x="2534412" y="1242060"/>
                </a:lnTo>
                <a:lnTo>
                  <a:pt x="2534412" y="1444752"/>
                </a:lnTo>
                <a:lnTo>
                  <a:pt x="3037332" y="1444752"/>
                </a:lnTo>
                <a:lnTo>
                  <a:pt x="3037332" y="1242060"/>
                </a:lnTo>
                <a:close/>
              </a:path>
              <a:path w="7486015" h="3101340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3101340">
                <a:moveTo>
                  <a:pt x="3674364" y="2897124"/>
                </a:moveTo>
                <a:lnTo>
                  <a:pt x="3040380" y="2897124"/>
                </a:lnTo>
                <a:lnTo>
                  <a:pt x="3040380" y="3101340"/>
                </a:lnTo>
                <a:lnTo>
                  <a:pt x="3674364" y="3101340"/>
                </a:lnTo>
                <a:lnTo>
                  <a:pt x="3674364" y="2897124"/>
                </a:lnTo>
                <a:close/>
              </a:path>
              <a:path w="7486015" h="3101340">
                <a:moveTo>
                  <a:pt x="3674364" y="2689860"/>
                </a:moveTo>
                <a:lnTo>
                  <a:pt x="3040380" y="2689860"/>
                </a:lnTo>
                <a:lnTo>
                  <a:pt x="3040380" y="2894076"/>
                </a:lnTo>
                <a:lnTo>
                  <a:pt x="3674364" y="2894076"/>
                </a:lnTo>
                <a:lnTo>
                  <a:pt x="3674364" y="2689860"/>
                </a:lnTo>
                <a:close/>
              </a:path>
              <a:path w="7486015" h="3101340">
                <a:moveTo>
                  <a:pt x="3674364" y="2482596"/>
                </a:moveTo>
                <a:lnTo>
                  <a:pt x="3040380" y="2482596"/>
                </a:lnTo>
                <a:lnTo>
                  <a:pt x="3040380" y="2686812"/>
                </a:lnTo>
                <a:lnTo>
                  <a:pt x="3674364" y="2686812"/>
                </a:lnTo>
                <a:lnTo>
                  <a:pt x="3674364" y="2482596"/>
                </a:lnTo>
                <a:close/>
              </a:path>
              <a:path w="7486015" h="3101340">
                <a:moveTo>
                  <a:pt x="3674364" y="2276856"/>
                </a:moveTo>
                <a:lnTo>
                  <a:pt x="3040380" y="2276856"/>
                </a:lnTo>
                <a:lnTo>
                  <a:pt x="3040380" y="2479548"/>
                </a:lnTo>
                <a:lnTo>
                  <a:pt x="3674364" y="2479548"/>
                </a:lnTo>
                <a:lnTo>
                  <a:pt x="3674364" y="2276856"/>
                </a:lnTo>
                <a:close/>
              </a:path>
              <a:path w="7486015" h="3101340">
                <a:moveTo>
                  <a:pt x="3674364" y="2069592"/>
                </a:moveTo>
                <a:lnTo>
                  <a:pt x="3040380" y="2069592"/>
                </a:lnTo>
                <a:lnTo>
                  <a:pt x="3040380" y="2273808"/>
                </a:lnTo>
                <a:lnTo>
                  <a:pt x="3674364" y="2273808"/>
                </a:lnTo>
                <a:lnTo>
                  <a:pt x="3674364" y="2069592"/>
                </a:lnTo>
                <a:close/>
              </a:path>
              <a:path w="7486015" h="3101340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3101340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3101340">
                <a:moveTo>
                  <a:pt x="3674364" y="1447800"/>
                </a:moveTo>
                <a:lnTo>
                  <a:pt x="3040380" y="1447800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7800"/>
                </a:lnTo>
                <a:close/>
              </a:path>
              <a:path w="7486015" h="3101340">
                <a:moveTo>
                  <a:pt x="3674364" y="1242060"/>
                </a:moveTo>
                <a:lnTo>
                  <a:pt x="3040380" y="1242060"/>
                </a:lnTo>
                <a:lnTo>
                  <a:pt x="3040380" y="1444752"/>
                </a:lnTo>
                <a:lnTo>
                  <a:pt x="3674364" y="1444752"/>
                </a:lnTo>
                <a:lnTo>
                  <a:pt x="3674364" y="1242060"/>
                </a:lnTo>
                <a:close/>
              </a:path>
              <a:path w="7486015" h="3101340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3101340">
                <a:moveTo>
                  <a:pt x="4437888" y="2689860"/>
                </a:moveTo>
                <a:lnTo>
                  <a:pt x="3677412" y="2689860"/>
                </a:lnTo>
                <a:lnTo>
                  <a:pt x="3677412" y="2894076"/>
                </a:lnTo>
                <a:lnTo>
                  <a:pt x="4437888" y="2894076"/>
                </a:lnTo>
                <a:lnTo>
                  <a:pt x="4437888" y="2689860"/>
                </a:lnTo>
                <a:close/>
              </a:path>
              <a:path w="7486015" h="3101340">
                <a:moveTo>
                  <a:pt x="4437888" y="2482596"/>
                </a:moveTo>
                <a:lnTo>
                  <a:pt x="3677412" y="2482596"/>
                </a:lnTo>
                <a:lnTo>
                  <a:pt x="3677412" y="2686812"/>
                </a:lnTo>
                <a:lnTo>
                  <a:pt x="4437888" y="2686812"/>
                </a:lnTo>
                <a:lnTo>
                  <a:pt x="4437888" y="2482596"/>
                </a:lnTo>
                <a:close/>
              </a:path>
              <a:path w="7486015" h="3101340">
                <a:moveTo>
                  <a:pt x="4437888" y="2276856"/>
                </a:moveTo>
                <a:lnTo>
                  <a:pt x="3677412" y="2276856"/>
                </a:lnTo>
                <a:lnTo>
                  <a:pt x="3677412" y="2479548"/>
                </a:lnTo>
                <a:lnTo>
                  <a:pt x="4437888" y="2479548"/>
                </a:lnTo>
                <a:lnTo>
                  <a:pt x="4437888" y="2276856"/>
                </a:lnTo>
                <a:close/>
              </a:path>
              <a:path w="7486015" h="3101340">
                <a:moveTo>
                  <a:pt x="4437888" y="2069592"/>
                </a:moveTo>
                <a:lnTo>
                  <a:pt x="3677412" y="2069592"/>
                </a:lnTo>
                <a:lnTo>
                  <a:pt x="3677412" y="2273808"/>
                </a:lnTo>
                <a:lnTo>
                  <a:pt x="4437888" y="2273808"/>
                </a:lnTo>
                <a:lnTo>
                  <a:pt x="4437888" y="2069592"/>
                </a:lnTo>
                <a:close/>
              </a:path>
              <a:path w="7486015" h="3101340">
                <a:moveTo>
                  <a:pt x="4437888" y="1862328"/>
                </a:moveTo>
                <a:lnTo>
                  <a:pt x="3677412" y="1862328"/>
                </a:lnTo>
                <a:lnTo>
                  <a:pt x="3677412" y="2066544"/>
                </a:lnTo>
                <a:lnTo>
                  <a:pt x="4437888" y="2066544"/>
                </a:lnTo>
                <a:lnTo>
                  <a:pt x="4437888" y="1862328"/>
                </a:lnTo>
                <a:close/>
              </a:path>
              <a:path w="7486015" h="3101340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3101340">
                <a:moveTo>
                  <a:pt x="4437888" y="1447800"/>
                </a:moveTo>
                <a:lnTo>
                  <a:pt x="3677412" y="1447800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7800"/>
                </a:lnTo>
                <a:close/>
              </a:path>
              <a:path w="7486015" h="3101340">
                <a:moveTo>
                  <a:pt x="4437888" y="1242060"/>
                </a:moveTo>
                <a:lnTo>
                  <a:pt x="3677412" y="1242060"/>
                </a:lnTo>
                <a:lnTo>
                  <a:pt x="3677412" y="1444752"/>
                </a:lnTo>
                <a:lnTo>
                  <a:pt x="4437888" y="1444752"/>
                </a:lnTo>
                <a:lnTo>
                  <a:pt x="4437888" y="1242060"/>
                </a:lnTo>
                <a:close/>
              </a:path>
              <a:path w="7486015" h="3101340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3101340">
                <a:moveTo>
                  <a:pt x="5199888" y="2689860"/>
                </a:moveTo>
                <a:lnTo>
                  <a:pt x="4440936" y="2689860"/>
                </a:lnTo>
                <a:lnTo>
                  <a:pt x="4440936" y="2894076"/>
                </a:lnTo>
                <a:lnTo>
                  <a:pt x="5199888" y="2894076"/>
                </a:lnTo>
                <a:lnTo>
                  <a:pt x="5199888" y="2689860"/>
                </a:lnTo>
                <a:close/>
              </a:path>
              <a:path w="7486015" h="3101340">
                <a:moveTo>
                  <a:pt x="5199888" y="2482596"/>
                </a:moveTo>
                <a:lnTo>
                  <a:pt x="4440936" y="2482596"/>
                </a:lnTo>
                <a:lnTo>
                  <a:pt x="4440936" y="2686812"/>
                </a:lnTo>
                <a:lnTo>
                  <a:pt x="5199888" y="2686812"/>
                </a:lnTo>
                <a:lnTo>
                  <a:pt x="5199888" y="2482596"/>
                </a:lnTo>
                <a:close/>
              </a:path>
              <a:path w="7486015" h="3101340">
                <a:moveTo>
                  <a:pt x="5199888" y="2276856"/>
                </a:moveTo>
                <a:lnTo>
                  <a:pt x="4440936" y="2276856"/>
                </a:lnTo>
                <a:lnTo>
                  <a:pt x="4440936" y="2479548"/>
                </a:lnTo>
                <a:lnTo>
                  <a:pt x="5199888" y="2479548"/>
                </a:lnTo>
                <a:lnTo>
                  <a:pt x="5199888" y="2276856"/>
                </a:lnTo>
                <a:close/>
              </a:path>
              <a:path w="7486015" h="3101340">
                <a:moveTo>
                  <a:pt x="5199888" y="2069592"/>
                </a:moveTo>
                <a:lnTo>
                  <a:pt x="4440936" y="2069592"/>
                </a:lnTo>
                <a:lnTo>
                  <a:pt x="4440936" y="2273808"/>
                </a:lnTo>
                <a:lnTo>
                  <a:pt x="5199888" y="2273808"/>
                </a:lnTo>
                <a:lnTo>
                  <a:pt x="5199888" y="2069592"/>
                </a:lnTo>
                <a:close/>
              </a:path>
              <a:path w="7486015" h="3101340">
                <a:moveTo>
                  <a:pt x="5199888" y="1862328"/>
                </a:moveTo>
                <a:lnTo>
                  <a:pt x="4440936" y="1862328"/>
                </a:lnTo>
                <a:lnTo>
                  <a:pt x="4440936" y="2066544"/>
                </a:lnTo>
                <a:lnTo>
                  <a:pt x="5199888" y="2066544"/>
                </a:lnTo>
                <a:lnTo>
                  <a:pt x="5199888" y="1862328"/>
                </a:lnTo>
                <a:close/>
              </a:path>
              <a:path w="7486015" h="3101340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3101340">
                <a:moveTo>
                  <a:pt x="5199888" y="1447800"/>
                </a:moveTo>
                <a:lnTo>
                  <a:pt x="4440936" y="1447800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7800"/>
                </a:lnTo>
                <a:close/>
              </a:path>
              <a:path w="7486015" h="3101340">
                <a:moveTo>
                  <a:pt x="5199888" y="1242060"/>
                </a:moveTo>
                <a:lnTo>
                  <a:pt x="4440936" y="1242060"/>
                </a:lnTo>
                <a:lnTo>
                  <a:pt x="4440936" y="1444752"/>
                </a:lnTo>
                <a:lnTo>
                  <a:pt x="5199888" y="1444752"/>
                </a:lnTo>
                <a:lnTo>
                  <a:pt x="5199888" y="1242060"/>
                </a:lnTo>
                <a:close/>
              </a:path>
              <a:path w="7486015" h="3101340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3101340">
                <a:moveTo>
                  <a:pt x="5961875" y="2689860"/>
                </a:moveTo>
                <a:lnTo>
                  <a:pt x="5202936" y="2689860"/>
                </a:lnTo>
                <a:lnTo>
                  <a:pt x="5202936" y="2894076"/>
                </a:lnTo>
                <a:lnTo>
                  <a:pt x="5961875" y="2894076"/>
                </a:lnTo>
                <a:lnTo>
                  <a:pt x="5961875" y="2689860"/>
                </a:lnTo>
                <a:close/>
              </a:path>
              <a:path w="7486015" h="3101340">
                <a:moveTo>
                  <a:pt x="5961875" y="2482596"/>
                </a:moveTo>
                <a:lnTo>
                  <a:pt x="5202936" y="2482596"/>
                </a:lnTo>
                <a:lnTo>
                  <a:pt x="5202936" y="2686812"/>
                </a:lnTo>
                <a:lnTo>
                  <a:pt x="5961875" y="2686812"/>
                </a:lnTo>
                <a:lnTo>
                  <a:pt x="5961875" y="2482596"/>
                </a:lnTo>
                <a:close/>
              </a:path>
              <a:path w="7486015" h="3101340">
                <a:moveTo>
                  <a:pt x="5961875" y="2276856"/>
                </a:moveTo>
                <a:lnTo>
                  <a:pt x="5202936" y="2276856"/>
                </a:lnTo>
                <a:lnTo>
                  <a:pt x="5202936" y="2479548"/>
                </a:lnTo>
                <a:lnTo>
                  <a:pt x="5961875" y="2479548"/>
                </a:lnTo>
                <a:lnTo>
                  <a:pt x="5961875" y="2276856"/>
                </a:lnTo>
                <a:close/>
              </a:path>
              <a:path w="7486015" h="3101340">
                <a:moveTo>
                  <a:pt x="5961875" y="2069592"/>
                </a:moveTo>
                <a:lnTo>
                  <a:pt x="5202936" y="2069592"/>
                </a:lnTo>
                <a:lnTo>
                  <a:pt x="5202936" y="2273808"/>
                </a:lnTo>
                <a:lnTo>
                  <a:pt x="5961875" y="2273808"/>
                </a:lnTo>
                <a:lnTo>
                  <a:pt x="5961875" y="2069592"/>
                </a:lnTo>
                <a:close/>
              </a:path>
              <a:path w="7486015" h="3101340">
                <a:moveTo>
                  <a:pt x="5961875" y="1862328"/>
                </a:moveTo>
                <a:lnTo>
                  <a:pt x="5202936" y="1862328"/>
                </a:lnTo>
                <a:lnTo>
                  <a:pt x="5202936" y="2066544"/>
                </a:lnTo>
                <a:lnTo>
                  <a:pt x="5961875" y="2066544"/>
                </a:lnTo>
                <a:lnTo>
                  <a:pt x="5961875" y="1862328"/>
                </a:lnTo>
                <a:close/>
              </a:path>
              <a:path w="7486015" h="3101340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3101340">
                <a:moveTo>
                  <a:pt x="5961875" y="1447800"/>
                </a:moveTo>
                <a:lnTo>
                  <a:pt x="5202936" y="1447800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7800"/>
                </a:lnTo>
                <a:close/>
              </a:path>
              <a:path w="7486015" h="3101340">
                <a:moveTo>
                  <a:pt x="5961875" y="1242060"/>
                </a:moveTo>
                <a:lnTo>
                  <a:pt x="5202936" y="1242060"/>
                </a:lnTo>
                <a:lnTo>
                  <a:pt x="5202936" y="1444752"/>
                </a:lnTo>
                <a:lnTo>
                  <a:pt x="5961875" y="1444752"/>
                </a:lnTo>
                <a:lnTo>
                  <a:pt x="5961875" y="1242060"/>
                </a:lnTo>
                <a:close/>
              </a:path>
              <a:path w="7486015" h="3101340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3101340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3101340">
                <a:moveTo>
                  <a:pt x="6723888" y="2689860"/>
                </a:moveTo>
                <a:lnTo>
                  <a:pt x="5964936" y="2689860"/>
                </a:lnTo>
                <a:lnTo>
                  <a:pt x="5964936" y="2894076"/>
                </a:lnTo>
                <a:lnTo>
                  <a:pt x="6723888" y="2894076"/>
                </a:lnTo>
                <a:lnTo>
                  <a:pt x="6723888" y="2689860"/>
                </a:lnTo>
                <a:close/>
              </a:path>
              <a:path w="7486015" h="3101340">
                <a:moveTo>
                  <a:pt x="6723888" y="2482596"/>
                </a:moveTo>
                <a:lnTo>
                  <a:pt x="5964936" y="2482596"/>
                </a:lnTo>
                <a:lnTo>
                  <a:pt x="5964936" y="2686812"/>
                </a:lnTo>
                <a:lnTo>
                  <a:pt x="6723888" y="2686812"/>
                </a:lnTo>
                <a:lnTo>
                  <a:pt x="6723888" y="2482596"/>
                </a:lnTo>
                <a:close/>
              </a:path>
              <a:path w="7486015" h="3101340">
                <a:moveTo>
                  <a:pt x="6723888" y="2276856"/>
                </a:moveTo>
                <a:lnTo>
                  <a:pt x="5964936" y="2276856"/>
                </a:lnTo>
                <a:lnTo>
                  <a:pt x="5964936" y="2479548"/>
                </a:lnTo>
                <a:lnTo>
                  <a:pt x="6723888" y="2479548"/>
                </a:lnTo>
                <a:lnTo>
                  <a:pt x="6723888" y="2276856"/>
                </a:lnTo>
                <a:close/>
              </a:path>
              <a:path w="7486015" h="3101340">
                <a:moveTo>
                  <a:pt x="6723888" y="2069592"/>
                </a:moveTo>
                <a:lnTo>
                  <a:pt x="5964936" y="2069592"/>
                </a:lnTo>
                <a:lnTo>
                  <a:pt x="5964936" y="2273808"/>
                </a:lnTo>
                <a:lnTo>
                  <a:pt x="6723888" y="2273808"/>
                </a:lnTo>
                <a:lnTo>
                  <a:pt x="6723888" y="2069592"/>
                </a:lnTo>
                <a:close/>
              </a:path>
              <a:path w="7486015" h="3101340">
                <a:moveTo>
                  <a:pt x="6723888" y="1862328"/>
                </a:moveTo>
                <a:lnTo>
                  <a:pt x="5964936" y="1862328"/>
                </a:lnTo>
                <a:lnTo>
                  <a:pt x="5964936" y="2066544"/>
                </a:lnTo>
                <a:lnTo>
                  <a:pt x="6723888" y="2066544"/>
                </a:lnTo>
                <a:lnTo>
                  <a:pt x="6723888" y="1862328"/>
                </a:lnTo>
                <a:close/>
              </a:path>
              <a:path w="7486015" h="3101340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3101340">
                <a:moveTo>
                  <a:pt x="6723888" y="1447800"/>
                </a:moveTo>
                <a:lnTo>
                  <a:pt x="5964936" y="1447800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7800"/>
                </a:lnTo>
                <a:close/>
              </a:path>
              <a:path w="7486015" h="3101340">
                <a:moveTo>
                  <a:pt x="6723888" y="1242060"/>
                </a:moveTo>
                <a:lnTo>
                  <a:pt x="5964936" y="1242060"/>
                </a:lnTo>
                <a:lnTo>
                  <a:pt x="5964936" y="1444752"/>
                </a:lnTo>
                <a:lnTo>
                  <a:pt x="6723888" y="1444752"/>
                </a:lnTo>
                <a:lnTo>
                  <a:pt x="6723888" y="1242060"/>
                </a:lnTo>
                <a:close/>
              </a:path>
              <a:path w="7486015" h="3101340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3101340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3101340">
                <a:moveTo>
                  <a:pt x="7485888" y="2689860"/>
                </a:moveTo>
                <a:lnTo>
                  <a:pt x="6726936" y="2689860"/>
                </a:lnTo>
                <a:lnTo>
                  <a:pt x="6726936" y="2894076"/>
                </a:lnTo>
                <a:lnTo>
                  <a:pt x="7485888" y="2894076"/>
                </a:lnTo>
                <a:lnTo>
                  <a:pt x="7485888" y="2689860"/>
                </a:lnTo>
                <a:close/>
              </a:path>
              <a:path w="7486015" h="3101340">
                <a:moveTo>
                  <a:pt x="7485888" y="2482596"/>
                </a:moveTo>
                <a:lnTo>
                  <a:pt x="6726936" y="2482596"/>
                </a:lnTo>
                <a:lnTo>
                  <a:pt x="6726936" y="2686812"/>
                </a:lnTo>
                <a:lnTo>
                  <a:pt x="7485888" y="2686812"/>
                </a:lnTo>
                <a:lnTo>
                  <a:pt x="7485888" y="2482596"/>
                </a:lnTo>
                <a:close/>
              </a:path>
              <a:path w="7486015" h="3101340">
                <a:moveTo>
                  <a:pt x="7485888" y="2276856"/>
                </a:moveTo>
                <a:lnTo>
                  <a:pt x="6726936" y="2276856"/>
                </a:lnTo>
                <a:lnTo>
                  <a:pt x="6726936" y="2479548"/>
                </a:lnTo>
                <a:lnTo>
                  <a:pt x="7485888" y="2479548"/>
                </a:lnTo>
                <a:lnTo>
                  <a:pt x="7485888" y="2276856"/>
                </a:lnTo>
                <a:close/>
              </a:path>
              <a:path w="7486015" h="3101340">
                <a:moveTo>
                  <a:pt x="7485888" y="2069592"/>
                </a:moveTo>
                <a:lnTo>
                  <a:pt x="6726936" y="2069592"/>
                </a:lnTo>
                <a:lnTo>
                  <a:pt x="6726936" y="2273808"/>
                </a:lnTo>
                <a:lnTo>
                  <a:pt x="7485888" y="2273808"/>
                </a:lnTo>
                <a:lnTo>
                  <a:pt x="7485888" y="2069592"/>
                </a:lnTo>
                <a:close/>
              </a:path>
              <a:path w="7486015" h="3101340">
                <a:moveTo>
                  <a:pt x="7485888" y="1862328"/>
                </a:moveTo>
                <a:lnTo>
                  <a:pt x="6726936" y="1862328"/>
                </a:lnTo>
                <a:lnTo>
                  <a:pt x="6726936" y="2066544"/>
                </a:lnTo>
                <a:lnTo>
                  <a:pt x="7485888" y="2066544"/>
                </a:lnTo>
                <a:lnTo>
                  <a:pt x="7485888" y="1862328"/>
                </a:lnTo>
                <a:close/>
              </a:path>
              <a:path w="7486015" h="3101340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3101340">
                <a:moveTo>
                  <a:pt x="7485888" y="1447800"/>
                </a:moveTo>
                <a:lnTo>
                  <a:pt x="6726936" y="1447800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7800"/>
                </a:lnTo>
                <a:close/>
              </a:path>
              <a:path w="7486015" h="3101340">
                <a:moveTo>
                  <a:pt x="7485888" y="1242060"/>
                </a:moveTo>
                <a:lnTo>
                  <a:pt x="6726936" y="1242060"/>
                </a:lnTo>
                <a:lnTo>
                  <a:pt x="6726936" y="1444752"/>
                </a:lnTo>
                <a:lnTo>
                  <a:pt x="7485888" y="1444752"/>
                </a:lnTo>
                <a:lnTo>
                  <a:pt x="7485888" y="1242060"/>
                </a:lnTo>
                <a:close/>
              </a:path>
              <a:path w="7486015" h="3101340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3101340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54" name="Shape 54">
            <a:extLst>
              <a:ext uri="{FF2B5EF4-FFF2-40B4-BE49-F238E27FC236}">
                <a16:creationId xmlns:a16="http://schemas.microsoft.com/office/drawing/2014/main" id="{00000000-0008-0000-0400-000036000000}"/>
              </a:ext>
            </a:extLst>
          </xdr:cNvPr>
          <xdr:cNvSpPr/>
        </xdr:nvSpPr>
        <xdr:spPr>
          <a:xfrm>
            <a:off x="1267968" y="2897123"/>
            <a:ext cx="6217920" cy="1446530"/>
          </a:xfrm>
          <a:custGeom>
            <a:avLst/>
            <a:gdLst/>
            <a:ahLst/>
            <a:cxnLst/>
            <a:rect l="0" t="0" r="0" b="0"/>
            <a:pathLst>
              <a:path w="6217920" h="1446530">
                <a:moveTo>
                  <a:pt x="1263396" y="0"/>
                </a:moveTo>
                <a:lnTo>
                  <a:pt x="0" y="0"/>
                </a:lnTo>
                <a:lnTo>
                  <a:pt x="0" y="1446276"/>
                </a:lnTo>
                <a:lnTo>
                  <a:pt x="1263396" y="1446276"/>
                </a:lnTo>
                <a:lnTo>
                  <a:pt x="1263396" y="0"/>
                </a:lnTo>
                <a:close/>
              </a:path>
              <a:path w="6217920" h="1446530">
                <a:moveTo>
                  <a:pt x="1769364" y="1242060"/>
                </a:moveTo>
                <a:lnTo>
                  <a:pt x="1266444" y="1242060"/>
                </a:lnTo>
                <a:lnTo>
                  <a:pt x="1266444" y="1446276"/>
                </a:lnTo>
                <a:lnTo>
                  <a:pt x="1769364" y="1446276"/>
                </a:lnTo>
                <a:lnTo>
                  <a:pt x="1769364" y="1242060"/>
                </a:lnTo>
                <a:close/>
              </a:path>
              <a:path w="6217920" h="1446530">
                <a:moveTo>
                  <a:pt x="2406396" y="1242060"/>
                </a:moveTo>
                <a:lnTo>
                  <a:pt x="1772412" y="1242060"/>
                </a:lnTo>
                <a:lnTo>
                  <a:pt x="1772412" y="1446276"/>
                </a:lnTo>
                <a:lnTo>
                  <a:pt x="2406396" y="1446276"/>
                </a:lnTo>
                <a:lnTo>
                  <a:pt x="2406396" y="1242060"/>
                </a:lnTo>
                <a:close/>
              </a:path>
              <a:path w="6217920" h="1446530">
                <a:moveTo>
                  <a:pt x="2406396" y="1034796"/>
                </a:moveTo>
                <a:lnTo>
                  <a:pt x="1772412" y="1034796"/>
                </a:lnTo>
                <a:lnTo>
                  <a:pt x="1772412" y="1239012"/>
                </a:lnTo>
                <a:lnTo>
                  <a:pt x="2406396" y="1239012"/>
                </a:lnTo>
                <a:lnTo>
                  <a:pt x="2406396" y="1034796"/>
                </a:lnTo>
                <a:close/>
              </a:path>
              <a:path w="6217920" h="1446530">
                <a:moveTo>
                  <a:pt x="3169920" y="1242060"/>
                </a:moveTo>
                <a:lnTo>
                  <a:pt x="2409444" y="1242060"/>
                </a:lnTo>
                <a:lnTo>
                  <a:pt x="2409444" y="1446276"/>
                </a:lnTo>
                <a:lnTo>
                  <a:pt x="3169920" y="1446276"/>
                </a:lnTo>
                <a:lnTo>
                  <a:pt x="3169920" y="1242060"/>
                </a:lnTo>
                <a:close/>
              </a:path>
              <a:path w="6217920" h="1446530">
                <a:moveTo>
                  <a:pt x="3169920" y="1034796"/>
                </a:moveTo>
                <a:lnTo>
                  <a:pt x="2409444" y="1034796"/>
                </a:lnTo>
                <a:lnTo>
                  <a:pt x="2409444" y="1239012"/>
                </a:lnTo>
                <a:lnTo>
                  <a:pt x="3169920" y="1239012"/>
                </a:lnTo>
                <a:lnTo>
                  <a:pt x="3169920" y="1034796"/>
                </a:lnTo>
                <a:close/>
              </a:path>
              <a:path w="6217920" h="1446530">
                <a:moveTo>
                  <a:pt x="3931920" y="1242060"/>
                </a:moveTo>
                <a:lnTo>
                  <a:pt x="3172968" y="1242060"/>
                </a:lnTo>
                <a:lnTo>
                  <a:pt x="3172968" y="1446276"/>
                </a:lnTo>
                <a:lnTo>
                  <a:pt x="3931920" y="1446276"/>
                </a:lnTo>
                <a:lnTo>
                  <a:pt x="3931920" y="1242060"/>
                </a:lnTo>
                <a:close/>
              </a:path>
              <a:path w="6217920" h="1446530">
                <a:moveTo>
                  <a:pt x="3931920" y="1034796"/>
                </a:moveTo>
                <a:lnTo>
                  <a:pt x="3172968" y="1034796"/>
                </a:lnTo>
                <a:lnTo>
                  <a:pt x="3172968" y="1239012"/>
                </a:lnTo>
                <a:lnTo>
                  <a:pt x="3931920" y="1239012"/>
                </a:lnTo>
                <a:lnTo>
                  <a:pt x="3931920" y="1034796"/>
                </a:lnTo>
                <a:close/>
              </a:path>
              <a:path w="6217920" h="1446530">
                <a:moveTo>
                  <a:pt x="4693907" y="1242060"/>
                </a:moveTo>
                <a:lnTo>
                  <a:pt x="3934968" y="1242060"/>
                </a:lnTo>
                <a:lnTo>
                  <a:pt x="3934968" y="1446276"/>
                </a:lnTo>
                <a:lnTo>
                  <a:pt x="4693907" y="1446276"/>
                </a:lnTo>
                <a:lnTo>
                  <a:pt x="4693907" y="1242060"/>
                </a:lnTo>
                <a:close/>
              </a:path>
              <a:path w="6217920" h="1446530">
                <a:moveTo>
                  <a:pt x="4693907" y="1034796"/>
                </a:moveTo>
                <a:lnTo>
                  <a:pt x="3934968" y="1034796"/>
                </a:lnTo>
                <a:lnTo>
                  <a:pt x="3934968" y="1239012"/>
                </a:lnTo>
                <a:lnTo>
                  <a:pt x="4693907" y="1239012"/>
                </a:lnTo>
                <a:lnTo>
                  <a:pt x="4693907" y="1034796"/>
                </a:lnTo>
                <a:close/>
              </a:path>
              <a:path w="6217920" h="1446530">
                <a:moveTo>
                  <a:pt x="5455920" y="1242060"/>
                </a:moveTo>
                <a:lnTo>
                  <a:pt x="4696968" y="1242060"/>
                </a:lnTo>
                <a:lnTo>
                  <a:pt x="4696968" y="1446276"/>
                </a:lnTo>
                <a:lnTo>
                  <a:pt x="5455920" y="1446276"/>
                </a:lnTo>
                <a:lnTo>
                  <a:pt x="5455920" y="1242060"/>
                </a:lnTo>
                <a:close/>
              </a:path>
              <a:path w="6217920" h="1446530">
                <a:moveTo>
                  <a:pt x="5455920" y="1034796"/>
                </a:moveTo>
                <a:lnTo>
                  <a:pt x="4696968" y="1034796"/>
                </a:lnTo>
                <a:lnTo>
                  <a:pt x="4696968" y="1239012"/>
                </a:lnTo>
                <a:lnTo>
                  <a:pt x="5455920" y="1239012"/>
                </a:lnTo>
                <a:lnTo>
                  <a:pt x="5455920" y="1034796"/>
                </a:lnTo>
                <a:close/>
              </a:path>
              <a:path w="6217920" h="1446530">
                <a:moveTo>
                  <a:pt x="6217920" y="1242060"/>
                </a:moveTo>
                <a:lnTo>
                  <a:pt x="5458968" y="1242060"/>
                </a:lnTo>
                <a:lnTo>
                  <a:pt x="5458968" y="1446276"/>
                </a:lnTo>
                <a:lnTo>
                  <a:pt x="6217920" y="1446276"/>
                </a:lnTo>
                <a:lnTo>
                  <a:pt x="6217920" y="1242060"/>
                </a:lnTo>
                <a:close/>
              </a:path>
              <a:path w="6217920" h="1446530">
                <a:moveTo>
                  <a:pt x="6217920" y="1034796"/>
                </a:moveTo>
                <a:lnTo>
                  <a:pt x="5458968" y="1034796"/>
                </a:lnTo>
                <a:lnTo>
                  <a:pt x="5458968" y="1239012"/>
                </a:lnTo>
                <a:lnTo>
                  <a:pt x="6217920" y="1239012"/>
                </a:lnTo>
                <a:lnTo>
                  <a:pt x="6217920" y="1034796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27</xdr:row>
      <xdr:rowOff>0</xdr:rowOff>
    </xdr:from>
    <xdr:ext cx="645160" cy="434340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0" y="0"/>
          <a:ext cx="645160" cy="4343400"/>
        </a:xfrm>
        <a:custGeom>
          <a:avLst/>
          <a:gdLst/>
          <a:ahLst/>
          <a:cxnLst/>
          <a:rect l="0" t="0" r="0" b="0"/>
          <a:pathLst>
            <a:path w="645160" h="4343400">
              <a:moveTo>
                <a:pt x="644652" y="4139184"/>
              </a:moveTo>
              <a:lnTo>
                <a:pt x="0" y="4139184"/>
              </a:lnTo>
              <a:lnTo>
                <a:pt x="0" y="4343400"/>
              </a:lnTo>
              <a:lnTo>
                <a:pt x="644652" y="4343400"/>
              </a:lnTo>
              <a:lnTo>
                <a:pt x="644652" y="4139184"/>
              </a:lnTo>
              <a:close/>
            </a:path>
            <a:path w="645160" h="4343400">
              <a:moveTo>
                <a:pt x="644652" y="3931920"/>
              </a:moveTo>
              <a:lnTo>
                <a:pt x="0" y="3931920"/>
              </a:lnTo>
              <a:lnTo>
                <a:pt x="0" y="4136136"/>
              </a:lnTo>
              <a:lnTo>
                <a:pt x="644652" y="4136136"/>
              </a:lnTo>
              <a:lnTo>
                <a:pt x="644652" y="3931920"/>
              </a:lnTo>
              <a:close/>
            </a:path>
            <a:path w="645160" h="4343400">
              <a:moveTo>
                <a:pt x="644652" y="3724656"/>
              </a:moveTo>
              <a:lnTo>
                <a:pt x="0" y="3724656"/>
              </a:lnTo>
              <a:lnTo>
                <a:pt x="0" y="3928872"/>
              </a:lnTo>
              <a:lnTo>
                <a:pt x="644652" y="3928872"/>
              </a:lnTo>
              <a:lnTo>
                <a:pt x="644652" y="3724656"/>
              </a:lnTo>
              <a:close/>
            </a:path>
            <a:path w="645160" h="4343400">
              <a:moveTo>
                <a:pt x="644652" y="3517392"/>
              </a:moveTo>
              <a:lnTo>
                <a:pt x="0" y="3517392"/>
              </a:lnTo>
              <a:lnTo>
                <a:pt x="0" y="3721608"/>
              </a:lnTo>
              <a:lnTo>
                <a:pt x="644652" y="3721608"/>
              </a:lnTo>
              <a:lnTo>
                <a:pt x="644652" y="3517392"/>
              </a:lnTo>
              <a:close/>
            </a:path>
            <a:path w="645160" h="4343400">
              <a:moveTo>
                <a:pt x="644652" y="3311652"/>
              </a:moveTo>
              <a:lnTo>
                <a:pt x="0" y="3311652"/>
              </a:lnTo>
              <a:lnTo>
                <a:pt x="0" y="3514344"/>
              </a:lnTo>
              <a:lnTo>
                <a:pt x="644652" y="3514344"/>
              </a:lnTo>
              <a:lnTo>
                <a:pt x="644652" y="3311652"/>
              </a:lnTo>
              <a:close/>
            </a:path>
            <a:path w="645160" h="4343400">
              <a:moveTo>
                <a:pt x="644652" y="3104388"/>
              </a:moveTo>
              <a:lnTo>
                <a:pt x="0" y="3104388"/>
              </a:lnTo>
              <a:lnTo>
                <a:pt x="0" y="3308604"/>
              </a:lnTo>
              <a:lnTo>
                <a:pt x="644652" y="3308604"/>
              </a:lnTo>
              <a:lnTo>
                <a:pt x="644652" y="3104388"/>
              </a:lnTo>
              <a:close/>
            </a:path>
            <a:path w="645160" h="4343400">
              <a:moveTo>
                <a:pt x="644652" y="2897124"/>
              </a:moveTo>
              <a:lnTo>
                <a:pt x="0" y="2897124"/>
              </a:lnTo>
              <a:lnTo>
                <a:pt x="0" y="3101340"/>
              </a:lnTo>
              <a:lnTo>
                <a:pt x="644652" y="3101340"/>
              </a:lnTo>
              <a:lnTo>
                <a:pt x="644652" y="2897124"/>
              </a:lnTo>
              <a:close/>
            </a:path>
            <a:path w="645160" h="4343400">
              <a:moveTo>
                <a:pt x="644652" y="2689860"/>
              </a:moveTo>
              <a:lnTo>
                <a:pt x="0" y="2689860"/>
              </a:lnTo>
              <a:lnTo>
                <a:pt x="0" y="2894076"/>
              </a:lnTo>
              <a:lnTo>
                <a:pt x="644652" y="2894076"/>
              </a:lnTo>
              <a:lnTo>
                <a:pt x="644652" y="2689860"/>
              </a:lnTo>
              <a:close/>
            </a:path>
            <a:path w="645160" h="4343400">
              <a:moveTo>
                <a:pt x="644652" y="2482596"/>
              </a:moveTo>
              <a:lnTo>
                <a:pt x="0" y="2482596"/>
              </a:lnTo>
              <a:lnTo>
                <a:pt x="0" y="2686812"/>
              </a:lnTo>
              <a:lnTo>
                <a:pt x="644652" y="2686812"/>
              </a:lnTo>
              <a:lnTo>
                <a:pt x="644652" y="2482596"/>
              </a:lnTo>
              <a:close/>
            </a:path>
            <a:path w="645160" h="4343400">
              <a:moveTo>
                <a:pt x="644652" y="2276856"/>
              </a:moveTo>
              <a:lnTo>
                <a:pt x="0" y="2276856"/>
              </a:lnTo>
              <a:lnTo>
                <a:pt x="0" y="2479548"/>
              </a:lnTo>
              <a:lnTo>
                <a:pt x="644652" y="2479548"/>
              </a:lnTo>
              <a:lnTo>
                <a:pt x="644652" y="2276856"/>
              </a:lnTo>
              <a:close/>
            </a:path>
            <a:path w="645160" h="4343400">
              <a:moveTo>
                <a:pt x="644652" y="2069592"/>
              </a:moveTo>
              <a:lnTo>
                <a:pt x="0" y="2069592"/>
              </a:lnTo>
              <a:lnTo>
                <a:pt x="0" y="2273808"/>
              </a:lnTo>
              <a:lnTo>
                <a:pt x="644652" y="2273808"/>
              </a:lnTo>
              <a:lnTo>
                <a:pt x="644652" y="2069592"/>
              </a:lnTo>
              <a:close/>
            </a:path>
            <a:path w="645160" h="4343400">
              <a:moveTo>
                <a:pt x="644652" y="1862328"/>
              </a:moveTo>
              <a:lnTo>
                <a:pt x="0" y="1862328"/>
              </a:lnTo>
              <a:lnTo>
                <a:pt x="0" y="2066544"/>
              </a:lnTo>
              <a:lnTo>
                <a:pt x="644652" y="2066544"/>
              </a:lnTo>
              <a:lnTo>
                <a:pt x="644652" y="1862328"/>
              </a:lnTo>
              <a:close/>
            </a:path>
            <a:path w="645160" h="4343400">
              <a:moveTo>
                <a:pt x="644652" y="1655064"/>
              </a:moveTo>
              <a:lnTo>
                <a:pt x="0" y="1655064"/>
              </a:lnTo>
              <a:lnTo>
                <a:pt x="0" y="1859280"/>
              </a:lnTo>
              <a:lnTo>
                <a:pt x="644652" y="1859280"/>
              </a:lnTo>
              <a:lnTo>
                <a:pt x="644652" y="1655064"/>
              </a:lnTo>
              <a:close/>
            </a:path>
            <a:path w="645160" h="4343400">
              <a:moveTo>
                <a:pt x="644652" y="1449324"/>
              </a:moveTo>
              <a:lnTo>
                <a:pt x="0" y="1449324"/>
              </a:lnTo>
              <a:lnTo>
                <a:pt x="0" y="1652016"/>
              </a:lnTo>
              <a:lnTo>
                <a:pt x="644652" y="1652016"/>
              </a:lnTo>
              <a:lnTo>
                <a:pt x="644652" y="1449324"/>
              </a:lnTo>
              <a:close/>
            </a:path>
            <a:path w="645160" h="4343400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4343400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4343400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4343400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4343400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4343400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4343400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22</xdr:row>
      <xdr:rowOff>206501</xdr:rowOff>
    </xdr:from>
    <xdr:ext cx="3808729" cy="480059"/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761</xdr:rowOff>
    </xdr:from>
    <xdr:ext cx="381000" cy="381000"/>
    <xdr:pic>
      <xdr:nvPicPr>
        <xdr:cNvPr id="57" name="image1.jpeg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49142</xdr:rowOff>
    </xdr:from>
    <xdr:ext cx="381000" cy="290285"/>
    <xdr:pic>
      <xdr:nvPicPr>
        <xdr:cNvPr id="58" name="image2.jpeg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49142</xdr:rowOff>
    </xdr:from>
    <xdr:ext cx="381000" cy="290285"/>
    <xdr:pic>
      <xdr:nvPicPr>
        <xdr:cNvPr id="59" name="image3.jpeg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201929</xdr:colOff>
      <xdr:row>3</xdr:row>
      <xdr:rowOff>761</xdr:rowOff>
    </xdr:from>
    <xdr:ext cx="338666" cy="381000"/>
    <xdr:pic>
      <xdr:nvPicPr>
        <xdr:cNvPr id="60" name="image4.jpeg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9</xdr:col>
      <xdr:colOff>298691</xdr:colOff>
      <xdr:row>3</xdr:row>
      <xdr:rowOff>49142</xdr:rowOff>
    </xdr:from>
    <xdr:ext cx="193523" cy="290285"/>
    <xdr:pic>
      <xdr:nvPicPr>
        <xdr:cNvPr id="61" name="image5.jpeg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24</xdr:row>
      <xdr:rowOff>0</xdr:rowOff>
    </xdr:from>
    <xdr:ext cx="7486015" cy="3929379"/>
    <xdr:grpSp>
      <xdr:nvGrpSpPr>
        <xdr:cNvPr id="62" name="Group 62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GrpSpPr/>
      </xdr:nvGrpSpPr>
      <xdr:grpSpPr>
        <a:xfrm>
          <a:off x="607059" y="6042660"/>
          <a:ext cx="7486015" cy="3929379"/>
          <a:chOff x="0" y="0"/>
          <a:chExt cx="7486015" cy="3929379"/>
        </a:xfrm>
      </xdr:grpSpPr>
      <xdr:sp macro="" textlink="">
        <xdr:nvSpPr>
          <xdr:cNvPr id="63" name="Shape 63">
            <a:extLst>
              <a:ext uri="{FF2B5EF4-FFF2-40B4-BE49-F238E27FC236}">
                <a16:creationId xmlns:a16="http://schemas.microsoft.com/office/drawing/2014/main" id="{00000000-0008-0000-0500-00003F000000}"/>
              </a:ext>
            </a:extLst>
          </xdr:cNvPr>
          <xdr:cNvSpPr/>
        </xdr:nvSpPr>
        <xdr:spPr>
          <a:xfrm>
            <a:off x="0" y="0"/>
            <a:ext cx="7486015" cy="2066925"/>
          </a:xfrm>
          <a:custGeom>
            <a:avLst/>
            <a:gdLst/>
            <a:ahLst/>
            <a:cxnLst/>
            <a:rect l="0" t="0" r="0" b="0"/>
            <a:pathLst>
              <a:path w="7486015" h="2066925">
                <a:moveTo>
                  <a:pt x="312420" y="0"/>
                </a:moveTo>
                <a:lnTo>
                  <a:pt x="0" y="0"/>
                </a:lnTo>
                <a:lnTo>
                  <a:pt x="0" y="1239012"/>
                </a:lnTo>
                <a:lnTo>
                  <a:pt x="312420" y="1239012"/>
                </a:lnTo>
                <a:lnTo>
                  <a:pt x="312420" y="0"/>
                </a:lnTo>
                <a:close/>
              </a:path>
              <a:path w="7486015" h="2066925">
                <a:moveTo>
                  <a:pt x="1264920" y="0"/>
                </a:moveTo>
                <a:lnTo>
                  <a:pt x="315468" y="0"/>
                </a:lnTo>
                <a:lnTo>
                  <a:pt x="315468" y="1239012"/>
                </a:lnTo>
                <a:lnTo>
                  <a:pt x="1264920" y="1239012"/>
                </a:lnTo>
                <a:lnTo>
                  <a:pt x="1264920" y="0"/>
                </a:lnTo>
                <a:close/>
              </a:path>
              <a:path w="7486015" h="2066925">
                <a:moveTo>
                  <a:pt x="2531364" y="0"/>
                </a:moveTo>
                <a:lnTo>
                  <a:pt x="1267968" y="0"/>
                </a:lnTo>
                <a:lnTo>
                  <a:pt x="1267968" y="1239012"/>
                </a:lnTo>
                <a:lnTo>
                  <a:pt x="2531364" y="1239012"/>
                </a:lnTo>
                <a:lnTo>
                  <a:pt x="2531364" y="0"/>
                </a:lnTo>
                <a:close/>
              </a:path>
              <a:path w="7486015" h="2066925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066925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066925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206692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06692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06692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066925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06692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06692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066925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2066925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066925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066925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206692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06692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06692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066925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06692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06692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06692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2066925">
                <a:moveTo>
                  <a:pt x="4437888" y="1862328"/>
                </a:moveTo>
                <a:lnTo>
                  <a:pt x="3677412" y="1862328"/>
                </a:lnTo>
                <a:lnTo>
                  <a:pt x="3677412" y="2066544"/>
                </a:lnTo>
                <a:lnTo>
                  <a:pt x="4437888" y="2066544"/>
                </a:lnTo>
                <a:lnTo>
                  <a:pt x="4437888" y="1862328"/>
                </a:lnTo>
                <a:close/>
              </a:path>
              <a:path w="7486015" h="2066925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066925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206692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06692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06692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066925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06692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06692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06692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2066925">
                <a:moveTo>
                  <a:pt x="5199888" y="1862328"/>
                </a:moveTo>
                <a:lnTo>
                  <a:pt x="4440936" y="1862328"/>
                </a:lnTo>
                <a:lnTo>
                  <a:pt x="4440936" y="2066544"/>
                </a:lnTo>
                <a:lnTo>
                  <a:pt x="5199888" y="2066544"/>
                </a:lnTo>
                <a:lnTo>
                  <a:pt x="5199888" y="1862328"/>
                </a:lnTo>
                <a:close/>
              </a:path>
              <a:path w="7486015" h="2066925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066925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206692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06692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06692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066925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06692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06692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06692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2066925">
                <a:moveTo>
                  <a:pt x="5961875" y="1862328"/>
                </a:moveTo>
                <a:lnTo>
                  <a:pt x="5202936" y="1862328"/>
                </a:lnTo>
                <a:lnTo>
                  <a:pt x="5202936" y="2066544"/>
                </a:lnTo>
                <a:lnTo>
                  <a:pt x="5961875" y="2066544"/>
                </a:lnTo>
                <a:lnTo>
                  <a:pt x="5961875" y="1862328"/>
                </a:lnTo>
                <a:close/>
              </a:path>
              <a:path w="7486015" h="2066925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066925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206692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06692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06692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066925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06692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06692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06692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066925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066925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206692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06692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06692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066925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06692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06692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06692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066925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066925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206692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06692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06692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06692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06692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06692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06692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64" name="Shape 64">
            <a:extLst>
              <a:ext uri="{FF2B5EF4-FFF2-40B4-BE49-F238E27FC236}">
                <a16:creationId xmlns:a16="http://schemas.microsoft.com/office/drawing/2014/main" id="{00000000-0008-0000-0500-000040000000}"/>
              </a:ext>
            </a:extLst>
          </xdr:cNvPr>
          <xdr:cNvSpPr/>
        </xdr:nvSpPr>
        <xdr:spPr>
          <a:xfrm>
            <a:off x="0" y="1242059"/>
            <a:ext cx="7486015" cy="2687320"/>
          </a:xfrm>
          <a:custGeom>
            <a:avLst/>
            <a:gdLst/>
            <a:ahLst/>
            <a:cxnLst/>
            <a:rect l="0" t="0" r="0" b="0"/>
            <a:pathLst>
              <a:path w="7486015" h="2687320">
                <a:moveTo>
                  <a:pt x="312420" y="2275332"/>
                </a:moveTo>
                <a:lnTo>
                  <a:pt x="0" y="2275332"/>
                </a:lnTo>
                <a:lnTo>
                  <a:pt x="0" y="2686812"/>
                </a:lnTo>
                <a:lnTo>
                  <a:pt x="312420" y="2686812"/>
                </a:lnTo>
                <a:lnTo>
                  <a:pt x="312420" y="2275332"/>
                </a:lnTo>
                <a:close/>
              </a:path>
              <a:path w="7486015" h="2687320">
                <a:moveTo>
                  <a:pt x="312420" y="1862328"/>
                </a:moveTo>
                <a:lnTo>
                  <a:pt x="0" y="1862328"/>
                </a:lnTo>
                <a:lnTo>
                  <a:pt x="0" y="2272284"/>
                </a:lnTo>
                <a:lnTo>
                  <a:pt x="312420" y="2272284"/>
                </a:lnTo>
                <a:lnTo>
                  <a:pt x="312420" y="1862328"/>
                </a:lnTo>
                <a:close/>
              </a:path>
              <a:path w="7486015" h="2687320">
                <a:moveTo>
                  <a:pt x="312420" y="0"/>
                </a:moveTo>
                <a:lnTo>
                  <a:pt x="0" y="0"/>
                </a:lnTo>
                <a:lnTo>
                  <a:pt x="0" y="1859280"/>
                </a:lnTo>
                <a:lnTo>
                  <a:pt x="312420" y="1859280"/>
                </a:lnTo>
                <a:lnTo>
                  <a:pt x="312420" y="0"/>
                </a:lnTo>
                <a:close/>
              </a:path>
              <a:path w="7486015" h="2687320">
                <a:moveTo>
                  <a:pt x="1264920" y="2275332"/>
                </a:moveTo>
                <a:lnTo>
                  <a:pt x="315468" y="2275332"/>
                </a:lnTo>
                <a:lnTo>
                  <a:pt x="315468" y="2686812"/>
                </a:lnTo>
                <a:lnTo>
                  <a:pt x="1264920" y="2686812"/>
                </a:lnTo>
                <a:lnTo>
                  <a:pt x="1264920" y="2275332"/>
                </a:lnTo>
                <a:close/>
              </a:path>
              <a:path w="7486015" h="2687320">
                <a:moveTo>
                  <a:pt x="1264920" y="1862328"/>
                </a:moveTo>
                <a:lnTo>
                  <a:pt x="315468" y="1862328"/>
                </a:lnTo>
                <a:lnTo>
                  <a:pt x="315468" y="2272284"/>
                </a:lnTo>
                <a:lnTo>
                  <a:pt x="1264920" y="2272284"/>
                </a:lnTo>
                <a:lnTo>
                  <a:pt x="1264920" y="1862328"/>
                </a:lnTo>
                <a:close/>
              </a:path>
              <a:path w="7486015" h="2687320">
                <a:moveTo>
                  <a:pt x="1264920" y="0"/>
                </a:moveTo>
                <a:lnTo>
                  <a:pt x="315468" y="0"/>
                </a:lnTo>
                <a:lnTo>
                  <a:pt x="315468" y="1859280"/>
                </a:lnTo>
                <a:lnTo>
                  <a:pt x="1264920" y="1859280"/>
                </a:lnTo>
                <a:lnTo>
                  <a:pt x="1264920" y="0"/>
                </a:lnTo>
                <a:close/>
              </a:path>
              <a:path w="7486015" h="2687320">
                <a:moveTo>
                  <a:pt x="2531364" y="2275332"/>
                </a:moveTo>
                <a:lnTo>
                  <a:pt x="1267968" y="2275332"/>
                </a:lnTo>
                <a:lnTo>
                  <a:pt x="1267968" y="2686812"/>
                </a:lnTo>
                <a:lnTo>
                  <a:pt x="2531364" y="2686812"/>
                </a:lnTo>
                <a:lnTo>
                  <a:pt x="2531364" y="2275332"/>
                </a:lnTo>
                <a:close/>
              </a:path>
              <a:path w="7486015" h="2687320">
                <a:moveTo>
                  <a:pt x="2531364" y="1862328"/>
                </a:moveTo>
                <a:lnTo>
                  <a:pt x="1267968" y="1862328"/>
                </a:lnTo>
                <a:lnTo>
                  <a:pt x="1267968" y="2272284"/>
                </a:lnTo>
                <a:lnTo>
                  <a:pt x="2531364" y="2272284"/>
                </a:lnTo>
                <a:lnTo>
                  <a:pt x="2531364" y="1862328"/>
                </a:lnTo>
                <a:close/>
              </a:path>
              <a:path w="7486015" h="2687320">
                <a:moveTo>
                  <a:pt x="2531364" y="0"/>
                </a:moveTo>
                <a:lnTo>
                  <a:pt x="1267968" y="0"/>
                </a:lnTo>
                <a:lnTo>
                  <a:pt x="1267968" y="1859280"/>
                </a:lnTo>
                <a:lnTo>
                  <a:pt x="2531364" y="1859280"/>
                </a:lnTo>
                <a:lnTo>
                  <a:pt x="2531364" y="0"/>
                </a:lnTo>
                <a:close/>
              </a:path>
              <a:path w="7486015" h="2687320">
                <a:moveTo>
                  <a:pt x="3037332" y="2482596"/>
                </a:moveTo>
                <a:lnTo>
                  <a:pt x="2534412" y="2482596"/>
                </a:lnTo>
                <a:lnTo>
                  <a:pt x="2534412" y="2686812"/>
                </a:lnTo>
                <a:lnTo>
                  <a:pt x="3037332" y="2686812"/>
                </a:lnTo>
                <a:lnTo>
                  <a:pt x="3037332" y="2482596"/>
                </a:lnTo>
                <a:close/>
              </a:path>
              <a:path w="7486015" h="2687320">
                <a:moveTo>
                  <a:pt x="3037332" y="2275332"/>
                </a:moveTo>
                <a:lnTo>
                  <a:pt x="2534412" y="2275332"/>
                </a:lnTo>
                <a:lnTo>
                  <a:pt x="2534412" y="2479548"/>
                </a:lnTo>
                <a:lnTo>
                  <a:pt x="3037332" y="2479548"/>
                </a:lnTo>
                <a:lnTo>
                  <a:pt x="3037332" y="2275332"/>
                </a:lnTo>
                <a:close/>
              </a:path>
              <a:path w="7486015" h="2687320">
                <a:moveTo>
                  <a:pt x="3037332" y="2069592"/>
                </a:moveTo>
                <a:lnTo>
                  <a:pt x="2534412" y="2069592"/>
                </a:lnTo>
                <a:lnTo>
                  <a:pt x="2534412" y="2272284"/>
                </a:lnTo>
                <a:lnTo>
                  <a:pt x="3037332" y="2272284"/>
                </a:lnTo>
                <a:lnTo>
                  <a:pt x="3037332" y="2069592"/>
                </a:lnTo>
                <a:close/>
              </a:path>
              <a:path w="7486015" h="2687320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687320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687320">
                <a:moveTo>
                  <a:pt x="3037332" y="1447800"/>
                </a:moveTo>
                <a:lnTo>
                  <a:pt x="2534412" y="1447800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7800"/>
                </a:lnTo>
                <a:close/>
              </a:path>
              <a:path w="7486015" h="2687320">
                <a:moveTo>
                  <a:pt x="3037332" y="1240536"/>
                </a:moveTo>
                <a:lnTo>
                  <a:pt x="2534412" y="1240536"/>
                </a:lnTo>
                <a:lnTo>
                  <a:pt x="2534412" y="1444752"/>
                </a:lnTo>
                <a:lnTo>
                  <a:pt x="3037332" y="1444752"/>
                </a:lnTo>
                <a:lnTo>
                  <a:pt x="3037332" y="1240536"/>
                </a:lnTo>
                <a:close/>
              </a:path>
              <a:path w="7486015" h="2687320">
                <a:moveTo>
                  <a:pt x="3037332" y="1034796"/>
                </a:moveTo>
                <a:lnTo>
                  <a:pt x="2534412" y="1034796"/>
                </a:lnTo>
                <a:lnTo>
                  <a:pt x="2534412" y="1237488"/>
                </a:lnTo>
                <a:lnTo>
                  <a:pt x="3037332" y="1237488"/>
                </a:lnTo>
                <a:lnTo>
                  <a:pt x="3037332" y="1034796"/>
                </a:lnTo>
                <a:close/>
              </a:path>
              <a:path w="7486015" h="2687320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687320">
                <a:moveTo>
                  <a:pt x="3674364" y="2482596"/>
                </a:moveTo>
                <a:lnTo>
                  <a:pt x="3040380" y="2482596"/>
                </a:lnTo>
                <a:lnTo>
                  <a:pt x="3040380" y="2686812"/>
                </a:lnTo>
                <a:lnTo>
                  <a:pt x="3674364" y="2686812"/>
                </a:lnTo>
                <a:lnTo>
                  <a:pt x="3674364" y="2482596"/>
                </a:lnTo>
                <a:close/>
              </a:path>
              <a:path w="7486015" h="2687320">
                <a:moveTo>
                  <a:pt x="3674364" y="2275332"/>
                </a:moveTo>
                <a:lnTo>
                  <a:pt x="3040380" y="2275332"/>
                </a:lnTo>
                <a:lnTo>
                  <a:pt x="3040380" y="2479548"/>
                </a:lnTo>
                <a:lnTo>
                  <a:pt x="3674364" y="2479548"/>
                </a:lnTo>
                <a:lnTo>
                  <a:pt x="3674364" y="2275332"/>
                </a:lnTo>
                <a:close/>
              </a:path>
              <a:path w="7486015" h="2687320">
                <a:moveTo>
                  <a:pt x="3674364" y="2069592"/>
                </a:moveTo>
                <a:lnTo>
                  <a:pt x="3040380" y="2069592"/>
                </a:lnTo>
                <a:lnTo>
                  <a:pt x="3040380" y="2272284"/>
                </a:lnTo>
                <a:lnTo>
                  <a:pt x="3674364" y="2272284"/>
                </a:lnTo>
                <a:lnTo>
                  <a:pt x="3674364" y="2069592"/>
                </a:lnTo>
                <a:close/>
              </a:path>
              <a:path w="7486015" h="2687320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687320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687320">
                <a:moveTo>
                  <a:pt x="3674364" y="1447800"/>
                </a:moveTo>
                <a:lnTo>
                  <a:pt x="3040380" y="1447800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7800"/>
                </a:lnTo>
                <a:close/>
              </a:path>
              <a:path w="7486015" h="2687320">
                <a:moveTo>
                  <a:pt x="3674364" y="1240536"/>
                </a:moveTo>
                <a:lnTo>
                  <a:pt x="3040380" y="1240536"/>
                </a:lnTo>
                <a:lnTo>
                  <a:pt x="3040380" y="1444752"/>
                </a:lnTo>
                <a:lnTo>
                  <a:pt x="3674364" y="1444752"/>
                </a:lnTo>
                <a:lnTo>
                  <a:pt x="3674364" y="1240536"/>
                </a:lnTo>
                <a:close/>
              </a:path>
              <a:path w="7486015" h="2687320">
                <a:moveTo>
                  <a:pt x="3674364" y="1034796"/>
                </a:moveTo>
                <a:lnTo>
                  <a:pt x="3040380" y="1034796"/>
                </a:lnTo>
                <a:lnTo>
                  <a:pt x="3040380" y="1237488"/>
                </a:lnTo>
                <a:lnTo>
                  <a:pt x="3674364" y="1237488"/>
                </a:lnTo>
                <a:lnTo>
                  <a:pt x="3674364" y="1034796"/>
                </a:lnTo>
                <a:close/>
              </a:path>
              <a:path w="7486015" h="2687320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687320">
                <a:moveTo>
                  <a:pt x="4437888" y="2482596"/>
                </a:moveTo>
                <a:lnTo>
                  <a:pt x="3677412" y="2482596"/>
                </a:lnTo>
                <a:lnTo>
                  <a:pt x="3677412" y="2686812"/>
                </a:lnTo>
                <a:lnTo>
                  <a:pt x="4437888" y="2686812"/>
                </a:lnTo>
                <a:lnTo>
                  <a:pt x="4437888" y="2482596"/>
                </a:lnTo>
                <a:close/>
              </a:path>
              <a:path w="7486015" h="2687320">
                <a:moveTo>
                  <a:pt x="4437888" y="2275332"/>
                </a:moveTo>
                <a:lnTo>
                  <a:pt x="3677412" y="2275332"/>
                </a:lnTo>
                <a:lnTo>
                  <a:pt x="3677412" y="2479548"/>
                </a:lnTo>
                <a:lnTo>
                  <a:pt x="4437888" y="2479548"/>
                </a:lnTo>
                <a:lnTo>
                  <a:pt x="4437888" y="2275332"/>
                </a:lnTo>
                <a:close/>
              </a:path>
              <a:path w="7486015" h="2687320">
                <a:moveTo>
                  <a:pt x="4437888" y="2069592"/>
                </a:moveTo>
                <a:lnTo>
                  <a:pt x="3677412" y="2069592"/>
                </a:lnTo>
                <a:lnTo>
                  <a:pt x="3677412" y="2272284"/>
                </a:lnTo>
                <a:lnTo>
                  <a:pt x="4437888" y="2272284"/>
                </a:lnTo>
                <a:lnTo>
                  <a:pt x="4437888" y="2069592"/>
                </a:lnTo>
                <a:close/>
              </a:path>
              <a:path w="7486015" h="2687320">
                <a:moveTo>
                  <a:pt x="4437888" y="1862328"/>
                </a:moveTo>
                <a:lnTo>
                  <a:pt x="3677412" y="1862328"/>
                </a:lnTo>
                <a:lnTo>
                  <a:pt x="3677412" y="2066544"/>
                </a:lnTo>
                <a:lnTo>
                  <a:pt x="4437888" y="2066544"/>
                </a:lnTo>
                <a:lnTo>
                  <a:pt x="4437888" y="1862328"/>
                </a:lnTo>
                <a:close/>
              </a:path>
              <a:path w="7486015" h="2687320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687320">
                <a:moveTo>
                  <a:pt x="4437888" y="1447800"/>
                </a:moveTo>
                <a:lnTo>
                  <a:pt x="3677412" y="1447800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7800"/>
                </a:lnTo>
                <a:close/>
              </a:path>
              <a:path w="7486015" h="2687320">
                <a:moveTo>
                  <a:pt x="4437888" y="1240536"/>
                </a:moveTo>
                <a:lnTo>
                  <a:pt x="3677412" y="1240536"/>
                </a:lnTo>
                <a:lnTo>
                  <a:pt x="3677412" y="1444752"/>
                </a:lnTo>
                <a:lnTo>
                  <a:pt x="4437888" y="1444752"/>
                </a:lnTo>
                <a:lnTo>
                  <a:pt x="4437888" y="1240536"/>
                </a:lnTo>
                <a:close/>
              </a:path>
              <a:path w="7486015" h="2687320">
                <a:moveTo>
                  <a:pt x="4437888" y="1034796"/>
                </a:moveTo>
                <a:lnTo>
                  <a:pt x="3677412" y="1034796"/>
                </a:lnTo>
                <a:lnTo>
                  <a:pt x="3677412" y="1237488"/>
                </a:lnTo>
                <a:lnTo>
                  <a:pt x="4437888" y="1237488"/>
                </a:lnTo>
                <a:lnTo>
                  <a:pt x="4437888" y="1034796"/>
                </a:lnTo>
                <a:close/>
              </a:path>
              <a:path w="7486015" h="2687320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687320">
                <a:moveTo>
                  <a:pt x="5199888" y="2275332"/>
                </a:moveTo>
                <a:lnTo>
                  <a:pt x="4440936" y="2275332"/>
                </a:lnTo>
                <a:lnTo>
                  <a:pt x="4440936" y="2479548"/>
                </a:lnTo>
                <a:lnTo>
                  <a:pt x="5199888" y="2479548"/>
                </a:lnTo>
                <a:lnTo>
                  <a:pt x="5199888" y="2275332"/>
                </a:lnTo>
                <a:close/>
              </a:path>
              <a:path w="7486015" h="2687320">
                <a:moveTo>
                  <a:pt x="5199888" y="2069592"/>
                </a:moveTo>
                <a:lnTo>
                  <a:pt x="4440936" y="2069592"/>
                </a:lnTo>
                <a:lnTo>
                  <a:pt x="4440936" y="2272284"/>
                </a:lnTo>
                <a:lnTo>
                  <a:pt x="5199888" y="2272284"/>
                </a:lnTo>
                <a:lnTo>
                  <a:pt x="5199888" y="2069592"/>
                </a:lnTo>
                <a:close/>
              </a:path>
              <a:path w="7486015" h="2687320">
                <a:moveTo>
                  <a:pt x="5199888" y="1862328"/>
                </a:moveTo>
                <a:lnTo>
                  <a:pt x="4440936" y="1862328"/>
                </a:lnTo>
                <a:lnTo>
                  <a:pt x="4440936" y="2066544"/>
                </a:lnTo>
                <a:lnTo>
                  <a:pt x="5199888" y="2066544"/>
                </a:lnTo>
                <a:lnTo>
                  <a:pt x="5199888" y="1862328"/>
                </a:lnTo>
                <a:close/>
              </a:path>
              <a:path w="7486015" h="2687320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687320">
                <a:moveTo>
                  <a:pt x="5199888" y="1447800"/>
                </a:moveTo>
                <a:lnTo>
                  <a:pt x="4440936" y="1447800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7800"/>
                </a:lnTo>
                <a:close/>
              </a:path>
              <a:path w="7486015" h="2687320">
                <a:moveTo>
                  <a:pt x="5199888" y="1240536"/>
                </a:moveTo>
                <a:lnTo>
                  <a:pt x="4440936" y="1240536"/>
                </a:lnTo>
                <a:lnTo>
                  <a:pt x="4440936" y="1444752"/>
                </a:lnTo>
                <a:lnTo>
                  <a:pt x="5199888" y="1444752"/>
                </a:lnTo>
                <a:lnTo>
                  <a:pt x="5199888" y="1240536"/>
                </a:lnTo>
                <a:close/>
              </a:path>
              <a:path w="7486015" h="2687320">
                <a:moveTo>
                  <a:pt x="5199888" y="1034796"/>
                </a:moveTo>
                <a:lnTo>
                  <a:pt x="4440936" y="1034796"/>
                </a:lnTo>
                <a:lnTo>
                  <a:pt x="4440936" y="1237488"/>
                </a:lnTo>
                <a:lnTo>
                  <a:pt x="5199888" y="1237488"/>
                </a:lnTo>
                <a:lnTo>
                  <a:pt x="5199888" y="1034796"/>
                </a:lnTo>
                <a:close/>
              </a:path>
              <a:path w="7486015" h="2687320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687320">
                <a:moveTo>
                  <a:pt x="5961875" y="2275332"/>
                </a:moveTo>
                <a:lnTo>
                  <a:pt x="5202936" y="2275332"/>
                </a:lnTo>
                <a:lnTo>
                  <a:pt x="5202936" y="2479548"/>
                </a:lnTo>
                <a:lnTo>
                  <a:pt x="5961875" y="2479548"/>
                </a:lnTo>
                <a:lnTo>
                  <a:pt x="5961875" y="2275332"/>
                </a:lnTo>
                <a:close/>
              </a:path>
              <a:path w="7486015" h="2687320">
                <a:moveTo>
                  <a:pt x="5961875" y="2069592"/>
                </a:moveTo>
                <a:lnTo>
                  <a:pt x="5202936" y="2069592"/>
                </a:lnTo>
                <a:lnTo>
                  <a:pt x="5202936" y="2272284"/>
                </a:lnTo>
                <a:lnTo>
                  <a:pt x="5961875" y="2272284"/>
                </a:lnTo>
                <a:lnTo>
                  <a:pt x="5961875" y="2069592"/>
                </a:lnTo>
                <a:close/>
              </a:path>
              <a:path w="7486015" h="2687320">
                <a:moveTo>
                  <a:pt x="5961875" y="1862328"/>
                </a:moveTo>
                <a:lnTo>
                  <a:pt x="5202936" y="1862328"/>
                </a:lnTo>
                <a:lnTo>
                  <a:pt x="5202936" y="2066544"/>
                </a:lnTo>
                <a:lnTo>
                  <a:pt x="5961875" y="2066544"/>
                </a:lnTo>
                <a:lnTo>
                  <a:pt x="5961875" y="1862328"/>
                </a:lnTo>
                <a:close/>
              </a:path>
              <a:path w="7486015" h="2687320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687320">
                <a:moveTo>
                  <a:pt x="5961875" y="1447800"/>
                </a:moveTo>
                <a:lnTo>
                  <a:pt x="5202936" y="1447800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7800"/>
                </a:lnTo>
                <a:close/>
              </a:path>
              <a:path w="7486015" h="2687320">
                <a:moveTo>
                  <a:pt x="5961875" y="1240536"/>
                </a:moveTo>
                <a:lnTo>
                  <a:pt x="5202936" y="1240536"/>
                </a:lnTo>
                <a:lnTo>
                  <a:pt x="5202936" y="1444752"/>
                </a:lnTo>
                <a:lnTo>
                  <a:pt x="5961875" y="1444752"/>
                </a:lnTo>
                <a:lnTo>
                  <a:pt x="5961875" y="1240536"/>
                </a:lnTo>
                <a:close/>
              </a:path>
              <a:path w="7486015" h="2687320">
                <a:moveTo>
                  <a:pt x="5961875" y="1034796"/>
                </a:moveTo>
                <a:lnTo>
                  <a:pt x="5202936" y="1034796"/>
                </a:lnTo>
                <a:lnTo>
                  <a:pt x="5202936" y="1237488"/>
                </a:lnTo>
                <a:lnTo>
                  <a:pt x="5961875" y="1237488"/>
                </a:lnTo>
                <a:lnTo>
                  <a:pt x="5961875" y="1034796"/>
                </a:lnTo>
                <a:close/>
              </a:path>
              <a:path w="7486015" h="2687320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687320">
                <a:moveTo>
                  <a:pt x="5961875" y="620268"/>
                </a:moveTo>
                <a:lnTo>
                  <a:pt x="5202936" y="620268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0268"/>
                </a:lnTo>
                <a:close/>
              </a:path>
              <a:path w="7486015" h="2687320">
                <a:moveTo>
                  <a:pt x="6723888" y="2275332"/>
                </a:moveTo>
                <a:lnTo>
                  <a:pt x="5964936" y="2275332"/>
                </a:lnTo>
                <a:lnTo>
                  <a:pt x="5964936" y="2479548"/>
                </a:lnTo>
                <a:lnTo>
                  <a:pt x="6723888" y="2479548"/>
                </a:lnTo>
                <a:lnTo>
                  <a:pt x="6723888" y="2275332"/>
                </a:lnTo>
                <a:close/>
              </a:path>
              <a:path w="7486015" h="2687320">
                <a:moveTo>
                  <a:pt x="6723888" y="2069592"/>
                </a:moveTo>
                <a:lnTo>
                  <a:pt x="5964936" y="2069592"/>
                </a:lnTo>
                <a:lnTo>
                  <a:pt x="5964936" y="2272284"/>
                </a:lnTo>
                <a:lnTo>
                  <a:pt x="6723888" y="2272284"/>
                </a:lnTo>
                <a:lnTo>
                  <a:pt x="6723888" y="2069592"/>
                </a:lnTo>
                <a:close/>
              </a:path>
              <a:path w="7486015" h="2687320">
                <a:moveTo>
                  <a:pt x="6723888" y="1862328"/>
                </a:moveTo>
                <a:lnTo>
                  <a:pt x="5964936" y="1862328"/>
                </a:lnTo>
                <a:lnTo>
                  <a:pt x="5964936" y="2066544"/>
                </a:lnTo>
                <a:lnTo>
                  <a:pt x="6723888" y="2066544"/>
                </a:lnTo>
                <a:lnTo>
                  <a:pt x="6723888" y="1862328"/>
                </a:lnTo>
                <a:close/>
              </a:path>
              <a:path w="7486015" h="2687320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687320">
                <a:moveTo>
                  <a:pt x="6723888" y="1447800"/>
                </a:moveTo>
                <a:lnTo>
                  <a:pt x="5964936" y="1447800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7800"/>
                </a:lnTo>
                <a:close/>
              </a:path>
              <a:path w="7486015" h="2687320">
                <a:moveTo>
                  <a:pt x="6723888" y="1240536"/>
                </a:moveTo>
                <a:lnTo>
                  <a:pt x="5964936" y="1240536"/>
                </a:lnTo>
                <a:lnTo>
                  <a:pt x="5964936" y="1444752"/>
                </a:lnTo>
                <a:lnTo>
                  <a:pt x="6723888" y="1444752"/>
                </a:lnTo>
                <a:lnTo>
                  <a:pt x="6723888" y="1240536"/>
                </a:lnTo>
                <a:close/>
              </a:path>
              <a:path w="7486015" h="2687320">
                <a:moveTo>
                  <a:pt x="6723888" y="1034796"/>
                </a:moveTo>
                <a:lnTo>
                  <a:pt x="5964936" y="1034796"/>
                </a:lnTo>
                <a:lnTo>
                  <a:pt x="5964936" y="1237488"/>
                </a:lnTo>
                <a:lnTo>
                  <a:pt x="6723888" y="1237488"/>
                </a:lnTo>
                <a:lnTo>
                  <a:pt x="6723888" y="1034796"/>
                </a:lnTo>
                <a:close/>
              </a:path>
              <a:path w="7486015" h="2687320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687320">
                <a:moveTo>
                  <a:pt x="6723888" y="620268"/>
                </a:moveTo>
                <a:lnTo>
                  <a:pt x="5964936" y="620268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0268"/>
                </a:lnTo>
                <a:close/>
              </a:path>
              <a:path w="7486015" h="2687320">
                <a:moveTo>
                  <a:pt x="7485888" y="2275332"/>
                </a:moveTo>
                <a:lnTo>
                  <a:pt x="6726936" y="2275332"/>
                </a:lnTo>
                <a:lnTo>
                  <a:pt x="6726936" y="2479548"/>
                </a:lnTo>
                <a:lnTo>
                  <a:pt x="7485888" y="2479548"/>
                </a:lnTo>
                <a:lnTo>
                  <a:pt x="7485888" y="2275332"/>
                </a:lnTo>
                <a:close/>
              </a:path>
              <a:path w="7486015" h="2687320">
                <a:moveTo>
                  <a:pt x="7485888" y="2069592"/>
                </a:moveTo>
                <a:lnTo>
                  <a:pt x="6726936" y="2069592"/>
                </a:lnTo>
                <a:lnTo>
                  <a:pt x="6726936" y="2272284"/>
                </a:lnTo>
                <a:lnTo>
                  <a:pt x="7485888" y="2272284"/>
                </a:lnTo>
                <a:lnTo>
                  <a:pt x="7485888" y="2069592"/>
                </a:lnTo>
                <a:close/>
              </a:path>
              <a:path w="7486015" h="2687320">
                <a:moveTo>
                  <a:pt x="7485888" y="1862328"/>
                </a:moveTo>
                <a:lnTo>
                  <a:pt x="6726936" y="1862328"/>
                </a:lnTo>
                <a:lnTo>
                  <a:pt x="6726936" y="2066544"/>
                </a:lnTo>
                <a:lnTo>
                  <a:pt x="7485888" y="2066544"/>
                </a:lnTo>
                <a:lnTo>
                  <a:pt x="7485888" y="1862328"/>
                </a:lnTo>
                <a:close/>
              </a:path>
              <a:path w="7486015" h="2687320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687320">
                <a:moveTo>
                  <a:pt x="7485888" y="1447800"/>
                </a:moveTo>
                <a:lnTo>
                  <a:pt x="6726936" y="1447800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7800"/>
                </a:lnTo>
                <a:close/>
              </a:path>
              <a:path w="7486015" h="2687320">
                <a:moveTo>
                  <a:pt x="7485888" y="1240536"/>
                </a:moveTo>
                <a:lnTo>
                  <a:pt x="6726936" y="1240536"/>
                </a:lnTo>
                <a:lnTo>
                  <a:pt x="6726936" y="1444752"/>
                </a:lnTo>
                <a:lnTo>
                  <a:pt x="7485888" y="1444752"/>
                </a:lnTo>
                <a:lnTo>
                  <a:pt x="7485888" y="1240536"/>
                </a:lnTo>
                <a:close/>
              </a:path>
              <a:path w="7486015" h="2687320">
                <a:moveTo>
                  <a:pt x="7485888" y="1034796"/>
                </a:moveTo>
                <a:lnTo>
                  <a:pt x="6726936" y="1034796"/>
                </a:lnTo>
                <a:lnTo>
                  <a:pt x="6726936" y="1237488"/>
                </a:lnTo>
                <a:lnTo>
                  <a:pt x="7485888" y="1237488"/>
                </a:lnTo>
                <a:lnTo>
                  <a:pt x="7485888" y="1034796"/>
                </a:lnTo>
                <a:close/>
              </a:path>
              <a:path w="7486015" h="2687320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687320">
                <a:moveTo>
                  <a:pt x="7485888" y="620268"/>
                </a:moveTo>
                <a:lnTo>
                  <a:pt x="6726936" y="620268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0268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65" name="Shape 65">
            <a:extLst>
              <a:ext uri="{FF2B5EF4-FFF2-40B4-BE49-F238E27FC236}">
                <a16:creationId xmlns:a16="http://schemas.microsoft.com/office/drawing/2014/main" id="{00000000-0008-0000-0500-000041000000}"/>
              </a:ext>
            </a:extLst>
          </xdr:cNvPr>
          <xdr:cNvSpPr/>
        </xdr:nvSpPr>
        <xdr:spPr>
          <a:xfrm>
            <a:off x="3677412" y="3724655"/>
            <a:ext cx="3808729" cy="204470"/>
          </a:xfrm>
          <a:custGeom>
            <a:avLst/>
            <a:gdLst/>
            <a:ahLst/>
            <a:cxnLst/>
            <a:rect l="0" t="0" r="0" b="0"/>
            <a:pathLst>
              <a:path w="3808729" h="204470">
                <a:moveTo>
                  <a:pt x="760476" y="0"/>
                </a:moveTo>
                <a:lnTo>
                  <a:pt x="0" y="0"/>
                </a:lnTo>
                <a:lnTo>
                  <a:pt x="0" y="204216"/>
                </a:lnTo>
                <a:lnTo>
                  <a:pt x="760476" y="204216"/>
                </a:lnTo>
                <a:lnTo>
                  <a:pt x="760476" y="0"/>
                </a:lnTo>
                <a:close/>
              </a:path>
              <a:path w="3808729" h="204470">
                <a:moveTo>
                  <a:pt x="1522476" y="0"/>
                </a:moveTo>
                <a:lnTo>
                  <a:pt x="763524" y="0"/>
                </a:lnTo>
                <a:lnTo>
                  <a:pt x="763524" y="204216"/>
                </a:lnTo>
                <a:lnTo>
                  <a:pt x="1522476" y="204216"/>
                </a:lnTo>
                <a:lnTo>
                  <a:pt x="1522476" y="0"/>
                </a:lnTo>
                <a:close/>
              </a:path>
              <a:path w="3808729" h="204470">
                <a:moveTo>
                  <a:pt x="2284463" y="0"/>
                </a:moveTo>
                <a:lnTo>
                  <a:pt x="1525524" y="0"/>
                </a:lnTo>
                <a:lnTo>
                  <a:pt x="1525524" y="204216"/>
                </a:lnTo>
                <a:lnTo>
                  <a:pt x="2284463" y="204216"/>
                </a:lnTo>
                <a:lnTo>
                  <a:pt x="2284463" y="0"/>
                </a:lnTo>
                <a:close/>
              </a:path>
              <a:path w="3808729" h="204470">
                <a:moveTo>
                  <a:pt x="3046476" y="0"/>
                </a:moveTo>
                <a:lnTo>
                  <a:pt x="2287524" y="0"/>
                </a:lnTo>
                <a:lnTo>
                  <a:pt x="2287524" y="204216"/>
                </a:lnTo>
                <a:lnTo>
                  <a:pt x="3046476" y="204216"/>
                </a:lnTo>
                <a:lnTo>
                  <a:pt x="3046476" y="0"/>
                </a:lnTo>
                <a:close/>
              </a:path>
              <a:path w="3808729" h="204470">
                <a:moveTo>
                  <a:pt x="3808476" y="0"/>
                </a:moveTo>
                <a:lnTo>
                  <a:pt x="3049524" y="0"/>
                </a:lnTo>
                <a:lnTo>
                  <a:pt x="3049524" y="204216"/>
                </a:lnTo>
                <a:lnTo>
                  <a:pt x="3808476" y="204216"/>
                </a:lnTo>
                <a:lnTo>
                  <a:pt x="3808476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25</xdr:row>
      <xdr:rowOff>0</xdr:rowOff>
    </xdr:from>
    <xdr:ext cx="645160" cy="3929379"/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SpPr/>
      </xdr:nvSpPr>
      <xdr:spPr>
        <a:xfrm>
          <a:off x="0" y="0"/>
          <a:ext cx="645160" cy="3929379"/>
        </a:xfrm>
        <a:custGeom>
          <a:avLst/>
          <a:gdLst/>
          <a:ahLst/>
          <a:cxnLst/>
          <a:rect l="0" t="0" r="0" b="0"/>
          <a:pathLst>
            <a:path w="645160" h="3929379">
              <a:moveTo>
                <a:pt x="644652" y="3724656"/>
              </a:moveTo>
              <a:lnTo>
                <a:pt x="0" y="3724656"/>
              </a:lnTo>
              <a:lnTo>
                <a:pt x="0" y="3928872"/>
              </a:lnTo>
              <a:lnTo>
                <a:pt x="644652" y="3928872"/>
              </a:lnTo>
              <a:lnTo>
                <a:pt x="644652" y="3724656"/>
              </a:lnTo>
              <a:close/>
            </a:path>
            <a:path w="645160" h="3929379">
              <a:moveTo>
                <a:pt x="644652" y="3517392"/>
              </a:moveTo>
              <a:lnTo>
                <a:pt x="0" y="3517392"/>
              </a:lnTo>
              <a:lnTo>
                <a:pt x="0" y="3721608"/>
              </a:lnTo>
              <a:lnTo>
                <a:pt x="644652" y="3721608"/>
              </a:lnTo>
              <a:lnTo>
                <a:pt x="644652" y="3517392"/>
              </a:lnTo>
              <a:close/>
            </a:path>
            <a:path w="645160" h="3929379">
              <a:moveTo>
                <a:pt x="644652" y="3311652"/>
              </a:moveTo>
              <a:lnTo>
                <a:pt x="0" y="3311652"/>
              </a:lnTo>
              <a:lnTo>
                <a:pt x="0" y="3514344"/>
              </a:lnTo>
              <a:lnTo>
                <a:pt x="644652" y="3514344"/>
              </a:lnTo>
              <a:lnTo>
                <a:pt x="644652" y="3311652"/>
              </a:lnTo>
              <a:close/>
            </a:path>
            <a:path w="645160" h="3929379">
              <a:moveTo>
                <a:pt x="644652" y="3104388"/>
              </a:moveTo>
              <a:lnTo>
                <a:pt x="0" y="3104388"/>
              </a:lnTo>
              <a:lnTo>
                <a:pt x="0" y="3308604"/>
              </a:lnTo>
              <a:lnTo>
                <a:pt x="644652" y="3308604"/>
              </a:lnTo>
              <a:lnTo>
                <a:pt x="644652" y="3104388"/>
              </a:lnTo>
              <a:close/>
            </a:path>
            <a:path w="645160" h="3929379">
              <a:moveTo>
                <a:pt x="644652" y="2897124"/>
              </a:moveTo>
              <a:lnTo>
                <a:pt x="0" y="2897124"/>
              </a:lnTo>
              <a:lnTo>
                <a:pt x="0" y="3101340"/>
              </a:lnTo>
              <a:lnTo>
                <a:pt x="644652" y="3101340"/>
              </a:lnTo>
              <a:lnTo>
                <a:pt x="644652" y="2897124"/>
              </a:lnTo>
              <a:close/>
            </a:path>
            <a:path w="645160" h="3929379">
              <a:moveTo>
                <a:pt x="644652" y="2689860"/>
              </a:moveTo>
              <a:lnTo>
                <a:pt x="0" y="2689860"/>
              </a:lnTo>
              <a:lnTo>
                <a:pt x="0" y="2894076"/>
              </a:lnTo>
              <a:lnTo>
                <a:pt x="644652" y="2894076"/>
              </a:lnTo>
              <a:lnTo>
                <a:pt x="644652" y="2689860"/>
              </a:lnTo>
              <a:close/>
            </a:path>
            <a:path w="645160" h="3929379">
              <a:moveTo>
                <a:pt x="644652" y="2482596"/>
              </a:moveTo>
              <a:lnTo>
                <a:pt x="0" y="2482596"/>
              </a:lnTo>
              <a:lnTo>
                <a:pt x="0" y="2686812"/>
              </a:lnTo>
              <a:lnTo>
                <a:pt x="644652" y="2686812"/>
              </a:lnTo>
              <a:lnTo>
                <a:pt x="644652" y="2482596"/>
              </a:lnTo>
              <a:close/>
            </a:path>
            <a:path w="645160" h="3929379">
              <a:moveTo>
                <a:pt x="644652" y="2276856"/>
              </a:moveTo>
              <a:lnTo>
                <a:pt x="0" y="2276856"/>
              </a:lnTo>
              <a:lnTo>
                <a:pt x="0" y="2479548"/>
              </a:lnTo>
              <a:lnTo>
                <a:pt x="644652" y="2479548"/>
              </a:lnTo>
              <a:lnTo>
                <a:pt x="644652" y="2276856"/>
              </a:lnTo>
              <a:close/>
            </a:path>
            <a:path w="645160" h="3929379">
              <a:moveTo>
                <a:pt x="644652" y="2069592"/>
              </a:moveTo>
              <a:lnTo>
                <a:pt x="0" y="2069592"/>
              </a:lnTo>
              <a:lnTo>
                <a:pt x="0" y="2273808"/>
              </a:lnTo>
              <a:lnTo>
                <a:pt x="644652" y="2273808"/>
              </a:lnTo>
              <a:lnTo>
                <a:pt x="644652" y="2069592"/>
              </a:lnTo>
              <a:close/>
            </a:path>
            <a:path w="645160" h="3929379">
              <a:moveTo>
                <a:pt x="644652" y="1862328"/>
              </a:moveTo>
              <a:lnTo>
                <a:pt x="0" y="1862328"/>
              </a:lnTo>
              <a:lnTo>
                <a:pt x="0" y="2066544"/>
              </a:lnTo>
              <a:lnTo>
                <a:pt x="644652" y="2066544"/>
              </a:lnTo>
              <a:lnTo>
                <a:pt x="644652" y="1862328"/>
              </a:lnTo>
              <a:close/>
            </a:path>
            <a:path w="645160" h="3929379">
              <a:moveTo>
                <a:pt x="644652" y="1655064"/>
              </a:moveTo>
              <a:lnTo>
                <a:pt x="0" y="1655064"/>
              </a:lnTo>
              <a:lnTo>
                <a:pt x="0" y="1859280"/>
              </a:lnTo>
              <a:lnTo>
                <a:pt x="644652" y="1859280"/>
              </a:lnTo>
              <a:lnTo>
                <a:pt x="644652" y="1655064"/>
              </a:lnTo>
              <a:close/>
            </a:path>
            <a:path w="645160" h="3929379">
              <a:moveTo>
                <a:pt x="644652" y="1449324"/>
              </a:moveTo>
              <a:lnTo>
                <a:pt x="0" y="1449324"/>
              </a:lnTo>
              <a:lnTo>
                <a:pt x="0" y="1652016"/>
              </a:lnTo>
              <a:lnTo>
                <a:pt x="644652" y="1652016"/>
              </a:lnTo>
              <a:lnTo>
                <a:pt x="644652" y="1449324"/>
              </a:lnTo>
              <a:close/>
            </a:path>
            <a:path w="645160" h="3929379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3929379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3929379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3929379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3929379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3929379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3929379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20</xdr:row>
      <xdr:rowOff>206501</xdr:rowOff>
    </xdr:from>
    <xdr:ext cx="3808729" cy="480059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761</xdr:rowOff>
    </xdr:from>
    <xdr:ext cx="381000" cy="381000"/>
    <xdr:pic>
      <xdr:nvPicPr>
        <xdr:cNvPr id="68" name="image1.jpeg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49142</xdr:rowOff>
    </xdr:from>
    <xdr:ext cx="381000" cy="290285"/>
    <xdr:pic>
      <xdr:nvPicPr>
        <xdr:cNvPr id="69" name="image2.jpeg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49142</xdr:rowOff>
    </xdr:from>
    <xdr:ext cx="381000" cy="290285"/>
    <xdr:pic>
      <xdr:nvPicPr>
        <xdr:cNvPr id="70" name="image3.jpeg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201929</xdr:colOff>
      <xdr:row>3</xdr:row>
      <xdr:rowOff>761</xdr:rowOff>
    </xdr:from>
    <xdr:ext cx="338666" cy="381000"/>
    <xdr:pic>
      <xdr:nvPicPr>
        <xdr:cNvPr id="71" name="image4.jpeg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9</xdr:col>
      <xdr:colOff>298691</xdr:colOff>
      <xdr:row>3</xdr:row>
      <xdr:rowOff>49142</xdr:rowOff>
    </xdr:from>
    <xdr:ext cx="193523" cy="290285"/>
    <xdr:pic>
      <xdr:nvPicPr>
        <xdr:cNvPr id="72" name="image5.jpeg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22</xdr:row>
      <xdr:rowOff>0</xdr:rowOff>
    </xdr:from>
    <xdr:ext cx="7486015" cy="3515995"/>
    <xdr:grpSp>
      <xdr:nvGrpSpPr>
        <xdr:cNvPr id="73" name="Group 73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GrpSpPr/>
      </xdr:nvGrpSpPr>
      <xdr:grpSpPr>
        <a:xfrm>
          <a:off x="607059" y="5615940"/>
          <a:ext cx="7486015" cy="3515995"/>
          <a:chOff x="0" y="0"/>
          <a:chExt cx="7486015" cy="3515995"/>
        </a:xfrm>
      </xdr:grpSpPr>
      <xdr:sp macro="" textlink="">
        <xdr:nvSpPr>
          <xdr:cNvPr id="74" name="Shape 74">
            <a:extLst>
              <a:ext uri="{FF2B5EF4-FFF2-40B4-BE49-F238E27FC236}">
                <a16:creationId xmlns:a16="http://schemas.microsoft.com/office/drawing/2014/main" id="{00000000-0008-0000-0600-00004A000000}"/>
              </a:ext>
            </a:extLst>
          </xdr:cNvPr>
          <xdr:cNvSpPr/>
        </xdr:nvSpPr>
        <xdr:spPr>
          <a:xfrm>
            <a:off x="0" y="0"/>
            <a:ext cx="7486015" cy="2068195"/>
          </a:xfrm>
          <a:custGeom>
            <a:avLst/>
            <a:gdLst/>
            <a:ahLst/>
            <a:cxnLst/>
            <a:rect l="0" t="0" r="0" b="0"/>
            <a:pathLst>
              <a:path w="7486015" h="2068195">
                <a:moveTo>
                  <a:pt x="312420" y="621792"/>
                </a:moveTo>
                <a:lnTo>
                  <a:pt x="0" y="621792"/>
                </a:lnTo>
                <a:lnTo>
                  <a:pt x="0" y="1033272"/>
                </a:lnTo>
                <a:lnTo>
                  <a:pt x="312420" y="1033272"/>
                </a:lnTo>
                <a:lnTo>
                  <a:pt x="312420" y="621792"/>
                </a:lnTo>
                <a:close/>
              </a:path>
              <a:path w="7486015" h="2068195">
                <a:moveTo>
                  <a:pt x="312420" y="0"/>
                </a:moveTo>
                <a:lnTo>
                  <a:pt x="0" y="0"/>
                </a:lnTo>
                <a:lnTo>
                  <a:pt x="0" y="618744"/>
                </a:lnTo>
                <a:lnTo>
                  <a:pt x="312420" y="618744"/>
                </a:lnTo>
                <a:lnTo>
                  <a:pt x="312420" y="0"/>
                </a:lnTo>
                <a:close/>
              </a:path>
              <a:path w="7486015" h="2068195">
                <a:moveTo>
                  <a:pt x="1264920" y="621792"/>
                </a:moveTo>
                <a:lnTo>
                  <a:pt x="315468" y="621792"/>
                </a:lnTo>
                <a:lnTo>
                  <a:pt x="315468" y="1033272"/>
                </a:lnTo>
                <a:lnTo>
                  <a:pt x="1264920" y="1033272"/>
                </a:lnTo>
                <a:lnTo>
                  <a:pt x="1264920" y="621792"/>
                </a:lnTo>
                <a:close/>
              </a:path>
              <a:path w="7486015" h="2068195">
                <a:moveTo>
                  <a:pt x="1264920" y="0"/>
                </a:moveTo>
                <a:lnTo>
                  <a:pt x="315468" y="0"/>
                </a:lnTo>
                <a:lnTo>
                  <a:pt x="315468" y="618744"/>
                </a:lnTo>
                <a:lnTo>
                  <a:pt x="1264920" y="618744"/>
                </a:lnTo>
                <a:lnTo>
                  <a:pt x="1264920" y="0"/>
                </a:lnTo>
                <a:close/>
              </a:path>
              <a:path w="7486015" h="2068195">
                <a:moveTo>
                  <a:pt x="2531364" y="621792"/>
                </a:moveTo>
                <a:lnTo>
                  <a:pt x="1267968" y="621792"/>
                </a:lnTo>
                <a:lnTo>
                  <a:pt x="1267968" y="1033272"/>
                </a:lnTo>
                <a:lnTo>
                  <a:pt x="2531364" y="1033272"/>
                </a:lnTo>
                <a:lnTo>
                  <a:pt x="2531364" y="621792"/>
                </a:lnTo>
                <a:close/>
              </a:path>
              <a:path w="7486015" h="2068195">
                <a:moveTo>
                  <a:pt x="2531364" y="0"/>
                </a:moveTo>
                <a:lnTo>
                  <a:pt x="1267968" y="0"/>
                </a:lnTo>
                <a:lnTo>
                  <a:pt x="1267968" y="618744"/>
                </a:lnTo>
                <a:lnTo>
                  <a:pt x="2531364" y="618744"/>
                </a:lnTo>
                <a:lnTo>
                  <a:pt x="2531364" y="0"/>
                </a:lnTo>
                <a:close/>
              </a:path>
              <a:path w="7486015" h="2068195">
                <a:moveTo>
                  <a:pt x="3037332" y="1863852"/>
                </a:moveTo>
                <a:lnTo>
                  <a:pt x="2534412" y="1863852"/>
                </a:lnTo>
                <a:lnTo>
                  <a:pt x="2534412" y="2068068"/>
                </a:lnTo>
                <a:lnTo>
                  <a:pt x="3037332" y="2068068"/>
                </a:lnTo>
                <a:lnTo>
                  <a:pt x="3037332" y="1863852"/>
                </a:lnTo>
                <a:close/>
              </a:path>
              <a:path w="7486015" h="2068195">
                <a:moveTo>
                  <a:pt x="3037332" y="1656588"/>
                </a:moveTo>
                <a:lnTo>
                  <a:pt x="2534412" y="1656588"/>
                </a:lnTo>
                <a:lnTo>
                  <a:pt x="2534412" y="1860804"/>
                </a:lnTo>
                <a:lnTo>
                  <a:pt x="3037332" y="1860804"/>
                </a:lnTo>
                <a:lnTo>
                  <a:pt x="3037332" y="1656588"/>
                </a:lnTo>
                <a:close/>
              </a:path>
              <a:path w="7486015" h="2068195">
                <a:moveTo>
                  <a:pt x="3037332" y="1449324"/>
                </a:moveTo>
                <a:lnTo>
                  <a:pt x="2534412" y="1449324"/>
                </a:lnTo>
                <a:lnTo>
                  <a:pt x="2534412" y="1653540"/>
                </a:lnTo>
                <a:lnTo>
                  <a:pt x="3037332" y="1653540"/>
                </a:lnTo>
                <a:lnTo>
                  <a:pt x="3037332" y="1449324"/>
                </a:lnTo>
                <a:close/>
              </a:path>
              <a:path w="7486015" h="206819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068195">
                <a:moveTo>
                  <a:pt x="3037332" y="1036320"/>
                </a:moveTo>
                <a:lnTo>
                  <a:pt x="2534412" y="1036320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6320"/>
                </a:lnTo>
                <a:close/>
              </a:path>
              <a:path w="7486015" h="2068195">
                <a:moveTo>
                  <a:pt x="3037332" y="827532"/>
                </a:moveTo>
                <a:lnTo>
                  <a:pt x="2534412" y="827532"/>
                </a:lnTo>
                <a:lnTo>
                  <a:pt x="2534412" y="1033272"/>
                </a:lnTo>
                <a:lnTo>
                  <a:pt x="3037332" y="1033272"/>
                </a:lnTo>
                <a:lnTo>
                  <a:pt x="3037332" y="827532"/>
                </a:lnTo>
                <a:close/>
              </a:path>
              <a:path w="7486015" h="2068195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06819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06819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068195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2068195">
                <a:moveTo>
                  <a:pt x="3674364" y="1863852"/>
                </a:moveTo>
                <a:lnTo>
                  <a:pt x="3040380" y="1863852"/>
                </a:lnTo>
                <a:lnTo>
                  <a:pt x="3040380" y="2068068"/>
                </a:lnTo>
                <a:lnTo>
                  <a:pt x="3674364" y="2068068"/>
                </a:lnTo>
                <a:lnTo>
                  <a:pt x="3674364" y="1863852"/>
                </a:lnTo>
                <a:close/>
              </a:path>
              <a:path w="7486015" h="2068195">
                <a:moveTo>
                  <a:pt x="3674364" y="1656588"/>
                </a:moveTo>
                <a:lnTo>
                  <a:pt x="3040380" y="1656588"/>
                </a:lnTo>
                <a:lnTo>
                  <a:pt x="3040380" y="1860804"/>
                </a:lnTo>
                <a:lnTo>
                  <a:pt x="3674364" y="1860804"/>
                </a:lnTo>
                <a:lnTo>
                  <a:pt x="3674364" y="1656588"/>
                </a:lnTo>
                <a:close/>
              </a:path>
              <a:path w="7486015" h="2068195">
                <a:moveTo>
                  <a:pt x="3674364" y="1449324"/>
                </a:moveTo>
                <a:lnTo>
                  <a:pt x="3040380" y="1449324"/>
                </a:lnTo>
                <a:lnTo>
                  <a:pt x="3040380" y="1653540"/>
                </a:lnTo>
                <a:lnTo>
                  <a:pt x="3674364" y="1653540"/>
                </a:lnTo>
                <a:lnTo>
                  <a:pt x="3674364" y="1449324"/>
                </a:lnTo>
                <a:close/>
              </a:path>
              <a:path w="7486015" h="206819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068195">
                <a:moveTo>
                  <a:pt x="3674364" y="1036320"/>
                </a:moveTo>
                <a:lnTo>
                  <a:pt x="3040380" y="1036320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6320"/>
                </a:lnTo>
                <a:close/>
              </a:path>
              <a:path w="7486015" h="2068195">
                <a:moveTo>
                  <a:pt x="3674364" y="827532"/>
                </a:moveTo>
                <a:lnTo>
                  <a:pt x="3040380" y="827532"/>
                </a:lnTo>
                <a:lnTo>
                  <a:pt x="3040380" y="1033272"/>
                </a:lnTo>
                <a:lnTo>
                  <a:pt x="3674364" y="1033272"/>
                </a:lnTo>
                <a:lnTo>
                  <a:pt x="3674364" y="827532"/>
                </a:lnTo>
                <a:close/>
              </a:path>
              <a:path w="7486015" h="2068195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06819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06819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06819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2068195">
                <a:moveTo>
                  <a:pt x="4437888" y="1656588"/>
                </a:moveTo>
                <a:lnTo>
                  <a:pt x="3677412" y="1656588"/>
                </a:lnTo>
                <a:lnTo>
                  <a:pt x="3677412" y="1860804"/>
                </a:lnTo>
                <a:lnTo>
                  <a:pt x="4437888" y="1860804"/>
                </a:lnTo>
                <a:lnTo>
                  <a:pt x="4437888" y="1656588"/>
                </a:lnTo>
                <a:close/>
              </a:path>
              <a:path w="7486015" h="2068195">
                <a:moveTo>
                  <a:pt x="4437888" y="1449324"/>
                </a:moveTo>
                <a:lnTo>
                  <a:pt x="3677412" y="1449324"/>
                </a:lnTo>
                <a:lnTo>
                  <a:pt x="3677412" y="1653540"/>
                </a:lnTo>
                <a:lnTo>
                  <a:pt x="4437888" y="1653540"/>
                </a:lnTo>
                <a:lnTo>
                  <a:pt x="4437888" y="1449324"/>
                </a:lnTo>
                <a:close/>
              </a:path>
              <a:path w="7486015" h="206819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068195">
                <a:moveTo>
                  <a:pt x="4437888" y="1036320"/>
                </a:moveTo>
                <a:lnTo>
                  <a:pt x="3677412" y="1036320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6320"/>
                </a:lnTo>
                <a:close/>
              </a:path>
              <a:path w="7486015" h="2068195">
                <a:moveTo>
                  <a:pt x="4437888" y="827532"/>
                </a:moveTo>
                <a:lnTo>
                  <a:pt x="3677412" y="827532"/>
                </a:lnTo>
                <a:lnTo>
                  <a:pt x="3677412" y="1033272"/>
                </a:lnTo>
                <a:lnTo>
                  <a:pt x="4437888" y="1033272"/>
                </a:lnTo>
                <a:lnTo>
                  <a:pt x="4437888" y="827532"/>
                </a:lnTo>
                <a:close/>
              </a:path>
              <a:path w="7486015" h="2068195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06819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06819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06819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2068195">
                <a:moveTo>
                  <a:pt x="5199888" y="1656588"/>
                </a:moveTo>
                <a:lnTo>
                  <a:pt x="4440936" y="1656588"/>
                </a:lnTo>
                <a:lnTo>
                  <a:pt x="4440936" y="1860804"/>
                </a:lnTo>
                <a:lnTo>
                  <a:pt x="5199888" y="1860804"/>
                </a:lnTo>
                <a:lnTo>
                  <a:pt x="5199888" y="1656588"/>
                </a:lnTo>
                <a:close/>
              </a:path>
              <a:path w="7486015" h="2068195">
                <a:moveTo>
                  <a:pt x="5199888" y="1449324"/>
                </a:moveTo>
                <a:lnTo>
                  <a:pt x="4440936" y="1449324"/>
                </a:lnTo>
                <a:lnTo>
                  <a:pt x="4440936" y="1653540"/>
                </a:lnTo>
                <a:lnTo>
                  <a:pt x="5199888" y="1653540"/>
                </a:lnTo>
                <a:lnTo>
                  <a:pt x="5199888" y="1449324"/>
                </a:lnTo>
                <a:close/>
              </a:path>
              <a:path w="7486015" h="206819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068195">
                <a:moveTo>
                  <a:pt x="5199888" y="1036320"/>
                </a:moveTo>
                <a:lnTo>
                  <a:pt x="4440936" y="1036320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6320"/>
                </a:lnTo>
                <a:close/>
              </a:path>
              <a:path w="7486015" h="2068195">
                <a:moveTo>
                  <a:pt x="5199888" y="827532"/>
                </a:moveTo>
                <a:lnTo>
                  <a:pt x="4440936" y="827532"/>
                </a:lnTo>
                <a:lnTo>
                  <a:pt x="4440936" y="1033272"/>
                </a:lnTo>
                <a:lnTo>
                  <a:pt x="5199888" y="1033272"/>
                </a:lnTo>
                <a:lnTo>
                  <a:pt x="5199888" y="827532"/>
                </a:lnTo>
                <a:close/>
              </a:path>
              <a:path w="7486015" h="2068195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06819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06819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06819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2068195">
                <a:moveTo>
                  <a:pt x="5961875" y="1656588"/>
                </a:moveTo>
                <a:lnTo>
                  <a:pt x="5202936" y="1656588"/>
                </a:lnTo>
                <a:lnTo>
                  <a:pt x="5202936" y="1860804"/>
                </a:lnTo>
                <a:lnTo>
                  <a:pt x="5961875" y="1860804"/>
                </a:lnTo>
                <a:lnTo>
                  <a:pt x="5961875" y="1656588"/>
                </a:lnTo>
                <a:close/>
              </a:path>
              <a:path w="7486015" h="2068195">
                <a:moveTo>
                  <a:pt x="5961875" y="1449324"/>
                </a:moveTo>
                <a:lnTo>
                  <a:pt x="5202936" y="1449324"/>
                </a:lnTo>
                <a:lnTo>
                  <a:pt x="5202936" y="1653540"/>
                </a:lnTo>
                <a:lnTo>
                  <a:pt x="5961875" y="1653540"/>
                </a:lnTo>
                <a:lnTo>
                  <a:pt x="5961875" y="1449324"/>
                </a:lnTo>
                <a:close/>
              </a:path>
              <a:path w="7486015" h="206819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068195">
                <a:moveTo>
                  <a:pt x="5961875" y="1036320"/>
                </a:moveTo>
                <a:lnTo>
                  <a:pt x="5202936" y="1036320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6320"/>
                </a:lnTo>
                <a:close/>
              </a:path>
              <a:path w="7486015" h="2068195">
                <a:moveTo>
                  <a:pt x="5961875" y="827532"/>
                </a:moveTo>
                <a:lnTo>
                  <a:pt x="5202936" y="827532"/>
                </a:lnTo>
                <a:lnTo>
                  <a:pt x="5202936" y="1033272"/>
                </a:lnTo>
                <a:lnTo>
                  <a:pt x="5961875" y="1033272"/>
                </a:lnTo>
                <a:lnTo>
                  <a:pt x="5961875" y="827532"/>
                </a:lnTo>
                <a:close/>
              </a:path>
              <a:path w="7486015" h="2068195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06819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06819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06819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068195">
                <a:moveTo>
                  <a:pt x="6723888" y="1656588"/>
                </a:moveTo>
                <a:lnTo>
                  <a:pt x="5964936" y="1656588"/>
                </a:lnTo>
                <a:lnTo>
                  <a:pt x="5964936" y="1860804"/>
                </a:lnTo>
                <a:lnTo>
                  <a:pt x="6723888" y="1860804"/>
                </a:lnTo>
                <a:lnTo>
                  <a:pt x="6723888" y="1656588"/>
                </a:lnTo>
                <a:close/>
              </a:path>
              <a:path w="7486015" h="2068195">
                <a:moveTo>
                  <a:pt x="6723888" y="1449324"/>
                </a:moveTo>
                <a:lnTo>
                  <a:pt x="5964936" y="1449324"/>
                </a:lnTo>
                <a:lnTo>
                  <a:pt x="5964936" y="1653540"/>
                </a:lnTo>
                <a:lnTo>
                  <a:pt x="6723888" y="1653540"/>
                </a:lnTo>
                <a:lnTo>
                  <a:pt x="6723888" y="1449324"/>
                </a:lnTo>
                <a:close/>
              </a:path>
              <a:path w="7486015" h="206819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068195">
                <a:moveTo>
                  <a:pt x="6723888" y="1036320"/>
                </a:moveTo>
                <a:lnTo>
                  <a:pt x="5964936" y="1036320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6320"/>
                </a:lnTo>
                <a:close/>
              </a:path>
              <a:path w="7486015" h="2068195">
                <a:moveTo>
                  <a:pt x="6723888" y="827532"/>
                </a:moveTo>
                <a:lnTo>
                  <a:pt x="5964936" y="827532"/>
                </a:lnTo>
                <a:lnTo>
                  <a:pt x="5964936" y="1033272"/>
                </a:lnTo>
                <a:lnTo>
                  <a:pt x="6723888" y="1033272"/>
                </a:lnTo>
                <a:lnTo>
                  <a:pt x="6723888" y="827532"/>
                </a:lnTo>
                <a:close/>
              </a:path>
              <a:path w="7486015" h="2068195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06819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06819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06819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068195">
                <a:moveTo>
                  <a:pt x="7485888" y="1656588"/>
                </a:moveTo>
                <a:lnTo>
                  <a:pt x="6726936" y="1656588"/>
                </a:lnTo>
                <a:lnTo>
                  <a:pt x="6726936" y="1860804"/>
                </a:lnTo>
                <a:lnTo>
                  <a:pt x="7485888" y="1860804"/>
                </a:lnTo>
                <a:lnTo>
                  <a:pt x="7485888" y="1656588"/>
                </a:lnTo>
                <a:close/>
              </a:path>
              <a:path w="7486015" h="2068195">
                <a:moveTo>
                  <a:pt x="7485888" y="1449324"/>
                </a:moveTo>
                <a:lnTo>
                  <a:pt x="6726936" y="1449324"/>
                </a:lnTo>
                <a:lnTo>
                  <a:pt x="6726936" y="1653540"/>
                </a:lnTo>
                <a:lnTo>
                  <a:pt x="7485888" y="1653540"/>
                </a:lnTo>
                <a:lnTo>
                  <a:pt x="7485888" y="1449324"/>
                </a:lnTo>
                <a:close/>
              </a:path>
              <a:path w="7486015" h="206819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068195">
                <a:moveTo>
                  <a:pt x="7485888" y="1036320"/>
                </a:moveTo>
                <a:lnTo>
                  <a:pt x="6726936" y="1036320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6320"/>
                </a:lnTo>
                <a:close/>
              </a:path>
              <a:path w="7486015" h="2068195">
                <a:moveTo>
                  <a:pt x="7485888" y="827532"/>
                </a:moveTo>
                <a:lnTo>
                  <a:pt x="6726936" y="827532"/>
                </a:lnTo>
                <a:lnTo>
                  <a:pt x="6726936" y="1033272"/>
                </a:lnTo>
                <a:lnTo>
                  <a:pt x="7485888" y="1033272"/>
                </a:lnTo>
                <a:lnTo>
                  <a:pt x="7485888" y="827532"/>
                </a:lnTo>
                <a:close/>
              </a:path>
              <a:path w="7486015" h="206819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06819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06819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06819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75" name="Shape 75">
            <a:extLst>
              <a:ext uri="{FF2B5EF4-FFF2-40B4-BE49-F238E27FC236}">
                <a16:creationId xmlns:a16="http://schemas.microsoft.com/office/drawing/2014/main" id="{00000000-0008-0000-0600-00004B000000}"/>
              </a:ext>
            </a:extLst>
          </xdr:cNvPr>
          <xdr:cNvSpPr/>
        </xdr:nvSpPr>
        <xdr:spPr>
          <a:xfrm>
            <a:off x="0" y="1036319"/>
            <a:ext cx="7486015" cy="2479675"/>
          </a:xfrm>
          <a:custGeom>
            <a:avLst/>
            <a:gdLst/>
            <a:ahLst/>
            <a:cxnLst/>
            <a:rect l="0" t="0" r="0" b="0"/>
            <a:pathLst>
              <a:path w="7486015" h="2479675">
                <a:moveTo>
                  <a:pt x="312420" y="1447800"/>
                </a:moveTo>
                <a:lnTo>
                  <a:pt x="0" y="1447800"/>
                </a:lnTo>
                <a:lnTo>
                  <a:pt x="0" y="2479548"/>
                </a:lnTo>
                <a:lnTo>
                  <a:pt x="312420" y="2479548"/>
                </a:lnTo>
                <a:lnTo>
                  <a:pt x="312420" y="1447800"/>
                </a:lnTo>
                <a:close/>
              </a:path>
              <a:path w="7486015" h="2479675">
                <a:moveTo>
                  <a:pt x="312420" y="0"/>
                </a:moveTo>
                <a:lnTo>
                  <a:pt x="0" y="0"/>
                </a:lnTo>
                <a:lnTo>
                  <a:pt x="0" y="1444752"/>
                </a:lnTo>
                <a:lnTo>
                  <a:pt x="312420" y="1444752"/>
                </a:lnTo>
                <a:lnTo>
                  <a:pt x="312420" y="0"/>
                </a:lnTo>
                <a:close/>
              </a:path>
              <a:path w="7486015" h="2479675">
                <a:moveTo>
                  <a:pt x="1264920" y="1447800"/>
                </a:moveTo>
                <a:lnTo>
                  <a:pt x="315468" y="1447800"/>
                </a:lnTo>
                <a:lnTo>
                  <a:pt x="315468" y="2479548"/>
                </a:lnTo>
                <a:lnTo>
                  <a:pt x="1264920" y="2479548"/>
                </a:lnTo>
                <a:lnTo>
                  <a:pt x="1264920" y="1447800"/>
                </a:lnTo>
                <a:close/>
              </a:path>
              <a:path w="7486015" h="2479675">
                <a:moveTo>
                  <a:pt x="1264920" y="0"/>
                </a:moveTo>
                <a:lnTo>
                  <a:pt x="315468" y="0"/>
                </a:lnTo>
                <a:lnTo>
                  <a:pt x="315468" y="1444752"/>
                </a:lnTo>
                <a:lnTo>
                  <a:pt x="1264920" y="1444752"/>
                </a:lnTo>
                <a:lnTo>
                  <a:pt x="1264920" y="0"/>
                </a:lnTo>
                <a:close/>
              </a:path>
              <a:path w="7486015" h="2479675">
                <a:moveTo>
                  <a:pt x="2531364" y="1447800"/>
                </a:moveTo>
                <a:lnTo>
                  <a:pt x="1267968" y="1447800"/>
                </a:lnTo>
                <a:lnTo>
                  <a:pt x="1267968" y="2479548"/>
                </a:lnTo>
                <a:lnTo>
                  <a:pt x="2531364" y="2479548"/>
                </a:lnTo>
                <a:lnTo>
                  <a:pt x="2531364" y="1447800"/>
                </a:lnTo>
                <a:close/>
              </a:path>
              <a:path w="7486015" h="2479675">
                <a:moveTo>
                  <a:pt x="2531364" y="0"/>
                </a:moveTo>
                <a:lnTo>
                  <a:pt x="1267968" y="0"/>
                </a:lnTo>
                <a:lnTo>
                  <a:pt x="1267968" y="1444752"/>
                </a:lnTo>
                <a:lnTo>
                  <a:pt x="2531364" y="1444752"/>
                </a:lnTo>
                <a:lnTo>
                  <a:pt x="2531364" y="0"/>
                </a:lnTo>
                <a:close/>
              </a:path>
              <a:path w="7486015" h="2479675">
                <a:moveTo>
                  <a:pt x="3037332" y="2275332"/>
                </a:moveTo>
                <a:lnTo>
                  <a:pt x="2534412" y="2275332"/>
                </a:lnTo>
                <a:lnTo>
                  <a:pt x="2534412" y="2479548"/>
                </a:lnTo>
                <a:lnTo>
                  <a:pt x="3037332" y="2479548"/>
                </a:lnTo>
                <a:lnTo>
                  <a:pt x="3037332" y="2275332"/>
                </a:lnTo>
                <a:close/>
              </a:path>
              <a:path w="7486015" h="2479675">
                <a:moveTo>
                  <a:pt x="3037332" y="2069592"/>
                </a:moveTo>
                <a:lnTo>
                  <a:pt x="2534412" y="2069592"/>
                </a:lnTo>
                <a:lnTo>
                  <a:pt x="2534412" y="2272284"/>
                </a:lnTo>
                <a:lnTo>
                  <a:pt x="3037332" y="2272284"/>
                </a:lnTo>
                <a:lnTo>
                  <a:pt x="3037332" y="2069592"/>
                </a:lnTo>
                <a:close/>
              </a:path>
              <a:path w="7486015" h="2479675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479675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479675">
                <a:moveTo>
                  <a:pt x="3037332" y="1447800"/>
                </a:moveTo>
                <a:lnTo>
                  <a:pt x="2534412" y="1447800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7800"/>
                </a:lnTo>
                <a:close/>
              </a:path>
              <a:path w="7486015" h="2479675">
                <a:moveTo>
                  <a:pt x="3037332" y="1242060"/>
                </a:moveTo>
                <a:lnTo>
                  <a:pt x="2534412" y="1242060"/>
                </a:lnTo>
                <a:lnTo>
                  <a:pt x="2534412" y="1444752"/>
                </a:lnTo>
                <a:lnTo>
                  <a:pt x="3037332" y="1444752"/>
                </a:lnTo>
                <a:lnTo>
                  <a:pt x="3037332" y="1242060"/>
                </a:lnTo>
                <a:close/>
              </a:path>
              <a:path w="7486015" h="247967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479675">
                <a:moveTo>
                  <a:pt x="3674364" y="2275332"/>
                </a:moveTo>
                <a:lnTo>
                  <a:pt x="3040380" y="2275332"/>
                </a:lnTo>
                <a:lnTo>
                  <a:pt x="3040380" y="2479548"/>
                </a:lnTo>
                <a:lnTo>
                  <a:pt x="3674364" y="2479548"/>
                </a:lnTo>
                <a:lnTo>
                  <a:pt x="3674364" y="2275332"/>
                </a:lnTo>
                <a:close/>
              </a:path>
              <a:path w="7486015" h="2479675">
                <a:moveTo>
                  <a:pt x="3674364" y="2069592"/>
                </a:moveTo>
                <a:lnTo>
                  <a:pt x="3040380" y="2069592"/>
                </a:lnTo>
                <a:lnTo>
                  <a:pt x="3040380" y="2272284"/>
                </a:lnTo>
                <a:lnTo>
                  <a:pt x="3674364" y="2272284"/>
                </a:lnTo>
                <a:lnTo>
                  <a:pt x="3674364" y="2069592"/>
                </a:lnTo>
                <a:close/>
              </a:path>
              <a:path w="7486015" h="2479675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479675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479675">
                <a:moveTo>
                  <a:pt x="3674364" y="1447800"/>
                </a:moveTo>
                <a:lnTo>
                  <a:pt x="3040380" y="1447800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7800"/>
                </a:lnTo>
                <a:close/>
              </a:path>
              <a:path w="7486015" h="2479675">
                <a:moveTo>
                  <a:pt x="3674364" y="1242060"/>
                </a:moveTo>
                <a:lnTo>
                  <a:pt x="3040380" y="1242060"/>
                </a:lnTo>
                <a:lnTo>
                  <a:pt x="3040380" y="1444752"/>
                </a:lnTo>
                <a:lnTo>
                  <a:pt x="3674364" y="1444752"/>
                </a:lnTo>
                <a:lnTo>
                  <a:pt x="3674364" y="1242060"/>
                </a:lnTo>
                <a:close/>
              </a:path>
              <a:path w="7486015" h="247967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47967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479675">
                <a:moveTo>
                  <a:pt x="4437888" y="2275332"/>
                </a:moveTo>
                <a:lnTo>
                  <a:pt x="3677412" y="2275332"/>
                </a:lnTo>
                <a:lnTo>
                  <a:pt x="3677412" y="2479548"/>
                </a:lnTo>
                <a:lnTo>
                  <a:pt x="4437888" y="2479548"/>
                </a:lnTo>
                <a:lnTo>
                  <a:pt x="4437888" y="2275332"/>
                </a:lnTo>
                <a:close/>
              </a:path>
              <a:path w="7486015" h="2479675">
                <a:moveTo>
                  <a:pt x="4437888" y="2069592"/>
                </a:moveTo>
                <a:lnTo>
                  <a:pt x="3677412" y="2069592"/>
                </a:lnTo>
                <a:lnTo>
                  <a:pt x="3677412" y="2272284"/>
                </a:lnTo>
                <a:lnTo>
                  <a:pt x="4437888" y="2272284"/>
                </a:lnTo>
                <a:lnTo>
                  <a:pt x="4437888" y="2069592"/>
                </a:lnTo>
                <a:close/>
              </a:path>
              <a:path w="7486015" h="2479675">
                <a:moveTo>
                  <a:pt x="4437888" y="1862328"/>
                </a:moveTo>
                <a:lnTo>
                  <a:pt x="3677412" y="1862328"/>
                </a:lnTo>
                <a:lnTo>
                  <a:pt x="3677412" y="2066544"/>
                </a:lnTo>
                <a:lnTo>
                  <a:pt x="4437888" y="2066544"/>
                </a:lnTo>
                <a:lnTo>
                  <a:pt x="4437888" y="1862328"/>
                </a:lnTo>
                <a:close/>
              </a:path>
              <a:path w="7486015" h="2479675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479675">
                <a:moveTo>
                  <a:pt x="4437888" y="1447800"/>
                </a:moveTo>
                <a:lnTo>
                  <a:pt x="3677412" y="1447800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7800"/>
                </a:lnTo>
                <a:close/>
              </a:path>
              <a:path w="7486015" h="2479675">
                <a:moveTo>
                  <a:pt x="4437888" y="1242060"/>
                </a:moveTo>
                <a:lnTo>
                  <a:pt x="3677412" y="1242060"/>
                </a:lnTo>
                <a:lnTo>
                  <a:pt x="3677412" y="1444752"/>
                </a:lnTo>
                <a:lnTo>
                  <a:pt x="4437888" y="1444752"/>
                </a:lnTo>
                <a:lnTo>
                  <a:pt x="4437888" y="1242060"/>
                </a:lnTo>
                <a:close/>
              </a:path>
              <a:path w="7486015" h="247967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47967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479675">
                <a:moveTo>
                  <a:pt x="5199888" y="2275332"/>
                </a:moveTo>
                <a:lnTo>
                  <a:pt x="4440936" y="2275332"/>
                </a:lnTo>
                <a:lnTo>
                  <a:pt x="4440936" y="2479548"/>
                </a:lnTo>
                <a:lnTo>
                  <a:pt x="5199888" y="2479548"/>
                </a:lnTo>
                <a:lnTo>
                  <a:pt x="5199888" y="2275332"/>
                </a:lnTo>
                <a:close/>
              </a:path>
              <a:path w="7486015" h="2479675">
                <a:moveTo>
                  <a:pt x="5199888" y="2069592"/>
                </a:moveTo>
                <a:lnTo>
                  <a:pt x="4440936" y="2069592"/>
                </a:lnTo>
                <a:lnTo>
                  <a:pt x="4440936" y="2272284"/>
                </a:lnTo>
                <a:lnTo>
                  <a:pt x="5199888" y="2272284"/>
                </a:lnTo>
                <a:lnTo>
                  <a:pt x="5199888" y="2069592"/>
                </a:lnTo>
                <a:close/>
              </a:path>
              <a:path w="7486015" h="2479675">
                <a:moveTo>
                  <a:pt x="5199888" y="1862328"/>
                </a:moveTo>
                <a:lnTo>
                  <a:pt x="4440936" y="1862328"/>
                </a:lnTo>
                <a:lnTo>
                  <a:pt x="4440936" y="2066544"/>
                </a:lnTo>
                <a:lnTo>
                  <a:pt x="5199888" y="2066544"/>
                </a:lnTo>
                <a:lnTo>
                  <a:pt x="5199888" y="1862328"/>
                </a:lnTo>
                <a:close/>
              </a:path>
              <a:path w="7486015" h="2479675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479675">
                <a:moveTo>
                  <a:pt x="5199888" y="1447800"/>
                </a:moveTo>
                <a:lnTo>
                  <a:pt x="4440936" y="1447800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7800"/>
                </a:lnTo>
                <a:close/>
              </a:path>
              <a:path w="7486015" h="2479675">
                <a:moveTo>
                  <a:pt x="5199888" y="1242060"/>
                </a:moveTo>
                <a:lnTo>
                  <a:pt x="4440936" y="1242060"/>
                </a:lnTo>
                <a:lnTo>
                  <a:pt x="4440936" y="1444752"/>
                </a:lnTo>
                <a:lnTo>
                  <a:pt x="5199888" y="1444752"/>
                </a:lnTo>
                <a:lnTo>
                  <a:pt x="5199888" y="1242060"/>
                </a:lnTo>
                <a:close/>
              </a:path>
              <a:path w="7486015" h="247967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47967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479675">
                <a:moveTo>
                  <a:pt x="5961875" y="2275332"/>
                </a:moveTo>
                <a:lnTo>
                  <a:pt x="5202936" y="2275332"/>
                </a:lnTo>
                <a:lnTo>
                  <a:pt x="5202936" y="2479548"/>
                </a:lnTo>
                <a:lnTo>
                  <a:pt x="5961875" y="2479548"/>
                </a:lnTo>
                <a:lnTo>
                  <a:pt x="5961875" y="2275332"/>
                </a:lnTo>
                <a:close/>
              </a:path>
              <a:path w="7486015" h="2479675">
                <a:moveTo>
                  <a:pt x="5961875" y="2069592"/>
                </a:moveTo>
                <a:lnTo>
                  <a:pt x="5202936" y="2069592"/>
                </a:lnTo>
                <a:lnTo>
                  <a:pt x="5202936" y="2272284"/>
                </a:lnTo>
                <a:lnTo>
                  <a:pt x="5961875" y="2272284"/>
                </a:lnTo>
                <a:lnTo>
                  <a:pt x="5961875" y="2069592"/>
                </a:lnTo>
                <a:close/>
              </a:path>
              <a:path w="7486015" h="2479675">
                <a:moveTo>
                  <a:pt x="5961875" y="1862328"/>
                </a:moveTo>
                <a:lnTo>
                  <a:pt x="5202936" y="1862328"/>
                </a:lnTo>
                <a:lnTo>
                  <a:pt x="5202936" y="2066544"/>
                </a:lnTo>
                <a:lnTo>
                  <a:pt x="5961875" y="2066544"/>
                </a:lnTo>
                <a:lnTo>
                  <a:pt x="5961875" y="1862328"/>
                </a:lnTo>
                <a:close/>
              </a:path>
              <a:path w="7486015" h="2479675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479675">
                <a:moveTo>
                  <a:pt x="5961875" y="1447800"/>
                </a:moveTo>
                <a:lnTo>
                  <a:pt x="5202936" y="1447800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7800"/>
                </a:lnTo>
                <a:close/>
              </a:path>
              <a:path w="7486015" h="2479675">
                <a:moveTo>
                  <a:pt x="5961875" y="1242060"/>
                </a:moveTo>
                <a:lnTo>
                  <a:pt x="5202936" y="1242060"/>
                </a:lnTo>
                <a:lnTo>
                  <a:pt x="5202936" y="1444752"/>
                </a:lnTo>
                <a:lnTo>
                  <a:pt x="5961875" y="1444752"/>
                </a:lnTo>
                <a:lnTo>
                  <a:pt x="5961875" y="1242060"/>
                </a:lnTo>
                <a:close/>
              </a:path>
              <a:path w="7486015" h="247967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47967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479675">
                <a:moveTo>
                  <a:pt x="6723888" y="2275332"/>
                </a:moveTo>
                <a:lnTo>
                  <a:pt x="5964936" y="2275332"/>
                </a:lnTo>
                <a:lnTo>
                  <a:pt x="5964936" y="2479548"/>
                </a:lnTo>
                <a:lnTo>
                  <a:pt x="6723888" y="2479548"/>
                </a:lnTo>
                <a:lnTo>
                  <a:pt x="6723888" y="2275332"/>
                </a:lnTo>
                <a:close/>
              </a:path>
              <a:path w="7486015" h="2479675">
                <a:moveTo>
                  <a:pt x="6723888" y="2069592"/>
                </a:moveTo>
                <a:lnTo>
                  <a:pt x="5964936" y="2069592"/>
                </a:lnTo>
                <a:lnTo>
                  <a:pt x="5964936" y="2272284"/>
                </a:lnTo>
                <a:lnTo>
                  <a:pt x="6723888" y="2272284"/>
                </a:lnTo>
                <a:lnTo>
                  <a:pt x="6723888" y="2069592"/>
                </a:lnTo>
                <a:close/>
              </a:path>
              <a:path w="7486015" h="2479675">
                <a:moveTo>
                  <a:pt x="6723888" y="1862328"/>
                </a:moveTo>
                <a:lnTo>
                  <a:pt x="5964936" y="1862328"/>
                </a:lnTo>
                <a:lnTo>
                  <a:pt x="5964936" y="2066544"/>
                </a:lnTo>
                <a:lnTo>
                  <a:pt x="6723888" y="2066544"/>
                </a:lnTo>
                <a:lnTo>
                  <a:pt x="6723888" y="1862328"/>
                </a:lnTo>
                <a:close/>
              </a:path>
              <a:path w="7486015" h="2479675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479675">
                <a:moveTo>
                  <a:pt x="6723888" y="1447800"/>
                </a:moveTo>
                <a:lnTo>
                  <a:pt x="5964936" y="1447800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7800"/>
                </a:lnTo>
                <a:close/>
              </a:path>
              <a:path w="7486015" h="2479675">
                <a:moveTo>
                  <a:pt x="6723888" y="1242060"/>
                </a:moveTo>
                <a:lnTo>
                  <a:pt x="5964936" y="1242060"/>
                </a:lnTo>
                <a:lnTo>
                  <a:pt x="5964936" y="1444752"/>
                </a:lnTo>
                <a:lnTo>
                  <a:pt x="6723888" y="1444752"/>
                </a:lnTo>
                <a:lnTo>
                  <a:pt x="6723888" y="1242060"/>
                </a:lnTo>
                <a:close/>
              </a:path>
              <a:path w="7486015" h="247967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47967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479675">
                <a:moveTo>
                  <a:pt x="7485888" y="2275332"/>
                </a:moveTo>
                <a:lnTo>
                  <a:pt x="6726936" y="2275332"/>
                </a:lnTo>
                <a:lnTo>
                  <a:pt x="6726936" y="2479548"/>
                </a:lnTo>
                <a:lnTo>
                  <a:pt x="7485888" y="2479548"/>
                </a:lnTo>
                <a:lnTo>
                  <a:pt x="7485888" y="2275332"/>
                </a:lnTo>
                <a:close/>
              </a:path>
              <a:path w="7486015" h="2479675">
                <a:moveTo>
                  <a:pt x="7485888" y="2069592"/>
                </a:moveTo>
                <a:lnTo>
                  <a:pt x="6726936" y="2069592"/>
                </a:lnTo>
                <a:lnTo>
                  <a:pt x="6726936" y="2272284"/>
                </a:lnTo>
                <a:lnTo>
                  <a:pt x="7485888" y="2272284"/>
                </a:lnTo>
                <a:lnTo>
                  <a:pt x="7485888" y="2069592"/>
                </a:lnTo>
                <a:close/>
              </a:path>
              <a:path w="7486015" h="2479675">
                <a:moveTo>
                  <a:pt x="7485888" y="1862328"/>
                </a:moveTo>
                <a:lnTo>
                  <a:pt x="6726936" y="1862328"/>
                </a:lnTo>
                <a:lnTo>
                  <a:pt x="6726936" y="2066544"/>
                </a:lnTo>
                <a:lnTo>
                  <a:pt x="7485888" y="2066544"/>
                </a:lnTo>
                <a:lnTo>
                  <a:pt x="7485888" y="1862328"/>
                </a:lnTo>
                <a:close/>
              </a:path>
              <a:path w="7486015" h="2479675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479675">
                <a:moveTo>
                  <a:pt x="7485888" y="1447800"/>
                </a:moveTo>
                <a:lnTo>
                  <a:pt x="6726936" y="1447800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7800"/>
                </a:lnTo>
                <a:close/>
              </a:path>
              <a:path w="7486015" h="2479675">
                <a:moveTo>
                  <a:pt x="7485888" y="1242060"/>
                </a:moveTo>
                <a:lnTo>
                  <a:pt x="6726936" y="1242060"/>
                </a:lnTo>
                <a:lnTo>
                  <a:pt x="6726936" y="1444752"/>
                </a:lnTo>
                <a:lnTo>
                  <a:pt x="7485888" y="1444752"/>
                </a:lnTo>
                <a:lnTo>
                  <a:pt x="7485888" y="1242060"/>
                </a:lnTo>
                <a:close/>
              </a:path>
              <a:path w="7486015" h="247967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47967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23</xdr:row>
      <xdr:rowOff>0</xdr:rowOff>
    </xdr:from>
    <xdr:ext cx="645160" cy="3515995"/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SpPr/>
      </xdr:nvSpPr>
      <xdr:spPr>
        <a:xfrm>
          <a:off x="0" y="0"/>
          <a:ext cx="645160" cy="3515995"/>
        </a:xfrm>
        <a:custGeom>
          <a:avLst/>
          <a:gdLst/>
          <a:ahLst/>
          <a:cxnLst/>
          <a:rect l="0" t="0" r="0" b="0"/>
          <a:pathLst>
            <a:path w="645160" h="3515995">
              <a:moveTo>
                <a:pt x="644652" y="3311652"/>
              </a:moveTo>
              <a:lnTo>
                <a:pt x="0" y="3311652"/>
              </a:lnTo>
              <a:lnTo>
                <a:pt x="0" y="3515868"/>
              </a:lnTo>
              <a:lnTo>
                <a:pt x="644652" y="3515868"/>
              </a:lnTo>
              <a:lnTo>
                <a:pt x="644652" y="3311652"/>
              </a:lnTo>
              <a:close/>
            </a:path>
            <a:path w="645160" h="3515995">
              <a:moveTo>
                <a:pt x="644652" y="3105912"/>
              </a:moveTo>
              <a:lnTo>
                <a:pt x="0" y="3105912"/>
              </a:lnTo>
              <a:lnTo>
                <a:pt x="0" y="3308604"/>
              </a:lnTo>
              <a:lnTo>
                <a:pt x="644652" y="3308604"/>
              </a:lnTo>
              <a:lnTo>
                <a:pt x="644652" y="3105912"/>
              </a:lnTo>
              <a:close/>
            </a:path>
            <a:path w="645160" h="3515995">
              <a:moveTo>
                <a:pt x="644652" y="2898648"/>
              </a:moveTo>
              <a:lnTo>
                <a:pt x="0" y="2898648"/>
              </a:lnTo>
              <a:lnTo>
                <a:pt x="0" y="3102864"/>
              </a:lnTo>
              <a:lnTo>
                <a:pt x="644652" y="3102864"/>
              </a:lnTo>
              <a:lnTo>
                <a:pt x="644652" y="2898648"/>
              </a:lnTo>
              <a:close/>
            </a:path>
            <a:path w="645160" h="3515995">
              <a:moveTo>
                <a:pt x="644652" y="2691384"/>
              </a:moveTo>
              <a:lnTo>
                <a:pt x="0" y="2691384"/>
              </a:lnTo>
              <a:lnTo>
                <a:pt x="0" y="2895600"/>
              </a:lnTo>
              <a:lnTo>
                <a:pt x="644652" y="2895600"/>
              </a:lnTo>
              <a:lnTo>
                <a:pt x="644652" y="2691384"/>
              </a:lnTo>
              <a:close/>
            </a:path>
            <a:path w="645160" h="3515995">
              <a:moveTo>
                <a:pt x="644652" y="2484120"/>
              </a:moveTo>
              <a:lnTo>
                <a:pt x="0" y="2484120"/>
              </a:lnTo>
              <a:lnTo>
                <a:pt x="0" y="2688336"/>
              </a:lnTo>
              <a:lnTo>
                <a:pt x="644652" y="2688336"/>
              </a:lnTo>
              <a:lnTo>
                <a:pt x="644652" y="2484120"/>
              </a:lnTo>
              <a:close/>
            </a:path>
            <a:path w="645160" h="3515995">
              <a:moveTo>
                <a:pt x="644652" y="2278380"/>
              </a:moveTo>
              <a:lnTo>
                <a:pt x="0" y="2278380"/>
              </a:lnTo>
              <a:lnTo>
                <a:pt x="0" y="2481072"/>
              </a:lnTo>
              <a:lnTo>
                <a:pt x="644652" y="2481072"/>
              </a:lnTo>
              <a:lnTo>
                <a:pt x="644652" y="2278380"/>
              </a:lnTo>
              <a:close/>
            </a:path>
            <a:path w="645160" h="3515995">
              <a:moveTo>
                <a:pt x="644652" y="2071116"/>
              </a:moveTo>
              <a:lnTo>
                <a:pt x="0" y="2071116"/>
              </a:lnTo>
              <a:lnTo>
                <a:pt x="0" y="2275332"/>
              </a:lnTo>
              <a:lnTo>
                <a:pt x="644652" y="2275332"/>
              </a:lnTo>
              <a:lnTo>
                <a:pt x="644652" y="2071116"/>
              </a:lnTo>
              <a:close/>
            </a:path>
            <a:path w="645160" h="3515995">
              <a:moveTo>
                <a:pt x="644652" y="1863852"/>
              </a:moveTo>
              <a:lnTo>
                <a:pt x="0" y="1863852"/>
              </a:lnTo>
              <a:lnTo>
                <a:pt x="0" y="2068068"/>
              </a:lnTo>
              <a:lnTo>
                <a:pt x="644652" y="2068068"/>
              </a:lnTo>
              <a:lnTo>
                <a:pt x="644652" y="1863852"/>
              </a:lnTo>
              <a:close/>
            </a:path>
            <a:path w="645160" h="3515995">
              <a:moveTo>
                <a:pt x="644652" y="1656588"/>
              </a:moveTo>
              <a:lnTo>
                <a:pt x="0" y="1656588"/>
              </a:lnTo>
              <a:lnTo>
                <a:pt x="0" y="1860804"/>
              </a:lnTo>
              <a:lnTo>
                <a:pt x="644652" y="1860804"/>
              </a:lnTo>
              <a:lnTo>
                <a:pt x="644652" y="1656588"/>
              </a:lnTo>
              <a:close/>
            </a:path>
            <a:path w="645160" h="3515995">
              <a:moveTo>
                <a:pt x="644652" y="1449324"/>
              </a:moveTo>
              <a:lnTo>
                <a:pt x="0" y="1449324"/>
              </a:lnTo>
              <a:lnTo>
                <a:pt x="0" y="1653540"/>
              </a:lnTo>
              <a:lnTo>
                <a:pt x="644652" y="1653540"/>
              </a:lnTo>
              <a:lnTo>
                <a:pt x="644652" y="1449324"/>
              </a:lnTo>
              <a:close/>
            </a:path>
            <a:path w="645160" h="3515995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3515995">
              <a:moveTo>
                <a:pt x="644652" y="1036320"/>
              </a:moveTo>
              <a:lnTo>
                <a:pt x="0" y="1036320"/>
              </a:lnTo>
              <a:lnTo>
                <a:pt x="0" y="1239012"/>
              </a:lnTo>
              <a:lnTo>
                <a:pt x="644652" y="1239012"/>
              </a:lnTo>
              <a:lnTo>
                <a:pt x="644652" y="1036320"/>
              </a:lnTo>
              <a:close/>
            </a:path>
            <a:path w="645160" h="3515995">
              <a:moveTo>
                <a:pt x="644652" y="827532"/>
              </a:moveTo>
              <a:lnTo>
                <a:pt x="0" y="827532"/>
              </a:lnTo>
              <a:lnTo>
                <a:pt x="0" y="1033272"/>
              </a:lnTo>
              <a:lnTo>
                <a:pt x="644652" y="1033272"/>
              </a:lnTo>
              <a:lnTo>
                <a:pt x="644652" y="827532"/>
              </a:lnTo>
              <a:close/>
            </a:path>
            <a:path w="645160" h="3515995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3515995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3515995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3515995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23</xdr:row>
      <xdr:rowOff>204977</xdr:rowOff>
    </xdr:from>
    <xdr:ext cx="3808729" cy="480059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761</xdr:rowOff>
    </xdr:from>
    <xdr:ext cx="381000" cy="381000"/>
    <xdr:pic>
      <xdr:nvPicPr>
        <xdr:cNvPr id="78" name="image1.jpeg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49142</xdr:rowOff>
    </xdr:from>
    <xdr:ext cx="381000" cy="290285"/>
    <xdr:pic>
      <xdr:nvPicPr>
        <xdr:cNvPr id="79" name="image2.jpeg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49142</xdr:rowOff>
    </xdr:from>
    <xdr:ext cx="381000" cy="290285"/>
    <xdr:pic>
      <xdr:nvPicPr>
        <xdr:cNvPr id="80" name="image3.jpeg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201929</xdr:colOff>
      <xdr:row>3</xdr:row>
      <xdr:rowOff>761</xdr:rowOff>
    </xdr:from>
    <xdr:ext cx="338666" cy="381000"/>
    <xdr:pic>
      <xdr:nvPicPr>
        <xdr:cNvPr id="81" name="image4.jpeg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9</xdr:col>
      <xdr:colOff>298691</xdr:colOff>
      <xdr:row>3</xdr:row>
      <xdr:rowOff>49142</xdr:rowOff>
    </xdr:from>
    <xdr:ext cx="193523" cy="290285"/>
    <xdr:pic>
      <xdr:nvPicPr>
        <xdr:cNvPr id="82" name="image5.jpeg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25</xdr:row>
      <xdr:rowOff>0</xdr:rowOff>
    </xdr:from>
    <xdr:ext cx="7486015" cy="4136390"/>
    <xdr:grpSp>
      <xdr:nvGrpSpPr>
        <xdr:cNvPr id="83" name="Group 83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GrpSpPr/>
      </xdr:nvGrpSpPr>
      <xdr:grpSpPr>
        <a:xfrm>
          <a:off x="607059" y="6256020"/>
          <a:ext cx="7486015" cy="4136390"/>
          <a:chOff x="0" y="0"/>
          <a:chExt cx="7486015" cy="4136390"/>
        </a:xfrm>
      </xdr:grpSpPr>
      <xdr:sp macro="" textlink="">
        <xdr:nvSpPr>
          <xdr:cNvPr id="84" name="Shape 84">
            <a:extLst>
              <a:ext uri="{FF2B5EF4-FFF2-40B4-BE49-F238E27FC236}">
                <a16:creationId xmlns:a16="http://schemas.microsoft.com/office/drawing/2014/main" id="{00000000-0008-0000-0700-000054000000}"/>
              </a:ext>
            </a:extLst>
          </xdr:cNvPr>
          <xdr:cNvSpPr/>
        </xdr:nvSpPr>
        <xdr:spPr>
          <a:xfrm>
            <a:off x="0" y="0"/>
            <a:ext cx="7486015" cy="2066925"/>
          </a:xfrm>
          <a:custGeom>
            <a:avLst/>
            <a:gdLst/>
            <a:ahLst/>
            <a:cxnLst/>
            <a:rect l="0" t="0" r="0" b="0"/>
            <a:pathLst>
              <a:path w="7486015" h="2066925">
                <a:moveTo>
                  <a:pt x="312420" y="0"/>
                </a:moveTo>
                <a:lnTo>
                  <a:pt x="0" y="0"/>
                </a:lnTo>
                <a:lnTo>
                  <a:pt x="0" y="1031748"/>
                </a:lnTo>
                <a:lnTo>
                  <a:pt x="312420" y="1031748"/>
                </a:lnTo>
                <a:lnTo>
                  <a:pt x="312420" y="0"/>
                </a:lnTo>
                <a:close/>
              </a:path>
              <a:path w="7486015" h="2066925">
                <a:moveTo>
                  <a:pt x="1264920" y="0"/>
                </a:moveTo>
                <a:lnTo>
                  <a:pt x="315468" y="0"/>
                </a:lnTo>
                <a:lnTo>
                  <a:pt x="315468" y="1031748"/>
                </a:lnTo>
                <a:lnTo>
                  <a:pt x="1264920" y="1031748"/>
                </a:lnTo>
                <a:lnTo>
                  <a:pt x="1264920" y="0"/>
                </a:lnTo>
                <a:close/>
              </a:path>
              <a:path w="7486015" h="2066925">
                <a:moveTo>
                  <a:pt x="2531364" y="1034796"/>
                </a:moveTo>
                <a:lnTo>
                  <a:pt x="1267968" y="1034796"/>
                </a:lnTo>
                <a:lnTo>
                  <a:pt x="1267968" y="2066544"/>
                </a:lnTo>
                <a:lnTo>
                  <a:pt x="2531364" y="2066544"/>
                </a:lnTo>
                <a:lnTo>
                  <a:pt x="2531364" y="1034796"/>
                </a:lnTo>
                <a:close/>
              </a:path>
              <a:path w="7486015" h="2066925">
                <a:moveTo>
                  <a:pt x="2531364" y="0"/>
                </a:moveTo>
                <a:lnTo>
                  <a:pt x="1267968" y="0"/>
                </a:lnTo>
                <a:lnTo>
                  <a:pt x="1267968" y="1031748"/>
                </a:lnTo>
                <a:lnTo>
                  <a:pt x="2531364" y="1031748"/>
                </a:lnTo>
                <a:lnTo>
                  <a:pt x="2531364" y="0"/>
                </a:lnTo>
                <a:close/>
              </a:path>
              <a:path w="7486015" h="2066925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066925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066925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206692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06692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06692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066925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06692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06692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066925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2066925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066925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066925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206692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06692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06692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066925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06692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06692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06692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2066925">
                <a:moveTo>
                  <a:pt x="4437888" y="1862328"/>
                </a:moveTo>
                <a:lnTo>
                  <a:pt x="3677412" y="1862328"/>
                </a:lnTo>
                <a:lnTo>
                  <a:pt x="3677412" y="2066544"/>
                </a:lnTo>
                <a:lnTo>
                  <a:pt x="4437888" y="2066544"/>
                </a:lnTo>
                <a:lnTo>
                  <a:pt x="4437888" y="1862328"/>
                </a:lnTo>
                <a:close/>
              </a:path>
              <a:path w="7486015" h="2066925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066925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206692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06692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06692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066925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06692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06692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06692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2066925">
                <a:moveTo>
                  <a:pt x="5199888" y="1862328"/>
                </a:moveTo>
                <a:lnTo>
                  <a:pt x="4440936" y="1862328"/>
                </a:lnTo>
                <a:lnTo>
                  <a:pt x="4440936" y="2066544"/>
                </a:lnTo>
                <a:lnTo>
                  <a:pt x="5199888" y="2066544"/>
                </a:lnTo>
                <a:lnTo>
                  <a:pt x="5199888" y="1862328"/>
                </a:lnTo>
                <a:close/>
              </a:path>
              <a:path w="7486015" h="2066925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066925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206692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06692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06692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066925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06692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06692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06692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2066925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066925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206692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06692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06692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066925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06692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06692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06692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066925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066925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206692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06692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06692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066925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06692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06692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06692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066925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066925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206692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06692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06692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06692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06692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06692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06692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85" name="Shape 85">
            <a:extLst>
              <a:ext uri="{FF2B5EF4-FFF2-40B4-BE49-F238E27FC236}">
                <a16:creationId xmlns:a16="http://schemas.microsoft.com/office/drawing/2014/main" id="{00000000-0008-0000-0700-000055000000}"/>
              </a:ext>
            </a:extLst>
          </xdr:cNvPr>
          <xdr:cNvSpPr/>
        </xdr:nvSpPr>
        <xdr:spPr>
          <a:xfrm>
            <a:off x="0" y="1034795"/>
            <a:ext cx="7486015" cy="2895600"/>
          </a:xfrm>
          <a:custGeom>
            <a:avLst/>
            <a:gdLst/>
            <a:ahLst/>
            <a:cxnLst/>
            <a:rect l="0" t="0" r="0" b="0"/>
            <a:pathLst>
              <a:path w="7486015" h="2895600">
                <a:moveTo>
                  <a:pt x="312420" y="2276856"/>
                </a:moveTo>
                <a:lnTo>
                  <a:pt x="0" y="2276856"/>
                </a:lnTo>
                <a:lnTo>
                  <a:pt x="0" y="2688336"/>
                </a:lnTo>
                <a:lnTo>
                  <a:pt x="312420" y="2688336"/>
                </a:lnTo>
                <a:lnTo>
                  <a:pt x="312420" y="2276856"/>
                </a:lnTo>
                <a:close/>
              </a:path>
              <a:path w="7486015" h="2895600">
                <a:moveTo>
                  <a:pt x="312420" y="1862328"/>
                </a:moveTo>
                <a:lnTo>
                  <a:pt x="0" y="1862328"/>
                </a:lnTo>
                <a:lnTo>
                  <a:pt x="0" y="2273808"/>
                </a:lnTo>
                <a:lnTo>
                  <a:pt x="312420" y="2273808"/>
                </a:lnTo>
                <a:lnTo>
                  <a:pt x="312420" y="1862328"/>
                </a:lnTo>
                <a:close/>
              </a:path>
              <a:path w="7486015" h="2895600">
                <a:moveTo>
                  <a:pt x="312420" y="0"/>
                </a:moveTo>
                <a:lnTo>
                  <a:pt x="0" y="0"/>
                </a:lnTo>
                <a:lnTo>
                  <a:pt x="0" y="1859280"/>
                </a:lnTo>
                <a:lnTo>
                  <a:pt x="312420" y="1859280"/>
                </a:lnTo>
                <a:lnTo>
                  <a:pt x="312420" y="0"/>
                </a:lnTo>
                <a:close/>
              </a:path>
              <a:path w="7486015" h="2895600">
                <a:moveTo>
                  <a:pt x="1264920" y="2276856"/>
                </a:moveTo>
                <a:lnTo>
                  <a:pt x="315468" y="2276856"/>
                </a:lnTo>
                <a:lnTo>
                  <a:pt x="315468" y="2688336"/>
                </a:lnTo>
                <a:lnTo>
                  <a:pt x="1264920" y="2688336"/>
                </a:lnTo>
                <a:lnTo>
                  <a:pt x="1264920" y="2276856"/>
                </a:lnTo>
                <a:close/>
              </a:path>
              <a:path w="7486015" h="2895600">
                <a:moveTo>
                  <a:pt x="1264920" y="1862328"/>
                </a:moveTo>
                <a:lnTo>
                  <a:pt x="315468" y="1862328"/>
                </a:lnTo>
                <a:lnTo>
                  <a:pt x="315468" y="2273808"/>
                </a:lnTo>
                <a:lnTo>
                  <a:pt x="1264920" y="2273808"/>
                </a:lnTo>
                <a:lnTo>
                  <a:pt x="1264920" y="1862328"/>
                </a:lnTo>
                <a:close/>
              </a:path>
              <a:path w="7486015" h="2895600">
                <a:moveTo>
                  <a:pt x="1264920" y="0"/>
                </a:moveTo>
                <a:lnTo>
                  <a:pt x="315468" y="0"/>
                </a:lnTo>
                <a:lnTo>
                  <a:pt x="315468" y="1859280"/>
                </a:lnTo>
                <a:lnTo>
                  <a:pt x="1264920" y="1859280"/>
                </a:lnTo>
                <a:lnTo>
                  <a:pt x="1264920" y="0"/>
                </a:lnTo>
                <a:close/>
              </a:path>
              <a:path w="7486015" h="2895600">
                <a:moveTo>
                  <a:pt x="2531364" y="2276856"/>
                </a:moveTo>
                <a:lnTo>
                  <a:pt x="1267968" y="2276856"/>
                </a:lnTo>
                <a:lnTo>
                  <a:pt x="1267968" y="2688336"/>
                </a:lnTo>
                <a:lnTo>
                  <a:pt x="2531364" y="2688336"/>
                </a:lnTo>
                <a:lnTo>
                  <a:pt x="2531364" y="2276856"/>
                </a:lnTo>
                <a:close/>
              </a:path>
              <a:path w="7486015" h="2895600">
                <a:moveTo>
                  <a:pt x="2531364" y="1862328"/>
                </a:moveTo>
                <a:lnTo>
                  <a:pt x="1267968" y="1862328"/>
                </a:lnTo>
                <a:lnTo>
                  <a:pt x="1267968" y="2273808"/>
                </a:lnTo>
                <a:lnTo>
                  <a:pt x="2531364" y="2273808"/>
                </a:lnTo>
                <a:lnTo>
                  <a:pt x="2531364" y="1862328"/>
                </a:lnTo>
                <a:close/>
              </a:path>
              <a:path w="7486015" h="2895600">
                <a:moveTo>
                  <a:pt x="2531364" y="1034796"/>
                </a:moveTo>
                <a:lnTo>
                  <a:pt x="1267968" y="1034796"/>
                </a:lnTo>
                <a:lnTo>
                  <a:pt x="1267968" y="1859280"/>
                </a:lnTo>
                <a:lnTo>
                  <a:pt x="2531364" y="1859280"/>
                </a:lnTo>
                <a:lnTo>
                  <a:pt x="2531364" y="1034796"/>
                </a:lnTo>
                <a:close/>
              </a:path>
              <a:path w="7486015" h="2895600">
                <a:moveTo>
                  <a:pt x="3037332" y="2691384"/>
                </a:moveTo>
                <a:lnTo>
                  <a:pt x="2534412" y="2691384"/>
                </a:lnTo>
                <a:lnTo>
                  <a:pt x="2534412" y="2895600"/>
                </a:lnTo>
                <a:lnTo>
                  <a:pt x="3037332" y="2895600"/>
                </a:lnTo>
                <a:lnTo>
                  <a:pt x="3037332" y="2691384"/>
                </a:lnTo>
                <a:close/>
              </a:path>
              <a:path w="7486015" h="2895600">
                <a:moveTo>
                  <a:pt x="3037332" y="2484120"/>
                </a:moveTo>
                <a:lnTo>
                  <a:pt x="2534412" y="2484120"/>
                </a:lnTo>
                <a:lnTo>
                  <a:pt x="2534412" y="2688336"/>
                </a:lnTo>
                <a:lnTo>
                  <a:pt x="3037332" y="2688336"/>
                </a:lnTo>
                <a:lnTo>
                  <a:pt x="3037332" y="2484120"/>
                </a:lnTo>
                <a:close/>
              </a:path>
              <a:path w="7486015" h="2895600">
                <a:moveTo>
                  <a:pt x="3037332" y="2276856"/>
                </a:moveTo>
                <a:lnTo>
                  <a:pt x="2534412" y="2276856"/>
                </a:lnTo>
                <a:lnTo>
                  <a:pt x="2534412" y="2481072"/>
                </a:lnTo>
                <a:lnTo>
                  <a:pt x="3037332" y="2481072"/>
                </a:lnTo>
                <a:lnTo>
                  <a:pt x="3037332" y="2276856"/>
                </a:lnTo>
                <a:close/>
              </a:path>
              <a:path w="7486015" h="2895600">
                <a:moveTo>
                  <a:pt x="3037332" y="2069592"/>
                </a:moveTo>
                <a:lnTo>
                  <a:pt x="2534412" y="2069592"/>
                </a:lnTo>
                <a:lnTo>
                  <a:pt x="2534412" y="2273808"/>
                </a:lnTo>
                <a:lnTo>
                  <a:pt x="3037332" y="2273808"/>
                </a:lnTo>
                <a:lnTo>
                  <a:pt x="3037332" y="2069592"/>
                </a:lnTo>
                <a:close/>
              </a:path>
              <a:path w="7486015" h="2895600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895600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895600">
                <a:moveTo>
                  <a:pt x="3037332" y="1447800"/>
                </a:moveTo>
                <a:lnTo>
                  <a:pt x="2534412" y="1447800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7800"/>
                </a:lnTo>
                <a:close/>
              </a:path>
              <a:path w="7486015" h="2895600">
                <a:moveTo>
                  <a:pt x="3037332" y="1242060"/>
                </a:moveTo>
                <a:lnTo>
                  <a:pt x="2534412" y="1242060"/>
                </a:lnTo>
                <a:lnTo>
                  <a:pt x="2534412" y="1444752"/>
                </a:lnTo>
                <a:lnTo>
                  <a:pt x="3037332" y="1444752"/>
                </a:lnTo>
                <a:lnTo>
                  <a:pt x="3037332" y="1242060"/>
                </a:lnTo>
                <a:close/>
              </a:path>
              <a:path w="7486015" h="2895600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895600">
                <a:moveTo>
                  <a:pt x="3674364" y="2691384"/>
                </a:moveTo>
                <a:lnTo>
                  <a:pt x="3040380" y="2691384"/>
                </a:lnTo>
                <a:lnTo>
                  <a:pt x="3040380" y="2895600"/>
                </a:lnTo>
                <a:lnTo>
                  <a:pt x="3674364" y="2895600"/>
                </a:lnTo>
                <a:lnTo>
                  <a:pt x="3674364" y="2691384"/>
                </a:lnTo>
                <a:close/>
              </a:path>
              <a:path w="7486015" h="2895600">
                <a:moveTo>
                  <a:pt x="3674364" y="2484120"/>
                </a:moveTo>
                <a:lnTo>
                  <a:pt x="3040380" y="2484120"/>
                </a:lnTo>
                <a:lnTo>
                  <a:pt x="3040380" y="2688336"/>
                </a:lnTo>
                <a:lnTo>
                  <a:pt x="3674364" y="2688336"/>
                </a:lnTo>
                <a:lnTo>
                  <a:pt x="3674364" y="2484120"/>
                </a:lnTo>
                <a:close/>
              </a:path>
              <a:path w="7486015" h="2895600">
                <a:moveTo>
                  <a:pt x="3674364" y="2276856"/>
                </a:moveTo>
                <a:lnTo>
                  <a:pt x="3040380" y="2276856"/>
                </a:lnTo>
                <a:lnTo>
                  <a:pt x="3040380" y="2481072"/>
                </a:lnTo>
                <a:lnTo>
                  <a:pt x="3674364" y="2481072"/>
                </a:lnTo>
                <a:lnTo>
                  <a:pt x="3674364" y="2276856"/>
                </a:lnTo>
                <a:close/>
              </a:path>
              <a:path w="7486015" h="2895600">
                <a:moveTo>
                  <a:pt x="3674364" y="2069592"/>
                </a:moveTo>
                <a:lnTo>
                  <a:pt x="3040380" y="2069592"/>
                </a:lnTo>
                <a:lnTo>
                  <a:pt x="3040380" y="2273808"/>
                </a:lnTo>
                <a:lnTo>
                  <a:pt x="3674364" y="2273808"/>
                </a:lnTo>
                <a:lnTo>
                  <a:pt x="3674364" y="2069592"/>
                </a:lnTo>
                <a:close/>
              </a:path>
              <a:path w="7486015" h="2895600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895600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895600">
                <a:moveTo>
                  <a:pt x="3674364" y="1447800"/>
                </a:moveTo>
                <a:lnTo>
                  <a:pt x="3040380" y="1447800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7800"/>
                </a:lnTo>
                <a:close/>
              </a:path>
              <a:path w="7486015" h="2895600">
                <a:moveTo>
                  <a:pt x="3674364" y="1242060"/>
                </a:moveTo>
                <a:lnTo>
                  <a:pt x="3040380" y="1242060"/>
                </a:lnTo>
                <a:lnTo>
                  <a:pt x="3040380" y="1444752"/>
                </a:lnTo>
                <a:lnTo>
                  <a:pt x="3674364" y="1444752"/>
                </a:lnTo>
                <a:lnTo>
                  <a:pt x="3674364" y="1242060"/>
                </a:lnTo>
                <a:close/>
              </a:path>
              <a:path w="7486015" h="2895600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895600">
                <a:moveTo>
                  <a:pt x="4437888" y="2484120"/>
                </a:moveTo>
                <a:lnTo>
                  <a:pt x="3677412" y="2484120"/>
                </a:lnTo>
                <a:lnTo>
                  <a:pt x="3677412" y="2688336"/>
                </a:lnTo>
                <a:lnTo>
                  <a:pt x="4437888" y="2688336"/>
                </a:lnTo>
                <a:lnTo>
                  <a:pt x="4437888" y="2484120"/>
                </a:lnTo>
                <a:close/>
              </a:path>
              <a:path w="7486015" h="2895600">
                <a:moveTo>
                  <a:pt x="4437888" y="2276856"/>
                </a:moveTo>
                <a:lnTo>
                  <a:pt x="3677412" y="2276856"/>
                </a:lnTo>
                <a:lnTo>
                  <a:pt x="3677412" y="2481072"/>
                </a:lnTo>
                <a:lnTo>
                  <a:pt x="4437888" y="2481072"/>
                </a:lnTo>
                <a:lnTo>
                  <a:pt x="4437888" y="2276856"/>
                </a:lnTo>
                <a:close/>
              </a:path>
              <a:path w="7486015" h="2895600">
                <a:moveTo>
                  <a:pt x="4437888" y="2069592"/>
                </a:moveTo>
                <a:lnTo>
                  <a:pt x="3677412" y="2069592"/>
                </a:lnTo>
                <a:lnTo>
                  <a:pt x="3677412" y="2273808"/>
                </a:lnTo>
                <a:lnTo>
                  <a:pt x="4437888" y="2273808"/>
                </a:lnTo>
                <a:lnTo>
                  <a:pt x="4437888" y="2069592"/>
                </a:lnTo>
                <a:close/>
              </a:path>
              <a:path w="7486015" h="2895600">
                <a:moveTo>
                  <a:pt x="4437888" y="1862328"/>
                </a:moveTo>
                <a:lnTo>
                  <a:pt x="3677412" y="1862328"/>
                </a:lnTo>
                <a:lnTo>
                  <a:pt x="3677412" y="2066544"/>
                </a:lnTo>
                <a:lnTo>
                  <a:pt x="4437888" y="2066544"/>
                </a:lnTo>
                <a:lnTo>
                  <a:pt x="4437888" y="1862328"/>
                </a:lnTo>
                <a:close/>
              </a:path>
              <a:path w="7486015" h="2895600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895600">
                <a:moveTo>
                  <a:pt x="4437888" y="1447800"/>
                </a:moveTo>
                <a:lnTo>
                  <a:pt x="3677412" y="1447800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7800"/>
                </a:lnTo>
                <a:close/>
              </a:path>
              <a:path w="7486015" h="2895600">
                <a:moveTo>
                  <a:pt x="4437888" y="1242060"/>
                </a:moveTo>
                <a:lnTo>
                  <a:pt x="3677412" y="1242060"/>
                </a:lnTo>
                <a:lnTo>
                  <a:pt x="3677412" y="1444752"/>
                </a:lnTo>
                <a:lnTo>
                  <a:pt x="4437888" y="1444752"/>
                </a:lnTo>
                <a:lnTo>
                  <a:pt x="4437888" y="1242060"/>
                </a:lnTo>
                <a:close/>
              </a:path>
              <a:path w="7486015" h="2895600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895600">
                <a:moveTo>
                  <a:pt x="5199888" y="2484120"/>
                </a:moveTo>
                <a:lnTo>
                  <a:pt x="4440936" y="2484120"/>
                </a:lnTo>
                <a:lnTo>
                  <a:pt x="4440936" y="2688336"/>
                </a:lnTo>
                <a:lnTo>
                  <a:pt x="5199888" y="2688336"/>
                </a:lnTo>
                <a:lnTo>
                  <a:pt x="5199888" y="2484120"/>
                </a:lnTo>
                <a:close/>
              </a:path>
              <a:path w="7486015" h="2895600">
                <a:moveTo>
                  <a:pt x="5199888" y="2276856"/>
                </a:moveTo>
                <a:lnTo>
                  <a:pt x="4440936" y="2276856"/>
                </a:lnTo>
                <a:lnTo>
                  <a:pt x="4440936" y="2481072"/>
                </a:lnTo>
                <a:lnTo>
                  <a:pt x="5199888" y="2481072"/>
                </a:lnTo>
                <a:lnTo>
                  <a:pt x="5199888" y="2276856"/>
                </a:lnTo>
                <a:close/>
              </a:path>
              <a:path w="7486015" h="2895600">
                <a:moveTo>
                  <a:pt x="5199888" y="2069592"/>
                </a:moveTo>
                <a:lnTo>
                  <a:pt x="4440936" y="2069592"/>
                </a:lnTo>
                <a:lnTo>
                  <a:pt x="4440936" y="2273808"/>
                </a:lnTo>
                <a:lnTo>
                  <a:pt x="5199888" y="2273808"/>
                </a:lnTo>
                <a:lnTo>
                  <a:pt x="5199888" y="2069592"/>
                </a:lnTo>
                <a:close/>
              </a:path>
              <a:path w="7486015" h="2895600">
                <a:moveTo>
                  <a:pt x="5199888" y="1862328"/>
                </a:moveTo>
                <a:lnTo>
                  <a:pt x="4440936" y="1862328"/>
                </a:lnTo>
                <a:lnTo>
                  <a:pt x="4440936" y="2066544"/>
                </a:lnTo>
                <a:lnTo>
                  <a:pt x="5199888" y="2066544"/>
                </a:lnTo>
                <a:lnTo>
                  <a:pt x="5199888" y="1862328"/>
                </a:lnTo>
                <a:close/>
              </a:path>
              <a:path w="7486015" h="2895600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895600">
                <a:moveTo>
                  <a:pt x="5199888" y="1447800"/>
                </a:moveTo>
                <a:lnTo>
                  <a:pt x="4440936" y="1447800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7800"/>
                </a:lnTo>
                <a:close/>
              </a:path>
              <a:path w="7486015" h="2895600">
                <a:moveTo>
                  <a:pt x="5199888" y="1242060"/>
                </a:moveTo>
                <a:lnTo>
                  <a:pt x="4440936" y="1242060"/>
                </a:lnTo>
                <a:lnTo>
                  <a:pt x="4440936" y="1444752"/>
                </a:lnTo>
                <a:lnTo>
                  <a:pt x="5199888" y="1444752"/>
                </a:lnTo>
                <a:lnTo>
                  <a:pt x="5199888" y="1242060"/>
                </a:lnTo>
                <a:close/>
              </a:path>
              <a:path w="7486015" h="2895600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895600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895600">
                <a:moveTo>
                  <a:pt x="5961875" y="2484120"/>
                </a:moveTo>
                <a:lnTo>
                  <a:pt x="5202936" y="2484120"/>
                </a:lnTo>
                <a:lnTo>
                  <a:pt x="5202936" y="2688336"/>
                </a:lnTo>
                <a:lnTo>
                  <a:pt x="5961875" y="2688336"/>
                </a:lnTo>
                <a:lnTo>
                  <a:pt x="5961875" y="2484120"/>
                </a:lnTo>
                <a:close/>
              </a:path>
              <a:path w="7486015" h="2895600">
                <a:moveTo>
                  <a:pt x="5961875" y="2276856"/>
                </a:moveTo>
                <a:lnTo>
                  <a:pt x="5202936" y="2276856"/>
                </a:lnTo>
                <a:lnTo>
                  <a:pt x="5202936" y="2481072"/>
                </a:lnTo>
                <a:lnTo>
                  <a:pt x="5961875" y="2481072"/>
                </a:lnTo>
                <a:lnTo>
                  <a:pt x="5961875" y="2276856"/>
                </a:lnTo>
                <a:close/>
              </a:path>
              <a:path w="7486015" h="2895600">
                <a:moveTo>
                  <a:pt x="5961875" y="2069592"/>
                </a:moveTo>
                <a:lnTo>
                  <a:pt x="5202936" y="2069592"/>
                </a:lnTo>
                <a:lnTo>
                  <a:pt x="5202936" y="2273808"/>
                </a:lnTo>
                <a:lnTo>
                  <a:pt x="5961875" y="2273808"/>
                </a:lnTo>
                <a:lnTo>
                  <a:pt x="5961875" y="2069592"/>
                </a:lnTo>
                <a:close/>
              </a:path>
              <a:path w="7486015" h="2895600">
                <a:moveTo>
                  <a:pt x="5961875" y="1862328"/>
                </a:moveTo>
                <a:lnTo>
                  <a:pt x="5202936" y="1862328"/>
                </a:lnTo>
                <a:lnTo>
                  <a:pt x="5202936" y="2066544"/>
                </a:lnTo>
                <a:lnTo>
                  <a:pt x="5961875" y="2066544"/>
                </a:lnTo>
                <a:lnTo>
                  <a:pt x="5961875" y="1862328"/>
                </a:lnTo>
                <a:close/>
              </a:path>
              <a:path w="7486015" h="2895600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895600">
                <a:moveTo>
                  <a:pt x="5961875" y="1447800"/>
                </a:moveTo>
                <a:lnTo>
                  <a:pt x="5202936" y="1447800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7800"/>
                </a:lnTo>
                <a:close/>
              </a:path>
              <a:path w="7486015" h="2895600">
                <a:moveTo>
                  <a:pt x="5961875" y="1242060"/>
                </a:moveTo>
                <a:lnTo>
                  <a:pt x="5202936" y="1242060"/>
                </a:lnTo>
                <a:lnTo>
                  <a:pt x="5202936" y="1444752"/>
                </a:lnTo>
                <a:lnTo>
                  <a:pt x="5961875" y="1444752"/>
                </a:lnTo>
                <a:lnTo>
                  <a:pt x="5961875" y="1242060"/>
                </a:lnTo>
                <a:close/>
              </a:path>
              <a:path w="7486015" h="2895600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895600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895600">
                <a:moveTo>
                  <a:pt x="6723888" y="2484120"/>
                </a:moveTo>
                <a:lnTo>
                  <a:pt x="5964936" y="2484120"/>
                </a:lnTo>
                <a:lnTo>
                  <a:pt x="5964936" y="2688336"/>
                </a:lnTo>
                <a:lnTo>
                  <a:pt x="6723888" y="2688336"/>
                </a:lnTo>
                <a:lnTo>
                  <a:pt x="6723888" y="2484120"/>
                </a:lnTo>
                <a:close/>
              </a:path>
              <a:path w="7486015" h="2895600">
                <a:moveTo>
                  <a:pt x="6723888" y="2276856"/>
                </a:moveTo>
                <a:lnTo>
                  <a:pt x="5964936" y="2276856"/>
                </a:lnTo>
                <a:lnTo>
                  <a:pt x="5964936" y="2481072"/>
                </a:lnTo>
                <a:lnTo>
                  <a:pt x="6723888" y="2481072"/>
                </a:lnTo>
                <a:lnTo>
                  <a:pt x="6723888" y="2276856"/>
                </a:lnTo>
                <a:close/>
              </a:path>
              <a:path w="7486015" h="2895600">
                <a:moveTo>
                  <a:pt x="6723888" y="2069592"/>
                </a:moveTo>
                <a:lnTo>
                  <a:pt x="5964936" y="2069592"/>
                </a:lnTo>
                <a:lnTo>
                  <a:pt x="5964936" y="2273808"/>
                </a:lnTo>
                <a:lnTo>
                  <a:pt x="6723888" y="2273808"/>
                </a:lnTo>
                <a:lnTo>
                  <a:pt x="6723888" y="2069592"/>
                </a:lnTo>
                <a:close/>
              </a:path>
              <a:path w="7486015" h="2895600">
                <a:moveTo>
                  <a:pt x="6723888" y="1862328"/>
                </a:moveTo>
                <a:lnTo>
                  <a:pt x="5964936" y="1862328"/>
                </a:lnTo>
                <a:lnTo>
                  <a:pt x="5964936" y="2066544"/>
                </a:lnTo>
                <a:lnTo>
                  <a:pt x="6723888" y="2066544"/>
                </a:lnTo>
                <a:lnTo>
                  <a:pt x="6723888" y="1862328"/>
                </a:lnTo>
                <a:close/>
              </a:path>
              <a:path w="7486015" h="2895600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895600">
                <a:moveTo>
                  <a:pt x="6723888" y="1447800"/>
                </a:moveTo>
                <a:lnTo>
                  <a:pt x="5964936" y="1447800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7800"/>
                </a:lnTo>
                <a:close/>
              </a:path>
              <a:path w="7486015" h="2895600">
                <a:moveTo>
                  <a:pt x="6723888" y="1242060"/>
                </a:moveTo>
                <a:lnTo>
                  <a:pt x="5964936" y="1242060"/>
                </a:lnTo>
                <a:lnTo>
                  <a:pt x="5964936" y="1444752"/>
                </a:lnTo>
                <a:lnTo>
                  <a:pt x="6723888" y="1444752"/>
                </a:lnTo>
                <a:lnTo>
                  <a:pt x="6723888" y="1242060"/>
                </a:lnTo>
                <a:close/>
              </a:path>
              <a:path w="7486015" h="2895600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895600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895600">
                <a:moveTo>
                  <a:pt x="7485888" y="2484120"/>
                </a:moveTo>
                <a:lnTo>
                  <a:pt x="6726936" y="2484120"/>
                </a:lnTo>
                <a:lnTo>
                  <a:pt x="6726936" y="2688336"/>
                </a:lnTo>
                <a:lnTo>
                  <a:pt x="7485888" y="2688336"/>
                </a:lnTo>
                <a:lnTo>
                  <a:pt x="7485888" y="2484120"/>
                </a:lnTo>
                <a:close/>
              </a:path>
              <a:path w="7486015" h="2895600">
                <a:moveTo>
                  <a:pt x="7485888" y="2276856"/>
                </a:moveTo>
                <a:lnTo>
                  <a:pt x="6726936" y="2276856"/>
                </a:lnTo>
                <a:lnTo>
                  <a:pt x="6726936" y="2481072"/>
                </a:lnTo>
                <a:lnTo>
                  <a:pt x="7485888" y="2481072"/>
                </a:lnTo>
                <a:lnTo>
                  <a:pt x="7485888" y="2276856"/>
                </a:lnTo>
                <a:close/>
              </a:path>
              <a:path w="7486015" h="2895600">
                <a:moveTo>
                  <a:pt x="7485888" y="2069592"/>
                </a:moveTo>
                <a:lnTo>
                  <a:pt x="6726936" y="2069592"/>
                </a:lnTo>
                <a:lnTo>
                  <a:pt x="6726936" y="2273808"/>
                </a:lnTo>
                <a:lnTo>
                  <a:pt x="7485888" y="2273808"/>
                </a:lnTo>
                <a:lnTo>
                  <a:pt x="7485888" y="2069592"/>
                </a:lnTo>
                <a:close/>
              </a:path>
              <a:path w="7486015" h="2895600">
                <a:moveTo>
                  <a:pt x="7485888" y="1862328"/>
                </a:moveTo>
                <a:lnTo>
                  <a:pt x="6726936" y="1862328"/>
                </a:lnTo>
                <a:lnTo>
                  <a:pt x="6726936" y="2066544"/>
                </a:lnTo>
                <a:lnTo>
                  <a:pt x="7485888" y="2066544"/>
                </a:lnTo>
                <a:lnTo>
                  <a:pt x="7485888" y="1862328"/>
                </a:lnTo>
                <a:close/>
              </a:path>
              <a:path w="7486015" h="2895600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895600">
                <a:moveTo>
                  <a:pt x="7485888" y="1447800"/>
                </a:moveTo>
                <a:lnTo>
                  <a:pt x="6726936" y="1447800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7800"/>
                </a:lnTo>
                <a:close/>
              </a:path>
              <a:path w="7486015" h="2895600">
                <a:moveTo>
                  <a:pt x="7485888" y="1242060"/>
                </a:moveTo>
                <a:lnTo>
                  <a:pt x="6726936" y="1242060"/>
                </a:lnTo>
                <a:lnTo>
                  <a:pt x="6726936" y="1444752"/>
                </a:lnTo>
                <a:lnTo>
                  <a:pt x="7485888" y="1444752"/>
                </a:lnTo>
                <a:lnTo>
                  <a:pt x="7485888" y="1242060"/>
                </a:lnTo>
                <a:close/>
              </a:path>
              <a:path w="7486015" h="2895600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895600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86" name="Shape 86">
            <a:extLst>
              <a:ext uri="{FF2B5EF4-FFF2-40B4-BE49-F238E27FC236}">
                <a16:creationId xmlns:a16="http://schemas.microsoft.com/office/drawing/2014/main" id="{00000000-0008-0000-0700-000056000000}"/>
              </a:ext>
            </a:extLst>
          </xdr:cNvPr>
          <xdr:cNvSpPr/>
        </xdr:nvSpPr>
        <xdr:spPr>
          <a:xfrm>
            <a:off x="0" y="3726179"/>
            <a:ext cx="7486015" cy="410209"/>
          </a:xfrm>
          <a:custGeom>
            <a:avLst/>
            <a:gdLst/>
            <a:ahLst/>
            <a:cxnLst/>
            <a:rect l="0" t="0" r="0" b="0"/>
            <a:pathLst>
              <a:path w="7486015" h="410209">
                <a:moveTo>
                  <a:pt x="312420" y="0"/>
                </a:moveTo>
                <a:lnTo>
                  <a:pt x="0" y="0"/>
                </a:lnTo>
                <a:lnTo>
                  <a:pt x="0" y="409956"/>
                </a:lnTo>
                <a:lnTo>
                  <a:pt x="312420" y="409956"/>
                </a:lnTo>
                <a:lnTo>
                  <a:pt x="312420" y="0"/>
                </a:lnTo>
                <a:close/>
              </a:path>
              <a:path w="7486015" h="410209">
                <a:moveTo>
                  <a:pt x="1264920" y="0"/>
                </a:moveTo>
                <a:lnTo>
                  <a:pt x="315468" y="0"/>
                </a:lnTo>
                <a:lnTo>
                  <a:pt x="315468" y="409956"/>
                </a:lnTo>
                <a:lnTo>
                  <a:pt x="1264920" y="409956"/>
                </a:lnTo>
                <a:lnTo>
                  <a:pt x="1264920" y="0"/>
                </a:lnTo>
                <a:close/>
              </a:path>
              <a:path w="7486015" h="410209">
                <a:moveTo>
                  <a:pt x="2531364" y="0"/>
                </a:moveTo>
                <a:lnTo>
                  <a:pt x="1267968" y="0"/>
                </a:lnTo>
                <a:lnTo>
                  <a:pt x="1267968" y="409956"/>
                </a:lnTo>
                <a:lnTo>
                  <a:pt x="2531364" y="409956"/>
                </a:lnTo>
                <a:lnTo>
                  <a:pt x="2531364" y="0"/>
                </a:lnTo>
                <a:close/>
              </a:path>
              <a:path w="7486015" h="410209">
                <a:moveTo>
                  <a:pt x="3037332" y="207264"/>
                </a:moveTo>
                <a:lnTo>
                  <a:pt x="2534412" y="207264"/>
                </a:lnTo>
                <a:lnTo>
                  <a:pt x="2534412" y="409956"/>
                </a:lnTo>
                <a:lnTo>
                  <a:pt x="3037332" y="409956"/>
                </a:lnTo>
                <a:lnTo>
                  <a:pt x="3037332" y="207264"/>
                </a:lnTo>
                <a:close/>
              </a:path>
              <a:path w="7486015" h="410209">
                <a:moveTo>
                  <a:pt x="3674364" y="207264"/>
                </a:moveTo>
                <a:lnTo>
                  <a:pt x="3040380" y="207264"/>
                </a:lnTo>
                <a:lnTo>
                  <a:pt x="3040380" y="409956"/>
                </a:lnTo>
                <a:lnTo>
                  <a:pt x="3674364" y="409956"/>
                </a:lnTo>
                <a:lnTo>
                  <a:pt x="3674364" y="207264"/>
                </a:lnTo>
                <a:close/>
              </a:path>
              <a:path w="7486015" h="410209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410209">
                <a:moveTo>
                  <a:pt x="4437888" y="207264"/>
                </a:moveTo>
                <a:lnTo>
                  <a:pt x="3677412" y="207264"/>
                </a:lnTo>
                <a:lnTo>
                  <a:pt x="3677412" y="409956"/>
                </a:lnTo>
                <a:lnTo>
                  <a:pt x="4437888" y="409956"/>
                </a:lnTo>
                <a:lnTo>
                  <a:pt x="4437888" y="207264"/>
                </a:lnTo>
                <a:close/>
              </a:path>
              <a:path w="7486015" h="410209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410209">
                <a:moveTo>
                  <a:pt x="5199888" y="207264"/>
                </a:moveTo>
                <a:lnTo>
                  <a:pt x="4440936" y="207264"/>
                </a:lnTo>
                <a:lnTo>
                  <a:pt x="4440936" y="409956"/>
                </a:lnTo>
                <a:lnTo>
                  <a:pt x="5199888" y="409956"/>
                </a:lnTo>
                <a:lnTo>
                  <a:pt x="5199888" y="207264"/>
                </a:lnTo>
                <a:close/>
              </a:path>
              <a:path w="7486015" h="410209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410209">
                <a:moveTo>
                  <a:pt x="5961875" y="207264"/>
                </a:moveTo>
                <a:lnTo>
                  <a:pt x="5202936" y="207264"/>
                </a:lnTo>
                <a:lnTo>
                  <a:pt x="5202936" y="409956"/>
                </a:lnTo>
                <a:lnTo>
                  <a:pt x="5961875" y="409956"/>
                </a:lnTo>
                <a:lnTo>
                  <a:pt x="5961875" y="207264"/>
                </a:lnTo>
                <a:close/>
              </a:path>
              <a:path w="7486015" h="410209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410209">
                <a:moveTo>
                  <a:pt x="6723888" y="207264"/>
                </a:moveTo>
                <a:lnTo>
                  <a:pt x="5964936" y="207264"/>
                </a:lnTo>
                <a:lnTo>
                  <a:pt x="5964936" y="409956"/>
                </a:lnTo>
                <a:lnTo>
                  <a:pt x="6723888" y="409956"/>
                </a:lnTo>
                <a:lnTo>
                  <a:pt x="6723888" y="207264"/>
                </a:lnTo>
                <a:close/>
              </a:path>
              <a:path w="7486015" h="410209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410209">
                <a:moveTo>
                  <a:pt x="7485888" y="207264"/>
                </a:moveTo>
                <a:lnTo>
                  <a:pt x="6726936" y="207264"/>
                </a:lnTo>
                <a:lnTo>
                  <a:pt x="6726936" y="409956"/>
                </a:lnTo>
                <a:lnTo>
                  <a:pt x="7485888" y="409956"/>
                </a:lnTo>
                <a:lnTo>
                  <a:pt x="7485888" y="207264"/>
                </a:lnTo>
                <a:close/>
              </a:path>
              <a:path w="7486015" h="410209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26</xdr:row>
      <xdr:rowOff>0</xdr:rowOff>
    </xdr:from>
    <xdr:ext cx="645160" cy="4136390"/>
    <xdr:sp macro="" textlink="">
      <xdr:nvSpPr>
        <xdr:cNvPr id="87" name="Shape 87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SpPr/>
      </xdr:nvSpPr>
      <xdr:spPr>
        <a:xfrm>
          <a:off x="0" y="0"/>
          <a:ext cx="645160" cy="4136390"/>
        </a:xfrm>
        <a:custGeom>
          <a:avLst/>
          <a:gdLst/>
          <a:ahLst/>
          <a:cxnLst/>
          <a:rect l="0" t="0" r="0" b="0"/>
          <a:pathLst>
            <a:path w="645160" h="4136390">
              <a:moveTo>
                <a:pt x="644652" y="3933444"/>
              </a:moveTo>
              <a:lnTo>
                <a:pt x="0" y="3933444"/>
              </a:lnTo>
              <a:lnTo>
                <a:pt x="0" y="4136136"/>
              </a:lnTo>
              <a:lnTo>
                <a:pt x="644652" y="4136136"/>
              </a:lnTo>
              <a:lnTo>
                <a:pt x="644652" y="3933444"/>
              </a:lnTo>
              <a:close/>
            </a:path>
            <a:path w="645160" h="4136390">
              <a:moveTo>
                <a:pt x="644652" y="3726180"/>
              </a:moveTo>
              <a:lnTo>
                <a:pt x="0" y="3726180"/>
              </a:lnTo>
              <a:lnTo>
                <a:pt x="0" y="3930396"/>
              </a:lnTo>
              <a:lnTo>
                <a:pt x="644652" y="3930396"/>
              </a:lnTo>
              <a:lnTo>
                <a:pt x="644652" y="3726180"/>
              </a:lnTo>
              <a:close/>
            </a:path>
            <a:path w="645160" h="4136390">
              <a:moveTo>
                <a:pt x="644652" y="3518916"/>
              </a:moveTo>
              <a:lnTo>
                <a:pt x="0" y="3518916"/>
              </a:lnTo>
              <a:lnTo>
                <a:pt x="0" y="3723132"/>
              </a:lnTo>
              <a:lnTo>
                <a:pt x="644652" y="3723132"/>
              </a:lnTo>
              <a:lnTo>
                <a:pt x="644652" y="3518916"/>
              </a:lnTo>
              <a:close/>
            </a:path>
            <a:path w="645160" h="4136390">
              <a:moveTo>
                <a:pt x="644652" y="3311652"/>
              </a:moveTo>
              <a:lnTo>
                <a:pt x="0" y="3311652"/>
              </a:lnTo>
              <a:lnTo>
                <a:pt x="0" y="3515868"/>
              </a:lnTo>
              <a:lnTo>
                <a:pt x="644652" y="3515868"/>
              </a:lnTo>
              <a:lnTo>
                <a:pt x="644652" y="3311652"/>
              </a:lnTo>
              <a:close/>
            </a:path>
            <a:path w="645160" h="4136390">
              <a:moveTo>
                <a:pt x="644652" y="3104388"/>
              </a:moveTo>
              <a:lnTo>
                <a:pt x="0" y="3104388"/>
              </a:lnTo>
              <a:lnTo>
                <a:pt x="0" y="3308604"/>
              </a:lnTo>
              <a:lnTo>
                <a:pt x="644652" y="3308604"/>
              </a:lnTo>
              <a:lnTo>
                <a:pt x="644652" y="3104388"/>
              </a:lnTo>
              <a:close/>
            </a:path>
            <a:path w="645160" h="4136390">
              <a:moveTo>
                <a:pt x="644652" y="2897124"/>
              </a:moveTo>
              <a:lnTo>
                <a:pt x="0" y="2897124"/>
              </a:lnTo>
              <a:lnTo>
                <a:pt x="0" y="3101340"/>
              </a:lnTo>
              <a:lnTo>
                <a:pt x="644652" y="3101340"/>
              </a:lnTo>
              <a:lnTo>
                <a:pt x="644652" y="2897124"/>
              </a:lnTo>
              <a:close/>
            </a:path>
            <a:path w="645160" h="4136390">
              <a:moveTo>
                <a:pt x="644652" y="2689860"/>
              </a:moveTo>
              <a:lnTo>
                <a:pt x="0" y="2689860"/>
              </a:lnTo>
              <a:lnTo>
                <a:pt x="0" y="2894076"/>
              </a:lnTo>
              <a:lnTo>
                <a:pt x="644652" y="2894076"/>
              </a:lnTo>
              <a:lnTo>
                <a:pt x="644652" y="2689860"/>
              </a:lnTo>
              <a:close/>
            </a:path>
            <a:path w="645160" h="4136390">
              <a:moveTo>
                <a:pt x="644652" y="2482596"/>
              </a:moveTo>
              <a:lnTo>
                <a:pt x="0" y="2482596"/>
              </a:lnTo>
              <a:lnTo>
                <a:pt x="0" y="2686812"/>
              </a:lnTo>
              <a:lnTo>
                <a:pt x="644652" y="2686812"/>
              </a:lnTo>
              <a:lnTo>
                <a:pt x="644652" y="2482596"/>
              </a:lnTo>
              <a:close/>
            </a:path>
            <a:path w="645160" h="4136390">
              <a:moveTo>
                <a:pt x="644652" y="2276856"/>
              </a:moveTo>
              <a:lnTo>
                <a:pt x="0" y="2276856"/>
              </a:lnTo>
              <a:lnTo>
                <a:pt x="0" y="2479548"/>
              </a:lnTo>
              <a:lnTo>
                <a:pt x="644652" y="2479548"/>
              </a:lnTo>
              <a:lnTo>
                <a:pt x="644652" y="2276856"/>
              </a:lnTo>
              <a:close/>
            </a:path>
            <a:path w="645160" h="4136390">
              <a:moveTo>
                <a:pt x="644652" y="2069592"/>
              </a:moveTo>
              <a:lnTo>
                <a:pt x="0" y="2069592"/>
              </a:lnTo>
              <a:lnTo>
                <a:pt x="0" y="2273808"/>
              </a:lnTo>
              <a:lnTo>
                <a:pt x="644652" y="2273808"/>
              </a:lnTo>
              <a:lnTo>
                <a:pt x="644652" y="2069592"/>
              </a:lnTo>
              <a:close/>
            </a:path>
            <a:path w="645160" h="4136390">
              <a:moveTo>
                <a:pt x="644652" y="1862328"/>
              </a:moveTo>
              <a:lnTo>
                <a:pt x="0" y="1862328"/>
              </a:lnTo>
              <a:lnTo>
                <a:pt x="0" y="2066544"/>
              </a:lnTo>
              <a:lnTo>
                <a:pt x="644652" y="2066544"/>
              </a:lnTo>
              <a:lnTo>
                <a:pt x="644652" y="1862328"/>
              </a:lnTo>
              <a:close/>
            </a:path>
            <a:path w="645160" h="4136390">
              <a:moveTo>
                <a:pt x="644652" y="1655064"/>
              </a:moveTo>
              <a:lnTo>
                <a:pt x="0" y="1655064"/>
              </a:lnTo>
              <a:lnTo>
                <a:pt x="0" y="1859280"/>
              </a:lnTo>
              <a:lnTo>
                <a:pt x="644652" y="1859280"/>
              </a:lnTo>
              <a:lnTo>
                <a:pt x="644652" y="1655064"/>
              </a:lnTo>
              <a:close/>
            </a:path>
            <a:path w="645160" h="4136390">
              <a:moveTo>
                <a:pt x="644652" y="1449324"/>
              </a:moveTo>
              <a:lnTo>
                <a:pt x="0" y="1449324"/>
              </a:lnTo>
              <a:lnTo>
                <a:pt x="0" y="1652016"/>
              </a:lnTo>
              <a:lnTo>
                <a:pt x="644652" y="1652016"/>
              </a:lnTo>
              <a:lnTo>
                <a:pt x="644652" y="1449324"/>
              </a:lnTo>
              <a:close/>
            </a:path>
            <a:path w="645160" h="4136390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4136390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4136390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4136390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4136390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4136390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4136390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24</xdr:row>
      <xdr:rowOff>206501</xdr:rowOff>
    </xdr:from>
    <xdr:ext cx="3808729" cy="480059"/>
    <xdr:sp macro="" textlink="">
      <xdr:nvSpPr>
        <xdr:cNvPr id="88" name="Shape 88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761</xdr:rowOff>
    </xdr:from>
    <xdr:ext cx="381000" cy="381000"/>
    <xdr:pic>
      <xdr:nvPicPr>
        <xdr:cNvPr id="89" name="image1.jpeg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49142</xdr:rowOff>
    </xdr:from>
    <xdr:ext cx="381000" cy="290285"/>
    <xdr:pic>
      <xdr:nvPicPr>
        <xdr:cNvPr id="90" name="image2.jpeg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49142</xdr:rowOff>
    </xdr:from>
    <xdr:ext cx="381000" cy="290285"/>
    <xdr:pic>
      <xdr:nvPicPr>
        <xdr:cNvPr id="91" name="image3.jpeg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201929</xdr:colOff>
      <xdr:row>3</xdr:row>
      <xdr:rowOff>761</xdr:rowOff>
    </xdr:from>
    <xdr:ext cx="338666" cy="381000"/>
    <xdr:pic>
      <xdr:nvPicPr>
        <xdr:cNvPr id="92" name="image4.jpeg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9</xdr:col>
      <xdr:colOff>298691</xdr:colOff>
      <xdr:row>3</xdr:row>
      <xdr:rowOff>49142</xdr:rowOff>
    </xdr:from>
    <xdr:ext cx="193523" cy="290285"/>
    <xdr:pic>
      <xdr:nvPicPr>
        <xdr:cNvPr id="93" name="image5.jpeg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26</xdr:row>
      <xdr:rowOff>0</xdr:rowOff>
    </xdr:from>
    <xdr:ext cx="7486015" cy="4343400"/>
    <xdr:grpSp>
      <xdr:nvGrpSpPr>
        <xdr:cNvPr id="94" name="Group 94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GrpSpPr/>
      </xdr:nvGrpSpPr>
      <xdr:grpSpPr>
        <a:xfrm>
          <a:off x="607059" y="6469380"/>
          <a:ext cx="7486015" cy="4343400"/>
          <a:chOff x="0" y="0"/>
          <a:chExt cx="7486015" cy="4343400"/>
        </a:xfrm>
      </xdr:grpSpPr>
      <xdr:sp macro="" textlink="">
        <xdr:nvSpPr>
          <xdr:cNvPr id="95" name="Shape 95">
            <a:extLst>
              <a:ext uri="{FF2B5EF4-FFF2-40B4-BE49-F238E27FC236}">
                <a16:creationId xmlns:a16="http://schemas.microsoft.com/office/drawing/2014/main" id="{00000000-0008-0000-0800-00005F000000}"/>
              </a:ext>
            </a:extLst>
          </xdr:cNvPr>
          <xdr:cNvSpPr/>
        </xdr:nvSpPr>
        <xdr:spPr>
          <a:xfrm>
            <a:off x="0" y="0"/>
            <a:ext cx="7486015" cy="2066925"/>
          </a:xfrm>
          <a:custGeom>
            <a:avLst/>
            <a:gdLst/>
            <a:ahLst/>
            <a:cxnLst/>
            <a:rect l="0" t="0" r="0" b="0"/>
            <a:pathLst>
              <a:path w="7486015" h="2066925">
                <a:moveTo>
                  <a:pt x="312420" y="1034796"/>
                </a:moveTo>
                <a:lnTo>
                  <a:pt x="0" y="1034796"/>
                </a:lnTo>
                <a:lnTo>
                  <a:pt x="0" y="2066544"/>
                </a:lnTo>
                <a:lnTo>
                  <a:pt x="312420" y="2066544"/>
                </a:lnTo>
                <a:lnTo>
                  <a:pt x="312420" y="1034796"/>
                </a:lnTo>
                <a:close/>
              </a:path>
              <a:path w="7486015" h="2066925">
                <a:moveTo>
                  <a:pt x="312420" y="0"/>
                </a:moveTo>
                <a:lnTo>
                  <a:pt x="0" y="0"/>
                </a:lnTo>
                <a:lnTo>
                  <a:pt x="0" y="1031748"/>
                </a:lnTo>
                <a:lnTo>
                  <a:pt x="312420" y="1031748"/>
                </a:lnTo>
                <a:lnTo>
                  <a:pt x="312420" y="0"/>
                </a:lnTo>
                <a:close/>
              </a:path>
              <a:path w="7486015" h="2066925">
                <a:moveTo>
                  <a:pt x="1264920" y="1034796"/>
                </a:moveTo>
                <a:lnTo>
                  <a:pt x="315468" y="1034796"/>
                </a:lnTo>
                <a:lnTo>
                  <a:pt x="315468" y="2066544"/>
                </a:lnTo>
                <a:lnTo>
                  <a:pt x="1264920" y="2066544"/>
                </a:lnTo>
                <a:lnTo>
                  <a:pt x="1264920" y="1034796"/>
                </a:lnTo>
                <a:close/>
              </a:path>
              <a:path w="7486015" h="2066925">
                <a:moveTo>
                  <a:pt x="1264920" y="0"/>
                </a:moveTo>
                <a:lnTo>
                  <a:pt x="315468" y="0"/>
                </a:lnTo>
                <a:lnTo>
                  <a:pt x="315468" y="1031748"/>
                </a:lnTo>
                <a:lnTo>
                  <a:pt x="1264920" y="1031748"/>
                </a:lnTo>
                <a:lnTo>
                  <a:pt x="1264920" y="0"/>
                </a:lnTo>
                <a:close/>
              </a:path>
              <a:path w="7486015" h="2066925">
                <a:moveTo>
                  <a:pt x="2531364" y="1034796"/>
                </a:moveTo>
                <a:lnTo>
                  <a:pt x="1267968" y="1034796"/>
                </a:lnTo>
                <a:lnTo>
                  <a:pt x="1267968" y="2066544"/>
                </a:lnTo>
                <a:lnTo>
                  <a:pt x="2531364" y="2066544"/>
                </a:lnTo>
                <a:lnTo>
                  <a:pt x="2531364" y="1034796"/>
                </a:lnTo>
                <a:close/>
              </a:path>
              <a:path w="7486015" h="2066925">
                <a:moveTo>
                  <a:pt x="2531364" y="0"/>
                </a:moveTo>
                <a:lnTo>
                  <a:pt x="1267968" y="0"/>
                </a:lnTo>
                <a:lnTo>
                  <a:pt x="1267968" y="1031748"/>
                </a:lnTo>
                <a:lnTo>
                  <a:pt x="2531364" y="1031748"/>
                </a:lnTo>
                <a:lnTo>
                  <a:pt x="2531364" y="0"/>
                </a:lnTo>
                <a:close/>
              </a:path>
              <a:path w="7486015" h="2066925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066925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066925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206692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06692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06692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066925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06692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06692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066925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2066925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066925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066925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206692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06692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06692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066925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06692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06692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06692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2066925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066925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206692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06692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06692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066925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06692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06692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06692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2066925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066925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206692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06692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06692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066925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06692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06692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06692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2066925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066925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206692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06692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06692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066925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06692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06692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06692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066925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066925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206692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06692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06692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066925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06692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06692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06692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066925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066925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206692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06692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06692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06692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06692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06692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06692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96" name="Shape 96">
            <a:extLst>
              <a:ext uri="{FF2B5EF4-FFF2-40B4-BE49-F238E27FC236}">
                <a16:creationId xmlns:a16="http://schemas.microsoft.com/office/drawing/2014/main" id="{00000000-0008-0000-0800-000060000000}"/>
              </a:ext>
            </a:extLst>
          </xdr:cNvPr>
          <xdr:cNvSpPr/>
        </xdr:nvSpPr>
        <xdr:spPr>
          <a:xfrm>
            <a:off x="0" y="1862327"/>
            <a:ext cx="7486015" cy="2066925"/>
          </a:xfrm>
          <a:custGeom>
            <a:avLst/>
            <a:gdLst/>
            <a:ahLst/>
            <a:cxnLst/>
            <a:rect l="0" t="0" r="0" b="0"/>
            <a:pathLst>
              <a:path w="7486015" h="2066925">
                <a:moveTo>
                  <a:pt x="312420" y="207264"/>
                </a:moveTo>
                <a:lnTo>
                  <a:pt x="0" y="207264"/>
                </a:lnTo>
                <a:lnTo>
                  <a:pt x="0" y="1652016"/>
                </a:lnTo>
                <a:lnTo>
                  <a:pt x="312420" y="1652016"/>
                </a:lnTo>
                <a:lnTo>
                  <a:pt x="312420" y="207264"/>
                </a:lnTo>
                <a:close/>
              </a:path>
              <a:path w="7486015" h="2066925">
                <a:moveTo>
                  <a:pt x="1264920" y="207264"/>
                </a:moveTo>
                <a:lnTo>
                  <a:pt x="315468" y="207264"/>
                </a:lnTo>
                <a:lnTo>
                  <a:pt x="315468" y="1652016"/>
                </a:lnTo>
                <a:lnTo>
                  <a:pt x="1264920" y="1652016"/>
                </a:lnTo>
                <a:lnTo>
                  <a:pt x="1264920" y="207264"/>
                </a:lnTo>
                <a:close/>
              </a:path>
              <a:path w="7486015" h="2066925">
                <a:moveTo>
                  <a:pt x="2531364" y="207264"/>
                </a:moveTo>
                <a:lnTo>
                  <a:pt x="1267968" y="207264"/>
                </a:lnTo>
                <a:lnTo>
                  <a:pt x="1267968" y="1652016"/>
                </a:lnTo>
                <a:lnTo>
                  <a:pt x="2531364" y="1652016"/>
                </a:lnTo>
                <a:lnTo>
                  <a:pt x="2531364" y="207264"/>
                </a:lnTo>
                <a:close/>
              </a:path>
              <a:path w="7486015" h="2066925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066925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066925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206692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06692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06692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066925">
                <a:moveTo>
                  <a:pt x="3037332" y="620268"/>
                </a:moveTo>
                <a:lnTo>
                  <a:pt x="2534412" y="620268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0268"/>
                </a:lnTo>
                <a:close/>
              </a:path>
              <a:path w="7486015" h="2066925">
                <a:moveTo>
                  <a:pt x="3037332" y="414528"/>
                </a:moveTo>
                <a:lnTo>
                  <a:pt x="2534412" y="414528"/>
                </a:lnTo>
                <a:lnTo>
                  <a:pt x="2534412" y="617220"/>
                </a:lnTo>
                <a:lnTo>
                  <a:pt x="3037332" y="617220"/>
                </a:lnTo>
                <a:lnTo>
                  <a:pt x="3037332" y="414528"/>
                </a:lnTo>
                <a:close/>
              </a:path>
              <a:path w="7486015" h="206692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066925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066925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066925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206692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06692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06692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066925">
                <a:moveTo>
                  <a:pt x="3674364" y="620268"/>
                </a:moveTo>
                <a:lnTo>
                  <a:pt x="3040380" y="620268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0268"/>
                </a:lnTo>
                <a:close/>
              </a:path>
              <a:path w="7486015" h="2066925">
                <a:moveTo>
                  <a:pt x="3674364" y="414528"/>
                </a:moveTo>
                <a:lnTo>
                  <a:pt x="3040380" y="414528"/>
                </a:lnTo>
                <a:lnTo>
                  <a:pt x="3040380" y="617220"/>
                </a:lnTo>
                <a:lnTo>
                  <a:pt x="3674364" y="617220"/>
                </a:lnTo>
                <a:lnTo>
                  <a:pt x="3674364" y="414528"/>
                </a:lnTo>
                <a:close/>
              </a:path>
              <a:path w="7486015" h="206692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06692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2066925">
                <a:moveTo>
                  <a:pt x="4437888" y="1862328"/>
                </a:moveTo>
                <a:lnTo>
                  <a:pt x="3677412" y="1862328"/>
                </a:lnTo>
                <a:lnTo>
                  <a:pt x="3677412" y="2066544"/>
                </a:lnTo>
                <a:lnTo>
                  <a:pt x="4437888" y="2066544"/>
                </a:lnTo>
                <a:lnTo>
                  <a:pt x="4437888" y="1862328"/>
                </a:lnTo>
                <a:close/>
              </a:path>
              <a:path w="7486015" h="2066925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066925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206692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06692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06692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066925">
                <a:moveTo>
                  <a:pt x="4437888" y="620268"/>
                </a:moveTo>
                <a:lnTo>
                  <a:pt x="3677412" y="620268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0268"/>
                </a:lnTo>
                <a:close/>
              </a:path>
              <a:path w="7486015" h="2066925">
                <a:moveTo>
                  <a:pt x="4437888" y="414528"/>
                </a:moveTo>
                <a:lnTo>
                  <a:pt x="3677412" y="414528"/>
                </a:lnTo>
                <a:lnTo>
                  <a:pt x="3677412" y="617220"/>
                </a:lnTo>
                <a:lnTo>
                  <a:pt x="4437888" y="617220"/>
                </a:lnTo>
                <a:lnTo>
                  <a:pt x="4437888" y="414528"/>
                </a:lnTo>
                <a:close/>
              </a:path>
              <a:path w="7486015" h="206692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06692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2066925">
                <a:moveTo>
                  <a:pt x="5199888" y="1862328"/>
                </a:moveTo>
                <a:lnTo>
                  <a:pt x="4440936" y="1862328"/>
                </a:lnTo>
                <a:lnTo>
                  <a:pt x="4440936" y="2066544"/>
                </a:lnTo>
                <a:lnTo>
                  <a:pt x="5199888" y="2066544"/>
                </a:lnTo>
                <a:lnTo>
                  <a:pt x="5199888" y="1862328"/>
                </a:lnTo>
                <a:close/>
              </a:path>
              <a:path w="7486015" h="2066925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066925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206692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06692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06692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066925">
                <a:moveTo>
                  <a:pt x="5199888" y="620268"/>
                </a:moveTo>
                <a:lnTo>
                  <a:pt x="4440936" y="620268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0268"/>
                </a:lnTo>
                <a:close/>
              </a:path>
              <a:path w="7486015" h="2066925">
                <a:moveTo>
                  <a:pt x="5199888" y="414528"/>
                </a:moveTo>
                <a:lnTo>
                  <a:pt x="4440936" y="414528"/>
                </a:lnTo>
                <a:lnTo>
                  <a:pt x="4440936" y="617220"/>
                </a:lnTo>
                <a:lnTo>
                  <a:pt x="5199888" y="617220"/>
                </a:lnTo>
                <a:lnTo>
                  <a:pt x="5199888" y="414528"/>
                </a:lnTo>
                <a:close/>
              </a:path>
              <a:path w="7486015" h="206692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06692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2066925">
                <a:moveTo>
                  <a:pt x="5961875" y="1862328"/>
                </a:moveTo>
                <a:lnTo>
                  <a:pt x="5202936" y="1862328"/>
                </a:lnTo>
                <a:lnTo>
                  <a:pt x="5202936" y="2066544"/>
                </a:lnTo>
                <a:lnTo>
                  <a:pt x="5961875" y="2066544"/>
                </a:lnTo>
                <a:lnTo>
                  <a:pt x="5961875" y="1862328"/>
                </a:lnTo>
                <a:close/>
              </a:path>
              <a:path w="7486015" h="2066925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066925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206692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06692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06692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066925">
                <a:moveTo>
                  <a:pt x="5961875" y="620268"/>
                </a:moveTo>
                <a:lnTo>
                  <a:pt x="5202936" y="620268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0268"/>
                </a:lnTo>
                <a:close/>
              </a:path>
              <a:path w="7486015" h="2066925">
                <a:moveTo>
                  <a:pt x="5961875" y="414528"/>
                </a:moveTo>
                <a:lnTo>
                  <a:pt x="5202936" y="414528"/>
                </a:lnTo>
                <a:lnTo>
                  <a:pt x="5202936" y="617220"/>
                </a:lnTo>
                <a:lnTo>
                  <a:pt x="5961875" y="617220"/>
                </a:lnTo>
                <a:lnTo>
                  <a:pt x="5961875" y="414528"/>
                </a:lnTo>
                <a:close/>
              </a:path>
              <a:path w="7486015" h="206692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06692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066925">
                <a:moveTo>
                  <a:pt x="6723888" y="1862328"/>
                </a:moveTo>
                <a:lnTo>
                  <a:pt x="5964936" y="1862328"/>
                </a:lnTo>
                <a:lnTo>
                  <a:pt x="5964936" y="2066544"/>
                </a:lnTo>
                <a:lnTo>
                  <a:pt x="6723888" y="2066544"/>
                </a:lnTo>
                <a:lnTo>
                  <a:pt x="6723888" y="1862328"/>
                </a:lnTo>
                <a:close/>
              </a:path>
              <a:path w="7486015" h="2066925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066925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206692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06692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06692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066925">
                <a:moveTo>
                  <a:pt x="6723888" y="620268"/>
                </a:moveTo>
                <a:lnTo>
                  <a:pt x="5964936" y="620268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0268"/>
                </a:lnTo>
                <a:close/>
              </a:path>
              <a:path w="7486015" h="2066925">
                <a:moveTo>
                  <a:pt x="6723888" y="414528"/>
                </a:moveTo>
                <a:lnTo>
                  <a:pt x="5964936" y="414528"/>
                </a:lnTo>
                <a:lnTo>
                  <a:pt x="5964936" y="617220"/>
                </a:lnTo>
                <a:lnTo>
                  <a:pt x="6723888" y="617220"/>
                </a:lnTo>
                <a:lnTo>
                  <a:pt x="6723888" y="414528"/>
                </a:lnTo>
                <a:close/>
              </a:path>
              <a:path w="7486015" h="206692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06692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066925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066925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206692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06692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06692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066925">
                <a:moveTo>
                  <a:pt x="7485888" y="620268"/>
                </a:moveTo>
                <a:lnTo>
                  <a:pt x="6726936" y="620268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0268"/>
                </a:lnTo>
                <a:close/>
              </a:path>
              <a:path w="7486015" h="2066925">
                <a:moveTo>
                  <a:pt x="7485888" y="414528"/>
                </a:moveTo>
                <a:lnTo>
                  <a:pt x="6726936" y="414528"/>
                </a:lnTo>
                <a:lnTo>
                  <a:pt x="6726936" y="617220"/>
                </a:lnTo>
                <a:lnTo>
                  <a:pt x="7485888" y="617220"/>
                </a:lnTo>
                <a:lnTo>
                  <a:pt x="7485888" y="414528"/>
                </a:lnTo>
                <a:close/>
              </a:path>
              <a:path w="7486015" h="206692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06692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97" name="Shape 97">
            <a:extLst>
              <a:ext uri="{FF2B5EF4-FFF2-40B4-BE49-F238E27FC236}">
                <a16:creationId xmlns:a16="http://schemas.microsoft.com/office/drawing/2014/main" id="{00000000-0008-0000-0800-000061000000}"/>
              </a:ext>
            </a:extLst>
          </xdr:cNvPr>
          <xdr:cNvSpPr/>
        </xdr:nvSpPr>
        <xdr:spPr>
          <a:xfrm>
            <a:off x="0" y="3517391"/>
            <a:ext cx="7486015" cy="826135"/>
          </a:xfrm>
          <a:custGeom>
            <a:avLst/>
            <a:gdLst/>
            <a:ahLst/>
            <a:cxnLst/>
            <a:rect l="0" t="0" r="0" b="0"/>
            <a:pathLst>
              <a:path w="7486015" h="826135">
                <a:moveTo>
                  <a:pt x="312420" y="0"/>
                </a:moveTo>
                <a:lnTo>
                  <a:pt x="0" y="0"/>
                </a:lnTo>
                <a:lnTo>
                  <a:pt x="0" y="826008"/>
                </a:lnTo>
                <a:lnTo>
                  <a:pt x="312420" y="826008"/>
                </a:lnTo>
                <a:lnTo>
                  <a:pt x="312420" y="0"/>
                </a:lnTo>
                <a:close/>
              </a:path>
              <a:path w="7486015" h="826135">
                <a:moveTo>
                  <a:pt x="1264920" y="0"/>
                </a:moveTo>
                <a:lnTo>
                  <a:pt x="315468" y="0"/>
                </a:lnTo>
                <a:lnTo>
                  <a:pt x="315468" y="826008"/>
                </a:lnTo>
                <a:lnTo>
                  <a:pt x="1264920" y="826008"/>
                </a:lnTo>
                <a:lnTo>
                  <a:pt x="1264920" y="0"/>
                </a:lnTo>
                <a:close/>
              </a:path>
              <a:path w="7486015" h="826135">
                <a:moveTo>
                  <a:pt x="2531364" y="0"/>
                </a:moveTo>
                <a:lnTo>
                  <a:pt x="1267968" y="0"/>
                </a:lnTo>
                <a:lnTo>
                  <a:pt x="1267968" y="826008"/>
                </a:lnTo>
                <a:lnTo>
                  <a:pt x="2531364" y="826008"/>
                </a:lnTo>
                <a:lnTo>
                  <a:pt x="2531364" y="0"/>
                </a:lnTo>
                <a:close/>
              </a:path>
              <a:path w="7486015" h="826135">
                <a:moveTo>
                  <a:pt x="3037332" y="621792"/>
                </a:moveTo>
                <a:lnTo>
                  <a:pt x="2534412" y="621792"/>
                </a:lnTo>
                <a:lnTo>
                  <a:pt x="2534412" y="826008"/>
                </a:lnTo>
                <a:lnTo>
                  <a:pt x="3037332" y="826008"/>
                </a:lnTo>
                <a:lnTo>
                  <a:pt x="3037332" y="621792"/>
                </a:lnTo>
                <a:close/>
              </a:path>
              <a:path w="7486015" h="82613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826135">
                <a:moveTo>
                  <a:pt x="3674364" y="621792"/>
                </a:moveTo>
                <a:lnTo>
                  <a:pt x="3040380" y="621792"/>
                </a:lnTo>
                <a:lnTo>
                  <a:pt x="3040380" y="826008"/>
                </a:lnTo>
                <a:lnTo>
                  <a:pt x="3674364" y="826008"/>
                </a:lnTo>
                <a:lnTo>
                  <a:pt x="3674364" y="621792"/>
                </a:lnTo>
                <a:close/>
              </a:path>
              <a:path w="7486015" h="82613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826135">
                <a:moveTo>
                  <a:pt x="4437888" y="621792"/>
                </a:moveTo>
                <a:lnTo>
                  <a:pt x="3677412" y="621792"/>
                </a:lnTo>
                <a:lnTo>
                  <a:pt x="3677412" y="826008"/>
                </a:lnTo>
                <a:lnTo>
                  <a:pt x="4437888" y="826008"/>
                </a:lnTo>
                <a:lnTo>
                  <a:pt x="4437888" y="621792"/>
                </a:lnTo>
                <a:close/>
              </a:path>
              <a:path w="7486015" h="82613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826135">
                <a:moveTo>
                  <a:pt x="5199888" y="621792"/>
                </a:moveTo>
                <a:lnTo>
                  <a:pt x="4440936" y="621792"/>
                </a:lnTo>
                <a:lnTo>
                  <a:pt x="4440936" y="826008"/>
                </a:lnTo>
                <a:lnTo>
                  <a:pt x="5199888" y="826008"/>
                </a:lnTo>
                <a:lnTo>
                  <a:pt x="5199888" y="621792"/>
                </a:lnTo>
                <a:close/>
              </a:path>
              <a:path w="7486015" h="82613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826135">
                <a:moveTo>
                  <a:pt x="5961875" y="621792"/>
                </a:moveTo>
                <a:lnTo>
                  <a:pt x="5202936" y="621792"/>
                </a:lnTo>
                <a:lnTo>
                  <a:pt x="5202936" y="826008"/>
                </a:lnTo>
                <a:lnTo>
                  <a:pt x="5961875" y="826008"/>
                </a:lnTo>
                <a:lnTo>
                  <a:pt x="5961875" y="621792"/>
                </a:lnTo>
                <a:close/>
              </a:path>
              <a:path w="7486015" h="82613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826135">
                <a:moveTo>
                  <a:pt x="6723888" y="621792"/>
                </a:moveTo>
                <a:lnTo>
                  <a:pt x="5964936" y="621792"/>
                </a:lnTo>
                <a:lnTo>
                  <a:pt x="5964936" y="826008"/>
                </a:lnTo>
                <a:lnTo>
                  <a:pt x="6723888" y="826008"/>
                </a:lnTo>
                <a:lnTo>
                  <a:pt x="6723888" y="621792"/>
                </a:lnTo>
                <a:close/>
              </a:path>
              <a:path w="7486015" h="82613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82613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826135">
                <a:moveTo>
                  <a:pt x="7485888" y="621792"/>
                </a:moveTo>
                <a:lnTo>
                  <a:pt x="6726936" y="621792"/>
                </a:lnTo>
                <a:lnTo>
                  <a:pt x="6726936" y="826008"/>
                </a:lnTo>
                <a:lnTo>
                  <a:pt x="7485888" y="826008"/>
                </a:lnTo>
                <a:lnTo>
                  <a:pt x="7485888" y="621792"/>
                </a:lnTo>
                <a:close/>
              </a:path>
              <a:path w="7486015" h="82613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82613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27</xdr:row>
      <xdr:rowOff>0</xdr:rowOff>
    </xdr:from>
    <xdr:ext cx="645160" cy="4343400"/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0" y="0"/>
          <a:ext cx="645160" cy="4343400"/>
        </a:xfrm>
        <a:custGeom>
          <a:avLst/>
          <a:gdLst/>
          <a:ahLst/>
          <a:cxnLst/>
          <a:rect l="0" t="0" r="0" b="0"/>
          <a:pathLst>
            <a:path w="645160" h="4343400">
              <a:moveTo>
                <a:pt x="644652" y="4139184"/>
              </a:moveTo>
              <a:lnTo>
                <a:pt x="0" y="4139184"/>
              </a:lnTo>
              <a:lnTo>
                <a:pt x="0" y="4343400"/>
              </a:lnTo>
              <a:lnTo>
                <a:pt x="644652" y="4343400"/>
              </a:lnTo>
              <a:lnTo>
                <a:pt x="644652" y="4139184"/>
              </a:lnTo>
              <a:close/>
            </a:path>
            <a:path w="645160" h="4343400">
              <a:moveTo>
                <a:pt x="644652" y="3931920"/>
              </a:moveTo>
              <a:lnTo>
                <a:pt x="0" y="3931920"/>
              </a:lnTo>
              <a:lnTo>
                <a:pt x="0" y="4136136"/>
              </a:lnTo>
              <a:lnTo>
                <a:pt x="644652" y="4136136"/>
              </a:lnTo>
              <a:lnTo>
                <a:pt x="644652" y="3931920"/>
              </a:lnTo>
              <a:close/>
            </a:path>
            <a:path w="645160" h="4343400">
              <a:moveTo>
                <a:pt x="644652" y="3724656"/>
              </a:moveTo>
              <a:lnTo>
                <a:pt x="0" y="3724656"/>
              </a:lnTo>
              <a:lnTo>
                <a:pt x="0" y="3928872"/>
              </a:lnTo>
              <a:lnTo>
                <a:pt x="644652" y="3928872"/>
              </a:lnTo>
              <a:lnTo>
                <a:pt x="644652" y="3724656"/>
              </a:lnTo>
              <a:close/>
            </a:path>
            <a:path w="645160" h="4343400">
              <a:moveTo>
                <a:pt x="644652" y="3517392"/>
              </a:moveTo>
              <a:lnTo>
                <a:pt x="0" y="3517392"/>
              </a:lnTo>
              <a:lnTo>
                <a:pt x="0" y="3721608"/>
              </a:lnTo>
              <a:lnTo>
                <a:pt x="644652" y="3721608"/>
              </a:lnTo>
              <a:lnTo>
                <a:pt x="644652" y="3517392"/>
              </a:lnTo>
              <a:close/>
            </a:path>
            <a:path w="645160" h="4343400">
              <a:moveTo>
                <a:pt x="644652" y="3311652"/>
              </a:moveTo>
              <a:lnTo>
                <a:pt x="0" y="3311652"/>
              </a:lnTo>
              <a:lnTo>
                <a:pt x="0" y="3514344"/>
              </a:lnTo>
              <a:lnTo>
                <a:pt x="644652" y="3514344"/>
              </a:lnTo>
              <a:lnTo>
                <a:pt x="644652" y="3311652"/>
              </a:lnTo>
              <a:close/>
            </a:path>
            <a:path w="645160" h="4343400">
              <a:moveTo>
                <a:pt x="644652" y="3104388"/>
              </a:moveTo>
              <a:lnTo>
                <a:pt x="0" y="3104388"/>
              </a:lnTo>
              <a:lnTo>
                <a:pt x="0" y="3308604"/>
              </a:lnTo>
              <a:lnTo>
                <a:pt x="644652" y="3308604"/>
              </a:lnTo>
              <a:lnTo>
                <a:pt x="644652" y="3104388"/>
              </a:lnTo>
              <a:close/>
            </a:path>
            <a:path w="645160" h="4343400">
              <a:moveTo>
                <a:pt x="644652" y="2897124"/>
              </a:moveTo>
              <a:lnTo>
                <a:pt x="0" y="2897124"/>
              </a:lnTo>
              <a:lnTo>
                <a:pt x="0" y="3101340"/>
              </a:lnTo>
              <a:lnTo>
                <a:pt x="644652" y="3101340"/>
              </a:lnTo>
              <a:lnTo>
                <a:pt x="644652" y="2897124"/>
              </a:lnTo>
              <a:close/>
            </a:path>
            <a:path w="645160" h="4343400">
              <a:moveTo>
                <a:pt x="644652" y="2689860"/>
              </a:moveTo>
              <a:lnTo>
                <a:pt x="0" y="2689860"/>
              </a:lnTo>
              <a:lnTo>
                <a:pt x="0" y="2894076"/>
              </a:lnTo>
              <a:lnTo>
                <a:pt x="644652" y="2894076"/>
              </a:lnTo>
              <a:lnTo>
                <a:pt x="644652" y="2689860"/>
              </a:lnTo>
              <a:close/>
            </a:path>
            <a:path w="645160" h="4343400">
              <a:moveTo>
                <a:pt x="644652" y="2482596"/>
              </a:moveTo>
              <a:lnTo>
                <a:pt x="0" y="2482596"/>
              </a:lnTo>
              <a:lnTo>
                <a:pt x="0" y="2686812"/>
              </a:lnTo>
              <a:lnTo>
                <a:pt x="644652" y="2686812"/>
              </a:lnTo>
              <a:lnTo>
                <a:pt x="644652" y="2482596"/>
              </a:lnTo>
              <a:close/>
            </a:path>
            <a:path w="645160" h="4343400">
              <a:moveTo>
                <a:pt x="644652" y="2276856"/>
              </a:moveTo>
              <a:lnTo>
                <a:pt x="0" y="2276856"/>
              </a:lnTo>
              <a:lnTo>
                <a:pt x="0" y="2479548"/>
              </a:lnTo>
              <a:lnTo>
                <a:pt x="644652" y="2479548"/>
              </a:lnTo>
              <a:lnTo>
                <a:pt x="644652" y="2276856"/>
              </a:lnTo>
              <a:close/>
            </a:path>
            <a:path w="645160" h="4343400">
              <a:moveTo>
                <a:pt x="644652" y="2069592"/>
              </a:moveTo>
              <a:lnTo>
                <a:pt x="0" y="2069592"/>
              </a:lnTo>
              <a:lnTo>
                <a:pt x="0" y="2273808"/>
              </a:lnTo>
              <a:lnTo>
                <a:pt x="644652" y="2273808"/>
              </a:lnTo>
              <a:lnTo>
                <a:pt x="644652" y="2069592"/>
              </a:lnTo>
              <a:close/>
            </a:path>
            <a:path w="645160" h="4343400">
              <a:moveTo>
                <a:pt x="644652" y="1862328"/>
              </a:moveTo>
              <a:lnTo>
                <a:pt x="0" y="1862328"/>
              </a:lnTo>
              <a:lnTo>
                <a:pt x="0" y="2066544"/>
              </a:lnTo>
              <a:lnTo>
                <a:pt x="644652" y="2066544"/>
              </a:lnTo>
              <a:lnTo>
                <a:pt x="644652" y="1862328"/>
              </a:lnTo>
              <a:close/>
            </a:path>
            <a:path w="645160" h="4343400">
              <a:moveTo>
                <a:pt x="644652" y="1655064"/>
              </a:moveTo>
              <a:lnTo>
                <a:pt x="0" y="1655064"/>
              </a:lnTo>
              <a:lnTo>
                <a:pt x="0" y="1859280"/>
              </a:lnTo>
              <a:lnTo>
                <a:pt x="644652" y="1859280"/>
              </a:lnTo>
              <a:lnTo>
                <a:pt x="644652" y="1655064"/>
              </a:lnTo>
              <a:close/>
            </a:path>
            <a:path w="645160" h="4343400">
              <a:moveTo>
                <a:pt x="644652" y="1449324"/>
              </a:moveTo>
              <a:lnTo>
                <a:pt x="0" y="1449324"/>
              </a:lnTo>
              <a:lnTo>
                <a:pt x="0" y="1652016"/>
              </a:lnTo>
              <a:lnTo>
                <a:pt x="644652" y="1652016"/>
              </a:lnTo>
              <a:lnTo>
                <a:pt x="644652" y="1449324"/>
              </a:lnTo>
              <a:close/>
            </a:path>
            <a:path w="645160" h="4343400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4343400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4343400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4343400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4343400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4343400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4343400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21</xdr:row>
      <xdr:rowOff>208025</xdr:rowOff>
    </xdr:from>
    <xdr:ext cx="3808729" cy="480059"/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761</xdr:rowOff>
    </xdr:from>
    <xdr:ext cx="381000" cy="381000"/>
    <xdr:pic>
      <xdr:nvPicPr>
        <xdr:cNvPr id="100" name="image1.jpeg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49142</xdr:rowOff>
    </xdr:from>
    <xdr:ext cx="381000" cy="290285"/>
    <xdr:pic>
      <xdr:nvPicPr>
        <xdr:cNvPr id="101" name="image2.jpeg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49142</xdr:rowOff>
    </xdr:from>
    <xdr:ext cx="381000" cy="290285"/>
    <xdr:pic>
      <xdr:nvPicPr>
        <xdr:cNvPr id="102" name="image3.jpeg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201929</xdr:colOff>
      <xdr:row>3</xdr:row>
      <xdr:rowOff>761</xdr:rowOff>
    </xdr:from>
    <xdr:ext cx="338666" cy="381000"/>
    <xdr:pic>
      <xdr:nvPicPr>
        <xdr:cNvPr id="103" name="image4.jpeg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9</xdr:col>
      <xdr:colOff>298691</xdr:colOff>
      <xdr:row>3</xdr:row>
      <xdr:rowOff>49142</xdr:rowOff>
    </xdr:from>
    <xdr:ext cx="193523" cy="290285"/>
    <xdr:pic>
      <xdr:nvPicPr>
        <xdr:cNvPr id="104" name="image5.jpeg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23</xdr:row>
      <xdr:rowOff>0</xdr:rowOff>
    </xdr:from>
    <xdr:ext cx="7486015" cy="3840479"/>
    <xdr:grpSp>
      <xdr:nvGrpSpPr>
        <xdr:cNvPr id="105" name="Group 105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GrpSpPr/>
      </xdr:nvGrpSpPr>
      <xdr:grpSpPr>
        <a:xfrm>
          <a:off x="607059" y="5935980"/>
          <a:ext cx="7486015" cy="3840479"/>
          <a:chOff x="0" y="0"/>
          <a:chExt cx="7486015" cy="3840479"/>
        </a:xfrm>
      </xdr:grpSpPr>
      <xdr:sp macro="" textlink="">
        <xdr:nvSpPr>
          <xdr:cNvPr id="106" name="Shape 106">
            <a:extLst>
              <a:ext uri="{FF2B5EF4-FFF2-40B4-BE49-F238E27FC236}">
                <a16:creationId xmlns:a16="http://schemas.microsoft.com/office/drawing/2014/main" id="{00000000-0008-0000-0900-00006A000000}"/>
              </a:ext>
            </a:extLst>
          </xdr:cNvPr>
          <xdr:cNvSpPr/>
        </xdr:nvSpPr>
        <xdr:spPr>
          <a:xfrm>
            <a:off x="0" y="0"/>
            <a:ext cx="7486015" cy="2184400"/>
          </a:xfrm>
          <a:custGeom>
            <a:avLst/>
            <a:gdLst/>
            <a:ahLst/>
            <a:cxnLst/>
            <a:rect l="0" t="0" r="0" b="0"/>
            <a:pathLst>
              <a:path w="7486015" h="2184400">
                <a:moveTo>
                  <a:pt x="312420" y="944880"/>
                </a:moveTo>
                <a:lnTo>
                  <a:pt x="0" y="944880"/>
                </a:lnTo>
                <a:lnTo>
                  <a:pt x="0" y="2183892"/>
                </a:lnTo>
                <a:lnTo>
                  <a:pt x="312420" y="2183892"/>
                </a:lnTo>
                <a:lnTo>
                  <a:pt x="312420" y="944880"/>
                </a:lnTo>
                <a:close/>
              </a:path>
              <a:path w="7486015" h="2184400">
                <a:moveTo>
                  <a:pt x="312420" y="414528"/>
                </a:moveTo>
                <a:lnTo>
                  <a:pt x="0" y="414528"/>
                </a:lnTo>
                <a:lnTo>
                  <a:pt x="0" y="941832"/>
                </a:lnTo>
                <a:lnTo>
                  <a:pt x="312420" y="941832"/>
                </a:lnTo>
                <a:lnTo>
                  <a:pt x="312420" y="414528"/>
                </a:lnTo>
                <a:close/>
              </a:path>
              <a:path w="7486015" h="2184400">
                <a:moveTo>
                  <a:pt x="312420" y="0"/>
                </a:moveTo>
                <a:lnTo>
                  <a:pt x="0" y="0"/>
                </a:lnTo>
                <a:lnTo>
                  <a:pt x="0" y="411480"/>
                </a:lnTo>
                <a:lnTo>
                  <a:pt x="312420" y="411480"/>
                </a:lnTo>
                <a:lnTo>
                  <a:pt x="312420" y="0"/>
                </a:lnTo>
                <a:close/>
              </a:path>
              <a:path w="7486015" h="2184400">
                <a:moveTo>
                  <a:pt x="1264920" y="944880"/>
                </a:moveTo>
                <a:lnTo>
                  <a:pt x="315468" y="944880"/>
                </a:lnTo>
                <a:lnTo>
                  <a:pt x="315468" y="2183892"/>
                </a:lnTo>
                <a:lnTo>
                  <a:pt x="1264920" y="2183892"/>
                </a:lnTo>
                <a:lnTo>
                  <a:pt x="1264920" y="944880"/>
                </a:lnTo>
                <a:close/>
              </a:path>
              <a:path w="7486015" h="2184400">
                <a:moveTo>
                  <a:pt x="1264920" y="414528"/>
                </a:moveTo>
                <a:lnTo>
                  <a:pt x="315468" y="414528"/>
                </a:lnTo>
                <a:lnTo>
                  <a:pt x="315468" y="941832"/>
                </a:lnTo>
                <a:lnTo>
                  <a:pt x="1264920" y="941832"/>
                </a:lnTo>
                <a:lnTo>
                  <a:pt x="1264920" y="414528"/>
                </a:lnTo>
                <a:close/>
              </a:path>
              <a:path w="7486015" h="2184400">
                <a:moveTo>
                  <a:pt x="1264920" y="0"/>
                </a:moveTo>
                <a:lnTo>
                  <a:pt x="315468" y="0"/>
                </a:lnTo>
                <a:lnTo>
                  <a:pt x="315468" y="411480"/>
                </a:lnTo>
                <a:lnTo>
                  <a:pt x="1264920" y="411480"/>
                </a:lnTo>
                <a:lnTo>
                  <a:pt x="1264920" y="0"/>
                </a:lnTo>
                <a:close/>
              </a:path>
              <a:path w="7486015" h="2184400">
                <a:moveTo>
                  <a:pt x="2531364" y="414528"/>
                </a:moveTo>
                <a:lnTo>
                  <a:pt x="1267968" y="414528"/>
                </a:lnTo>
                <a:lnTo>
                  <a:pt x="1267968" y="941832"/>
                </a:lnTo>
                <a:lnTo>
                  <a:pt x="2531364" y="941832"/>
                </a:lnTo>
                <a:lnTo>
                  <a:pt x="2531364" y="414528"/>
                </a:lnTo>
                <a:close/>
              </a:path>
              <a:path w="7486015" h="2184400">
                <a:moveTo>
                  <a:pt x="2531364" y="0"/>
                </a:moveTo>
                <a:lnTo>
                  <a:pt x="1267968" y="0"/>
                </a:lnTo>
                <a:lnTo>
                  <a:pt x="1267968" y="411480"/>
                </a:lnTo>
                <a:lnTo>
                  <a:pt x="2531364" y="411480"/>
                </a:lnTo>
                <a:lnTo>
                  <a:pt x="2531364" y="0"/>
                </a:lnTo>
                <a:close/>
              </a:path>
              <a:path w="7486015" h="2184400">
                <a:moveTo>
                  <a:pt x="3037332" y="1772412"/>
                </a:moveTo>
                <a:lnTo>
                  <a:pt x="2534412" y="1772412"/>
                </a:lnTo>
                <a:lnTo>
                  <a:pt x="2534412" y="1976628"/>
                </a:lnTo>
                <a:lnTo>
                  <a:pt x="3037332" y="1976628"/>
                </a:lnTo>
                <a:lnTo>
                  <a:pt x="3037332" y="1772412"/>
                </a:lnTo>
                <a:close/>
              </a:path>
              <a:path w="7486015" h="2184400">
                <a:moveTo>
                  <a:pt x="3037332" y="1565148"/>
                </a:moveTo>
                <a:lnTo>
                  <a:pt x="2534412" y="1565148"/>
                </a:lnTo>
                <a:lnTo>
                  <a:pt x="2534412" y="1769364"/>
                </a:lnTo>
                <a:lnTo>
                  <a:pt x="3037332" y="1769364"/>
                </a:lnTo>
                <a:lnTo>
                  <a:pt x="3037332" y="1565148"/>
                </a:lnTo>
                <a:close/>
              </a:path>
              <a:path w="7486015" h="2184400">
                <a:moveTo>
                  <a:pt x="3037332" y="1357884"/>
                </a:moveTo>
                <a:lnTo>
                  <a:pt x="2534412" y="1357884"/>
                </a:lnTo>
                <a:lnTo>
                  <a:pt x="2534412" y="1562100"/>
                </a:lnTo>
                <a:lnTo>
                  <a:pt x="3037332" y="1562100"/>
                </a:lnTo>
                <a:lnTo>
                  <a:pt x="3037332" y="1357884"/>
                </a:lnTo>
                <a:close/>
              </a:path>
              <a:path w="7486015" h="2184400">
                <a:moveTo>
                  <a:pt x="3037332" y="1150620"/>
                </a:moveTo>
                <a:lnTo>
                  <a:pt x="2534412" y="1150620"/>
                </a:lnTo>
                <a:lnTo>
                  <a:pt x="2534412" y="1354836"/>
                </a:lnTo>
                <a:lnTo>
                  <a:pt x="3037332" y="1354836"/>
                </a:lnTo>
                <a:lnTo>
                  <a:pt x="3037332" y="1150620"/>
                </a:lnTo>
                <a:close/>
              </a:path>
              <a:path w="7486015" h="2184400">
                <a:moveTo>
                  <a:pt x="3037332" y="944880"/>
                </a:moveTo>
                <a:lnTo>
                  <a:pt x="2534412" y="944880"/>
                </a:lnTo>
                <a:lnTo>
                  <a:pt x="2534412" y="1147572"/>
                </a:lnTo>
                <a:lnTo>
                  <a:pt x="3037332" y="1147572"/>
                </a:lnTo>
                <a:lnTo>
                  <a:pt x="3037332" y="944880"/>
                </a:lnTo>
                <a:close/>
              </a:path>
              <a:path w="7486015" h="2184400">
                <a:moveTo>
                  <a:pt x="3037332" y="621792"/>
                </a:moveTo>
                <a:lnTo>
                  <a:pt x="2534412" y="621792"/>
                </a:lnTo>
                <a:lnTo>
                  <a:pt x="2534412" y="941832"/>
                </a:lnTo>
                <a:lnTo>
                  <a:pt x="3037332" y="941832"/>
                </a:lnTo>
                <a:lnTo>
                  <a:pt x="3037332" y="621792"/>
                </a:lnTo>
                <a:close/>
              </a:path>
              <a:path w="7486015" h="2184400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184400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184400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2184400">
                <a:moveTo>
                  <a:pt x="3674364" y="1772412"/>
                </a:moveTo>
                <a:lnTo>
                  <a:pt x="3040380" y="1772412"/>
                </a:lnTo>
                <a:lnTo>
                  <a:pt x="3040380" y="1976628"/>
                </a:lnTo>
                <a:lnTo>
                  <a:pt x="3674364" y="1976628"/>
                </a:lnTo>
                <a:lnTo>
                  <a:pt x="3674364" y="1772412"/>
                </a:lnTo>
                <a:close/>
              </a:path>
              <a:path w="7486015" h="2184400">
                <a:moveTo>
                  <a:pt x="3674364" y="1565148"/>
                </a:moveTo>
                <a:lnTo>
                  <a:pt x="3040380" y="1565148"/>
                </a:lnTo>
                <a:lnTo>
                  <a:pt x="3040380" y="1769364"/>
                </a:lnTo>
                <a:lnTo>
                  <a:pt x="3674364" y="1769364"/>
                </a:lnTo>
                <a:lnTo>
                  <a:pt x="3674364" y="1565148"/>
                </a:lnTo>
                <a:close/>
              </a:path>
              <a:path w="7486015" h="2184400">
                <a:moveTo>
                  <a:pt x="3674364" y="1357884"/>
                </a:moveTo>
                <a:lnTo>
                  <a:pt x="3040380" y="1357884"/>
                </a:lnTo>
                <a:lnTo>
                  <a:pt x="3040380" y="1562100"/>
                </a:lnTo>
                <a:lnTo>
                  <a:pt x="3674364" y="1562100"/>
                </a:lnTo>
                <a:lnTo>
                  <a:pt x="3674364" y="1357884"/>
                </a:lnTo>
                <a:close/>
              </a:path>
              <a:path w="7486015" h="2184400">
                <a:moveTo>
                  <a:pt x="3674364" y="1150620"/>
                </a:moveTo>
                <a:lnTo>
                  <a:pt x="3040380" y="1150620"/>
                </a:lnTo>
                <a:lnTo>
                  <a:pt x="3040380" y="1354836"/>
                </a:lnTo>
                <a:lnTo>
                  <a:pt x="3674364" y="1354836"/>
                </a:lnTo>
                <a:lnTo>
                  <a:pt x="3674364" y="1150620"/>
                </a:lnTo>
                <a:close/>
              </a:path>
              <a:path w="7486015" h="2184400">
                <a:moveTo>
                  <a:pt x="3674364" y="944880"/>
                </a:moveTo>
                <a:lnTo>
                  <a:pt x="3040380" y="944880"/>
                </a:lnTo>
                <a:lnTo>
                  <a:pt x="3040380" y="1147572"/>
                </a:lnTo>
                <a:lnTo>
                  <a:pt x="3674364" y="1147572"/>
                </a:lnTo>
                <a:lnTo>
                  <a:pt x="3674364" y="944880"/>
                </a:lnTo>
                <a:close/>
              </a:path>
              <a:path w="7486015" h="2184400">
                <a:moveTo>
                  <a:pt x="3674364" y="621792"/>
                </a:moveTo>
                <a:lnTo>
                  <a:pt x="3040380" y="621792"/>
                </a:lnTo>
                <a:lnTo>
                  <a:pt x="3040380" y="941832"/>
                </a:lnTo>
                <a:lnTo>
                  <a:pt x="3674364" y="941832"/>
                </a:lnTo>
                <a:lnTo>
                  <a:pt x="3674364" y="621792"/>
                </a:lnTo>
                <a:close/>
              </a:path>
              <a:path w="7486015" h="2184400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184400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184400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2184400">
                <a:moveTo>
                  <a:pt x="4437888" y="1772412"/>
                </a:moveTo>
                <a:lnTo>
                  <a:pt x="3677412" y="1772412"/>
                </a:lnTo>
                <a:lnTo>
                  <a:pt x="3677412" y="1976628"/>
                </a:lnTo>
                <a:lnTo>
                  <a:pt x="4437888" y="1976628"/>
                </a:lnTo>
                <a:lnTo>
                  <a:pt x="4437888" y="1772412"/>
                </a:lnTo>
                <a:close/>
              </a:path>
              <a:path w="7486015" h="2184400">
                <a:moveTo>
                  <a:pt x="4437888" y="1565148"/>
                </a:moveTo>
                <a:lnTo>
                  <a:pt x="3677412" y="1565148"/>
                </a:lnTo>
                <a:lnTo>
                  <a:pt x="3677412" y="1769364"/>
                </a:lnTo>
                <a:lnTo>
                  <a:pt x="4437888" y="1769364"/>
                </a:lnTo>
                <a:lnTo>
                  <a:pt x="4437888" y="1565148"/>
                </a:lnTo>
                <a:close/>
              </a:path>
              <a:path w="7486015" h="2184400">
                <a:moveTo>
                  <a:pt x="4437888" y="1357884"/>
                </a:moveTo>
                <a:lnTo>
                  <a:pt x="3677412" y="1357884"/>
                </a:lnTo>
                <a:lnTo>
                  <a:pt x="3677412" y="1562100"/>
                </a:lnTo>
                <a:lnTo>
                  <a:pt x="4437888" y="1562100"/>
                </a:lnTo>
                <a:lnTo>
                  <a:pt x="4437888" y="1357884"/>
                </a:lnTo>
                <a:close/>
              </a:path>
              <a:path w="7486015" h="2184400">
                <a:moveTo>
                  <a:pt x="4437888" y="1150620"/>
                </a:moveTo>
                <a:lnTo>
                  <a:pt x="3677412" y="1150620"/>
                </a:lnTo>
                <a:lnTo>
                  <a:pt x="3677412" y="1354836"/>
                </a:lnTo>
                <a:lnTo>
                  <a:pt x="4437888" y="1354836"/>
                </a:lnTo>
                <a:lnTo>
                  <a:pt x="4437888" y="1150620"/>
                </a:lnTo>
                <a:close/>
              </a:path>
              <a:path w="7486015" h="2184400">
                <a:moveTo>
                  <a:pt x="4437888" y="944880"/>
                </a:moveTo>
                <a:lnTo>
                  <a:pt x="3677412" y="944880"/>
                </a:lnTo>
                <a:lnTo>
                  <a:pt x="3677412" y="1147572"/>
                </a:lnTo>
                <a:lnTo>
                  <a:pt x="4437888" y="1147572"/>
                </a:lnTo>
                <a:lnTo>
                  <a:pt x="4437888" y="944880"/>
                </a:lnTo>
                <a:close/>
              </a:path>
              <a:path w="7486015" h="2184400">
                <a:moveTo>
                  <a:pt x="4437888" y="621792"/>
                </a:moveTo>
                <a:lnTo>
                  <a:pt x="3677412" y="621792"/>
                </a:lnTo>
                <a:lnTo>
                  <a:pt x="3677412" y="941832"/>
                </a:lnTo>
                <a:lnTo>
                  <a:pt x="4437888" y="941832"/>
                </a:lnTo>
                <a:lnTo>
                  <a:pt x="4437888" y="621792"/>
                </a:lnTo>
                <a:close/>
              </a:path>
              <a:path w="7486015" h="2184400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184400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184400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2184400">
                <a:moveTo>
                  <a:pt x="5199888" y="1772412"/>
                </a:moveTo>
                <a:lnTo>
                  <a:pt x="4440936" y="1772412"/>
                </a:lnTo>
                <a:lnTo>
                  <a:pt x="4440936" y="1976628"/>
                </a:lnTo>
                <a:lnTo>
                  <a:pt x="5199888" y="1976628"/>
                </a:lnTo>
                <a:lnTo>
                  <a:pt x="5199888" y="1772412"/>
                </a:lnTo>
                <a:close/>
              </a:path>
              <a:path w="7486015" h="2184400">
                <a:moveTo>
                  <a:pt x="5199888" y="1565148"/>
                </a:moveTo>
                <a:lnTo>
                  <a:pt x="4440936" y="1565148"/>
                </a:lnTo>
                <a:lnTo>
                  <a:pt x="4440936" y="1769364"/>
                </a:lnTo>
                <a:lnTo>
                  <a:pt x="5199888" y="1769364"/>
                </a:lnTo>
                <a:lnTo>
                  <a:pt x="5199888" y="1565148"/>
                </a:lnTo>
                <a:close/>
              </a:path>
              <a:path w="7486015" h="2184400">
                <a:moveTo>
                  <a:pt x="5199888" y="1357884"/>
                </a:moveTo>
                <a:lnTo>
                  <a:pt x="4440936" y="1357884"/>
                </a:lnTo>
                <a:lnTo>
                  <a:pt x="4440936" y="1562100"/>
                </a:lnTo>
                <a:lnTo>
                  <a:pt x="5199888" y="1562100"/>
                </a:lnTo>
                <a:lnTo>
                  <a:pt x="5199888" y="1357884"/>
                </a:lnTo>
                <a:close/>
              </a:path>
              <a:path w="7486015" h="2184400">
                <a:moveTo>
                  <a:pt x="5199888" y="1150620"/>
                </a:moveTo>
                <a:lnTo>
                  <a:pt x="4440936" y="1150620"/>
                </a:lnTo>
                <a:lnTo>
                  <a:pt x="4440936" y="1354836"/>
                </a:lnTo>
                <a:lnTo>
                  <a:pt x="5199888" y="1354836"/>
                </a:lnTo>
                <a:lnTo>
                  <a:pt x="5199888" y="1150620"/>
                </a:lnTo>
                <a:close/>
              </a:path>
              <a:path w="7486015" h="2184400">
                <a:moveTo>
                  <a:pt x="5199888" y="944880"/>
                </a:moveTo>
                <a:lnTo>
                  <a:pt x="4440936" y="944880"/>
                </a:lnTo>
                <a:lnTo>
                  <a:pt x="4440936" y="1147572"/>
                </a:lnTo>
                <a:lnTo>
                  <a:pt x="5199888" y="1147572"/>
                </a:lnTo>
                <a:lnTo>
                  <a:pt x="5199888" y="944880"/>
                </a:lnTo>
                <a:close/>
              </a:path>
              <a:path w="7486015" h="2184400">
                <a:moveTo>
                  <a:pt x="5199888" y="621792"/>
                </a:moveTo>
                <a:lnTo>
                  <a:pt x="4440936" y="621792"/>
                </a:lnTo>
                <a:lnTo>
                  <a:pt x="4440936" y="941832"/>
                </a:lnTo>
                <a:lnTo>
                  <a:pt x="5199888" y="941832"/>
                </a:lnTo>
                <a:lnTo>
                  <a:pt x="5199888" y="621792"/>
                </a:lnTo>
                <a:close/>
              </a:path>
              <a:path w="7486015" h="2184400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184400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184400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2184400">
                <a:moveTo>
                  <a:pt x="5961875" y="1772412"/>
                </a:moveTo>
                <a:lnTo>
                  <a:pt x="5202936" y="1772412"/>
                </a:lnTo>
                <a:lnTo>
                  <a:pt x="5202936" y="1976628"/>
                </a:lnTo>
                <a:lnTo>
                  <a:pt x="5961875" y="1976628"/>
                </a:lnTo>
                <a:lnTo>
                  <a:pt x="5961875" y="1772412"/>
                </a:lnTo>
                <a:close/>
              </a:path>
              <a:path w="7486015" h="2184400">
                <a:moveTo>
                  <a:pt x="5961875" y="1565148"/>
                </a:moveTo>
                <a:lnTo>
                  <a:pt x="5202936" y="1565148"/>
                </a:lnTo>
                <a:lnTo>
                  <a:pt x="5202936" y="1769364"/>
                </a:lnTo>
                <a:lnTo>
                  <a:pt x="5961875" y="1769364"/>
                </a:lnTo>
                <a:lnTo>
                  <a:pt x="5961875" y="1565148"/>
                </a:lnTo>
                <a:close/>
              </a:path>
              <a:path w="7486015" h="2184400">
                <a:moveTo>
                  <a:pt x="5961875" y="1357884"/>
                </a:moveTo>
                <a:lnTo>
                  <a:pt x="5202936" y="1357884"/>
                </a:lnTo>
                <a:lnTo>
                  <a:pt x="5202936" y="1562100"/>
                </a:lnTo>
                <a:lnTo>
                  <a:pt x="5961875" y="1562100"/>
                </a:lnTo>
                <a:lnTo>
                  <a:pt x="5961875" y="1357884"/>
                </a:lnTo>
                <a:close/>
              </a:path>
              <a:path w="7486015" h="2184400">
                <a:moveTo>
                  <a:pt x="5961875" y="1150620"/>
                </a:moveTo>
                <a:lnTo>
                  <a:pt x="5202936" y="1150620"/>
                </a:lnTo>
                <a:lnTo>
                  <a:pt x="5202936" y="1354836"/>
                </a:lnTo>
                <a:lnTo>
                  <a:pt x="5961875" y="1354836"/>
                </a:lnTo>
                <a:lnTo>
                  <a:pt x="5961875" y="1150620"/>
                </a:lnTo>
                <a:close/>
              </a:path>
              <a:path w="7486015" h="2184400">
                <a:moveTo>
                  <a:pt x="5961875" y="944880"/>
                </a:moveTo>
                <a:lnTo>
                  <a:pt x="5202936" y="944880"/>
                </a:lnTo>
                <a:lnTo>
                  <a:pt x="5202936" y="1147572"/>
                </a:lnTo>
                <a:lnTo>
                  <a:pt x="5961875" y="1147572"/>
                </a:lnTo>
                <a:lnTo>
                  <a:pt x="5961875" y="944880"/>
                </a:lnTo>
                <a:close/>
              </a:path>
              <a:path w="7486015" h="2184400">
                <a:moveTo>
                  <a:pt x="5961875" y="621792"/>
                </a:moveTo>
                <a:lnTo>
                  <a:pt x="5202936" y="621792"/>
                </a:lnTo>
                <a:lnTo>
                  <a:pt x="5202936" y="941832"/>
                </a:lnTo>
                <a:lnTo>
                  <a:pt x="5961875" y="941832"/>
                </a:lnTo>
                <a:lnTo>
                  <a:pt x="5961875" y="621792"/>
                </a:lnTo>
                <a:close/>
              </a:path>
              <a:path w="7486015" h="2184400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184400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184400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184400">
                <a:moveTo>
                  <a:pt x="6723888" y="1772412"/>
                </a:moveTo>
                <a:lnTo>
                  <a:pt x="5964936" y="1772412"/>
                </a:lnTo>
                <a:lnTo>
                  <a:pt x="5964936" y="1976628"/>
                </a:lnTo>
                <a:lnTo>
                  <a:pt x="6723888" y="1976628"/>
                </a:lnTo>
                <a:lnTo>
                  <a:pt x="6723888" y="1772412"/>
                </a:lnTo>
                <a:close/>
              </a:path>
              <a:path w="7486015" h="2184400">
                <a:moveTo>
                  <a:pt x="6723888" y="1565148"/>
                </a:moveTo>
                <a:lnTo>
                  <a:pt x="5964936" y="1565148"/>
                </a:lnTo>
                <a:lnTo>
                  <a:pt x="5964936" y="1769364"/>
                </a:lnTo>
                <a:lnTo>
                  <a:pt x="6723888" y="1769364"/>
                </a:lnTo>
                <a:lnTo>
                  <a:pt x="6723888" y="1565148"/>
                </a:lnTo>
                <a:close/>
              </a:path>
              <a:path w="7486015" h="2184400">
                <a:moveTo>
                  <a:pt x="6723888" y="1357884"/>
                </a:moveTo>
                <a:lnTo>
                  <a:pt x="5964936" y="1357884"/>
                </a:lnTo>
                <a:lnTo>
                  <a:pt x="5964936" y="1562100"/>
                </a:lnTo>
                <a:lnTo>
                  <a:pt x="6723888" y="1562100"/>
                </a:lnTo>
                <a:lnTo>
                  <a:pt x="6723888" y="1357884"/>
                </a:lnTo>
                <a:close/>
              </a:path>
              <a:path w="7486015" h="2184400">
                <a:moveTo>
                  <a:pt x="6723888" y="1150620"/>
                </a:moveTo>
                <a:lnTo>
                  <a:pt x="5964936" y="1150620"/>
                </a:lnTo>
                <a:lnTo>
                  <a:pt x="5964936" y="1354836"/>
                </a:lnTo>
                <a:lnTo>
                  <a:pt x="6723888" y="1354836"/>
                </a:lnTo>
                <a:lnTo>
                  <a:pt x="6723888" y="1150620"/>
                </a:lnTo>
                <a:close/>
              </a:path>
              <a:path w="7486015" h="2184400">
                <a:moveTo>
                  <a:pt x="6723888" y="944880"/>
                </a:moveTo>
                <a:lnTo>
                  <a:pt x="5964936" y="944880"/>
                </a:lnTo>
                <a:lnTo>
                  <a:pt x="5964936" y="1147572"/>
                </a:lnTo>
                <a:lnTo>
                  <a:pt x="6723888" y="1147572"/>
                </a:lnTo>
                <a:lnTo>
                  <a:pt x="6723888" y="944880"/>
                </a:lnTo>
                <a:close/>
              </a:path>
              <a:path w="7486015" h="2184400">
                <a:moveTo>
                  <a:pt x="6723888" y="621792"/>
                </a:moveTo>
                <a:lnTo>
                  <a:pt x="5964936" y="621792"/>
                </a:lnTo>
                <a:lnTo>
                  <a:pt x="5964936" y="941832"/>
                </a:lnTo>
                <a:lnTo>
                  <a:pt x="6723888" y="941832"/>
                </a:lnTo>
                <a:lnTo>
                  <a:pt x="6723888" y="621792"/>
                </a:lnTo>
                <a:close/>
              </a:path>
              <a:path w="7486015" h="2184400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184400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184400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184400">
                <a:moveTo>
                  <a:pt x="7485888" y="1772412"/>
                </a:moveTo>
                <a:lnTo>
                  <a:pt x="6726936" y="1772412"/>
                </a:lnTo>
                <a:lnTo>
                  <a:pt x="6726936" y="1976628"/>
                </a:lnTo>
                <a:lnTo>
                  <a:pt x="7485888" y="1976628"/>
                </a:lnTo>
                <a:lnTo>
                  <a:pt x="7485888" y="1772412"/>
                </a:lnTo>
                <a:close/>
              </a:path>
              <a:path w="7486015" h="2184400">
                <a:moveTo>
                  <a:pt x="7485888" y="1565148"/>
                </a:moveTo>
                <a:lnTo>
                  <a:pt x="6726936" y="1565148"/>
                </a:lnTo>
                <a:lnTo>
                  <a:pt x="6726936" y="1769364"/>
                </a:lnTo>
                <a:lnTo>
                  <a:pt x="7485888" y="1769364"/>
                </a:lnTo>
                <a:lnTo>
                  <a:pt x="7485888" y="1565148"/>
                </a:lnTo>
                <a:close/>
              </a:path>
              <a:path w="7486015" h="2184400">
                <a:moveTo>
                  <a:pt x="7485888" y="1357884"/>
                </a:moveTo>
                <a:lnTo>
                  <a:pt x="6726936" y="1357884"/>
                </a:lnTo>
                <a:lnTo>
                  <a:pt x="6726936" y="1562100"/>
                </a:lnTo>
                <a:lnTo>
                  <a:pt x="7485888" y="1562100"/>
                </a:lnTo>
                <a:lnTo>
                  <a:pt x="7485888" y="1357884"/>
                </a:lnTo>
                <a:close/>
              </a:path>
              <a:path w="7486015" h="2184400">
                <a:moveTo>
                  <a:pt x="7485888" y="1150620"/>
                </a:moveTo>
                <a:lnTo>
                  <a:pt x="6726936" y="1150620"/>
                </a:lnTo>
                <a:lnTo>
                  <a:pt x="6726936" y="1354836"/>
                </a:lnTo>
                <a:lnTo>
                  <a:pt x="7485888" y="1354836"/>
                </a:lnTo>
                <a:lnTo>
                  <a:pt x="7485888" y="1150620"/>
                </a:lnTo>
                <a:close/>
              </a:path>
              <a:path w="7486015" h="2184400">
                <a:moveTo>
                  <a:pt x="7485888" y="944880"/>
                </a:moveTo>
                <a:lnTo>
                  <a:pt x="6726936" y="944880"/>
                </a:lnTo>
                <a:lnTo>
                  <a:pt x="6726936" y="1147572"/>
                </a:lnTo>
                <a:lnTo>
                  <a:pt x="7485888" y="1147572"/>
                </a:lnTo>
                <a:lnTo>
                  <a:pt x="7485888" y="944880"/>
                </a:lnTo>
                <a:close/>
              </a:path>
              <a:path w="7486015" h="2184400">
                <a:moveTo>
                  <a:pt x="7485888" y="621792"/>
                </a:moveTo>
                <a:lnTo>
                  <a:pt x="6726936" y="621792"/>
                </a:lnTo>
                <a:lnTo>
                  <a:pt x="6726936" y="941832"/>
                </a:lnTo>
                <a:lnTo>
                  <a:pt x="7485888" y="941832"/>
                </a:lnTo>
                <a:lnTo>
                  <a:pt x="7485888" y="621792"/>
                </a:lnTo>
                <a:close/>
              </a:path>
              <a:path w="7486015" h="2184400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184400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184400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07" name="Shape 107">
            <a:extLst>
              <a:ext uri="{FF2B5EF4-FFF2-40B4-BE49-F238E27FC236}">
                <a16:creationId xmlns:a16="http://schemas.microsoft.com/office/drawing/2014/main" id="{00000000-0008-0000-0900-00006B000000}"/>
              </a:ext>
            </a:extLst>
          </xdr:cNvPr>
          <xdr:cNvSpPr/>
        </xdr:nvSpPr>
        <xdr:spPr>
          <a:xfrm>
            <a:off x="0" y="944879"/>
            <a:ext cx="7486015" cy="2895600"/>
          </a:xfrm>
          <a:custGeom>
            <a:avLst/>
            <a:gdLst/>
            <a:ahLst/>
            <a:cxnLst/>
            <a:rect l="0" t="0" r="0" b="0"/>
            <a:pathLst>
              <a:path w="7486015" h="2895600">
                <a:moveTo>
                  <a:pt x="312420" y="2482596"/>
                </a:moveTo>
                <a:lnTo>
                  <a:pt x="0" y="2482596"/>
                </a:lnTo>
                <a:lnTo>
                  <a:pt x="0" y="2895600"/>
                </a:lnTo>
                <a:lnTo>
                  <a:pt x="312420" y="2895600"/>
                </a:lnTo>
                <a:lnTo>
                  <a:pt x="312420" y="2482596"/>
                </a:lnTo>
                <a:close/>
              </a:path>
              <a:path w="7486015" h="2895600">
                <a:moveTo>
                  <a:pt x="312420" y="1862328"/>
                </a:moveTo>
                <a:lnTo>
                  <a:pt x="0" y="1862328"/>
                </a:lnTo>
                <a:lnTo>
                  <a:pt x="0" y="2479548"/>
                </a:lnTo>
                <a:lnTo>
                  <a:pt x="312420" y="2479548"/>
                </a:lnTo>
                <a:lnTo>
                  <a:pt x="312420" y="1862328"/>
                </a:lnTo>
                <a:close/>
              </a:path>
              <a:path w="7486015" h="2895600">
                <a:moveTo>
                  <a:pt x="312420" y="1242060"/>
                </a:moveTo>
                <a:lnTo>
                  <a:pt x="0" y="1242060"/>
                </a:lnTo>
                <a:lnTo>
                  <a:pt x="0" y="1859280"/>
                </a:lnTo>
                <a:lnTo>
                  <a:pt x="312420" y="1859280"/>
                </a:lnTo>
                <a:lnTo>
                  <a:pt x="312420" y="1242060"/>
                </a:lnTo>
                <a:close/>
              </a:path>
              <a:path w="7486015" h="2895600">
                <a:moveTo>
                  <a:pt x="1264920" y="2482596"/>
                </a:moveTo>
                <a:lnTo>
                  <a:pt x="315468" y="2482596"/>
                </a:lnTo>
                <a:lnTo>
                  <a:pt x="315468" y="2895600"/>
                </a:lnTo>
                <a:lnTo>
                  <a:pt x="1264920" y="2895600"/>
                </a:lnTo>
                <a:lnTo>
                  <a:pt x="1264920" y="2482596"/>
                </a:lnTo>
                <a:close/>
              </a:path>
              <a:path w="7486015" h="2895600">
                <a:moveTo>
                  <a:pt x="1264920" y="1862328"/>
                </a:moveTo>
                <a:lnTo>
                  <a:pt x="315468" y="1862328"/>
                </a:lnTo>
                <a:lnTo>
                  <a:pt x="315468" y="2479548"/>
                </a:lnTo>
                <a:lnTo>
                  <a:pt x="1264920" y="2479548"/>
                </a:lnTo>
                <a:lnTo>
                  <a:pt x="1264920" y="1862328"/>
                </a:lnTo>
                <a:close/>
              </a:path>
              <a:path w="7486015" h="2895600">
                <a:moveTo>
                  <a:pt x="1264920" y="1242060"/>
                </a:moveTo>
                <a:lnTo>
                  <a:pt x="315468" y="1242060"/>
                </a:lnTo>
                <a:lnTo>
                  <a:pt x="315468" y="1859280"/>
                </a:lnTo>
                <a:lnTo>
                  <a:pt x="1264920" y="1859280"/>
                </a:lnTo>
                <a:lnTo>
                  <a:pt x="1264920" y="1242060"/>
                </a:lnTo>
                <a:close/>
              </a:path>
              <a:path w="7486015" h="2895600">
                <a:moveTo>
                  <a:pt x="1264920" y="0"/>
                </a:moveTo>
                <a:lnTo>
                  <a:pt x="315468" y="0"/>
                </a:lnTo>
                <a:lnTo>
                  <a:pt x="315468" y="1239012"/>
                </a:lnTo>
                <a:lnTo>
                  <a:pt x="1264920" y="1239012"/>
                </a:lnTo>
                <a:lnTo>
                  <a:pt x="1264920" y="0"/>
                </a:lnTo>
                <a:close/>
              </a:path>
              <a:path w="7486015" h="2895600">
                <a:moveTo>
                  <a:pt x="2531364" y="2482596"/>
                </a:moveTo>
                <a:lnTo>
                  <a:pt x="1267968" y="2482596"/>
                </a:lnTo>
                <a:lnTo>
                  <a:pt x="1267968" y="2895600"/>
                </a:lnTo>
                <a:lnTo>
                  <a:pt x="2531364" y="2895600"/>
                </a:lnTo>
                <a:lnTo>
                  <a:pt x="2531364" y="2482596"/>
                </a:lnTo>
                <a:close/>
              </a:path>
              <a:path w="7486015" h="2895600">
                <a:moveTo>
                  <a:pt x="2531364" y="1862328"/>
                </a:moveTo>
                <a:lnTo>
                  <a:pt x="1267968" y="1862328"/>
                </a:lnTo>
                <a:lnTo>
                  <a:pt x="1267968" y="2479548"/>
                </a:lnTo>
                <a:lnTo>
                  <a:pt x="2531364" y="2479548"/>
                </a:lnTo>
                <a:lnTo>
                  <a:pt x="2531364" y="1862328"/>
                </a:lnTo>
                <a:close/>
              </a:path>
              <a:path w="7486015" h="2895600">
                <a:moveTo>
                  <a:pt x="2531364" y="1242060"/>
                </a:moveTo>
                <a:lnTo>
                  <a:pt x="1267968" y="1242060"/>
                </a:lnTo>
                <a:lnTo>
                  <a:pt x="1267968" y="1859280"/>
                </a:lnTo>
                <a:lnTo>
                  <a:pt x="2531364" y="1859280"/>
                </a:lnTo>
                <a:lnTo>
                  <a:pt x="2531364" y="1242060"/>
                </a:lnTo>
                <a:close/>
              </a:path>
              <a:path w="7486015" h="2895600">
                <a:moveTo>
                  <a:pt x="2531364" y="0"/>
                </a:moveTo>
                <a:lnTo>
                  <a:pt x="1267968" y="0"/>
                </a:lnTo>
                <a:lnTo>
                  <a:pt x="1267968" y="1239012"/>
                </a:lnTo>
                <a:lnTo>
                  <a:pt x="2531364" y="1239012"/>
                </a:lnTo>
                <a:lnTo>
                  <a:pt x="2531364" y="0"/>
                </a:lnTo>
                <a:close/>
              </a:path>
              <a:path w="7486015" h="2895600">
                <a:moveTo>
                  <a:pt x="3037332" y="2689860"/>
                </a:moveTo>
                <a:lnTo>
                  <a:pt x="2534412" y="2689860"/>
                </a:lnTo>
                <a:lnTo>
                  <a:pt x="2534412" y="2895600"/>
                </a:lnTo>
                <a:lnTo>
                  <a:pt x="3037332" y="2895600"/>
                </a:lnTo>
                <a:lnTo>
                  <a:pt x="3037332" y="2689860"/>
                </a:lnTo>
                <a:close/>
              </a:path>
              <a:path w="7486015" h="2895600">
                <a:moveTo>
                  <a:pt x="3037332" y="2482596"/>
                </a:moveTo>
                <a:lnTo>
                  <a:pt x="2534412" y="2482596"/>
                </a:lnTo>
                <a:lnTo>
                  <a:pt x="2534412" y="2686812"/>
                </a:lnTo>
                <a:lnTo>
                  <a:pt x="3037332" y="2686812"/>
                </a:lnTo>
                <a:lnTo>
                  <a:pt x="3037332" y="2482596"/>
                </a:lnTo>
                <a:close/>
              </a:path>
              <a:path w="7486015" h="2895600">
                <a:moveTo>
                  <a:pt x="3037332" y="2275332"/>
                </a:moveTo>
                <a:lnTo>
                  <a:pt x="2534412" y="2275332"/>
                </a:lnTo>
                <a:lnTo>
                  <a:pt x="2534412" y="2479548"/>
                </a:lnTo>
                <a:lnTo>
                  <a:pt x="3037332" y="2479548"/>
                </a:lnTo>
                <a:lnTo>
                  <a:pt x="3037332" y="2275332"/>
                </a:lnTo>
                <a:close/>
              </a:path>
              <a:path w="7486015" h="2895600">
                <a:moveTo>
                  <a:pt x="3037332" y="2069592"/>
                </a:moveTo>
                <a:lnTo>
                  <a:pt x="2534412" y="2069592"/>
                </a:lnTo>
                <a:lnTo>
                  <a:pt x="2534412" y="2272284"/>
                </a:lnTo>
                <a:lnTo>
                  <a:pt x="3037332" y="2272284"/>
                </a:lnTo>
                <a:lnTo>
                  <a:pt x="3037332" y="2069592"/>
                </a:lnTo>
                <a:close/>
              </a:path>
              <a:path w="7486015" h="2895600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895600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895600">
                <a:moveTo>
                  <a:pt x="3037332" y="1447800"/>
                </a:moveTo>
                <a:lnTo>
                  <a:pt x="2534412" y="1447800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7800"/>
                </a:lnTo>
                <a:close/>
              </a:path>
              <a:path w="7486015" h="2895600">
                <a:moveTo>
                  <a:pt x="3037332" y="1242060"/>
                </a:moveTo>
                <a:lnTo>
                  <a:pt x="2534412" y="1242060"/>
                </a:lnTo>
                <a:lnTo>
                  <a:pt x="2534412" y="1444752"/>
                </a:lnTo>
                <a:lnTo>
                  <a:pt x="3037332" y="1444752"/>
                </a:lnTo>
                <a:lnTo>
                  <a:pt x="3037332" y="1242060"/>
                </a:lnTo>
                <a:close/>
              </a:path>
              <a:path w="7486015" h="2895600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895600">
                <a:moveTo>
                  <a:pt x="3674364" y="2689860"/>
                </a:moveTo>
                <a:lnTo>
                  <a:pt x="3040380" y="2689860"/>
                </a:lnTo>
                <a:lnTo>
                  <a:pt x="3040380" y="2895600"/>
                </a:lnTo>
                <a:lnTo>
                  <a:pt x="3674364" y="2895600"/>
                </a:lnTo>
                <a:lnTo>
                  <a:pt x="3674364" y="2689860"/>
                </a:lnTo>
                <a:close/>
              </a:path>
              <a:path w="7486015" h="2895600">
                <a:moveTo>
                  <a:pt x="3674364" y="2482596"/>
                </a:moveTo>
                <a:lnTo>
                  <a:pt x="3040380" y="2482596"/>
                </a:lnTo>
                <a:lnTo>
                  <a:pt x="3040380" y="2686812"/>
                </a:lnTo>
                <a:lnTo>
                  <a:pt x="3674364" y="2686812"/>
                </a:lnTo>
                <a:lnTo>
                  <a:pt x="3674364" y="2482596"/>
                </a:lnTo>
                <a:close/>
              </a:path>
              <a:path w="7486015" h="2895600">
                <a:moveTo>
                  <a:pt x="3674364" y="2275332"/>
                </a:moveTo>
                <a:lnTo>
                  <a:pt x="3040380" y="2275332"/>
                </a:lnTo>
                <a:lnTo>
                  <a:pt x="3040380" y="2479548"/>
                </a:lnTo>
                <a:lnTo>
                  <a:pt x="3674364" y="2479548"/>
                </a:lnTo>
                <a:lnTo>
                  <a:pt x="3674364" y="2275332"/>
                </a:lnTo>
                <a:close/>
              </a:path>
              <a:path w="7486015" h="2895600">
                <a:moveTo>
                  <a:pt x="3674364" y="2069592"/>
                </a:moveTo>
                <a:lnTo>
                  <a:pt x="3040380" y="2069592"/>
                </a:lnTo>
                <a:lnTo>
                  <a:pt x="3040380" y="2272284"/>
                </a:lnTo>
                <a:lnTo>
                  <a:pt x="3674364" y="2272284"/>
                </a:lnTo>
                <a:lnTo>
                  <a:pt x="3674364" y="2069592"/>
                </a:lnTo>
                <a:close/>
              </a:path>
              <a:path w="7486015" h="2895600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895600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895600">
                <a:moveTo>
                  <a:pt x="3674364" y="1447800"/>
                </a:moveTo>
                <a:lnTo>
                  <a:pt x="3040380" y="1447800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7800"/>
                </a:lnTo>
                <a:close/>
              </a:path>
              <a:path w="7486015" h="2895600">
                <a:moveTo>
                  <a:pt x="3674364" y="1242060"/>
                </a:moveTo>
                <a:lnTo>
                  <a:pt x="3040380" y="1242060"/>
                </a:lnTo>
                <a:lnTo>
                  <a:pt x="3040380" y="1444752"/>
                </a:lnTo>
                <a:lnTo>
                  <a:pt x="3674364" y="1444752"/>
                </a:lnTo>
                <a:lnTo>
                  <a:pt x="3674364" y="1242060"/>
                </a:lnTo>
                <a:close/>
              </a:path>
              <a:path w="7486015" h="2895600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895600">
                <a:moveTo>
                  <a:pt x="4437888" y="2689860"/>
                </a:moveTo>
                <a:lnTo>
                  <a:pt x="3677412" y="2689860"/>
                </a:lnTo>
                <a:lnTo>
                  <a:pt x="3677412" y="2895600"/>
                </a:lnTo>
                <a:lnTo>
                  <a:pt x="4437888" y="2895600"/>
                </a:lnTo>
                <a:lnTo>
                  <a:pt x="4437888" y="2689860"/>
                </a:lnTo>
                <a:close/>
              </a:path>
              <a:path w="7486015" h="2895600">
                <a:moveTo>
                  <a:pt x="4437888" y="2482596"/>
                </a:moveTo>
                <a:lnTo>
                  <a:pt x="3677412" y="2482596"/>
                </a:lnTo>
                <a:lnTo>
                  <a:pt x="3677412" y="2686812"/>
                </a:lnTo>
                <a:lnTo>
                  <a:pt x="4437888" y="2686812"/>
                </a:lnTo>
                <a:lnTo>
                  <a:pt x="4437888" y="2482596"/>
                </a:lnTo>
                <a:close/>
              </a:path>
              <a:path w="7486015" h="2895600">
                <a:moveTo>
                  <a:pt x="4437888" y="2275332"/>
                </a:moveTo>
                <a:lnTo>
                  <a:pt x="3677412" y="2275332"/>
                </a:lnTo>
                <a:lnTo>
                  <a:pt x="3677412" y="2479548"/>
                </a:lnTo>
                <a:lnTo>
                  <a:pt x="4437888" y="2479548"/>
                </a:lnTo>
                <a:lnTo>
                  <a:pt x="4437888" y="2275332"/>
                </a:lnTo>
                <a:close/>
              </a:path>
              <a:path w="7486015" h="2895600">
                <a:moveTo>
                  <a:pt x="4437888" y="2069592"/>
                </a:moveTo>
                <a:lnTo>
                  <a:pt x="3677412" y="2069592"/>
                </a:lnTo>
                <a:lnTo>
                  <a:pt x="3677412" y="2272284"/>
                </a:lnTo>
                <a:lnTo>
                  <a:pt x="4437888" y="2272284"/>
                </a:lnTo>
                <a:lnTo>
                  <a:pt x="4437888" y="2069592"/>
                </a:lnTo>
                <a:close/>
              </a:path>
              <a:path w="7486015" h="2895600">
                <a:moveTo>
                  <a:pt x="4437888" y="1862328"/>
                </a:moveTo>
                <a:lnTo>
                  <a:pt x="3677412" y="1862328"/>
                </a:lnTo>
                <a:lnTo>
                  <a:pt x="3677412" y="2066544"/>
                </a:lnTo>
                <a:lnTo>
                  <a:pt x="4437888" y="2066544"/>
                </a:lnTo>
                <a:lnTo>
                  <a:pt x="4437888" y="1862328"/>
                </a:lnTo>
                <a:close/>
              </a:path>
              <a:path w="7486015" h="2895600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895600">
                <a:moveTo>
                  <a:pt x="4437888" y="1447800"/>
                </a:moveTo>
                <a:lnTo>
                  <a:pt x="3677412" y="1447800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7800"/>
                </a:lnTo>
                <a:close/>
              </a:path>
              <a:path w="7486015" h="2895600">
                <a:moveTo>
                  <a:pt x="4437888" y="1242060"/>
                </a:moveTo>
                <a:lnTo>
                  <a:pt x="3677412" y="1242060"/>
                </a:lnTo>
                <a:lnTo>
                  <a:pt x="3677412" y="1444752"/>
                </a:lnTo>
                <a:lnTo>
                  <a:pt x="4437888" y="1444752"/>
                </a:lnTo>
                <a:lnTo>
                  <a:pt x="4437888" y="1242060"/>
                </a:lnTo>
                <a:close/>
              </a:path>
              <a:path w="7486015" h="2895600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895600">
                <a:moveTo>
                  <a:pt x="5199888" y="2689860"/>
                </a:moveTo>
                <a:lnTo>
                  <a:pt x="4440936" y="2689860"/>
                </a:lnTo>
                <a:lnTo>
                  <a:pt x="4440936" y="2895600"/>
                </a:lnTo>
                <a:lnTo>
                  <a:pt x="5199888" y="2895600"/>
                </a:lnTo>
                <a:lnTo>
                  <a:pt x="5199888" y="2689860"/>
                </a:lnTo>
                <a:close/>
              </a:path>
              <a:path w="7486015" h="2895600">
                <a:moveTo>
                  <a:pt x="5199888" y="2482596"/>
                </a:moveTo>
                <a:lnTo>
                  <a:pt x="4440936" y="2482596"/>
                </a:lnTo>
                <a:lnTo>
                  <a:pt x="4440936" y="2686812"/>
                </a:lnTo>
                <a:lnTo>
                  <a:pt x="5199888" y="2686812"/>
                </a:lnTo>
                <a:lnTo>
                  <a:pt x="5199888" y="2482596"/>
                </a:lnTo>
                <a:close/>
              </a:path>
              <a:path w="7486015" h="2895600">
                <a:moveTo>
                  <a:pt x="5199888" y="2275332"/>
                </a:moveTo>
                <a:lnTo>
                  <a:pt x="4440936" y="2275332"/>
                </a:lnTo>
                <a:lnTo>
                  <a:pt x="4440936" y="2479548"/>
                </a:lnTo>
                <a:lnTo>
                  <a:pt x="5199888" y="2479548"/>
                </a:lnTo>
                <a:lnTo>
                  <a:pt x="5199888" y="2275332"/>
                </a:lnTo>
                <a:close/>
              </a:path>
              <a:path w="7486015" h="2895600">
                <a:moveTo>
                  <a:pt x="5199888" y="2069592"/>
                </a:moveTo>
                <a:lnTo>
                  <a:pt x="4440936" y="2069592"/>
                </a:lnTo>
                <a:lnTo>
                  <a:pt x="4440936" y="2272284"/>
                </a:lnTo>
                <a:lnTo>
                  <a:pt x="5199888" y="2272284"/>
                </a:lnTo>
                <a:lnTo>
                  <a:pt x="5199888" y="2069592"/>
                </a:lnTo>
                <a:close/>
              </a:path>
              <a:path w="7486015" h="2895600">
                <a:moveTo>
                  <a:pt x="5199888" y="1862328"/>
                </a:moveTo>
                <a:lnTo>
                  <a:pt x="4440936" y="1862328"/>
                </a:lnTo>
                <a:lnTo>
                  <a:pt x="4440936" y="2066544"/>
                </a:lnTo>
                <a:lnTo>
                  <a:pt x="5199888" y="2066544"/>
                </a:lnTo>
                <a:lnTo>
                  <a:pt x="5199888" y="1862328"/>
                </a:lnTo>
                <a:close/>
              </a:path>
              <a:path w="7486015" h="2895600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895600">
                <a:moveTo>
                  <a:pt x="5199888" y="1447800"/>
                </a:moveTo>
                <a:lnTo>
                  <a:pt x="4440936" y="1447800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7800"/>
                </a:lnTo>
                <a:close/>
              </a:path>
              <a:path w="7486015" h="2895600">
                <a:moveTo>
                  <a:pt x="5199888" y="1242060"/>
                </a:moveTo>
                <a:lnTo>
                  <a:pt x="4440936" y="1242060"/>
                </a:lnTo>
                <a:lnTo>
                  <a:pt x="4440936" y="1444752"/>
                </a:lnTo>
                <a:lnTo>
                  <a:pt x="5199888" y="1444752"/>
                </a:lnTo>
                <a:lnTo>
                  <a:pt x="5199888" y="1242060"/>
                </a:lnTo>
                <a:close/>
              </a:path>
              <a:path w="7486015" h="2895600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895600">
                <a:moveTo>
                  <a:pt x="5961875" y="2482596"/>
                </a:moveTo>
                <a:lnTo>
                  <a:pt x="5202936" y="2482596"/>
                </a:lnTo>
                <a:lnTo>
                  <a:pt x="5202936" y="2686812"/>
                </a:lnTo>
                <a:lnTo>
                  <a:pt x="5961875" y="2686812"/>
                </a:lnTo>
                <a:lnTo>
                  <a:pt x="5961875" y="2482596"/>
                </a:lnTo>
                <a:close/>
              </a:path>
              <a:path w="7486015" h="2895600">
                <a:moveTo>
                  <a:pt x="5961875" y="2275332"/>
                </a:moveTo>
                <a:lnTo>
                  <a:pt x="5202936" y="2275332"/>
                </a:lnTo>
                <a:lnTo>
                  <a:pt x="5202936" y="2479548"/>
                </a:lnTo>
                <a:lnTo>
                  <a:pt x="5961875" y="2479548"/>
                </a:lnTo>
                <a:lnTo>
                  <a:pt x="5961875" y="2275332"/>
                </a:lnTo>
                <a:close/>
              </a:path>
              <a:path w="7486015" h="2895600">
                <a:moveTo>
                  <a:pt x="5961875" y="2069592"/>
                </a:moveTo>
                <a:lnTo>
                  <a:pt x="5202936" y="2069592"/>
                </a:lnTo>
                <a:lnTo>
                  <a:pt x="5202936" y="2272284"/>
                </a:lnTo>
                <a:lnTo>
                  <a:pt x="5961875" y="2272284"/>
                </a:lnTo>
                <a:lnTo>
                  <a:pt x="5961875" y="2069592"/>
                </a:lnTo>
                <a:close/>
              </a:path>
              <a:path w="7486015" h="2895600">
                <a:moveTo>
                  <a:pt x="5961875" y="1862328"/>
                </a:moveTo>
                <a:lnTo>
                  <a:pt x="5202936" y="1862328"/>
                </a:lnTo>
                <a:lnTo>
                  <a:pt x="5202936" y="2066544"/>
                </a:lnTo>
                <a:lnTo>
                  <a:pt x="5961875" y="2066544"/>
                </a:lnTo>
                <a:lnTo>
                  <a:pt x="5961875" y="1862328"/>
                </a:lnTo>
                <a:close/>
              </a:path>
              <a:path w="7486015" h="2895600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895600">
                <a:moveTo>
                  <a:pt x="5961875" y="1447800"/>
                </a:moveTo>
                <a:lnTo>
                  <a:pt x="5202936" y="1447800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7800"/>
                </a:lnTo>
                <a:close/>
              </a:path>
              <a:path w="7486015" h="2895600">
                <a:moveTo>
                  <a:pt x="5961875" y="1242060"/>
                </a:moveTo>
                <a:lnTo>
                  <a:pt x="5202936" y="1242060"/>
                </a:lnTo>
                <a:lnTo>
                  <a:pt x="5202936" y="1444752"/>
                </a:lnTo>
                <a:lnTo>
                  <a:pt x="5961875" y="1444752"/>
                </a:lnTo>
                <a:lnTo>
                  <a:pt x="5961875" y="1242060"/>
                </a:lnTo>
                <a:close/>
              </a:path>
              <a:path w="7486015" h="2895600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895600">
                <a:moveTo>
                  <a:pt x="6723888" y="2482596"/>
                </a:moveTo>
                <a:lnTo>
                  <a:pt x="5964936" y="2482596"/>
                </a:lnTo>
                <a:lnTo>
                  <a:pt x="5964936" y="2686812"/>
                </a:lnTo>
                <a:lnTo>
                  <a:pt x="6723888" y="2686812"/>
                </a:lnTo>
                <a:lnTo>
                  <a:pt x="6723888" y="2482596"/>
                </a:lnTo>
                <a:close/>
              </a:path>
              <a:path w="7486015" h="2895600">
                <a:moveTo>
                  <a:pt x="6723888" y="2275332"/>
                </a:moveTo>
                <a:lnTo>
                  <a:pt x="5964936" y="2275332"/>
                </a:lnTo>
                <a:lnTo>
                  <a:pt x="5964936" y="2479548"/>
                </a:lnTo>
                <a:lnTo>
                  <a:pt x="6723888" y="2479548"/>
                </a:lnTo>
                <a:lnTo>
                  <a:pt x="6723888" y="2275332"/>
                </a:lnTo>
                <a:close/>
              </a:path>
              <a:path w="7486015" h="2895600">
                <a:moveTo>
                  <a:pt x="6723888" y="2069592"/>
                </a:moveTo>
                <a:lnTo>
                  <a:pt x="5964936" y="2069592"/>
                </a:lnTo>
                <a:lnTo>
                  <a:pt x="5964936" y="2272284"/>
                </a:lnTo>
                <a:lnTo>
                  <a:pt x="6723888" y="2272284"/>
                </a:lnTo>
                <a:lnTo>
                  <a:pt x="6723888" y="2069592"/>
                </a:lnTo>
                <a:close/>
              </a:path>
              <a:path w="7486015" h="2895600">
                <a:moveTo>
                  <a:pt x="6723888" y="1862328"/>
                </a:moveTo>
                <a:lnTo>
                  <a:pt x="5964936" y="1862328"/>
                </a:lnTo>
                <a:lnTo>
                  <a:pt x="5964936" y="2066544"/>
                </a:lnTo>
                <a:lnTo>
                  <a:pt x="6723888" y="2066544"/>
                </a:lnTo>
                <a:lnTo>
                  <a:pt x="6723888" y="1862328"/>
                </a:lnTo>
                <a:close/>
              </a:path>
              <a:path w="7486015" h="2895600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895600">
                <a:moveTo>
                  <a:pt x="6723888" y="1447800"/>
                </a:moveTo>
                <a:lnTo>
                  <a:pt x="5964936" y="1447800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7800"/>
                </a:lnTo>
                <a:close/>
              </a:path>
              <a:path w="7486015" h="2895600">
                <a:moveTo>
                  <a:pt x="6723888" y="1242060"/>
                </a:moveTo>
                <a:lnTo>
                  <a:pt x="5964936" y="1242060"/>
                </a:lnTo>
                <a:lnTo>
                  <a:pt x="5964936" y="1444752"/>
                </a:lnTo>
                <a:lnTo>
                  <a:pt x="6723888" y="1444752"/>
                </a:lnTo>
                <a:lnTo>
                  <a:pt x="6723888" y="1242060"/>
                </a:lnTo>
                <a:close/>
              </a:path>
              <a:path w="7486015" h="2895600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895600">
                <a:moveTo>
                  <a:pt x="7485888" y="2482596"/>
                </a:moveTo>
                <a:lnTo>
                  <a:pt x="6726936" y="2482596"/>
                </a:lnTo>
                <a:lnTo>
                  <a:pt x="6726936" y="2686812"/>
                </a:lnTo>
                <a:lnTo>
                  <a:pt x="7485888" y="2686812"/>
                </a:lnTo>
                <a:lnTo>
                  <a:pt x="7485888" y="2482596"/>
                </a:lnTo>
                <a:close/>
              </a:path>
              <a:path w="7486015" h="2895600">
                <a:moveTo>
                  <a:pt x="7485888" y="2275332"/>
                </a:moveTo>
                <a:lnTo>
                  <a:pt x="6726936" y="2275332"/>
                </a:lnTo>
                <a:lnTo>
                  <a:pt x="6726936" y="2479548"/>
                </a:lnTo>
                <a:lnTo>
                  <a:pt x="7485888" y="2479548"/>
                </a:lnTo>
                <a:lnTo>
                  <a:pt x="7485888" y="2275332"/>
                </a:lnTo>
                <a:close/>
              </a:path>
              <a:path w="7486015" h="2895600">
                <a:moveTo>
                  <a:pt x="7485888" y="2069592"/>
                </a:moveTo>
                <a:lnTo>
                  <a:pt x="6726936" y="2069592"/>
                </a:lnTo>
                <a:lnTo>
                  <a:pt x="6726936" y="2272284"/>
                </a:lnTo>
                <a:lnTo>
                  <a:pt x="7485888" y="2272284"/>
                </a:lnTo>
                <a:lnTo>
                  <a:pt x="7485888" y="2069592"/>
                </a:lnTo>
                <a:close/>
              </a:path>
              <a:path w="7486015" h="2895600">
                <a:moveTo>
                  <a:pt x="7485888" y="1862328"/>
                </a:moveTo>
                <a:lnTo>
                  <a:pt x="6726936" y="1862328"/>
                </a:lnTo>
                <a:lnTo>
                  <a:pt x="6726936" y="2066544"/>
                </a:lnTo>
                <a:lnTo>
                  <a:pt x="7485888" y="2066544"/>
                </a:lnTo>
                <a:lnTo>
                  <a:pt x="7485888" y="1862328"/>
                </a:lnTo>
                <a:close/>
              </a:path>
              <a:path w="7486015" h="2895600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895600">
                <a:moveTo>
                  <a:pt x="7485888" y="1447800"/>
                </a:moveTo>
                <a:lnTo>
                  <a:pt x="6726936" y="1447800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7800"/>
                </a:lnTo>
                <a:close/>
              </a:path>
              <a:path w="7486015" h="2895600">
                <a:moveTo>
                  <a:pt x="7485888" y="1242060"/>
                </a:moveTo>
                <a:lnTo>
                  <a:pt x="6726936" y="1242060"/>
                </a:lnTo>
                <a:lnTo>
                  <a:pt x="6726936" y="1444752"/>
                </a:lnTo>
                <a:lnTo>
                  <a:pt x="7485888" y="1444752"/>
                </a:lnTo>
                <a:lnTo>
                  <a:pt x="7485888" y="1242060"/>
                </a:lnTo>
                <a:close/>
              </a:path>
              <a:path w="7486015" h="2895600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08" name="Shape 108">
            <a:extLst>
              <a:ext uri="{FF2B5EF4-FFF2-40B4-BE49-F238E27FC236}">
                <a16:creationId xmlns:a16="http://schemas.microsoft.com/office/drawing/2014/main" id="{00000000-0008-0000-0900-00006C000000}"/>
              </a:ext>
            </a:extLst>
          </xdr:cNvPr>
          <xdr:cNvSpPr/>
        </xdr:nvSpPr>
        <xdr:spPr>
          <a:xfrm>
            <a:off x="4440936" y="3634739"/>
            <a:ext cx="3045460" cy="205740"/>
          </a:xfrm>
          <a:custGeom>
            <a:avLst/>
            <a:gdLst/>
            <a:ahLst/>
            <a:cxnLst/>
            <a:rect l="0" t="0" r="0" b="0"/>
            <a:pathLst>
              <a:path w="3045460" h="205740">
                <a:moveTo>
                  <a:pt x="758952" y="0"/>
                </a:moveTo>
                <a:lnTo>
                  <a:pt x="0" y="0"/>
                </a:lnTo>
                <a:lnTo>
                  <a:pt x="0" y="205740"/>
                </a:lnTo>
                <a:lnTo>
                  <a:pt x="758952" y="205740"/>
                </a:lnTo>
                <a:lnTo>
                  <a:pt x="758952" y="0"/>
                </a:lnTo>
                <a:close/>
              </a:path>
              <a:path w="3045460" h="205740">
                <a:moveTo>
                  <a:pt x="1520939" y="0"/>
                </a:moveTo>
                <a:lnTo>
                  <a:pt x="762000" y="0"/>
                </a:lnTo>
                <a:lnTo>
                  <a:pt x="762000" y="205740"/>
                </a:lnTo>
                <a:lnTo>
                  <a:pt x="1520939" y="205740"/>
                </a:lnTo>
                <a:lnTo>
                  <a:pt x="1520939" y="0"/>
                </a:lnTo>
                <a:close/>
              </a:path>
              <a:path w="3045460" h="205740">
                <a:moveTo>
                  <a:pt x="2282952" y="0"/>
                </a:moveTo>
                <a:lnTo>
                  <a:pt x="1524000" y="0"/>
                </a:lnTo>
                <a:lnTo>
                  <a:pt x="1524000" y="205740"/>
                </a:lnTo>
                <a:lnTo>
                  <a:pt x="2282952" y="205740"/>
                </a:lnTo>
                <a:lnTo>
                  <a:pt x="2282952" y="0"/>
                </a:lnTo>
                <a:close/>
              </a:path>
              <a:path w="3045460" h="205740">
                <a:moveTo>
                  <a:pt x="3044952" y="0"/>
                </a:moveTo>
                <a:lnTo>
                  <a:pt x="2286000" y="0"/>
                </a:lnTo>
                <a:lnTo>
                  <a:pt x="2286000" y="205740"/>
                </a:lnTo>
                <a:lnTo>
                  <a:pt x="3044952" y="205740"/>
                </a:lnTo>
                <a:lnTo>
                  <a:pt x="3044952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24</xdr:row>
      <xdr:rowOff>0</xdr:rowOff>
    </xdr:from>
    <xdr:ext cx="645160" cy="3840479"/>
    <xdr:sp macro="" textlink="">
      <xdr:nvSpPr>
        <xdr:cNvPr id="109" name="Shape 109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/>
      </xdr:nvSpPr>
      <xdr:spPr>
        <a:xfrm>
          <a:off x="0" y="0"/>
          <a:ext cx="645160" cy="3840479"/>
        </a:xfrm>
        <a:custGeom>
          <a:avLst/>
          <a:gdLst/>
          <a:ahLst/>
          <a:cxnLst/>
          <a:rect l="0" t="0" r="0" b="0"/>
          <a:pathLst>
            <a:path w="645160" h="3840479">
              <a:moveTo>
                <a:pt x="644652" y="3634740"/>
              </a:moveTo>
              <a:lnTo>
                <a:pt x="0" y="3634740"/>
              </a:lnTo>
              <a:lnTo>
                <a:pt x="0" y="3840480"/>
              </a:lnTo>
              <a:lnTo>
                <a:pt x="644652" y="3840480"/>
              </a:lnTo>
              <a:lnTo>
                <a:pt x="644652" y="3634740"/>
              </a:lnTo>
              <a:close/>
            </a:path>
            <a:path w="645160" h="3840479">
              <a:moveTo>
                <a:pt x="644652" y="3427476"/>
              </a:moveTo>
              <a:lnTo>
                <a:pt x="0" y="3427476"/>
              </a:lnTo>
              <a:lnTo>
                <a:pt x="0" y="3631692"/>
              </a:lnTo>
              <a:lnTo>
                <a:pt x="644652" y="3631692"/>
              </a:lnTo>
              <a:lnTo>
                <a:pt x="644652" y="3427476"/>
              </a:lnTo>
              <a:close/>
            </a:path>
            <a:path w="645160" h="3840479">
              <a:moveTo>
                <a:pt x="644652" y="3220212"/>
              </a:moveTo>
              <a:lnTo>
                <a:pt x="0" y="3220212"/>
              </a:lnTo>
              <a:lnTo>
                <a:pt x="0" y="3424428"/>
              </a:lnTo>
              <a:lnTo>
                <a:pt x="644652" y="3424428"/>
              </a:lnTo>
              <a:lnTo>
                <a:pt x="644652" y="3220212"/>
              </a:lnTo>
              <a:close/>
            </a:path>
            <a:path w="645160" h="3840479">
              <a:moveTo>
                <a:pt x="644652" y="3014472"/>
              </a:moveTo>
              <a:lnTo>
                <a:pt x="0" y="3014472"/>
              </a:lnTo>
              <a:lnTo>
                <a:pt x="0" y="3217164"/>
              </a:lnTo>
              <a:lnTo>
                <a:pt x="644652" y="3217164"/>
              </a:lnTo>
              <a:lnTo>
                <a:pt x="644652" y="3014472"/>
              </a:lnTo>
              <a:close/>
            </a:path>
            <a:path w="645160" h="3840479">
              <a:moveTo>
                <a:pt x="644652" y="2807208"/>
              </a:moveTo>
              <a:lnTo>
                <a:pt x="0" y="2807208"/>
              </a:lnTo>
              <a:lnTo>
                <a:pt x="0" y="3011424"/>
              </a:lnTo>
              <a:lnTo>
                <a:pt x="644652" y="3011424"/>
              </a:lnTo>
              <a:lnTo>
                <a:pt x="644652" y="2807208"/>
              </a:lnTo>
              <a:close/>
            </a:path>
            <a:path w="645160" h="3840479">
              <a:moveTo>
                <a:pt x="644652" y="2599944"/>
              </a:moveTo>
              <a:lnTo>
                <a:pt x="0" y="2599944"/>
              </a:lnTo>
              <a:lnTo>
                <a:pt x="0" y="2804160"/>
              </a:lnTo>
              <a:lnTo>
                <a:pt x="644652" y="2804160"/>
              </a:lnTo>
              <a:lnTo>
                <a:pt x="644652" y="2599944"/>
              </a:lnTo>
              <a:close/>
            </a:path>
            <a:path w="645160" h="3840479">
              <a:moveTo>
                <a:pt x="644652" y="2392680"/>
              </a:moveTo>
              <a:lnTo>
                <a:pt x="0" y="2392680"/>
              </a:lnTo>
              <a:lnTo>
                <a:pt x="0" y="2596896"/>
              </a:lnTo>
              <a:lnTo>
                <a:pt x="644652" y="2596896"/>
              </a:lnTo>
              <a:lnTo>
                <a:pt x="644652" y="2392680"/>
              </a:lnTo>
              <a:close/>
            </a:path>
            <a:path w="645160" h="3840479">
              <a:moveTo>
                <a:pt x="644652" y="2186940"/>
              </a:moveTo>
              <a:lnTo>
                <a:pt x="0" y="2186940"/>
              </a:lnTo>
              <a:lnTo>
                <a:pt x="0" y="2389632"/>
              </a:lnTo>
              <a:lnTo>
                <a:pt x="644652" y="2389632"/>
              </a:lnTo>
              <a:lnTo>
                <a:pt x="644652" y="2186940"/>
              </a:lnTo>
              <a:close/>
            </a:path>
            <a:path w="645160" h="3840479">
              <a:moveTo>
                <a:pt x="644652" y="1979676"/>
              </a:moveTo>
              <a:lnTo>
                <a:pt x="0" y="1979676"/>
              </a:lnTo>
              <a:lnTo>
                <a:pt x="0" y="2183892"/>
              </a:lnTo>
              <a:lnTo>
                <a:pt x="644652" y="2183892"/>
              </a:lnTo>
              <a:lnTo>
                <a:pt x="644652" y="1979676"/>
              </a:lnTo>
              <a:close/>
            </a:path>
            <a:path w="645160" h="3840479">
              <a:moveTo>
                <a:pt x="644652" y="1772412"/>
              </a:moveTo>
              <a:lnTo>
                <a:pt x="0" y="1772412"/>
              </a:lnTo>
              <a:lnTo>
                <a:pt x="0" y="1976628"/>
              </a:lnTo>
              <a:lnTo>
                <a:pt x="644652" y="1976628"/>
              </a:lnTo>
              <a:lnTo>
                <a:pt x="644652" y="1772412"/>
              </a:lnTo>
              <a:close/>
            </a:path>
            <a:path w="645160" h="3840479">
              <a:moveTo>
                <a:pt x="644652" y="1565148"/>
              </a:moveTo>
              <a:lnTo>
                <a:pt x="0" y="1565148"/>
              </a:lnTo>
              <a:lnTo>
                <a:pt x="0" y="1769364"/>
              </a:lnTo>
              <a:lnTo>
                <a:pt x="644652" y="1769364"/>
              </a:lnTo>
              <a:lnTo>
                <a:pt x="644652" y="1565148"/>
              </a:lnTo>
              <a:close/>
            </a:path>
            <a:path w="645160" h="3840479">
              <a:moveTo>
                <a:pt x="644652" y="1357884"/>
              </a:moveTo>
              <a:lnTo>
                <a:pt x="0" y="1357884"/>
              </a:lnTo>
              <a:lnTo>
                <a:pt x="0" y="1562100"/>
              </a:lnTo>
              <a:lnTo>
                <a:pt x="644652" y="1562100"/>
              </a:lnTo>
              <a:lnTo>
                <a:pt x="644652" y="1357884"/>
              </a:lnTo>
              <a:close/>
            </a:path>
            <a:path w="645160" h="3840479">
              <a:moveTo>
                <a:pt x="644652" y="1150620"/>
              </a:moveTo>
              <a:lnTo>
                <a:pt x="0" y="1150620"/>
              </a:lnTo>
              <a:lnTo>
                <a:pt x="0" y="1354836"/>
              </a:lnTo>
              <a:lnTo>
                <a:pt x="644652" y="1354836"/>
              </a:lnTo>
              <a:lnTo>
                <a:pt x="644652" y="1150620"/>
              </a:lnTo>
              <a:close/>
            </a:path>
            <a:path w="645160" h="3840479">
              <a:moveTo>
                <a:pt x="644652" y="944880"/>
              </a:moveTo>
              <a:lnTo>
                <a:pt x="0" y="944880"/>
              </a:lnTo>
              <a:lnTo>
                <a:pt x="0" y="1147572"/>
              </a:lnTo>
              <a:lnTo>
                <a:pt x="644652" y="1147572"/>
              </a:lnTo>
              <a:lnTo>
                <a:pt x="644652" y="944880"/>
              </a:lnTo>
              <a:close/>
            </a:path>
            <a:path w="645160" h="3840479">
              <a:moveTo>
                <a:pt x="644652" y="621792"/>
              </a:moveTo>
              <a:lnTo>
                <a:pt x="0" y="621792"/>
              </a:lnTo>
              <a:lnTo>
                <a:pt x="0" y="941832"/>
              </a:lnTo>
              <a:lnTo>
                <a:pt x="644652" y="941832"/>
              </a:lnTo>
              <a:lnTo>
                <a:pt x="644652" y="621792"/>
              </a:lnTo>
              <a:close/>
            </a:path>
            <a:path w="645160" h="3840479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3840479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3840479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20</xdr:row>
      <xdr:rowOff>204977</xdr:rowOff>
    </xdr:from>
    <xdr:ext cx="3808729" cy="480059"/>
    <xdr:sp macro="" textlink="">
      <xdr:nvSpPr>
        <xdr:cNvPr id="110" name="Shape 110">
          <a:extLst>
            <a:ext uri="{FF2B5EF4-FFF2-40B4-BE49-F238E27FC236}">
              <a16:creationId xmlns:a16="http://schemas.microsoft.com/office/drawing/2014/main" id="{00000000-0008-0000-0A00-00006E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761</xdr:rowOff>
    </xdr:from>
    <xdr:ext cx="381000" cy="381000"/>
    <xdr:pic>
      <xdr:nvPicPr>
        <xdr:cNvPr id="111" name="image1.jpeg">
          <a:extLst>
            <a:ext uri="{FF2B5EF4-FFF2-40B4-BE49-F238E27FC236}">
              <a16:creationId xmlns:a16="http://schemas.microsoft.com/office/drawing/2014/main" id="{00000000-0008-0000-0A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49142</xdr:rowOff>
    </xdr:from>
    <xdr:ext cx="381000" cy="290285"/>
    <xdr:pic>
      <xdr:nvPicPr>
        <xdr:cNvPr id="112" name="image2.jpeg">
          <a:extLst>
            <a:ext uri="{FF2B5EF4-FFF2-40B4-BE49-F238E27FC236}">
              <a16:creationId xmlns:a16="http://schemas.microsoft.com/office/drawing/2014/main" id="{00000000-0008-0000-0A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49142</xdr:rowOff>
    </xdr:from>
    <xdr:ext cx="381000" cy="290285"/>
    <xdr:pic>
      <xdr:nvPicPr>
        <xdr:cNvPr id="113" name="image3.jpeg">
          <a:extLst>
            <a:ext uri="{FF2B5EF4-FFF2-40B4-BE49-F238E27FC236}">
              <a16:creationId xmlns:a16="http://schemas.microsoft.com/office/drawing/2014/main" id="{00000000-0008-0000-0A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201929</xdr:colOff>
      <xdr:row>3</xdr:row>
      <xdr:rowOff>761</xdr:rowOff>
    </xdr:from>
    <xdr:ext cx="338666" cy="381000"/>
    <xdr:pic>
      <xdr:nvPicPr>
        <xdr:cNvPr id="114" name="image4.jpeg">
          <a:extLst>
            <a:ext uri="{FF2B5EF4-FFF2-40B4-BE49-F238E27FC236}">
              <a16:creationId xmlns:a16="http://schemas.microsoft.com/office/drawing/2014/main" id="{00000000-0008-0000-0A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9</xdr:col>
      <xdr:colOff>298691</xdr:colOff>
      <xdr:row>3</xdr:row>
      <xdr:rowOff>49142</xdr:rowOff>
    </xdr:from>
    <xdr:ext cx="193523" cy="290285"/>
    <xdr:pic>
      <xdr:nvPicPr>
        <xdr:cNvPr id="115" name="image5.jpeg">
          <a:extLst>
            <a:ext uri="{FF2B5EF4-FFF2-40B4-BE49-F238E27FC236}">
              <a16:creationId xmlns:a16="http://schemas.microsoft.com/office/drawing/2014/main" id="{00000000-0008-0000-0A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22</xdr:row>
      <xdr:rowOff>0</xdr:rowOff>
    </xdr:from>
    <xdr:ext cx="7486015" cy="3514725"/>
    <xdr:grpSp>
      <xdr:nvGrpSpPr>
        <xdr:cNvPr id="116" name="Group 116">
          <a:extLst>
            <a:ext uri="{FF2B5EF4-FFF2-40B4-BE49-F238E27FC236}">
              <a16:creationId xmlns:a16="http://schemas.microsoft.com/office/drawing/2014/main" id="{00000000-0008-0000-0A00-000074000000}"/>
            </a:ext>
          </a:extLst>
        </xdr:cNvPr>
        <xdr:cNvGrpSpPr/>
      </xdr:nvGrpSpPr>
      <xdr:grpSpPr>
        <a:xfrm>
          <a:off x="607059" y="5615940"/>
          <a:ext cx="7486015" cy="3514725"/>
          <a:chOff x="0" y="0"/>
          <a:chExt cx="7486015" cy="3514725"/>
        </a:xfrm>
      </xdr:grpSpPr>
      <xdr:sp macro="" textlink="">
        <xdr:nvSpPr>
          <xdr:cNvPr id="117" name="Shape 117">
            <a:extLst>
              <a:ext uri="{FF2B5EF4-FFF2-40B4-BE49-F238E27FC236}">
                <a16:creationId xmlns:a16="http://schemas.microsoft.com/office/drawing/2014/main" id="{00000000-0008-0000-0A00-000075000000}"/>
              </a:ext>
            </a:extLst>
          </xdr:cNvPr>
          <xdr:cNvSpPr/>
        </xdr:nvSpPr>
        <xdr:spPr>
          <a:xfrm>
            <a:off x="0" y="0"/>
            <a:ext cx="7486015" cy="2066925"/>
          </a:xfrm>
          <a:custGeom>
            <a:avLst/>
            <a:gdLst/>
            <a:ahLst/>
            <a:cxnLst/>
            <a:rect l="0" t="0" r="0" b="0"/>
            <a:pathLst>
              <a:path w="7486015" h="2066925">
                <a:moveTo>
                  <a:pt x="312420" y="1242060"/>
                </a:moveTo>
                <a:lnTo>
                  <a:pt x="0" y="1242060"/>
                </a:lnTo>
                <a:lnTo>
                  <a:pt x="0" y="1859280"/>
                </a:lnTo>
                <a:lnTo>
                  <a:pt x="312420" y="1859280"/>
                </a:lnTo>
                <a:lnTo>
                  <a:pt x="312420" y="1242060"/>
                </a:lnTo>
                <a:close/>
              </a:path>
              <a:path w="7486015" h="2066925">
                <a:moveTo>
                  <a:pt x="312420" y="0"/>
                </a:moveTo>
                <a:lnTo>
                  <a:pt x="0" y="0"/>
                </a:lnTo>
                <a:lnTo>
                  <a:pt x="0" y="1239012"/>
                </a:lnTo>
                <a:lnTo>
                  <a:pt x="312420" y="1239012"/>
                </a:lnTo>
                <a:lnTo>
                  <a:pt x="312420" y="0"/>
                </a:lnTo>
                <a:close/>
              </a:path>
              <a:path w="7486015" h="2066925">
                <a:moveTo>
                  <a:pt x="1264920" y="1242060"/>
                </a:moveTo>
                <a:lnTo>
                  <a:pt x="315468" y="1242060"/>
                </a:lnTo>
                <a:lnTo>
                  <a:pt x="315468" y="1859280"/>
                </a:lnTo>
                <a:lnTo>
                  <a:pt x="1264920" y="1859280"/>
                </a:lnTo>
                <a:lnTo>
                  <a:pt x="1264920" y="1242060"/>
                </a:lnTo>
                <a:close/>
              </a:path>
              <a:path w="7486015" h="2066925">
                <a:moveTo>
                  <a:pt x="1264920" y="0"/>
                </a:moveTo>
                <a:lnTo>
                  <a:pt x="315468" y="0"/>
                </a:lnTo>
                <a:lnTo>
                  <a:pt x="315468" y="1239012"/>
                </a:lnTo>
                <a:lnTo>
                  <a:pt x="1264920" y="1239012"/>
                </a:lnTo>
                <a:lnTo>
                  <a:pt x="1264920" y="0"/>
                </a:lnTo>
                <a:close/>
              </a:path>
              <a:path w="7486015" h="2066925">
                <a:moveTo>
                  <a:pt x="2531364" y="1242060"/>
                </a:moveTo>
                <a:lnTo>
                  <a:pt x="1267968" y="1242060"/>
                </a:lnTo>
                <a:lnTo>
                  <a:pt x="1267968" y="1859280"/>
                </a:lnTo>
                <a:lnTo>
                  <a:pt x="2531364" y="1859280"/>
                </a:lnTo>
                <a:lnTo>
                  <a:pt x="2531364" y="1242060"/>
                </a:lnTo>
                <a:close/>
              </a:path>
              <a:path w="7486015" h="2066925">
                <a:moveTo>
                  <a:pt x="2531364" y="0"/>
                </a:moveTo>
                <a:lnTo>
                  <a:pt x="1267968" y="0"/>
                </a:lnTo>
                <a:lnTo>
                  <a:pt x="1267968" y="1239012"/>
                </a:lnTo>
                <a:lnTo>
                  <a:pt x="2531364" y="1239012"/>
                </a:lnTo>
                <a:lnTo>
                  <a:pt x="2531364" y="0"/>
                </a:lnTo>
                <a:close/>
              </a:path>
              <a:path w="7486015" h="2066925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066925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066925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206692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06692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06692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066925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06692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06692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066925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2066925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066925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066925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206692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06692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06692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066925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06692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06692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06692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2066925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066925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206692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06692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06692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066925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06692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06692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06692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2066925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066925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206692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06692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06692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066925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06692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06692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06692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2066925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066925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206692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06692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06692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066925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06692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06692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06692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066925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066925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206692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06692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06692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066925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06692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06692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06692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066925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066925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206692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06692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06692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06692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06692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06692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06692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18" name="Shape 118">
            <a:extLst>
              <a:ext uri="{FF2B5EF4-FFF2-40B4-BE49-F238E27FC236}">
                <a16:creationId xmlns:a16="http://schemas.microsoft.com/office/drawing/2014/main" id="{00000000-0008-0000-0A00-000076000000}"/>
              </a:ext>
            </a:extLst>
          </xdr:cNvPr>
          <xdr:cNvSpPr/>
        </xdr:nvSpPr>
        <xdr:spPr>
          <a:xfrm>
            <a:off x="0" y="1862327"/>
            <a:ext cx="7486015" cy="1652270"/>
          </a:xfrm>
          <a:custGeom>
            <a:avLst/>
            <a:gdLst/>
            <a:ahLst/>
            <a:cxnLst/>
            <a:rect l="0" t="0" r="0" b="0"/>
            <a:pathLst>
              <a:path w="7486015" h="1652270">
                <a:moveTo>
                  <a:pt x="312420" y="620268"/>
                </a:moveTo>
                <a:lnTo>
                  <a:pt x="0" y="620268"/>
                </a:lnTo>
                <a:lnTo>
                  <a:pt x="0" y="1652016"/>
                </a:lnTo>
                <a:lnTo>
                  <a:pt x="312420" y="1652016"/>
                </a:lnTo>
                <a:lnTo>
                  <a:pt x="312420" y="620268"/>
                </a:lnTo>
                <a:close/>
              </a:path>
              <a:path w="7486015" h="1652270">
                <a:moveTo>
                  <a:pt x="312420" y="0"/>
                </a:moveTo>
                <a:lnTo>
                  <a:pt x="0" y="0"/>
                </a:lnTo>
                <a:lnTo>
                  <a:pt x="0" y="617220"/>
                </a:lnTo>
                <a:lnTo>
                  <a:pt x="312420" y="617220"/>
                </a:lnTo>
                <a:lnTo>
                  <a:pt x="312420" y="0"/>
                </a:lnTo>
                <a:close/>
              </a:path>
              <a:path w="7486015" h="1652270">
                <a:moveTo>
                  <a:pt x="1264920" y="620268"/>
                </a:moveTo>
                <a:lnTo>
                  <a:pt x="315468" y="620268"/>
                </a:lnTo>
                <a:lnTo>
                  <a:pt x="315468" y="1652016"/>
                </a:lnTo>
                <a:lnTo>
                  <a:pt x="1264920" y="1652016"/>
                </a:lnTo>
                <a:lnTo>
                  <a:pt x="1264920" y="620268"/>
                </a:lnTo>
                <a:close/>
              </a:path>
              <a:path w="7486015" h="1652270">
                <a:moveTo>
                  <a:pt x="1264920" y="0"/>
                </a:moveTo>
                <a:lnTo>
                  <a:pt x="315468" y="0"/>
                </a:lnTo>
                <a:lnTo>
                  <a:pt x="315468" y="617220"/>
                </a:lnTo>
                <a:lnTo>
                  <a:pt x="1264920" y="617220"/>
                </a:lnTo>
                <a:lnTo>
                  <a:pt x="1264920" y="0"/>
                </a:lnTo>
                <a:close/>
              </a:path>
              <a:path w="7486015" h="1652270">
                <a:moveTo>
                  <a:pt x="2531364" y="620268"/>
                </a:moveTo>
                <a:lnTo>
                  <a:pt x="1267968" y="620268"/>
                </a:lnTo>
                <a:lnTo>
                  <a:pt x="1267968" y="1652016"/>
                </a:lnTo>
                <a:lnTo>
                  <a:pt x="2531364" y="1652016"/>
                </a:lnTo>
                <a:lnTo>
                  <a:pt x="2531364" y="620268"/>
                </a:lnTo>
                <a:close/>
              </a:path>
              <a:path w="7486015" h="1652270">
                <a:moveTo>
                  <a:pt x="2531364" y="0"/>
                </a:moveTo>
                <a:lnTo>
                  <a:pt x="1267968" y="0"/>
                </a:lnTo>
                <a:lnTo>
                  <a:pt x="1267968" y="617220"/>
                </a:lnTo>
                <a:lnTo>
                  <a:pt x="2531364" y="617220"/>
                </a:lnTo>
                <a:lnTo>
                  <a:pt x="2531364" y="0"/>
                </a:lnTo>
                <a:close/>
              </a:path>
              <a:path w="7486015" h="1652270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1652270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1652270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1652270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1652270">
                <a:moveTo>
                  <a:pt x="3037332" y="620268"/>
                </a:moveTo>
                <a:lnTo>
                  <a:pt x="2534412" y="620268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0268"/>
                </a:lnTo>
                <a:close/>
              </a:path>
              <a:path w="7486015" h="1652270">
                <a:moveTo>
                  <a:pt x="3037332" y="414528"/>
                </a:moveTo>
                <a:lnTo>
                  <a:pt x="2534412" y="414528"/>
                </a:lnTo>
                <a:lnTo>
                  <a:pt x="2534412" y="617220"/>
                </a:lnTo>
                <a:lnTo>
                  <a:pt x="3037332" y="617220"/>
                </a:lnTo>
                <a:lnTo>
                  <a:pt x="3037332" y="414528"/>
                </a:lnTo>
                <a:close/>
              </a:path>
              <a:path w="7486015" h="1652270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1652270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1652270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1652270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1652270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1652270">
                <a:moveTo>
                  <a:pt x="3674364" y="620268"/>
                </a:moveTo>
                <a:lnTo>
                  <a:pt x="3040380" y="620268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0268"/>
                </a:lnTo>
                <a:close/>
              </a:path>
              <a:path w="7486015" h="1652270">
                <a:moveTo>
                  <a:pt x="3674364" y="414528"/>
                </a:moveTo>
                <a:lnTo>
                  <a:pt x="3040380" y="414528"/>
                </a:lnTo>
                <a:lnTo>
                  <a:pt x="3040380" y="617220"/>
                </a:lnTo>
                <a:lnTo>
                  <a:pt x="3674364" y="617220"/>
                </a:lnTo>
                <a:lnTo>
                  <a:pt x="3674364" y="414528"/>
                </a:lnTo>
                <a:close/>
              </a:path>
              <a:path w="7486015" h="1652270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1652270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1652270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1652270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1652270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1652270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1652270">
                <a:moveTo>
                  <a:pt x="4437888" y="620268"/>
                </a:moveTo>
                <a:lnTo>
                  <a:pt x="3677412" y="620268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0268"/>
                </a:lnTo>
                <a:close/>
              </a:path>
              <a:path w="7486015" h="1652270">
                <a:moveTo>
                  <a:pt x="4437888" y="414528"/>
                </a:moveTo>
                <a:lnTo>
                  <a:pt x="3677412" y="414528"/>
                </a:lnTo>
                <a:lnTo>
                  <a:pt x="3677412" y="617220"/>
                </a:lnTo>
                <a:lnTo>
                  <a:pt x="4437888" y="617220"/>
                </a:lnTo>
                <a:lnTo>
                  <a:pt x="4437888" y="414528"/>
                </a:lnTo>
                <a:close/>
              </a:path>
              <a:path w="7486015" h="1652270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1652270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1652270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1652270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1652270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1652270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1652270">
                <a:moveTo>
                  <a:pt x="5199888" y="620268"/>
                </a:moveTo>
                <a:lnTo>
                  <a:pt x="4440936" y="620268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0268"/>
                </a:lnTo>
                <a:close/>
              </a:path>
              <a:path w="7486015" h="1652270">
                <a:moveTo>
                  <a:pt x="5199888" y="414528"/>
                </a:moveTo>
                <a:lnTo>
                  <a:pt x="4440936" y="414528"/>
                </a:lnTo>
                <a:lnTo>
                  <a:pt x="4440936" y="617220"/>
                </a:lnTo>
                <a:lnTo>
                  <a:pt x="5199888" y="617220"/>
                </a:lnTo>
                <a:lnTo>
                  <a:pt x="5199888" y="414528"/>
                </a:lnTo>
                <a:close/>
              </a:path>
              <a:path w="7486015" h="1652270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1652270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1652270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1652270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1652270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1652270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1652270">
                <a:moveTo>
                  <a:pt x="5961875" y="620268"/>
                </a:moveTo>
                <a:lnTo>
                  <a:pt x="5202936" y="620268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0268"/>
                </a:lnTo>
                <a:close/>
              </a:path>
              <a:path w="7486015" h="1652270">
                <a:moveTo>
                  <a:pt x="5961875" y="414528"/>
                </a:moveTo>
                <a:lnTo>
                  <a:pt x="5202936" y="414528"/>
                </a:lnTo>
                <a:lnTo>
                  <a:pt x="5202936" y="617220"/>
                </a:lnTo>
                <a:lnTo>
                  <a:pt x="5961875" y="617220"/>
                </a:lnTo>
                <a:lnTo>
                  <a:pt x="5961875" y="414528"/>
                </a:lnTo>
                <a:close/>
              </a:path>
              <a:path w="7486015" h="1652270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1652270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1652270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1652270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1652270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1652270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1652270">
                <a:moveTo>
                  <a:pt x="6723888" y="620268"/>
                </a:moveTo>
                <a:lnTo>
                  <a:pt x="5964936" y="620268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0268"/>
                </a:lnTo>
                <a:close/>
              </a:path>
              <a:path w="7486015" h="1652270">
                <a:moveTo>
                  <a:pt x="6723888" y="414528"/>
                </a:moveTo>
                <a:lnTo>
                  <a:pt x="5964936" y="414528"/>
                </a:lnTo>
                <a:lnTo>
                  <a:pt x="5964936" y="617220"/>
                </a:lnTo>
                <a:lnTo>
                  <a:pt x="6723888" y="617220"/>
                </a:lnTo>
                <a:lnTo>
                  <a:pt x="6723888" y="414528"/>
                </a:lnTo>
                <a:close/>
              </a:path>
              <a:path w="7486015" h="1652270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1652270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1652270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1652270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1652270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1652270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1652270">
                <a:moveTo>
                  <a:pt x="7485888" y="620268"/>
                </a:moveTo>
                <a:lnTo>
                  <a:pt x="6726936" y="620268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0268"/>
                </a:lnTo>
                <a:close/>
              </a:path>
              <a:path w="7486015" h="1652270">
                <a:moveTo>
                  <a:pt x="7485888" y="414528"/>
                </a:moveTo>
                <a:lnTo>
                  <a:pt x="6726936" y="414528"/>
                </a:lnTo>
                <a:lnTo>
                  <a:pt x="6726936" y="617220"/>
                </a:lnTo>
                <a:lnTo>
                  <a:pt x="7485888" y="617220"/>
                </a:lnTo>
                <a:lnTo>
                  <a:pt x="7485888" y="414528"/>
                </a:lnTo>
                <a:close/>
              </a:path>
              <a:path w="7486015" h="1652270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1652270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23</xdr:row>
      <xdr:rowOff>0</xdr:rowOff>
    </xdr:from>
    <xdr:ext cx="645160" cy="3514725"/>
    <xdr:sp macro="" textlink="">
      <xdr:nvSpPr>
        <xdr:cNvPr id="119" name="Shape 119">
          <a:extLst>
            <a:ext uri="{FF2B5EF4-FFF2-40B4-BE49-F238E27FC236}">
              <a16:creationId xmlns:a16="http://schemas.microsoft.com/office/drawing/2014/main" id="{00000000-0008-0000-0A00-000077000000}"/>
            </a:ext>
          </a:extLst>
        </xdr:cNvPr>
        <xdr:cNvSpPr/>
      </xdr:nvSpPr>
      <xdr:spPr>
        <a:xfrm>
          <a:off x="0" y="0"/>
          <a:ext cx="645160" cy="3514725"/>
        </a:xfrm>
        <a:custGeom>
          <a:avLst/>
          <a:gdLst/>
          <a:ahLst/>
          <a:cxnLst/>
          <a:rect l="0" t="0" r="0" b="0"/>
          <a:pathLst>
            <a:path w="645160" h="3514725">
              <a:moveTo>
                <a:pt x="644652" y="3311652"/>
              </a:moveTo>
              <a:lnTo>
                <a:pt x="0" y="3311652"/>
              </a:lnTo>
              <a:lnTo>
                <a:pt x="0" y="3514344"/>
              </a:lnTo>
              <a:lnTo>
                <a:pt x="644652" y="3514344"/>
              </a:lnTo>
              <a:lnTo>
                <a:pt x="644652" y="3311652"/>
              </a:lnTo>
              <a:close/>
            </a:path>
            <a:path w="645160" h="3514725">
              <a:moveTo>
                <a:pt x="644652" y="3104388"/>
              </a:moveTo>
              <a:lnTo>
                <a:pt x="0" y="3104388"/>
              </a:lnTo>
              <a:lnTo>
                <a:pt x="0" y="3308604"/>
              </a:lnTo>
              <a:lnTo>
                <a:pt x="644652" y="3308604"/>
              </a:lnTo>
              <a:lnTo>
                <a:pt x="644652" y="3104388"/>
              </a:lnTo>
              <a:close/>
            </a:path>
            <a:path w="645160" h="3514725">
              <a:moveTo>
                <a:pt x="644652" y="2897124"/>
              </a:moveTo>
              <a:lnTo>
                <a:pt x="0" y="2897124"/>
              </a:lnTo>
              <a:lnTo>
                <a:pt x="0" y="3101340"/>
              </a:lnTo>
              <a:lnTo>
                <a:pt x="644652" y="3101340"/>
              </a:lnTo>
              <a:lnTo>
                <a:pt x="644652" y="2897124"/>
              </a:lnTo>
              <a:close/>
            </a:path>
            <a:path w="645160" h="3514725">
              <a:moveTo>
                <a:pt x="644652" y="2689860"/>
              </a:moveTo>
              <a:lnTo>
                <a:pt x="0" y="2689860"/>
              </a:lnTo>
              <a:lnTo>
                <a:pt x="0" y="2894076"/>
              </a:lnTo>
              <a:lnTo>
                <a:pt x="644652" y="2894076"/>
              </a:lnTo>
              <a:lnTo>
                <a:pt x="644652" y="2689860"/>
              </a:lnTo>
              <a:close/>
            </a:path>
            <a:path w="645160" h="3514725">
              <a:moveTo>
                <a:pt x="644652" y="2482596"/>
              </a:moveTo>
              <a:lnTo>
                <a:pt x="0" y="2482596"/>
              </a:lnTo>
              <a:lnTo>
                <a:pt x="0" y="2686812"/>
              </a:lnTo>
              <a:lnTo>
                <a:pt x="644652" y="2686812"/>
              </a:lnTo>
              <a:lnTo>
                <a:pt x="644652" y="2482596"/>
              </a:lnTo>
              <a:close/>
            </a:path>
            <a:path w="645160" h="3514725">
              <a:moveTo>
                <a:pt x="644652" y="2276856"/>
              </a:moveTo>
              <a:lnTo>
                <a:pt x="0" y="2276856"/>
              </a:lnTo>
              <a:lnTo>
                <a:pt x="0" y="2479548"/>
              </a:lnTo>
              <a:lnTo>
                <a:pt x="644652" y="2479548"/>
              </a:lnTo>
              <a:lnTo>
                <a:pt x="644652" y="2276856"/>
              </a:lnTo>
              <a:close/>
            </a:path>
            <a:path w="645160" h="3514725">
              <a:moveTo>
                <a:pt x="644652" y="2069592"/>
              </a:moveTo>
              <a:lnTo>
                <a:pt x="0" y="2069592"/>
              </a:lnTo>
              <a:lnTo>
                <a:pt x="0" y="2273808"/>
              </a:lnTo>
              <a:lnTo>
                <a:pt x="644652" y="2273808"/>
              </a:lnTo>
              <a:lnTo>
                <a:pt x="644652" y="2069592"/>
              </a:lnTo>
              <a:close/>
            </a:path>
            <a:path w="645160" h="3514725">
              <a:moveTo>
                <a:pt x="644652" y="1862328"/>
              </a:moveTo>
              <a:lnTo>
                <a:pt x="0" y="1862328"/>
              </a:lnTo>
              <a:lnTo>
                <a:pt x="0" y="2066544"/>
              </a:lnTo>
              <a:lnTo>
                <a:pt x="644652" y="2066544"/>
              </a:lnTo>
              <a:lnTo>
                <a:pt x="644652" y="1862328"/>
              </a:lnTo>
              <a:close/>
            </a:path>
            <a:path w="645160" h="3514725">
              <a:moveTo>
                <a:pt x="644652" y="1655064"/>
              </a:moveTo>
              <a:lnTo>
                <a:pt x="0" y="1655064"/>
              </a:lnTo>
              <a:lnTo>
                <a:pt x="0" y="1859280"/>
              </a:lnTo>
              <a:lnTo>
                <a:pt x="644652" y="1859280"/>
              </a:lnTo>
              <a:lnTo>
                <a:pt x="644652" y="1655064"/>
              </a:lnTo>
              <a:close/>
            </a:path>
            <a:path w="645160" h="3514725">
              <a:moveTo>
                <a:pt x="644652" y="1449324"/>
              </a:moveTo>
              <a:lnTo>
                <a:pt x="0" y="1449324"/>
              </a:lnTo>
              <a:lnTo>
                <a:pt x="0" y="1652016"/>
              </a:lnTo>
              <a:lnTo>
                <a:pt x="644652" y="1652016"/>
              </a:lnTo>
              <a:lnTo>
                <a:pt x="644652" y="1449324"/>
              </a:lnTo>
              <a:close/>
            </a:path>
            <a:path w="645160" h="3514725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3514725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3514725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3514725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3514725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3514725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3514725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21</xdr:row>
      <xdr:rowOff>206501</xdr:rowOff>
    </xdr:from>
    <xdr:ext cx="3808729" cy="480059"/>
    <xdr:sp macro="" textlink="">
      <xdr:nvSpPr>
        <xdr:cNvPr id="120" name="Shape 120">
          <a:extLst>
            <a:ext uri="{FF2B5EF4-FFF2-40B4-BE49-F238E27FC236}">
              <a16:creationId xmlns:a16="http://schemas.microsoft.com/office/drawing/2014/main" id="{00000000-0008-0000-0B00-000078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761</xdr:rowOff>
    </xdr:from>
    <xdr:ext cx="381000" cy="381000"/>
    <xdr:pic>
      <xdr:nvPicPr>
        <xdr:cNvPr id="121" name="image1.jpeg">
          <a:extLst>
            <a:ext uri="{FF2B5EF4-FFF2-40B4-BE49-F238E27FC236}">
              <a16:creationId xmlns:a16="http://schemas.microsoft.com/office/drawing/2014/main" id="{00000000-0008-0000-0B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49142</xdr:rowOff>
    </xdr:from>
    <xdr:ext cx="381000" cy="290285"/>
    <xdr:pic>
      <xdr:nvPicPr>
        <xdr:cNvPr id="122" name="image2.jpeg">
          <a:extLst>
            <a:ext uri="{FF2B5EF4-FFF2-40B4-BE49-F238E27FC236}">
              <a16:creationId xmlns:a16="http://schemas.microsoft.com/office/drawing/2014/main" id="{00000000-0008-0000-0B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49142</xdr:rowOff>
    </xdr:from>
    <xdr:ext cx="381000" cy="290285"/>
    <xdr:pic>
      <xdr:nvPicPr>
        <xdr:cNvPr id="123" name="image3.jpeg">
          <a:extLst>
            <a:ext uri="{FF2B5EF4-FFF2-40B4-BE49-F238E27FC236}">
              <a16:creationId xmlns:a16="http://schemas.microsoft.com/office/drawing/2014/main" id="{00000000-0008-0000-0B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201929</xdr:colOff>
      <xdr:row>3</xdr:row>
      <xdr:rowOff>761</xdr:rowOff>
    </xdr:from>
    <xdr:ext cx="338666" cy="381000"/>
    <xdr:pic>
      <xdr:nvPicPr>
        <xdr:cNvPr id="124" name="image4.jpeg">
          <a:extLst>
            <a:ext uri="{FF2B5EF4-FFF2-40B4-BE49-F238E27FC236}">
              <a16:creationId xmlns:a16="http://schemas.microsoft.com/office/drawing/2014/main" id="{00000000-0008-0000-0B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9</xdr:col>
      <xdr:colOff>298691</xdr:colOff>
      <xdr:row>3</xdr:row>
      <xdr:rowOff>49142</xdr:rowOff>
    </xdr:from>
    <xdr:ext cx="193523" cy="290285"/>
    <xdr:pic>
      <xdr:nvPicPr>
        <xdr:cNvPr id="125" name="image5.jpeg">
          <a:extLst>
            <a:ext uri="{FF2B5EF4-FFF2-40B4-BE49-F238E27FC236}">
              <a16:creationId xmlns:a16="http://schemas.microsoft.com/office/drawing/2014/main" id="{00000000-0008-0000-0B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23</xdr:row>
      <xdr:rowOff>0</xdr:rowOff>
    </xdr:from>
    <xdr:ext cx="7486015" cy="4139565"/>
    <xdr:grpSp>
      <xdr:nvGrpSpPr>
        <xdr:cNvPr id="126" name="Group 126">
          <a:extLst>
            <a:ext uri="{FF2B5EF4-FFF2-40B4-BE49-F238E27FC236}">
              <a16:creationId xmlns:a16="http://schemas.microsoft.com/office/drawing/2014/main" id="{00000000-0008-0000-0B00-00007E000000}"/>
            </a:ext>
          </a:extLst>
        </xdr:cNvPr>
        <xdr:cNvGrpSpPr/>
      </xdr:nvGrpSpPr>
      <xdr:grpSpPr>
        <a:xfrm>
          <a:off x="607059" y="6225540"/>
          <a:ext cx="7486015" cy="4139565"/>
          <a:chOff x="0" y="0"/>
          <a:chExt cx="7486015" cy="4139565"/>
        </a:xfrm>
      </xdr:grpSpPr>
      <xdr:sp macro="" textlink="">
        <xdr:nvSpPr>
          <xdr:cNvPr id="127" name="Shape 127">
            <a:extLst>
              <a:ext uri="{FF2B5EF4-FFF2-40B4-BE49-F238E27FC236}">
                <a16:creationId xmlns:a16="http://schemas.microsoft.com/office/drawing/2014/main" id="{00000000-0008-0000-0B00-00007F000000}"/>
              </a:ext>
            </a:extLst>
          </xdr:cNvPr>
          <xdr:cNvSpPr/>
        </xdr:nvSpPr>
        <xdr:spPr>
          <a:xfrm>
            <a:off x="0" y="0"/>
            <a:ext cx="7486015" cy="2066925"/>
          </a:xfrm>
          <a:custGeom>
            <a:avLst/>
            <a:gdLst/>
            <a:ahLst/>
            <a:cxnLst/>
            <a:rect l="0" t="0" r="0" b="0"/>
            <a:pathLst>
              <a:path w="7486015" h="2066925">
                <a:moveTo>
                  <a:pt x="312420" y="1242060"/>
                </a:moveTo>
                <a:lnTo>
                  <a:pt x="0" y="1242060"/>
                </a:lnTo>
                <a:lnTo>
                  <a:pt x="0" y="1652016"/>
                </a:lnTo>
                <a:lnTo>
                  <a:pt x="312420" y="1652016"/>
                </a:lnTo>
                <a:lnTo>
                  <a:pt x="312420" y="1242060"/>
                </a:lnTo>
                <a:close/>
              </a:path>
              <a:path w="7486015" h="2066925">
                <a:moveTo>
                  <a:pt x="312420" y="0"/>
                </a:moveTo>
                <a:lnTo>
                  <a:pt x="0" y="0"/>
                </a:lnTo>
                <a:lnTo>
                  <a:pt x="0" y="1239012"/>
                </a:lnTo>
                <a:lnTo>
                  <a:pt x="312420" y="1239012"/>
                </a:lnTo>
                <a:lnTo>
                  <a:pt x="312420" y="0"/>
                </a:lnTo>
                <a:close/>
              </a:path>
              <a:path w="7486015" h="2066925">
                <a:moveTo>
                  <a:pt x="1264920" y="1242060"/>
                </a:moveTo>
                <a:lnTo>
                  <a:pt x="315468" y="1242060"/>
                </a:lnTo>
                <a:lnTo>
                  <a:pt x="315468" y="1652016"/>
                </a:lnTo>
                <a:lnTo>
                  <a:pt x="1264920" y="1652016"/>
                </a:lnTo>
                <a:lnTo>
                  <a:pt x="1264920" y="1242060"/>
                </a:lnTo>
                <a:close/>
              </a:path>
              <a:path w="7486015" h="2066925">
                <a:moveTo>
                  <a:pt x="1264920" y="0"/>
                </a:moveTo>
                <a:lnTo>
                  <a:pt x="315468" y="0"/>
                </a:lnTo>
                <a:lnTo>
                  <a:pt x="315468" y="1239012"/>
                </a:lnTo>
                <a:lnTo>
                  <a:pt x="1264920" y="1239012"/>
                </a:lnTo>
                <a:lnTo>
                  <a:pt x="1264920" y="0"/>
                </a:lnTo>
                <a:close/>
              </a:path>
              <a:path w="7486015" h="2066925">
                <a:moveTo>
                  <a:pt x="2531364" y="1242060"/>
                </a:moveTo>
                <a:lnTo>
                  <a:pt x="1267968" y="1242060"/>
                </a:lnTo>
                <a:lnTo>
                  <a:pt x="1267968" y="1652016"/>
                </a:lnTo>
                <a:lnTo>
                  <a:pt x="2531364" y="1652016"/>
                </a:lnTo>
                <a:lnTo>
                  <a:pt x="2531364" y="1242060"/>
                </a:lnTo>
                <a:close/>
              </a:path>
              <a:path w="7486015" h="2066925">
                <a:moveTo>
                  <a:pt x="2531364" y="0"/>
                </a:moveTo>
                <a:lnTo>
                  <a:pt x="1267968" y="0"/>
                </a:lnTo>
                <a:lnTo>
                  <a:pt x="1267968" y="1239012"/>
                </a:lnTo>
                <a:lnTo>
                  <a:pt x="2531364" y="1239012"/>
                </a:lnTo>
                <a:lnTo>
                  <a:pt x="2531364" y="0"/>
                </a:lnTo>
                <a:close/>
              </a:path>
              <a:path w="7486015" h="2066925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066925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066925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206692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06692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06692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066925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06692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06692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066925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2066925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066925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066925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206692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06692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06692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066925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06692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06692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06692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2066925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066925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206692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06692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06692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066925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06692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06692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06692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2066925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066925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206692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06692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06692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066925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06692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06692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06692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2066925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066925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206692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06692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06692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066925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06692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06692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06692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066925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066925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206692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06692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06692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066925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06692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06692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06692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066925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066925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206692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06692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06692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06692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06692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06692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06692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28" name="Shape 128">
            <a:extLst>
              <a:ext uri="{FF2B5EF4-FFF2-40B4-BE49-F238E27FC236}">
                <a16:creationId xmlns:a16="http://schemas.microsoft.com/office/drawing/2014/main" id="{00000000-0008-0000-0B00-000080000000}"/>
              </a:ext>
            </a:extLst>
          </xdr:cNvPr>
          <xdr:cNvSpPr/>
        </xdr:nvSpPr>
        <xdr:spPr>
          <a:xfrm>
            <a:off x="0" y="1655063"/>
            <a:ext cx="7486015" cy="2484120"/>
          </a:xfrm>
          <a:custGeom>
            <a:avLst/>
            <a:gdLst/>
            <a:ahLst/>
            <a:cxnLst/>
            <a:rect l="0" t="0" r="0" b="0"/>
            <a:pathLst>
              <a:path w="7486015" h="2484120">
                <a:moveTo>
                  <a:pt x="312420" y="1866900"/>
                </a:moveTo>
                <a:lnTo>
                  <a:pt x="0" y="1866900"/>
                </a:lnTo>
                <a:lnTo>
                  <a:pt x="0" y="2484120"/>
                </a:lnTo>
                <a:lnTo>
                  <a:pt x="312420" y="2484120"/>
                </a:lnTo>
                <a:lnTo>
                  <a:pt x="312420" y="1866900"/>
                </a:lnTo>
                <a:close/>
              </a:path>
              <a:path w="7486015" h="2484120">
                <a:moveTo>
                  <a:pt x="312420" y="1450848"/>
                </a:moveTo>
                <a:lnTo>
                  <a:pt x="0" y="1450848"/>
                </a:lnTo>
                <a:lnTo>
                  <a:pt x="0" y="1863852"/>
                </a:lnTo>
                <a:lnTo>
                  <a:pt x="312420" y="1863852"/>
                </a:lnTo>
                <a:lnTo>
                  <a:pt x="312420" y="1450848"/>
                </a:lnTo>
                <a:close/>
              </a:path>
              <a:path w="7486015" h="2484120">
                <a:moveTo>
                  <a:pt x="312420" y="1036320"/>
                </a:moveTo>
                <a:lnTo>
                  <a:pt x="0" y="1036320"/>
                </a:lnTo>
                <a:lnTo>
                  <a:pt x="0" y="1447800"/>
                </a:lnTo>
                <a:lnTo>
                  <a:pt x="312420" y="1447800"/>
                </a:lnTo>
                <a:lnTo>
                  <a:pt x="312420" y="1036320"/>
                </a:lnTo>
                <a:close/>
              </a:path>
              <a:path w="7486015" h="2484120">
                <a:moveTo>
                  <a:pt x="312420" y="621792"/>
                </a:moveTo>
                <a:lnTo>
                  <a:pt x="0" y="621792"/>
                </a:lnTo>
                <a:lnTo>
                  <a:pt x="0" y="1033272"/>
                </a:lnTo>
                <a:lnTo>
                  <a:pt x="312420" y="1033272"/>
                </a:lnTo>
                <a:lnTo>
                  <a:pt x="312420" y="621792"/>
                </a:lnTo>
                <a:close/>
              </a:path>
              <a:path w="7486015" h="2484120">
                <a:moveTo>
                  <a:pt x="312420" y="0"/>
                </a:moveTo>
                <a:lnTo>
                  <a:pt x="0" y="0"/>
                </a:lnTo>
                <a:lnTo>
                  <a:pt x="0" y="618744"/>
                </a:lnTo>
                <a:lnTo>
                  <a:pt x="312420" y="618744"/>
                </a:lnTo>
                <a:lnTo>
                  <a:pt x="312420" y="0"/>
                </a:lnTo>
                <a:close/>
              </a:path>
              <a:path w="7486015" h="2484120">
                <a:moveTo>
                  <a:pt x="1264920" y="1866900"/>
                </a:moveTo>
                <a:lnTo>
                  <a:pt x="315468" y="1866900"/>
                </a:lnTo>
                <a:lnTo>
                  <a:pt x="315468" y="2484120"/>
                </a:lnTo>
                <a:lnTo>
                  <a:pt x="1264920" y="2484120"/>
                </a:lnTo>
                <a:lnTo>
                  <a:pt x="1264920" y="1866900"/>
                </a:lnTo>
                <a:close/>
              </a:path>
              <a:path w="7486015" h="2484120">
                <a:moveTo>
                  <a:pt x="1264920" y="1450848"/>
                </a:moveTo>
                <a:lnTo>
                  <a:pt x="315468" y="1450848"/>
                </a:lnTo>
                <a:lnTo>
                  <a:pt x="315468" y="1863852"/>
                </a:lnTo>
                <a:lnTo>
                  <a:pt x="1264920" y="1863852"/>
                </a:lnTo>
                <a:lnTo>
                  <a:pt x="1264920" y="1450848"/>
                </a:lnTo>
                <a:close/>
              </a:path>
              <a:path w="7486015" h="2484120">
                <a:moveTo>
                  <a:pt x="1264920" y="1036320"/>
                </a:moveTo>
                <a:lnTo>
                  <a:pt x="315468" y="1036320"/>
                </a:lnTo>
                <a:lnTo>
                  <a:pt x="315468" y="1447800"/>
                </a:lnTo>
                <a:lnTo>
                  <a:pt x="1264920" y="1447800"/>
                </a:lnTo>
                <a:lnTo>
                  <a:pt x="1264920" y="1036320"/>
                </a:lnTo>
                <a:close/>
              </a:path>
              <a:path w="7486015" h="2484120">
                <a:moveTo>
                  <a:pt x="1264920" y="621792"/>
                </a:moveTo>
                <a:lnTo>
                  <a:pt x="315468" y="621792"/>
                </a:lnTo>
                <a:lnTo>
                  <a:pt x="315468" y="1033272"/>
                </a:lnTo>
                <a:lnTo>
                  <a:pt x="1264920" y="1033272"/>
                </a:lnTo>
                <a:lnTo>
                  <a:pt x="1264920" y="621792"/>
                </a:lnTo>
                <a:close/>
              </a:path>
              <a:path w="7486015" h="2484120">
                <a:moveTo>
                  <a:pt x="1264920" y="0"/>
                </a:moveTo>
                <a:lnTo>
                  <a:pt x="315468" y="0"/>
                </a:lnTo>
                <a:lnTo>
                  <a:pt x="315468" y="618744"/>
                </a:lnTo>
                <a:lnTo>
                  <a:pt x="1264920" y="618744"/>
                </a:lnTo>
                <a:lnTo>
                  <a:pt x="1264920" y="0"/>
                </a:lnTo>
                <a:close/>
              </a:path>
              <a:path w="7486015" h="2484120">
                <a:moveTo>
                  <a:pt x="2531364" y="1866900"/>
                </a:moveTo>
                <a:lnTo>
                  <a:pt x="1267968" y="1866900"/>
                </a:lnTo>
                <a:lnTo>
                  <a:pt x="1267968" y="2484120"/>
                </a:lnTo>
                <a:lnTo>
                  <a:pt x="2531364" y="2484120"/>
                </a:lnTo>
                <a:lnTo>
                  <a:pt x="2531364" y="1866900"/>
                </a:lnTo>
                <a:close/>
              </a:path>
              <a:path w="7486015" h="2484120">
                <a:moveTo>
                  <a:pt x="2531364" y="1450848"/>
                </a:moveTo>
                <a:lnTo>
                  <a:pt x="1267968" y="1450848"/>
                </a:lnTo>
                <a:lnTo>
                  <a:pt x="1267968" y="1863852"/>
                </a:lnTo>
                <a:lnTo>
                  <a:pt x="2531364" y="1863852"/>
                </a:lnTo>
                <a:lnTo>
                  <a:pt x="2531364" y="1450848"/>
                </a:lnTo>
                <a:close/>
              </a:path>
              <a:path w="7486015" h="2484120">
                <a:moveTo>
                  <a:pt x="2531364" y="1036320"/>
                </a:moveTo>
                <a:lnTo>
                  <a:pt x="1267968" y="1036320"/>
                </a:lnTo>
                <a:lnTo>
                  <a:pt x="1267968" y="1447800"/>
                </a:lnTo>
                <a:lnTo>
                  <a:pt x="2531364" y="1447800"/>
                </a:lnTo>
                <a:lnTo>
                  <a:pt x="2531364" y="1036320"/>
                </a:lnTo>
                <a:close/>
              </a:path>
              <a:path w="7486015" h="2484120">
                <a:moveTo>
                  <a:pt x="2531364" y="621792"/>
                </a:moveTo>
                <a:lnTo>
                  <a:pt x="1267968" y="621792"/>
                </a:lnTo>
                <a:lnTo>
                  <a:pt x="1267968" y="1033272"/>
                </a:lnTo>
                <a:lnTo>
                  <a:pt x="2531364" y="1033272"/>
                </a:lnTo>
                <a:lnTo>
                  <a:pt x="2531364" y="621792"/>
                </a:lnTo>
                <a:close/>
              </a:path>
              <a:path w="7486015" h="2484120">
                <a:moveTo>
                  <a:pt x="2531364" y="0"/>
                </a:moveTo>
                <a:lnTo>
                  <a:pt x="1267968" y="0"/>
                </a:lnTo>
                <a:lnTo>
                  <a:pt x="1267968" y="618744"/>
                </a:lnTo>
                <a:lnTo>
                  <a:pt x="2531364" y="618744"/>
                </a:lnTo>
                <a:lnTo>
                  <a:pt x="2531364" y="0"/>
                </a:lnTo>
                <a:close/>
              </a:path>
              <a:path w="7486015" h="2484120">
                <a:moveTo>
                  <a:pt x="3037332" y="2279904"/>
                </a:moveTo>
                <a:lnTo>
                  <a:pt x="2534412" y="2279904"/>
                </a:lnTo>
                <a:lnTo>
                  <a:pt x="2534412" y="2484120"/>
                </a:lnTo>
                <a:lnTo>
                  <a:pt x="3037332" y="2484120"/>
                </a:lnTo>
                <a:lnTo>
                  <a:pt x="3037332" y="2279904"/>
                </a:lnTo>
                <a:close/>
              </a:path>
              <a:path w="7486015" h="2484120">
                <a:moveTo>
                  <a:pt x="3037332" y="2072640"/>
                </a:moveTo>
                <a:lnTo>
                  <a:pt x="2534412" y="2072640"/>
                </a:lnTo>
                <a:lnTo>
                  <a:pt x="2534412" y="2276856"/>
                </a:lnTo>
                <a:lnTo>
                  <a:pt x="3037332" y="2276856"/>
                </a:lnTo>
                <a:lnTo>
                  <a:pt x="3037332" y="2072640"/>
                </a:lnTo>
                <a:close/>
              </a:path>
              <a:path w="7486015" h="2484120">
                <a:moveTo>
                  <a:pt x="3037332" y="1866900"/>
                </a:moveTo>
                <a:lnTo>
                  <a:pt x="2534412" y="1866900"/>
                </a:lnTo>
                <a:lnTo>
                  <a:pt x="2534412" y="2069592"/>
                </a:lnTo>
                <a:lnTo>
                  <a:pt x="3037332" y="2069592"/>
                </a:lnTo>
                <a:lnTo>
                  <a:pt x="3037332" y="1866900"/>
                </a:lnTo>
                <a:close/>
              </a:path>
              <a:path w="7486015" h="2484120">
                <a:moveTo>
                  <a:pt x="3037332" y="1450848"/>
                </a:moveTo>
                <a:lnTo>
                  <a:pt x="2534412" y="1450848"/>
                </a:lnTo>
                <a:lnTo>
                  <a:pt x="2534412" y="1863852"/>
                </a:lnTo>
                <a:lnTo>
                  <a:pt x="3037332" y="1863852"/>
                </a:lnTo>
                <a:lnTo>
                  <a:pt x="3037332" y="1450848"/>
                </a:lnTo>
                <a:close/>
              </a:path>
              <a:path w="7486015" h="2484120">
                <a:moveTo>
                  <a:pt x="3037332" y="1036320"/>
                </a:moveTo>
                <a:lnTo>
                  <a:pt x="2534412" y="1036320"/>
                </a:lnTo>
                <a:lnTo>
                  <a:pt x="2534412" y="1447800"/>
                </a:lnTo>
                <a:lnTo>
                  <a:pt x="3037332" y="1447800"/>
                </a:lnTo>
                <a:lnTo>
                  <a:pt x="3037332" y="1036320"/>
                </a:lnTo>
                <a:close/>
              </a:path>
              <a:path w="7486015" h="2484120">
                <a:moveTo>
                  <a:pt x="3037332" y="827532"/>
                </a:moveTo>
                <a:lnTo>
                  <a:pt x="2534412" y="827532"/>
                </a:lnTo>
                <a:lnTo>
                  <a:pt x="2534412" y="1033272"/>
                </a:lnTo>
                <a:lnTo>
                  <a:pt x="3037332" y="1033272"/>
                </a:lnTo>
                <a:lnTo>
                  <a:pt x="3037332" y="827532"/>
                </a:lnTo>
                <a:close/>
              </a:path>
              <a:path w="7486015" h="2484120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484120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484120">
                <a:moveTo>
                  <a:pt x="3674364" y="2072640"/>
                </a:moveTo>
                <a:lnTo>
                  <a:pt x="3040380" y="2072640"/>
                </a:lnTo>
                <a:lnTo>
                  <a:pt x="3040380" y="2276856"/>
                </a:lnTo>
                <a:lnTo>
                  <a:pt x="3674364" y="2276856"/>
                </a:lnTo>
                <a:lnTo>
                  <a:pt x="3674364" y="2072640"/>
                </a:lnTo>
                <a:close/>
              </a:path>
              <a:path w="7486015" h="2484120">
                <a:moveTo>
                  <a:pt x="3674364" y="1866900"/>
                </a:moveTo>
                <a:lnTo>
                  <a:pt x="3040380" y="1866900"/>
                </a:lnTo>
                <a:lnTo>
                  <a:pt x="3040380" y="2069592"/>
                </a:lnTo>
                <a:lnTo>
                  <a:pt x="3674364" y="2069592"/>
                </a:lnTo>
                <a:lnTo>
                  <a:pt x="3674364" y="1866900"/>
                </a:lnTo>
                <a:close/>
              </a:path>
              <a:path w="7486015" h="2484120">
                <a:moveTo>
                  <a:pt x="3674364" y="1450848"/>
                </a:moveTo>
                <a:lnTo>
                  <a:pt x="3040380" y="1450848"/>
                </a:lnTo>
                <a:lnTo>
                  <a:pt x="3040380" y="1863852"/>
                </a:lnTo>
                <a:lnTo>
                  <a:pt x="3674364" y="1863852"/>
                </a:lnTo>
                <a:lnTo>
                  <a:pt x="3674364" y="1450848"/>
                </a:lnTo>
                <a:close/>
              </a:path>
              <a:path w="7486015" h="2484120">
                <a:moveTo>
                  <a:pt x="3674364" y="1036320"/>
                </a:moveTo>
                <a:lnTo>
                  <a:pt x="3040380" y="1036320"/>
                </a:lnTo>
                <a:lnTo>
                  <a:pt x="3040380" y="1447800"/>
                </a:lnTo>
                <a:lnTo>
                  <a:pt x="3674364" y="1447800"/>
                </a:lnTo>
                <a:lnTo>
                  <a:pt x="3674364" y="1036320"/>
                </a:lnTo>
                <a:close/>
              </a:path>
              <a:path w="7486015" h="2484120">
                <a:moveTo>
                  <a:pt x="3674364" y="827532"/>
                </a:moveTo>
                <a:lnTo>
                  <a:pt x="3040380" y="827532"/>
                </a:lnTo>
                <a:lnTo>
                  <a:pt x="3040380" y="1033272"/>
                </a:lnTo>
                <a:lnTo>
                  <a:pt x="3674364" y="1033272"/>
                </a:lnTo>
                <a:lnTo>
                  <a:pt x="3674364" y="827532"/>
                </a:lnTo>
                <a:close/>
              </a:path>
              <a:path w="7486015" h="2484120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484120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484120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484120">
                <a:moveTo>
                  <a:pt x="4437888" y="2072640"/>
                </a:moveTo>
                <a:lnTo>
                  <a:pt x="3677412" y="2072640"/>
                </a:lnTo>
                <a:lnTo>
                  <a:pt x="3677412" y="2276856"/>
                </a:lnTo>
                <a:lnTo>
                  <a:pt x="4437888" y="2276856"/>
                </a:lnTo>
                <a:lnTo>
                  <a:pt x="4437888" y="2072640"/>
                </a:lnTo>
                <a:close/>
              </a:path>
              <a:path w="7486015" h="2484120">
                <a:moveTo>
                  <a:pt x="4437888" y="1866900"/>
                </a:moveTo>
                <a:lnTo>
                  <a:pt x="3677412" y="1866900"/>
                </a:lnTo>
                <a:lnTo>
                  <a:pt x="3677412" y="2069592"/>
                </a:lnTo>
                <a:lnTo>
                  <a:pt x="4437888" y="2069592"/>
                </a:lnTo>
                <a:lnTo>
                  <a:pt x="4437888" y="1866900"/>
                </a:lnTo>
                <a:close/>
              </a:path>
              <a:path w="7486015" h="2484120">
                <a:moveTo>
                  <a:pt x="4437888" y="1450848"/>
                </a:moveTo>
                <a:lnTo>
                  <a:pt x="3677412" y="1450848"/>
                </a:lnTo>
                <a:lnTo>
                  <a:pt x="3677412" y="1863852"/>
                </a:lnTo>
                <a:lnTo>
                  <a:pt x="4437888" y="1863852"/>
                </a:lnTo>
                <a:lnTo>
                  <a:pt x="4437888" y="1450848"/>
                </a:lnTo>
                <a:close/>
              </a:path>
              <a:path w="7486015" h="2484120">
                <a:moveTo>
                  <a:pt x="4437888" y="1036320"/>
                </a:moveTo>
                <a:lnTo>
                  <a:pt x="3677412" y="1036320"/>
                </a:lnTo>
                <a:lnTo>
                  <a:pt x="3677412" y="1447800"/>
                </a:lnTo>
                <a:lnTo>
                  <a:pt x="4437888" y="1447800"/>
                </a:lnTo>
                <a:lnTo>
                  <a:pt x="4437888" y="1036320"/>
                </a:lnTo>
                <a:close/>
              </a:path>
              <a:path w="7486015" h="2484120">
                <a:moveTo>
                  <a:pt x="4437888" y="827532"/>
                </a:moveTo>
                <a:lnTo>
                  <a:pt x="3677412" y="827532"/>
                </a:lnTo>
                <a:lnTo>
                  <a:pt x="3677412" y="1033272"/>
                </a:lnTo>
                <a:lnTo>
                  <a:pt x="4437888" y="1033272"/>
                </a:lnTo>
                <a:lnTo>
                  <a:pt x="4437888" y="827532"/>
                </a:lnTo>
                <a:close/>
              </a:path>
              <a:path w="7486015" h="2484120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484120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484120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484120">
                <a:moveTo>
                  <a:pt x="5199888" y="2072640"/>
                </a:moveTo>
                <a:lnTo>
                  <a:pt x="4440936" y="2072640"/>
                </a:lnTo>
                <a:lnTo>
                  <a:pt x="4440936" y="2276856"/>
                </a:lnTo>
                <a:lnTo>
                  <a:pt x="5199888" y="2276856"/>
                </a:lnTo>
                <a:lnTo>
                  <a:pt x="5199888" y="2072640"/>
                </a:lnTo>
                <a:close/>
              </a:path>
              <a:path w="7486015" h="2484120">
                <a:moveTo>
                  <a:pt x="5199888" y="1866900"/>
                </a:moveTo>
                <a:lnTo>
                  <a:pt x="4440936" y="1866900"/>
                </a:lnTo>
                <a:lnTo>
                  <a:pt x="4440936" y="2069592"/>
                </a:lnTo>
                <a:lnTo>
                  <a:pt x="5199888" y="2069592"/>
                </a:lnTo>
                <a:lnTo>
                  <a:pt x="5199888" y="1866900"/>
                </a:lnTo>
                <a:close/>
              </a:path>
              <a:path w="7486015" h="2484120">
                <a:moveTo>
                  <a:pt x="5199888" y="1450848"/>
                </a:moveTo>
                <a:lnTo>
                  <a:pt x="4440936" y="1450848"/>
                </a:lnTo>
                <a:lnTo>
                  <a:pt x="4440936" y="1863852"/>
                </a:lnTo>
                <a:lnTo>
                  <a:pt x="5199888" y="1863852"/>
                </a:lnTo>
                <a:lnTo>
                  <a:pt x="5199888" y="1450848"/>
                </a:lnTo>
                <a:close/>
              </a:path>
              <a:path w="7486015" h="2484120">
                <a:moveTo>
                  <a:pt x="5199888" y="1036320"/>
                </a:moveTo>
                <a:lnTo>
                  <a:pt x="4440936" y="1036320"/>
                </a:lnTo>
                <a:lnTo>
                  <a:pt x="4440936" y="1447800"/>
                </a:lnTo>
                <a:lnTo>
                  <a:pt x="5199888" y="1447800"/>
                </a:lnTo>
                <a:lnTo>
                  <a:pt x="5199888" y="1036320"/>
                </a:lnTo>
                <a:close/>
              </a:path>
              <a:path w="7486015" h="2484120">
                <a:moveTo>
                  <a:pt x="5199888" y="827532"/>
                </a:moveTo>
                <a:lnTo>
                  <a:pt x="4440936" y="827532"/>
                </a:lnTo>
                <a:lnTo>
                  <a:pt x="4440936" y="1033272"/>
                </a:lnTo>
                <a:lnTo>
                  <a:pt x="5199888" y="1033272"/>
                </a:lnTo>
                <a:lnTo>
                  <a:pt x="5199888" y="827532"/>
                </a:lnTo>
                <a:close/>
              </a:path>
              <a:path w="7486015" h="2484120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484120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484120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484120">
                <a:moveTo>
                  <a:pt x="5961875" y="2072640"/>
                </a:moveTo>
                <a:lnTo>
                  <a:pt x="5202936" y="2072640"/>
                </a:lnTo>
                <a:lnTo>
                  <a:pt x="5202936" y="2276856"/>
                </a:lnTo>
                <a:lnTo>
                  <a:pt x="5961875" y="2276856"/>
                </a:lnTo>
                <a:lnTo>
                  <a:pt x="5961875" y="2072640"/>
                </a:lnTo>
                <a:close/>
              </a:path>
              <a:path w="7486015" h="2484120">
                <a:moveTo>
                  <a:pt x="5961875" y="1866900"/>
                </a:moveTo>
                <a:lnTo>
                  <a:pt x="5202936" y="1866900"/>
                </a:lnTo>
                <a:lnTo>
                  <a:pt x="5202936" y="2069592"/>
                </a:lnTo>
                <a:lnTo>
                  <a:pt x="5961875" y="2069592"/>
                </a:lnTo>
                <a:lnTo>
                  <a:pt x="5961875" y="1866900"/>
                </a:lnTo>
                <a:close/>
              </a:path>
              <a:path w="7486015" h="2484120">
                <a:moveTo>
                  <a:pt x="5961875" y="1450848"/>
                </a:moveTo>
                <a:lnTo>
                  <a:pt x="5202936" y="1450848"/>
                </a:lnTo>
                <a:lnTo>
                  <a:pt x="5202936" y="1863852"/>
                </a:lnTo>
                <a:lnTo>
                  <a:pt x="5961875" y="1863852"/>
                </a:lnTo>
                <a:lnTo>
                  <a:pt x="5961875" y="1450848"/>
                </a:lnTo>
                <a:close/>
              </a:path>
              <a:path w="7486015" h="2484120">
                <a:moveTo>
                  <a:pt x="5961875" y="1036320"/>
                </a:moveTo>
                <a:lnTo>
                  <a:pt x="5202936" y="1036320"/>
                </a:lnTo>
                <a:lnTo>
                  <a:pt x="5202936" y="1447800"/>
                </a:lnTo>
                <a:lnTo>
                  <a:pt x="5961875" y="1447800"/>
                </a:lnTo>
                <a:lnTo>
                  <a:pt x="5961875" y="1036320"/>
                </a:lnTo>
                <a:close/>
              </a:path>
              <a:path w="7486015" h="2484120">
                <a:moveTo>
                  <a:pt x="5961875" y="827532"/>
                </a:moveTo>
                <a:lnTo>
                  <a:pt x="5202936" y="827532"/>
                </a:lnTo>
                <a:lnTo>
                  <a:pt x="5202936" y="1033272"/>
                </a:lnTo>
                <a:lnTo>
                  <a:pt x="5961875" y="1033272"/>
                </a:lnTo>
                <a:lnTo>
                  <a:pt x="5961875" y="827532"/>
                </a:lnTo>
                <a:close/>
              </a:path>
              <a:path w="7486015" h="2484120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484120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484120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484120">
                <a:moveTo>
                  <a:pt x="6723888" y="2072640"/>
                </a:moveTo>
                <a:lnTo>
                  <a:pt x="5964936" y="2072640"/>
                </a:lnTo>
                <a:lnTo>
                  <a:pt x="5964936" y="2276856"/>
                </a:lnTo>
                <a:lnTo>
                  <a:pt x="6723888" y="2276856"/>
                </a:lnTo>
                <a:lnTo>
                  <a:pt x="6723888" y="2072640"/>
                </a:lnTo>
                <a:close/>
              </a:path>
              <a:path w="7486015" h="2484120">
                <a:moveTo>
                  <a:pt x="6723888" y="1866900"/>
                </a:moveTo>
                <a:lnTo>
                  <a:pt x="5964936" y="1866900"/>
                </a:lnTo>
                <a:lnTo>
                  <a:pt x="5964936" y="2069592"/>
                </a:lnTo>
                <a:lnTo>
                  <a:pt x="6723888" y="2069592"/>
                </a:lnTo>
                <a:lnTo>
                  <a:pt x="6723888" y="1866900"/>
                </a:lnTo>
                <a:close/>
              </a:path>
              <a:path w="7486015" h="2484120">
                <a:moveTo>
                  <a:pt x="6723888" y="1450848"/>
                </a:moveTo>
                <a:lnTo>
                  <a:pt x="5964936" y="1450848"/>
                </a:lnTo>
                <a:lnTo>
                  <a:pt x="5964936" y="1863852"/>
                </a:lnTo>
                <a:lnTo>
                  <a:pt x="6723888" y="1863852"/>
                </a:lnTo>
                <a:lnTo>
                  <a:pt x="6723888" y="1450848"/>
                </a:lnTo>
                <a:close/>
              </a:path>
              <a:path w="7486015" h="2484120">
                <a:moveTo>
                  <a:pt x="6723888" y="1036320"/>
                </a:moveTo>
                <a:lnTo>
                  <a:pt x="5964936" y="1036320"/>
                </a:lnTo>
                <a:lnTo>
                  <a:pt x="5964936" y="1447800"/>
                </a:lnTo>
                <a:lnTo>
                  <a:pt x="6723888" y="1447800"/>
                </a:lnTo>
                <a:lnTo>
                  <a:pt x="6723888" y="1036320"/>
                </a:lnTo>
                <a:close/>
              </a:path>
              <a:path w="7486015" h="2484120">
                <a:moveTo>
                  <a:pt x="6723888" y="827532"/>
                </a:moveTo>
                <a:lnTo>
                  <a:pt x="5964936" y="827532"/>
                </a:lnTo>
                <a:lnTo>
                  <a:pt x="5964936" y="1033272"/>
                </a:lnTo>
                <a:lnTo>
                  <a:pt x="6723888" y="1033272"/>
                </a:lnTo>
                <a:lnTo>
                  <a:pt x="6723888" y="827532"/>
                </a:lnTo>
                <a:close/>
              </a:path>
              <a:path w="7486015" h="2484120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484120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484120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484120">
                <a:moveTo>
                  <a:pt x="7485888" y="2072640"/>
                </a:moveTo>
                <a:lnTo>
                  <a:pt x="6726936" y="2072640"/>
                </a:lnTo>
                <a:lnTo>
                  <a:pt x="6726936" y="2276856"/>
                </a:lnTo>
                <a:lnTo>
                  <a:pt x="7485888" y="2276856"/>
                </a:lnTo>
                <a:lnTo>
                  <a:pt x="7485888" y="2072640"/>
                </a:lnTo>
                <a:close/>
              </a:path>
              <a:path w="7486015" h="2484120">
                <a:moveTo>
                  <a:pt x="7485888" y="1866900"/>
                </a:moveTo>
                <a:lnTo>
                  <a:pt x="6726936" y="1866900"/>
                </a:lnTo>
                <a:lnTo>
                  <a:pt x="6726936" y="2069592"/>
                </a:lnTo>
                <a:lnTo>
                  <a:pt x="7485888" y="2069592"/>
                </a:lnTo>
                <a:lnTo>
                  <a:pt x="7485888" y="1866900"/>
                </a:lnTo>
                <a:close/>
              </a:path>
              <a:path w="7486015" h="2484120">
                <a:moveTo>
                  <a:pt x="7485888" y="1450848"/>
                </a:moveTo>
                <a:lnTo>
                  <a:pt x="6726936" y="1450848"/>
                </a:lnTo>
                <a:lnTo>
                  <a:pt x="6726936" y="1863852"/>
                </a:lnTo>
                <a:lnTo>
                  <a:pt x="7485888" y="1863852"/>
                </a:lnTo>
                <a:lnTo>
                  <a:pt x="7485888" y="1450848"/>
                </a:lnTo>
                <a:close/>
              </a:path>
              <a:path w="7486015" h="2484120">
                <a:moveTo>
                  <a:pt x="7485888" y="1036320"/>
                </a:moveTo>
                <a:lnTo>
                  <a:pt x="6726936" y="1036320"/>
                </a:lnTo>
                <a:lnTo>
                  <a:pt x="6726936" y="1447800"/>
                </a:lnTo>
                <a:lnTo>
                  <a:pt x="7485888" y="1447800"/>
                </a:lnTo>
                <a:lnTo>
                  <a:pt x="7485888" y="1036320"/>
                </a:lnTo>
                <a:close/>
              </a:path>
              <a:path w="7486015" h="2484120">
                <a:moveTo>
                  <a:pt x="7485888" y="827532"/>
                </a:moveTo>
                <a:lnTo>
                  <a:pt x="6726936" y="827532"/>
                </a:lnTo>
                <a:lnTo>
                  <a:pt x="6726936" y="1033272"/>
                </a:lnTo>
                <a:lnTo>
                  <a:pt x="7485888" y="1033272"/>
                </a:lnTo>
                <a:lnTo>
                  <a:pt x="7485888" y="827532"/>
                </a:lnTo>
                <a:close/>
              </a:path>
              <a:path w="7486015" h="2484120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484120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484120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29" name="Shape 129">
            <a:extLst>
              <a:ext uri="{FF2B5EF4-FFF2-40B4-BE49-F238E27FC236}">
                <a16:creationId xmlns:a16="http://schemas.microsoft.com/office/drawing/2014/main" id="{00000000-0008-0000-0B00-000081000000}"/>
              </a:ext>
            </a:extLst>
          </xdr:cNvPr>
          <xdr:cNvSpPr/>
        </xdr:nvSpPr>
        <xdr:spPr>
          <a:xfrm>
            <a:off x="2534412" y="3934967"/>
            <a:ext cx="4951730" cy="204470"/>
          </a:xfrm>
          <a:custGeom>
            <a:avLst/>
            <a:gdLst/>
            <a:ahLst/>
            <a:cxnLst/>
            <a:rect l="0" t="0" r="0" b="0"/>
            <a:pathLst>
              <a:path w="4951730" h="204470">
                <a:moveTo>
                  <a:pt x="502920" y="0"/>
                </a:moveTo>
                <a:lnTo>
                  <a:pt x="0" y="0"/>
                </a:lnTo>
                <a:lnTo>
                  <a:pt x="0" y="204216"/>
                </a:lnTo>
                <a:lnTo>
                  <a:pt x="502920" y="204216"/>
                </a:lnTo>
                <a:lnTo>
                  <a:pt x="502920" y="0"/>
                </a:lnTo>
                <a:close/>
              </a:path>
              <a:path w="4951730" h="204470">
                <a:moveTo>
                  <a:pt x="1139952" y="0"/>
                </a:moveTo>
                <a:lnTo>
                  <a:pt x="505968" y="0"/>
                </a:lnTo>
                <a:lnTo>
                  <a:pt x="505968" y="204216"/>
                </a:lnTo>
                <a:lnTo>
                  <a:pt x="1139952" y="204216"/>
                </a:lnTo>
                <a:lnTo>
                  <a:pt x="1139952" y="0"/>
                </a:lnTo>
                <a:close/>
              </a:path>
              <a:path w="4951730" h="204470">
                <a:moveTo>
                  <a:pt x="1903476" y="0"/>
                </a:moveTo>
                <a:lnTo>
                  <a:pt x="1143000" y="0"/>
                </a:lnTo>
                <a:lnTo>
                  <a:pt x="1143000" y="204216"/>
                </a:lnTo>
                <a:lnTo>
                  <a:pt x="1903476" y="204216"/>
                </a:lnTo>
                <a:lnTo>
                  <a:pt x="1903476" y="0"/>
                </a:lnTo>
                <a:close/>
              </a:path>
              <a:path w="4951730" h="204470">
                <a:moveTo>
                  <a:pt x="2665476" y="0"/>
                </a:moveTo>
                <a:lnTo>
                  <a:pt x="1906524" y="0"/>
                </a:lnTo>
                <a:lnTo>
                  <a:pt x="1906524" y="204216"/>
                </a:lnTo>
                <a:lnTo>
                  <a:pt x="2665476" y="204216"/>
                </a:lnTo>
                <a:lnTo>
                  <a:pt x="2665476" y="0"/>
                </a:lnTo>
                <a:close/>
              </a:path>
              <a:path w="4951730" h="204470">
                <a:moveTo>
                  <a:pt x="3427463" y="0"/>
                </a:moveTo>
                <a:lnTo>
                  <a:pt x="2668524" y="0"/>
                </a:lnTo>
                <a:lnTo>
                  <a:pt x="2668524" y="204216"/>
                </a:lnTo>
                <a:lnTo>
                  <a:pt x="3427463" y="204216"/>
                </a:lnTo>
                <a:lnTo>
                  <a:pt x="3427463" y="0"/>
                </a:lnTo>
                <a:close/>
              </a:path>
              <a:path w="4951730" h="204470">
                <a:moveTo>
                  <a:pt x="4189476" y="0"/>
                </a:moveTo>
                <a:lnTo>
                  <a:pt x="3430524" y="0"/>
                </a:lnTo>
                <a:lnTo>
                  <a:pt x="3430524" y="204216"/>
                </a:lnTo>
                <a:lnTo>
                  <a:pt x="4189476" y="204216"/>
                </a:lnTo>
                <a:lnTo>
                  <a:pt x="4189476" y="0"/>
                </a:lnTo>
                <a:close/>
              </a:path>
              <a:path w="4951730" h="204470">
                <a:moveTo>
                  <a:pt x="4951476" y="0"/>
                </a:moveTo>
                <a:lnTo>
                  <a:pt x="4192524" y="0"/>
                </a:lnTo>
                <a:lnTo>
                  <a:pt x="4192524" y="204216"/>
                </a:lnTo>
                <a:lnTo>
                  <a:pt x="4951476" y="204216"/>
                </a:lnTo>
                <a:lnTo>
                  <a:pt x="4951476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24</xdr:row>
      <xdr:rowOff>0</xdr:rowOff>
    </xdr:from>
    <xdr:ext cx="645160" cy="4139565"/>
    <xdr:sp macro="" textlink="">
      <xdr:nvSpPr>
        <xdr:cNvPr id="130" name="Shape 130">
          <a:extLst>
            <a:ext uri="{FF2B5EF4-FFF2-40B4-BE49-F238E27FC236}">
              <a16:creationId xmlns:a16="http://schemas.microsoft.com/office/drawing/2014/main" id="{00000000-0008-0000-0B00-000082000000}"/>
            </a:ext>
          </a:extLst>
        </xdr:cNvPr>
        <xdr:cNvSpPr/>
      </xdr:nvSpPr>
      <xdr:spPr>
        <a:xfrm>
          <a:off x="0" y="0"/>
          <a:ext cx="645160" cy="4139565"/>
        </a:xfrm>
        <a:custGeom>
          <a:avLst/>
          <a:gdLst/>
          <a:ahLst/>
          <a:cxnLst/>
          <a:rect l="0" t="0" r="0" b="0"/>
          <a:pathLst>
            <a:path w="645160" h="4139565">
              <a:moveTo>
                <a:pt x="644652" y="3934968"/>
              </a:moveTo>
              <a:lnTo>
                <a:pt x="0" y="3934968"/>
              </a:lnTo>
              <a:lnTo>
                <a:pt x="0" y="4139184"/>
              </a:lnTo>
              <a:lnTo>
                <a:pt x="644652" y="4139184"/>
              </a:lnTo>
              <a:lnTo>
                <a:pt x="644652" y="3934968"/>
              </a:lnTo>
              <a:close/>
            </a:path>
            <a:path w="645160" h="4139565">
              <a:moveTo>
                <a:pt x="644652" y="3727704"/>
              </a:moveTo>
              <a:lnTo>
                <a:pt x="0" y="3727704"/>
              </a:lnTo>
              <a:lnTo>
                <a:pt x="0" y="3931920"/>
              </a:lnTo>
              <a:lnTo>
                <a:pt x="644652" y="3931920"/>
              </a:lnTo>
              <a:lnTo>
                <a:pt x="644652" y="3727704"/>
              </a:lnTo>
              <a:close/>
            </a:path>
            <a:path w="645160" h="4139565">
              <a:moveTo>
                <a:pt x="644652" y="3521964"/>
              </a:moveTo>
              <a:lnTo>
                <a:pt x="0" y="3521964"/>
              </a:lnTo>
              <a:lnTo>
                <a:pt x="0" y="3724656"/>
              </a:lnTo>
              <a:lnTo>
                <a:pt x="644652" y="3724656"/>
              </a:lnTo>
              <a:lnTo>
                <a:pt x="644652" y="3521964"/>
              </a:lnTo>
              <a:close/>
            </a:path>
            <a:path w="645160" h="4139565">
              <a:moveTo>
                <a:pt x="644652" y="3105912"/>
              </a:moveTo>
              <a:lnTo>
                <a:pt x="0" y="3105912"/>
              </a:lnTo>
              <a:lnTo>
                <a:pt x="0" y="3518916"/>
              </a:lnTo>
              <a:lnTo>
                <a:pt x="644652" y="3518916"/>
              </a:lnTo>
              <a:lnTo>
                <a:pt x="644652" y="3105912"/>
              </a:lnTo>
              <a:close/>
            </a:path>
            <a:path w="645160" h="4139565">
              <a:moveTo>
                <a:pt x="644652" y="2691384"/>
              </a:moveTo>
              <a:lnTo>
                <a:pt x="0" y="2691384"/>
              </a:lnTo>
              <a:lnTo>
                <a:pt x="0" y="3102864"/>
              </a:lnTo>
              <a:lnTo>
                <a:pt x="644652" y="3102864"/>
              </a:lnTo>
              <a:lnTo>
                <a:pt x="644652" y="2691384"/>
              </a:lnTo>
              <a:close/>
            </a:path>
            <a:path w="645160" h="4139565">
              <a:moveTo>
                <a:pt x="644652" y="2482596"/>
              </a:moveTo>
              <a:lnTo>
                <a:pt x="0" y="2482596"/>
              </a:lnTo>
              <a:lnTo>
                <a:pt x="0" y="2688336"/>
              </a:lnTo>
              <a:lnTo>
                <a:pt x="644652" y="2688336"/>
              </a:lnTo>
              <a:lnTo>
                <a:pt x="644652" y="2482596"/>
              </a:lnTo>
              <a:close/>
            </a:path>
            <a:path w="645160" h="4139565">
              <a:moveTo>
                <a:pt x="644652" y="2276856"/>
              </a:moveTo>
              <a:lnTo>
                <a:pt x="0" y="2276856"/>
              </a:lnTo>
              <a:lnTo>
                <a:pt x="0" y="2479548"/>
              </a:lnTo>
              <a:lnTo>
                <a:pt x="644652" y="2479548"/>
              </a:lnTo>
              <a:lnTo>
                <a:pt x="644652" y="2276856"/>
              </a:lnTo>
              <a:close/>
            </a:path>
            <a:path w="645160" h="4139565">
              <a:moveTo>
                <a:pt x="644652" y="2069592"/>
              </a:moveTo>
              <a:lnTo>
                <a:pt x="0" y="2069592"/>
              </a:lnTo>
              <a:lnTo>
                <a:pt x="0" y="2273808"/>
              </a:lnTo>
              <a:lnTo>
                <a:pt x="644652" y="2273808"/>
              </a:lnTo>
              <a:lnTo>
                <a:pt x="644652" y="2069592"/>
              </a:lnTo>
              <a:close/>
            </a:path>
            <a:path w="645160" h="4139565">
              <a:moveTo>
                <a:pt x="644652" y="1862328"/>
              </a:moveTo>
              <a:lnTo>
                <a:pt x="0" y="1862328"/>
              </a:lnTo>
              <a:lnTo>
                <a:pt x="0" y="2066544"/>
              </a:lnTo>
              <a:lnTo>
                <a:pt x="644652" y="2066544"/>
              </a:lnTo>
              <a:lnTo>
                <a:pt x="644652" y="1862328"/>
              </a:lnTo>
              <a:close/>
            </a:path>
            <a:path w="645160" h="4139565">
              <a:moveTo>
                <a:pt x="644652" y="1655064"/>
              </a:moveTo>
              <a:lnTo>
                <a:pt x="0" y="1655064"/>
              </a:lnTo>
              <a:lnTo>
                <a:pt x="0" y="1859280"/>
              </a:lnTo>
              <a:lnTo>
                <a:pt x="644652" y="1859280"/>
              </a:lnTo>
              <a:lnTo>
                <a:pt x="644652" y="1655064"/>
              </a:lnTo>
              <a:close/>
            </a:path>
            <a:path w="645160" h="4139565">
              <a:moveTo>
                <a:pt x="644652" y="1449324"/>
              </a:moveTo>
              <a:lnTo>
                <a:pt x="0" y="1449324"/>
              </a:lnTo>
              <a:lnTo>
                <a:pt x="0" y="1652016"/>
              </a:lnTo>
              <a:lnTo>
                <a:pt x="644652" y="1652016"/>
              </a:lnTo>
              <a:lnTo>
                <a:pt x="644652" y="1449324"/>
              </a:lnTo>
              <a:close/>
            </a:path>
            <a:path w="645160" h="4139565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4139565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4139565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4139565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4139565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4139565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4139565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21</xdr:row>
      <xdr:rowOff>208025</xdr:rowOff>
    </xdr:from>
    <xdr:ext cx="3808729" cy="480059"/>
    <xdr:sp macro="" textlink="">
      <xdr:nvSpPr>
        <xdr:cNvPr id="131" name="Shape 131">
          <a:extLst>
            <a:ext uri="{FF2B5EF4-FFF2-40B4-BE49-F238E27FC236}">
              <a16:creationId xmlns:a16="http://schemas.microsoft.com/office/drawing/2014/main" id="{00000000-0008-0000-0C00-000083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761</xdr:rowOff>
    </xdr:from>
    <xdr:ext cx="381000" cy="381000"/>
    <xdr:pic>
      <xdr:nvPicPr>
        <xdr:cNvPr id="132" name="image1.jpeg">
          <a:extLst>
            <a:ext uri="{FF2B5EF4-FFF2-40B4-BE49-F238E27FC236}">
              <a16:creationId xmlns:a16="http://schemas.microsoft.com/office/drawing/2014/main" id="{00000000-0008-0000-0C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49142</xdr:rowOff>
    </xdr:from>
    <xdr:ext cx="381000" cy="290285"/>
    <xdr:pic>
      <xdr:nvPicPr>
        <xdr:cNvPr id="133" name="image2.jpeg">
          <a:extLst>
            <a:ext uri="{FF2B5EF4-FFF2-40B4-BE49-F238E27FC236}">
              <a16:creationId xmlns:a16="http://schemas.microsoft.com/office/drawing/2014/main" id="{00000000-0008-0000-0C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49142</xdr:rowOff>
    </xdr:from>
    <xdr:ext cx="381000" cy="290285"/>
    <xdr:pic>
      <xdr:nvPicPr>
        <xdr:cNvPr id="134" name="image3.jpeg">
          <a:extLst>
            <a:ext uri="{FF2B5EF4-FFF2-40B4-BE49-F238E27FC236}">
              <a16:creationId xmlns:a16="http://schemas.microsoft.com/office/drawing/2014/main" id="{00000000-0008-0000-0C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201929</xdr:colOff>
      <xdr:row>3</xdr:row>
      <xdr:rowOff>761</xdr:rowOff>
    </xdr:from>
    <xdr:ext cx="338666" cy="381000"/>
    <xdr:pic>
      <xdr:nvPicPr>
        <xdr:cNvPr id="135" name="image4.jpeg">
          <a:extLst>
            <a:ext uri="{FF2B5EF4-FFF2-40B4-BE49-F238E27FC236}">
              <a16:creationId xmlns:a16="http://schemas.microsoft.com/office/drawing/2014/main" id="{00000000-0008-0000-0C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9</xdr:col>
      <xdr:colOff>298691</xdr:colOff>
      <xdr:row>3</xdr:row>
      <xdr:rowOff>49142</xdr:rowOff>
    </xdr:from>
    <xdr:ext cx="193523" cy="290285"/>
    <xdr:pic>
      <xdr:nvPicPr>
        <xdr:cNvPr id="136" name="image5.jpeg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23</xdr:row>
      <xdr:rowOff>0</xdr:rowOff>
    </xdr:from>
    <xdr:ext cx="7486015" cy="4025265"/>
    <xdr:grpSp>
      <xdr:nvGrpSpPr>
        <xdr:cNvPr id="137" name="Group 137">
          <a:extLst>
            <a:ext uri="{FF2B5EF4-FFF2-40B4-BE49-F238E27FC236}">
              <a16:creationId xmlns:a16="http://schemas.microsoft.com/office/drawing/2014/main" id="{00000000-0008-0000-0C00-000089000000}"/>
            </a:ext>
          </a:extLst>
        </xdr:cNvPr>
        <xdr:cNvGrpSpPr/>
      </xdr:nvGrpSpPr>
      <xdr:grpSpPr>
        <a:xfrm>
          <a:off x="607059" y="6111240"/>
          <a:ext cx="7486015" cy="4025265"/>
          <a:chOff x="0" y="0"/>
          <a:chExt cx="7486015" cy="4025265"/>
        </a:xfrm>
      </xdr:grpSpPr>
      <xdr:sp macro="" textlink="">
        <xdr:nvSpPr>
          <xdr:cNvPr id="138" name="Shape 138">
            <a:extLst>
              <a:ext uri="{FF2B5EF4-FFF2-40B4-BE49-F238E27FC236}">
                <a16:creationId xmlns:a16="http://schemas.microsoft.com/office/drawing/2014/main" id="{00000000-0008-0000-0C00-00008A000000}"/>
              </a:ext>
            </a:extLst>
          </xdr:cNvPr>
          <xdr:cNvSpPr/>
        </xdr:nvSpPr>
        <xdr:spPr>
          <a:xfrm>
            <a:off x="0" y="0"/>
            <a:ext cx="7486015" cy="2068195"/>
          </a:xfrm>
          <a:custGeom>
            <a:avLst/>
            <a:gdLst/>
            <a:ahLst/>
            <a:cxnLst/>
            <a:rect l="0" t="0" r="0" b="0"/>
            <a:pathLst>
              <a:path w="7486015" h="2068195">
                <a:moveTo>
                  <a:pt x="312420" y="1242060"/>
                </a:moveTo>
                <a:lnTo>
                  <a:pt x="0" y="1242060"/>
                </a:lnTo>
                <a:lnTo>
                  <a:pt x="0" y="1653540"/>
                </a:lnTo>
                <a:lnTo>
                  <a:pt x="312420" y="1653540"/>
                </a:lnTo>
                <a:lnTo>
                  <a:pt x="312420" y="1242060"/>
                </a:lnTo>
                <a:close/>
              </a:path>
              <a:path w="7486015" h="2068195">
                <a:moveTo>
                  <a:pt x="312420" y="827532"/>
                </a:moveTo>
                <a:lnTo>
                  <a:pt x="0" y="827532"/>
                </a:lnTo>
                <a:lnTo>
                  <a:pt x="0" y="1239012"/>
                </a:lnTo>
                <a:lnTo>
                  <a:pt x="312420" y="1239012"/>
                </a:lnTo>
                <a:lnTo>
                  <a:pt x="312420" y="827532"/>
                </a:lnTo>
                <a:close/>
              </a:path>
              <a:path w="7486015" h="2068195">
                <a:moveTo>
                  <a:pt x="312420" y="0"/>
                </a:moveTo>
                <a:lnTo>
                  <a:pt x="0" y="0"/>
                </a:lnTo>
                <a:lnTo>
                  <a:pt x="0" y="824484"/>
                </a:lnTo>
                <a:lnTo>
                  <a:pt x="312420" y="824484"/>
                </a:lnTo>
                <a:lnTo>
                  <a:pt x="312420" y="0"/>
                </a:lnTo>
                <a:close/>
              </a:path>
              <a:path w="7486015" h="2068195">
                <a:moveTo>
                  <a:pt x="1264920" y="1242060"/>
                </a:moveTo>
                <a:lnTo>
                  <a:pt x="315468" y="1242060"/>
                </a:lnTo>
                <a:lnTo>
                  <a:pt x="315468" y="1653540"/>
                </a:lnTo>
                <a:lnTo>
                  <a:pt x="1264920" y="1653540"/>
                </a:lnTo>
                <a:lnTo>
                  <a:pt x="1264920" y="1242060"/>
                </a:lnTo>
                <a:close/>
              </a:path>
              <a:path w="7486015" h="2068195">
                <a:moveTo>
                  <a:pt x="1264920" y="827532"/>
                </a:moveTo>
                <a:lnTo>
                  <a:pt x="315468" y="827532"/>
                </a:lnTo>
                <a:lnTo>
                  <a:pt x="315468" y="1239012"/>
                </a:lnTo>
                <a:lnTo>
                  <a:pt x="1264920" y="1239012"/>
                </a:lnTo>
                <a:lnTo>
                  <a:pt x="1264920" y="827532"/>
                </a:lnTo>
                <a:close/>
              </a:path>
              <a:path w="7486015" h="2068195">
                <a:moveTo>
                  <a:pt x="1264920" y="0"/>
                </a:moveTo>
                <a:lnTo>
                  <a:pt x="315468" y="0"/>
                </a:lnTo>
                <a:lnTo>
                  <a:pt x="315468" y="824484"/>
                </a:lnTo>
                <a:lnTo>
                  <a:pt x="1264920" y="824484"/>
                </a:lnTo>
                <a:lnTo>
                  <a:pt x="1264920" y="0"/>
                </a:lnTo>
                <a:close/>
              </a:path>
              <a:path w="7486015" h="2068195">
                <a:moveTo>
                  <a:pt x="2531364" y="1242060"/>
                </a:moveTo>
                <a:lnTo>
                  <a:pt x="1267968" y="1242060"/>
                </a:lnTo>
                <a:lnTo>
                  <a:pt x="1267968" y="1653540"/>
                </a:lnTo>
                <a:lnTo>
                  <a:pt x="2531364" y="1653540"/>
                </a:lnTo>
                <a:lnTo>
                  <a:pt x="2531364" y="1242060"/>
                </a:lnTo>
                <a:close/>
              </a:path>
              <a:path w="7486015" h="2068195">
                <a:moveTo>
                  <a:pt x="2531364" y="827532"/>
                </a:moveTo>
                <a:lnTo>
                  <a:pt x="1267968" y="827532"/>
                </a:lnTo>
                <a:lnTo>
                  <a:pt x="1267968" y="1239012"/>
                </a:lnTo>
                <a:lnTo>
                  <a:pt x="2531364" y="1239012"/>
                </a:lnTo>
                <a:lnTo>
                  <a:pt x="2531364" y="827532"/>
                </a:lnTo>
                <a:close/>
              </a:path>
              <a:path w="7486015" h="2068195">
                <a:moveTo>
                  <a:pt x="2531364" y="0"/>
                </a:moveTo>
                <a:lnTo>
                  <a:pt x="1267968" y="0"/>
                </a:lnTo>
                <a:lnTo>
                  <a:pt x="1267968" y="824484"/>
                </a:lnTo>
                <a:lnTo>
                  <a:pt x="2531364" y="824484"/>
                </a:lnTo>
                <a:lnTo>
                  <a:pt x="2531364" y="0"/>
                </a:lnTo>
                <a:close/>
              </a:path>
              <a:path w="7486015" h="2068195">
                <a:moveTo>
                  <a:pt x="3037332" y="1863852"/>
                </a:moveTo>
                <a:lnTo>
                  <a:pt x="2534412" y="1863852"/>
                </a:lnTo>
                <a:lnTo>
                  <a:pt x="2534412" y="2068068"/>
                </a:lnTo>
                <a:lnTo>
                  <a:pt x="3037332" y="2068068"/>
                </a:lnTo>
                <a:lnTo>
                  <a:pt x="3037332" y="1863852"/>
                </a:lnTo>
                <a:close/>
              </a:path>
              <a:path w="7486015" h="2068195">
                <a:moveTo>
                  <a:pt x="3037332" y="1656588"/>
                </a:moveTo>
                <a:lnTo>
                  <a:pt x="2534412" y="1656588"/>
                </a:lnTo>
                <a:lnTo>
                  <a:pt x="2534412" y="1860804"/>
                </a:lnTo>
                <a:lnTo>
                  <a:pt x="3037332" y="1860804"/>
                </a:lnTo>
                <a:lnTo>
                  <a:pt x="3037332" y="1656588"/>
                </a:lnTo>
                <a:close/>
              </a:path>
              <a:path w="7486015" h="2068195">
                <a:moveTo>
                  <a:pt x="3037332" y="1242060"/>
                </a:moveTo>
                <a:lnTo>
                  <a:pt x="2534412" y="1242060"/>
                </a:lnTo>
                <a:lnTo>
                  <a:pt x="2534412" y="1653540"/>
                </a:lnTo>
                <a:lnTo>
                  <a:pt x="3037332" y="1653540"/>
                </a:lnTo>
                <a:lnTo>
                  <a:pt x="3037332" y="1242060"/>
                </a:lnTo>
                <a:close/>
              </a:path>
              <a:path w="7486015" h="206819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06819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068195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06819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06819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068195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2068195">
                <a:moveTo>
                  <a:pt x="3674364" y="1863852"/>
                </a:moveTo>
                <a:lnTo>
                  <a:pt x="3040380" y="1863852"/>
                </a:lnTo>
                <a:lnTo>
                  <a:pt x="3040380" y="2068068"/>
                </a:lnTo>
                <a:lnTo>
                  <a:pt x="3674364" y="2068068"/>
                </a:lnTo>
                <a:lnTo>
                  <a:pt x="3674364" y="1863852"/>
                </a:lnTo>
                <a:close/>
              </a:path>
              <a:path w="7486015" h="2068195">
                <a:moveTo>
                  <a:pt x="3674364" y="1656588"/>
                </a:moveTo>
                <a:lnTo>
                  <a:pt x="3040380" y="1656588"/>
                </a:lnTo>
                <a:lnTo>
                  <a:pt x="3040380" y="1860804"/>
                </a:lnTo>
                <a:lnTo>
                  <a:pt x="3674364" y="1860804"/>
                </a:lnTo>
                <a:lnTo>
                  <a:pt x="3674364" y="1656588"/>
                </a:lnTo>
                <a:close/>
              </a:path>
              <a:path w="7486015" h="2068195">
                <a:moveTo>
                  <a:pt x="3674364" y="1242060"/>
                </a:moveTo>
                <a:lnTo>
                  <a:pt x="3040380" y="1242060"/>
                </a:lnTo>
                <a:lnTo>
                  <a:pt x="3040380" y="1653540"/>
                </a:lnTo>
                <a:lnTo>
                  <a:pt x="3674364" y="1653540"/>
                </a:lnTo>
                <a:lnTo>
                  <a:pt x="3674364" y="1242060"/>
                </a:lnTo>
                <a:close/>
              </a:path>
              <a:path w="7486015" h="206819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06819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068195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06819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06819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06819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2068195">
                <a:moveTo>
                  <a:pt x="4437888" y="1863852"/>
                </a:moveTo>
                <a:lnTo>
                  <a:pt x="3677412" y="1863852"/>
                </a:lnTo>
                <a:lnTo>
                  <a:pt x="3677412" y="2068068"/>
                </a:lnTo>
                <a:lnTo>
                  <a:pt x="4437888" y="2068068"/>
                </a:lnTo>
                <a:lnTo>
                  <a:pt x="4437888" y="1863852"/>
                </a:lnTo>
                <a:close/>
              </a:path>
              <a:path w="7486015" h="2068195">
                <a:moveTo>
                  <a:pt x="4437888" y="1656588"/>
                </a:moveTo>
                <a:lnTo>
                  <a:pt x="3677412" y="1656588"/>
                </a:lnTo>
                <a:lnTo>
                  <a:pt x="3677412" y="1860804"/>
                </a:lnTo>
                <a:lnTo>
                  <a:pt x="4437888" y="1860804"/>
                </a:lnTo>
                <a:lnTo>
                  <a:pt x="4437888" y="1656588"/>
                </a:lnTo>
                <a:close/>
              </a:path>
              <a:path w="7486015" h="2068195">
                <a:moveTo>
                  <a:pt x="4437888" y="1242060"/>
                </a:moveTo>
                <a:lnTo>
                  <a:pt x="3677412" y="1242060"/>
                </a:lnTo>
                <a:lnTo>
                  <a:pt x="3677412" y="1653540"/>
                </a:lnTo>
                <a:lnTo>
                  <a:pt x="4437888" y="1653540"/>
                </a:lnTo>
                <a:lnTo>
                  <a:pt x="4437888" y="1242060"/>
                </a:lnTo>
                <a:close/>
              </a:path>
              <a:path w="7486015" h="206819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06819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068195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06819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06819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06819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2068195">
                <a:moveTo>
                  <a:pt x="5199888" y="1863852"/>
                </a:moveTo>
                <a:lnTo>
                  <a:pt x="4440936" y="1863852"/>
                </a:lnTo>
                <a:lnTo>
                  <a:pt x="4440936" y="2068068"/>
                </a:lnTo>
                <a:lnTo>
                  <a:pt x="5199888" y="2068068"/>
                </a:lnTo>
                <a:lnTo>
                  <a:pt x="5199888" y="1863852"/>
                </a:lnTo>
                <a:close/>
              </a:path>
              <a:path w="7486015" h="2068195">
                <a:moveTo>
                  <a:pt x="5199888" y="1656588"/>
                </a:moveTo>
                <a:lnTo>
                  <a:pt x="4440936" y="1656588"/>
                </a:lnTo>
                <a:lnTo>
                  <a:pt x="4440936" y="1860804"/>
                </a:lnTo>
                <a:lnTo>
                  <a:pt x="5199888" y="1860804"/>
                </a:lnTo>
                <a:lnTo>
                  <a:pt x="5199888" y="1656588"/>
                </a:lnTo>
                <a:close/>
              </a:path>
              <a:path w="7486015" h="2068195">
                <a:moveTo>
                  <a:pt x="5199888" y="1242060"/>
                </a:moveTo>
                <a:lnTo>
                  <a:pt x="4440936" y="1242060"/>
                </a:lnTo>
                <a:lnTo>
                  <a:pt x="4440936" y="1653540"/>
                </a:lnTo>
                <a:lnTo>
                  <a:pt x="5199888" y="1653540"/>
                </a:lnTo>
                <a:lnTo>
                  <a:pt x="5199888" y="1242060"/>
                </a:lnTo>
                <a:close/>
              </a:path>
              <a:path w="7486015" h="206819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06819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068195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06819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06819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06819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2068195">
                <a:moveTo>
                  <a:pt x="5961875" y="1863852"/>
                </a:moveTo>
                <a:lnTo>
                  <a:pt x="5202936" y="1863852"/>
                </a:lnTo>
                <a:lnTo>
                  <a:pt x="5202936" y="2068068"/>
                </a:lnTo>
                <a:lnTo>
                  <a:pt x="5961875" y="2068068"/>
                </a:lnTo>
                <a:lnTo>
                  <a:pt x="5961875" y="1863852"/>
                </a:lnTo>
                <a:close/>
              </a:path>
              <a:path w="7486015" h="2068195">
                <a:moveTo>
                  <a:pt x="5961875" y="1656588"/>
                </a:moveTo>
                <a:lnTo>
                  <a:pt x="5202936" y="1656588"/>
                </a:lnTo>
                <a:lnTo>
                  <a:pt x="5202936" y="1860804"/>
                </a:lnTo>
                <a:lnTo>
                  <a:pt x="5961875" y="1860804"/>
                </a:lnTo>
                <a:lnTo>
                  <a:pt x="5961875" y="1656588"/>
                </a:lnTo>
                <a:close/>
              </a:path>
              <a:path w="7486015" h="2068195">
                <a:moveTo>
                  <a:pt x="5961875" y="1242060"/>
                </a:moveTo>
                <a:lnTo>
                  <a:pt x="5202936" y="1242060"/>
                </a:lnTo>
                <a:lnTo>
                  <a:pt x="5202936" y="1653540"/>
                </a:lnTo>
                <a:lnTo>
                  <a:pt x="5961875" y="1653540"/>
                </a:lnTo>
                <a:lnTo>
                  <a:pt x="5961875" y="1242060"/>
                </a:lnTo>
                <a:close/>
              </a:path>
              <a:path w="7486015" h="206819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06819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068195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06819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06819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06819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068195">
                <a:moveTo>
                  <a:pt x="6723888" y="1863852"/>
                </a:moveTo>
                <a:lnTo>
                  <a:pt x="5964936" y="1863852"/>
                </a:lnTo>
                <a:lnTo>
                  <a:pt x="5964936" y="2068068"/>
                </a:lnTo>
                <a:lnTo>
                  <a:pt x="6723888" y="2068068"/>
                </a:lnTo>
                <a:lnTo>
                  <a:pt x="6723888" y="1863852"/>
                </a:lnTo>
                <a:close/>
              </a:path>
              <a:path w="7486015" h="2068195">
                <a:moveTo>
                  <a:pt x="6723888" y="1656588"/>
                </a:moveTo>
                <a:lnTo>
                  <a:pt x="5964936" y="1656588"/>
                </a:lnTo>
                <a:lnTo>
                  <a:pt x="5964936" y="1860804"/>
                </a:lnTo>
                <a:lnTo>
                  <a:pt x="6723888" y="1860804"/>
                </a:lnTo>
                <a:lnTo>
                  <a:pt x="6723888" y="1656588"/>
                </a:lnTo>
                <a:close/>
              </a:path>
              <a:path w="7486015" h="2068195">
                <a:moveTo>
                  <a:pt x="6723888" y="1242060"/>
                </a:moveTo>
                <a:lnTo>
                  <a:pt x="5964936" y="1242060"/>
                </a:lnTo>
                <a:lnTo>
                  <a:pt x="5964936" y="1653540"/>
                </a:lnTo>
                <a:lnTo>
                  <a:pt x="6723888" y="1653540"/>
                </a:lnTo>
                <a:lnTo>
                  <a:pt x="6723888" y="1242060"/>
                </a:lnTo>
                <a:close/>
              </a:path>
              <a:path w="7486015" h="206819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06819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068195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06819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06819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06819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068195">
                <a:moveTo>
                  <a:pt x="7485888" y="1656588"/>
                </a:moveTo>
                <a:lnTo>
                  <a:pt x="6726936" y="1656588"/>
                </a:lnTo>
                <a:lnTo>
                  <a:pt x="6726936" y="1860804"/>
                </a:lnTo>
                <a:lnTo>
                  <a:pt x="7485888" y="1860804"/>
                </a:lnTo>
                <a:lnTo>
                  <a:pt x="7485888" y="1656588"/>
                </a:lnTo>
                <a:close/>
              </a:path>
              <a:path w="7486015" h="2068195">
                <a:moveTo>
                  <a:pt x="7485888" y="1242060"/>
                </a:moveTo>
                <a:lnTo>
                  <a:pt x="6726936" y="1242060"/>
                </a:lnTo>
                <a:lnTo>
                  <a:pt x="6726936" y="1653540"/>
                </a:lnTo>
                <a:lnTo>
                  <a:pt x="7485888" y="1653540"/>
                </a:lnTo>
                <a:lnTo>
                  <a:pt x="7485888" y="1242060"/>
                </a:lnTo>
                <a:close/>
              </a:path>
              <a:path w="7486015" h="206819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06819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06819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06819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06819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06819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39" name="Shape 139">
            <a:extLst>
              <a:ext uri="{FF2B5EF4-FFF2-40B4-BE49-F238E27FC236}">
                <a16:creationId xmlns:a16="http://schemas.microsoft.com/office/drawing/2014/main" id="{00000000-0008-0000-0C00-00008B000000}"/>
              </a:ext>
            </a:extLst>
          </xdr:cNvPr>
          <xdr:cNvSpPr/>
        </xdr:nvSpPr>
        <xdr:spPr>
          <a:xfrm>
            <a:off x="0" y="1656587"/>
            <a:ext cx="7486015" cy="2368550"/>
          </a:xfrm>
          <a:custGeom>
            <a:avLst/>
            <a:gdLst/>
            <a:ahLst/>
            <a:cxnLst/>
            <a:rect l="0" t="0" r="0" b="0"/>
            <a:pathLst>
              <a:path w="7486015" h="2368550">
                <a:moveTo>
                  <a:pt x="312420" y="1956816"/>
                </a:moveTo>
                <a:lnTo>
                  <a:pt x="0" y="1956816"/>
                </a:lnTo>
                <a:lnTo>
                  <a:pt x="0" y="2368296"/>
                </a:lnTo>
                <a:lnTo>
                  <a:pt x="312420" y="2368296"/>
                </a:lnTo>
                <a:lnTo>
                  <a:pt x="312420" y="1956816"/>
                </a:lnTo>
                <a:close/>
              </a:path>
              <a:path w="7486015" h="2368550">
                <a:moveTo>
                  <a:pt x="312420" y="1655064"/>
                </a:moveTo>
                <a:lnTo>
                  <a:pt x="0" y="1655064"/>
                </a:lnTo>
                <a:lnTo>
                  <a:pt x="0" y="1953768"/>
                </a:lnTo>
                <a:lnTo>
                  <a:pt x="312420" y="1953768"/>
                </a:lnTo>
                <a:lnTo>
                  <a:pt x="312420" y="1655064"/>
                </a:lnTo>
                <a:close/>
              </a:path>
              <a:path w="7486015" h="2368550">
                <a:moveTo>
                  <a:pt x="312420" y="1034796"/>
                </a:moveTo>
                <a:lnTo>
                  <a:pt x="0" y="1034796"/>
                </a:lnTo>
                <a:lnTo>
                  <a:pt x="0" y="1652016"/>
                </a:lnTo>
                <a:lnTo>
                  <a:pt x="312420" y="1652016"/>
                </a:lnTo>
                <a:lnTo>
                  <a:pt x="312420" y="1034796"/>
                </a:lnTo>
                <a:close/>
              </a:path>
              <a:path w="7486015" h="2368550">
                <a:moveTo>
                  <a:pt x="312420" y="0"/>
                </a:moveTo>
                <a:lnTo>
                  <a:pt x="0" y="0"/>
                </a:lnTo>
                <a:lnTo>
                  <a:pt x="0" y="1031748"/>
                </a:lnTo>
                <a:lnTo>
                  <a:pt x="312420" y="1031748"/>
                </a:lnTo>
                <a:lnTo>
                  <a:pt x="312420" y="0"/>
                </a:lnTo>
                <a:close/>
              </a:path>
              <a:path w="7486015" h="2368550">
                <a:moveTo>
                  <a:pt x="1264920" y="1956816"/>
                </a:moveTo>
                <a:lnTo>
                  <a:pt x="315468" y="1956816"/>
                </a:lnTo>
                <a:lnTo>
                  <a:pt x="315468" y="2368296"/>
                </a:lnTo>
                <a:lnTo>
                  <a:pt x="1264920" y="2368296"/>
                </a:lnTo>
                <a:lnTo>
                  <a:pt x="1264920" y="1956816"/>
                </a:lnTo>
                <a:close/>
              </a:path>
              <a:path w="7486015" h="2368550">
                <a:moveTo>
                  <a:pt x="1264920" y="1655064"/>
                </a:moveTo>
                <a:lnTo>
                  <a:pt x="315468" y="1655064"/>
                </a:lnTo>
                <a:lnTo>
                  <a:pt x="315468" y="1953768"/>
                </a:lnTo>
                <a:lnTo>
                  <a:pt x="1264920" y="1953768"/>
                </a:lnTo>
                <a:lnTo>
                  <a:pt x="1264920" y="1655064"/>
                </a:lnTo>
                <a:close/>
              </a:path>
              <a:path w="7486015" h="2368550">
                <a:moveTo>
                  <a:pt x="1264920" y="1034796"/>
                </a:moveTo>
                <a:lnTo>
                  <a:pt x="315468" y="1034796"/>
                </a:lnTo>
                <a:lnTo>
                  <a:pt x="315468" y="1652016"/>
                </a:lnTo>
                <a:lnTo>
                  <a:pt x="1264920" y="1652016"/>
                </a:lnTo>
                <a:lnTo>
                  <a:pt x="1264920" y="1034796"/>
                </a:lnTo>
                <a:close/>
              </a:path>
              <a:path w="7486015" h="2368550">
                <a:moveTo>
                  <a:pt x="1264920" y="0"/>
                </a:moveTo>
                <a:lnTo>
                  <a:pt x="315468" y="0"/>
                </a:lnTo>
                <a:lnTo>
                  <a:pt x="315468" y="1031748"/>
                </a:lnTo>
                <a:lnTo>
                  <a:pt x="1264920" y="1031748"/>
                </a:lnTo>
                <a:lnTo>
                  <a:pt x="1264920" y="0"/>
                </a:lnTo>
                <a:close/>
              </a:path>
              <a:path w="7486015" h="2368550">
                <a:moveTo>
                  <a:pt x="2531364" y="1956816"/>
                </a:moveTo>
                <a:lnTo>
                  <a:pt x="1267968" y="1956816"/>
                </a:lnTo>
                <a:lnTo>
                  <a:pt x="1267968" y="2368296"/>
                </a:lnTo>
                <a:lnTo>
                  <a:pt x="2531364" y="2368296"/>
                </a:lnTo>
                <a:lnTo>
                  <a:pt x="2531364" y="1956816"/>
                </a:lnTo>
                <a:close/>
              </a:path>
              <a:path w="7486015" h="2368550">
                <a:moveTo>
                  <a:pt x="2531364" y="1655064"/>
                </a:moveTo>
                <a:lnTo>
                  <a:pt x="1267968" y="1655064"/>
                </a:lnTo>
                <a:lnTo>
                  <a:pt x="1267968" y="1953768"/>
                </a:lnTo>
                <a:lnTo>
                  <a:pt x="2531364" y="1953768"/>
                </a:lnTo>
                <a:lnTo>
                  <a:pt x="2531364" y="1655064"/>
                </a:lnTo>
                <a:close/>
              </a:path>
              <a:path w="7486015" h="2368550">
                <a:moveTo>
                  <a:pt x="2531364" y="1034796"/>
                </a:moveTo>
                <a:lnTo>
                  <a:pt x="1267968" y="1034796"/>
                </a:lnTo>
                <a:lnTo>
                  <a:pt x="1267968" y="1652016"/>
                </a:lnTo>
                <a:lnTo>
                  <a:pt x="2531364" y="1652016"/>
                </a:lnTo>
                <a:lnTo>
                  <a:pt x="2531364" y="1034796"/>
                </a:lnTo>
                <a:close/>
              </a:path>
              <a:path w="7486015" h="2368550">
                <a:moveTo>
                  <a:pt x="2531364" y="0"/>
                </a:moveTo>
                <a:lnTo>
                  <a:pt x="1267968" y="0"/>
                </a:lnTo>
                <a:lnTo>
                  <a:pt x="1267968" y="1031748"/>
                </a:lnTo>
                <a:lnTo>
                  <a:pt x="2531364" y="1031748"/>
                </a:lnTo>
                <a:lnTo>
                  <a:pt x="2531364" y="0"/>
                </a:lnTo>
                <a:close/>
              </a:path>
              <a:path w="7486015" h="2368550">
                <a:moveTo>
                  <a:pt x="3037332" y="2162556"/>
                </a:moveTo>
                <a:lnTo>
                  <a:pt x="2534412" y="2162556"/>
                </a:lnTo>
                <a:lnTo>
                  <a:pt x="2534412" y="2368296"/>
                </a:lnTo>
                <a:lnTo>
                  <a:pt x="3037332" y="2368296"/>
                </a:lnTo>
                <a:lnTo>
                  <a:pt x="3037332" y="2162556"/>
                </a:lnTo>
                <a:close/>
              </a:path>
              <a:path w="7486015" h="2368550">
                <a:moveTo>
                  <a:pt x="3037332" y="1956816"/>
                </a:moveTo>
                <a:lnTo>
                  <a:pt x="2534412" y="1956816"/>
                </a:lnTo>
                <a:lnTo>
                  <a:pt x="2534412" y="2159508"/>
                </a:lnTo>
                <a:lnTo>
                  <a:pt x="3037332" y="2159508"/>
                </a:lnTo>
                <a:lnTo>
                  <a:pt x="3037332" y="1956816"/>
                </a:lnTo>
                <a:close/>
              </a:path>
              <a:path w="7486015" h="2368550">
                <a:moveTo>
                  <a:pt x="3037332" y="1655064"/>
                </a:moveTo>
                <a:lnTo>
                  <a:pt x="2534412" y="1655064"/>
                </a:lnTo>
                <a:lnTo>
                  <a:pt x="2534412" y="1953768"/>
                </a:lnTo>
                <a:lnTo>
                  <a:pt x="3037332" y="1953768"/>
                </a:lnTo>
                <a:lnTo>
                  <a:pt x="3037332" y="1655064"/>
                </a:lnTo>
                <a:close/>
              </a:path>
              <a:path w="7486015" h="2368550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2368550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368550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368550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368550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368550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368550">
                <a:moveTo>
                  <a:pt x="3674364" y="1956816"/>
                </a:moveTo>
                <a:lnTo>
                  <a:pt x="3040380" y="1956816"/>
                </a:lnTo>
                <a:lnTo>
                  <a:pt x="3040380" y="2159508"/>
                </a:lnTo>
                <a:lnTo>
                  <a:pt x="3674364" y="2159508"/>
                </a:lnTo>
                <a:lnTo>
                  <a:pt x="3674364" y="1956816"/>
                </a:lnTo>
                <a:close/>
              </a:path>
              <a:path w="7486015" h="2368550">
                <a:moveTo>
                  <a:pt x="3674364" y="1655064"/>
                </a:moveTo>
                <a:lnTo>
                  <a:pt x="3040380" y="1655064"/>
                </a:lnTo>
                <a:lnTo>
                  <a:pt x="3040380" y="1953768"/>
                </a:lnTo>
                <a:lnTo>
                  <a:pt x="3674364" y="1953768"/>
                </a:lnTo>
                <a:lnTo>
                  <a:pt x="3674364" y="1655064"/>
                </a:lnTo>
                <a:close/>
              </a:path>
              <a:path w="7486015" h="2368550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2368550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368550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368550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368550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368550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368550">
                <a:moveTo>
                  <a:pt x="4437888" y="1956816"/>
                </a:moveTo>
                <a:lnTo>
                  <a:pt x="3677412" y="1956816"/>
                </a:lnTo>
                <a:lnTo>
                  <a:pt x="3677412" y="2159508"/>
                </a:lnTo>
                <a:lnTo>
                  <a:pt x="4437888" y="2159508"/>
                </a:lnTo>
                <a:lnTo>
                  <a:pt x="4437888" y="1956816"/>
                </a:lnTo>
                <a:close/>
              </a:path>
              <a:path w="7486015" h="2368550">
                <a:moveTo>
                  <a:pt x="4437888" y="1655064"/>
                </a:moveTo>
                <a:lnTo>
                  <a:pt x="3677412" y="1655064"/>
                </a:lnTo>
                <a:lnTo>
                  <a:pt x="3677412" y="1953768"/>
                </a:lnTo>
                <a:lnTo>
                  <a:pt x="4437888" y="1953768"/>
                </a:lnTo>
                <a:lnTo>
                  <a:pt x="4437888" y="1655064"/>
                </a:lnTo>
                <a:close/>
              </a:path>
              <a:path w="7486015" h="2368550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2368550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368550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368550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368550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368550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368550">
                <a:moveTo>
                  <a:pt x="5199888" y="1956816"/>
                </a:moveTo>
                <a:lnTo>
                  <a:pt x="4440936" y="1956816"/>
                </a:lnTo>
                <a:lnTo>
                  <a:pt x="4440936" y="2159508"/>
                </a:lnTo>
                <a:lnTo>
                  <a:pt x="5199888" y="2159508"/>
                </a:lnTo>
                <a:lnTo>
                  <a:pt x="5199888" y="1956816"/>
                </a:lnTo>
                <a:close/>
              </a:path>
              <a:path w="7486015" h="2368550">
                <a:moveTo>
                  <a:pt x="5199888" y="1655064"/>
                </a:moveTo>
                <a:lnTo>
                  <a:pt x="4440936" y="1655064"/>
                </a:lnTo>
                <a:lnTo>
                  <a:pt x="4440936" y="1953768"/>
                </a:lnTo>
                <a:lnTo>
                  <a:pt x="5199888" y="1953768"/>
                </a:lnTo>
                <a:lnTo>
                  <a:pt x="5199888" y="1655064"/>
                </a:lnTo>
                <a:close/>
              </a:path>
              <a:path w="7486015" h="2368550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2368550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368550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368550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368550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368550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368550">
                <a:moveTo>
                  <a:pt x="5961875" y="1956816"/>
                </a:moveTo>
                <a:lnTo>
                  <a:pt x="5202936" y="1956816"/>
                </a:lnTo>
                <a:lnTo>
                  <a:pt x="5202936" y="2159508"/>
                </a:lnTo>
                <a:lnTo>
                  <a:pt x="5961875" y="2159508"/>
                </a:lnTo>
                <a:lnTo>
                  <a:pt x="5961875" y="1956816"/>
                </a:lnTo>
                <a:close/>
              </a:path>
              <a:path w="7486015" h="2368550">
                <a:moveTo>
                  <a:pt x="5961875" y="1655064"/>
                </a:moveTo>
                <a:lnTo>
                  <a:pt x="5202936" y="1655064"/>
                </a:lnTo>
                <a:lnTo>
                  <a:pt x="5202936" y="1953768"/>
                </a:lnTo>
                <a:lnTo>
                  <a:pt x="5961875" y="1953768"/>
                </a:lnTo>
                <a:lnTo>
                  <a:pt x="5961875" y="1655064"/>
                </a:lnTo>
                <a:close/>
              </a:path>
              <a:path w="7486015" h="2368550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2368550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368550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368550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368550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368550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368550">
                <a:moveTo>
                  <a:pt x="6723888" y="1956816"/>
                </a:moveTo>
                <a:lnTo>
                  <a:pt x="5964936" y="1956816"/>
                </a:lnTo>
                <a:lnTo>
                  <a:pt x="5964936" y="2159508"/>
                </a:lnTo>
                <a:lnTo>
                  <a:pt x="6723888" y="2159508"/>
                </a:lnTo>
                <a:lnTo>
                  <a:pt x="6723888" y="1956816"/>
                </a:lnTo>
                <a:close/>
              </a:path>
              <a:path w="7486015" h="2368550">
                <a:moveTo>
                  <a:pt x="6723888" y="1655064"/>
                </a:moveTo>
                <a:lnTo>
                  <a:pt x="5964936" y="1655064"/>
                </a:lnTo>
                <a:lnTo>
                  <a:pt x="5964936" y="1953768"/>
                </a:lnTo>
                <a:lnTo>
                  <a:pt x="6723888" y="1953768"/>
                </a:lnTo>
                <a:lnTo>
                  <a:pt x="6723888" y="1655064"/>
                </a:lnTo>
                <a:close/>
              </a:path>
              <a:path w="7486015" h="2368550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2368550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368550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368550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368550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368550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368550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368550">
                <a:moveTo>
                  <a:pt x="7485888" y="1956816"/>
                </a:moveTo>
                <a:lnTo>
                  <a:pt x="6726936" y="1956816"/>
                </a:lnTo>
                <a:lnTo>
                  <a:pt x="6726936" y="2159508"/>
                </a:lnTo>
                <a:lnTo>
                  <a:pt x="7485888" y="2159508"/>
                </a:lnTo>
                <a:lnTo>
                  <a:pt x="7485888" y="1956816"/>
                </a:lnTo>
                <a:close/>
              </a:path>
              <a:path w="7486015" h="2368550">
                <a:moveTo>
                  <a:pt x="7485888" y="1655064"/>
                </a:moveTo>
                <a:lnTo>
                  <a:pt x="6726936" y="1655064"/>
                </a:lnTo>
                <a:lnTo>
                  <a:pt x="6726936" y="1953768"/>
                </a:lnTo>
                <a:lnTo>
                  <a:pt x="7485888" y="1953768"/>
                </a:lnTo>
                <a:lnTo>
                  <a:pt x="7485888" y="1655064"/>
                </a:lnTo>
                <a:close/>
              </a:path>
              <a:path w="7486015" h="2368550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2368550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368550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368550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368550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368550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368550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40" name="Shape 140">
            <a:extLst>
              <a:ext uri="{FF2B5EF4-FFF2-40B4-BE49-F238E27FC236}">
                <a16:creationId xmlns:a16="http://schemas.microsoft.com/office/drawing/2014/main" id="{00000000-0008-0000-0C00-00008C000000}"/>
              </a:ext>
            </a:extLst>
          </xdr:cNvPr>
          <xdr:cNvSpPr/>
        </xdr:nvSpPr>
        <xdr:spPr>
          <a:xfrm>
            <a:off x="2534412" y="3819144"/>
            <a:ext cx="4951730" cy="205740"/>
          </a:xfrm>
          <a:custGeom>
            <a:avLst/>
            <a:gdLst/>
            <a:ahLst/>
            <a:cxnLst/>
            <a:rect l="0" t="0" r="0" b="0"/>
            <a:pathLst>
              <a:path w="4951730" h="205740">
                <a:moveTo>
                  <a:pt x="502920" y="0"/>
                </a:moveTo>
                <a:lnTo>
                  <a:pt x="0" y="0"/>
                </a:lnTo>
                <a:lnTo>
                  <a:pt x="0" y="205740"/>
                </a:lnTo>
                <a:lnTo>
                  <a:pt x="502920" y="205740"/>
                </a:lnTo>
                <a:lnTo>
                  <a:pt x="502920" y="0"/>
                </a:lnTo>
                <a:close/>
              </a:path>
              <a:path w="4951730" h="205740">
                <a:moveTo>
                  <a:pt x="1139952" y="0"/>
                </a:moveTo>
                <a:lnTo>
                  <a:pt x="505968" y="0"/>
                </a:lnTo>
                <a:lnTo>
                  <a:pt x="505968" y="205740"/>
                </a:lnTo>
                <a:lnTo>
                  <a:pt x="1139952" y="205740"/>
                </a:lnTo>
                <a:lnTo>
                  <a:pt x="1139952" y="0"/>
                </a:lnTo>
                <a:close/>
              </a:path>
              <a:path w="4951730" h="205740">
                <a:moveTo>
                  <a:pt x="1903476" y="0"/>
                </a:moveTo>
                <a:lnTo>
                  <a:pt x="1143000" y="0"/>
                </a:lnTo>
                <a:lnTo>
                  <a:pt x="1143000" y="205740"/>
                </a:lnTo>
                <a:lnTo>
                  <a:pt x="1903476" y="205740"/>
                </a:lnTo>
                <a:lnTo>
                  <a:pt x="1903476" y="0"/>
                </a:lnTo>
                <a:close/>
              </a:path>
              <a:path w="4951730" h="205740">
                <a:moveTo>
                  <a:pt x="2665476" y="0"/>
                </a:moveTo>
                <a:lnTo>
                  <a:pt x="1906524" y="0"/>
                </a:lnTo>
                <a:lnTo>
                  <a:pt x="1906524" y="205740"/>
                </a:lnTo>
                <a:lnTo>
                  <a:pt x="2665476" y="205740"/>
                </a:lnTo>
                <a:lnTo>
                  <a:pt x="2665476" y="0"/>
                </a:lnTo>
                <a:close/>
              </a:path>
              <a:path w="4951730" h="205740">
                <a:moveTo>
                  <a:pt x="3427463" y="0"/>
                </a:moveTo>
                <a:lnTo>
                  <a:pt x="2668524" y="0"/>
                </a:lnTo>
                <a:lnTo>
                  <a:pt x="2668524" y="205740"/>
                </a:lnTo>
                <a:lnTo>
                  <a:pt x="3427463" y="205740"/>
                </a:lnTo>
                <a:lnTo>
                  <a:pt x="3427463" y="0"/>
                </a:lnTo>
                <a:close/>
              </a:path>
              <a:path w="4951730" h="205740">
                <a:moveTo>
                  <a:pt x="4189476" y="0"/>
                </a:moveTo>
                <a:lnTo>
                  <a:pt x="3430524" y="0"/>
                </a:lnTo>
                <a:lnTo>
                  <a:pt x="3430524" y="205740"/>
                </a:lnTo>
                <a:lnTo>
                  <a:pt x="4189476" y="205740"/>
                </a:lnTo>
                <a:lnTo>
                  <a:pt x="4189476" y="0"/>
                </a:lnTo>
                <a:close/>
              </a:path>
              <a:path w="4951730" h="205740">
                <a:moveTo>
                  <a:pt x="4951476" y="0"/>
                </a:moveTo>
                <a:lnTo>
                  <a:pt x="4192524" y="0"/>
                </a:lnTo>
                <a:lnTo>
                  <a:pt x="4192524" y="205740"/>
                </a:lnTo>
                <a:lnTo>
                  <a:pt x="4951476" y="205740"/>
                </a:lnTo>
                <a:lnTo>
                  <a:pt x="4951476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24</xdr:row>
      <xdr:rowOff>0</xdr:rowOff>
    </xdr:from>
    <xdr:ext cx="645160" cy="4025265"/>
    <xdr:sp macro="" textlink="">
      <xdr:nvSpPr>
        <xdr:cNvPr id="141" name="Shape 141">
          <a:extLst>
            <a:ext uri="{FF2B5EF4-FFF2-40B4-BE49-F238E27FC236}">
              <a16:creationId xmlns:a16="http://schemas.microsoft.com/office/drawing/2014/main" id="{00000000-0008-0000-0C00-00008D000000}"/>
            </a:ext>
          </a:extLst>
        </xdr:cNvPr>
        <xdr:cNvSpPr/>
      </xdr:nvSpPr>
      <xdr:spPr>
        <a:xfrm>
          <a:off x="0" y="0"/>
          <a:ext cx="645160" cy="4025265"/>
        </a:xfrm>
        <a:custGeom>
          <a:avLst/>
          <a:gdLst/>
          <a:ahLst/>
          <a:cxnLst/>
          <a:rect l="0" t="0" r="0" b="0"/>
          <a:pathLst>
            <a:path w="645160" h="4025265">
              <a:moveTo>
                <a:pt x="644652" y="3819144"/>
              </a:moveTo>
              <a:lnTo>
                <a:pt x="0" y="3819144"/>
              </a:lnTo>
              <a:lnTo>
                <a:pt x="0" y="4024884"/>
              </a:lnTo>
              <a:lnTo>
                <a:pt x="644652" y="4024884"/>
              </a:lnTo>
              <a:lnTo>
                <a:pt x="644652" y="3819144"/>
              </a:lnTo>
              <a:close/>
            </a:path>
            <a:path w="645160" h="4025265">
              <a:moveTo>
                <a:pt x="644652" y="3613404"/>
              </a:moveTo>
              <a:lnTo>
                <a:pt x="0" y="3613404"/>
              </a:lnTo>
              <a:lnTo>
                <a:pt x="0" y="3816096"/>
              </a:lnTo>
              <a:lnTo>
                <a:pt x="644652" y="3816096"/>
              </a:lnTo>
              <a:lnTo>
                <a:pt x="644652" y="3613404"/>
              </a:lnTo>
              <a:close/>
            </a:path>
            <a:path w="645160" h="4025265">
              <a:moveTo>
                <a:pt x="644652" y="3311652"/>
              </a:moveTo>
              <a:lnTo>
                <a:pt x="0" y="3311652"/>
              </a:lnTo>
              <a:lnTo>
                <a:pt x="0" y="3610356"/>
              </a:lnTo>
              <a:lnTo>
                <a:pt x="644652" y="3610356"/>
              </a:lnTo>
              <a:lnTo>
                <a:pt x="644652" y="3311652"/>
              </a:lnTo>
              <a:close/>
            </a:path>
            <a:path w="645160" h="4025265">
              <a:moveTo>
                <a:pt x="644652" y="3105912"/>
              </a:moveTo>
              <a:lnTo>
                <a:pt x="0" y="3105912"/>
              </a:lnTo>
              <a:lnTo>
                <a:pt x="0" y="3308604"/>
              </a:lnTo>
              <a:lnTo>
                <a:pt x="644652" y="3308604"/>
              </a:lnTo>
              <a:lnTo>
                <a:pt x="644652" y="3105912"/>
              </a:lnTo>
              <a:close/>
            </a:path>
            <a:path w="645160" h="4025265">
              <a:moveTo>
                <a:pt x="644652" y="2898648"/>
              </a:moveTo>
              <a:lnTo>
                <a:pt x="0" y="2898648"/>
              </a:lnTo>
              <a:lnTo>
                <a:pt x="0" y="3102864"/>
              </a:lnTo>
              <a:lnTo>
                <a:pt x="644652" y="3102864"/>
              </a:lnTo>
              <a:lnTo>
                <a:pt x="644652" y="2898648"/>
              </a:lnTo>
              <a:close/>
            </a:path>
            <a:path w="645160" h="4025265">
              <a:moveTo>
                <a:pt x="644652" y="2691384"/>
              </a:moveTo>
              <a:lnTo>
                <a:pt x="0" y="2691384"/>
              </a:lnTo>
              <a:lnTo>
                <a:pt x="0" y="2895600"/>
              </a:lnTo>
              <a:lnTo>
                <a:pt x="644652" y="2895600"/>
              </a:lnTo>
              <a:lnTo>
                <a:pt x="644652" y="2691384"/>
              </a:lnTo>
              <a:close/>
            </a:path>
            <a:path w="645160" h="4025265">
              <a:moveTo>
                <a:pt x="644652" y="2484120"/>
              </a:moveTo>
              <a:lnTo>
                <a:pt x="0" y="2484120"/>
              </a:lnTo>
              <a:lnTo>
                <a:pt x="0" y="2688336"/>
              </a:lnTo>
              <a:lnTo>
                <a:pt x="644652" y="2688336"/>
              </a:lnTo>
              <a:lnTo>
                <a:pt x="644652" y="2484120"/>
              </a:lnTo>
              <a:close/>
            </a:path>
            <a:path w="645160" h="4025265">
              <a:moveTo>
                <a:pt x="644652" y="2278380"/>
              </a:moveTo>
              <a:lnTo>
                <a:pt x="0" y="2278380"/>
              </a:lnTo>
              <a:lnTo>
                <a:pt x="0" y="2481072"/>
              </a:lnTo>
              <a:lnTo>
                <a:pt x="644652" y="2481072"/>
              </a:lnTo>
              <a:lnTo>
                <a:pt x="644652" y="2278380"/>
              </a:lnTo>
              <a:close/>
            </a:path>
            <a:path w="645160" h="4025265">
              <a:moveTo>
                <a:pt x="644652" y="2071116"/>
              </a:moveTo>
              <a:lnTo>
                <a:pt x="0" y="2071116"/>
              </a:lnTo>
              <a:lnTo>
                <a:pt x="0" y="2275332"/>
              </a:lnTo>
              <a:lnTo>
                <a:pt x="644652" y="2275332"/>
              </a:lnTo>
              <a:lnTo>
                <a:pt x="644652" y="2071116"/>
              </a:lnTo>
              <a:close/>
            </a:path>
            <a:path w="645160" h="4025265">
              <a:moveTo>
                <a:pt x="644652" y="1863852"/>
              </a:moveTo>
              <a:lnTo>
                <a:pt x="0" y="1863852"/>
              </a:lnTo>
              <a:lnTo>
                <a:pt x="0" y="2068068"/>
              </a:lnTo>
              <a:lnTo>
                <a:pt x="644652" y="2068068"/>
              </a:lnTo>
              <a:lnTo>
                <a:pt x="644652" y="1863852"/>
              </a:lnTo>
              <a:close/>
            </a:path>
            <a:path w="645160" h="4025265">
              <a:moveTo>
                <a:pt x="644652" y="1656588"/>
              </a:moveTo>
              <a:lnTo>
                <a:pt x="0" y="1656588"/>
              </a:lnTo>
              <a:lnTo>
                <a:pt x="0" y="1860804"/>
              </a:lnTo>
              <a:lnTo>
                <a:pt x="644652" y="1860804"/>
              </a:lnTo>
              <a:lnTo>
                <a:pt x="644652" y="1656588"/>
              </a:lnTo>
              <a:close/>
            </a:path>
            <a:path w="645160" h="4025265">
              <a:moveTo>
                <a:pt x="644652" y="1242060"/>
              </a:moveTo>
              <a:lnTo>
                <a:pt x="0" y="1242060"/>
              </a:lnTo>
              <a:lnTo>
                <a:pt x="0" y="1653540"/>
              </a:lnTo>
              <a:lnTo>
                <a:pt x="644652" y="1653540"/>
              </a:lnTo>
              <a:lnTo>
                <a:pt x="644652" y="1242060"/>
              </a:lnTo>
              <a:close/>
            </a:path>
            <a:path w="645160" h="4025265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4025265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4025265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4025265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4025265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4025265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8</xdr:row>
      <xdr:rowOff>0</xdr:rowOff>
    </xdr:from>
    <xdr:ext cx="3808729" cy="480059"/>
    <xdr:sp macro="" textlink="">
      <xdr:nvSpPr>
        <xdr:cNvPr id="142" name="Shape 142">
          <a:extLst>
            <a:ext uri="{FF2B5EF4-FFF2-40B4-BE49-F238E27FC236}">
              <a16:creationId xmlns:a16="http://schemas.microsoft.com/office/drawing/2014/main" id="{00000000-0008-0000-0D00-00008E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761</xdr:rowOff>
    </xdr:from>
    <xdr:ext cx="381000" cy="381000"/>
    <xdr:pic>
      <xdr:nvPicPr>
        <xdr:cNvPr id="143" name="image1.jpeg">
          <a:extLst>
            <a:ext uri="{FF2B5EF4-FFF2-40B4-BE49-F238E27FC236}">
              <a16:creationId xmlns:a16="http://schemas.microsoft.com/office/drawing/2014/main" id="{00000000-0008-0000-0D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49142</xdr:rowOff>
    </xdr:from>
    <xdr:ext cx="381000" cy="290285"/>
    <xdr:pic>
      <xdr:nvPicPr>
        <xdr:cNvPr id="144" name="image2.jpeg">
          <a:extLst>
            <a:ext uri="{FF2B5EF4-FFF2-40B4-BE49-F238E27FC236}">
              <a16:creationId xmlns:a16="http://schemas.microsoft.com/office/drawing/2014/main" id="{00000000-0008-0000-0D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49142</xdr:rowOff>
    </xdr:from>
    <xdr:ext cx="381000" cy="290285"/>
    <xdr:pic>
      <xdr:nvPicPr>
        <xdr:cNvPr id="145" name="image3.jpeg">
          <a:extLst>
            <a:ext uri="{FF2B5EF4-FFF2-40B4-BE49-F238E27FC236}">
              <a16:creationId xmlns:a16="http://schemas.microsoft.com/office/drawing/2014/main" id="{00000000-0008-0000-0D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201929</xdr:colOff>
      <xdr:row>3</xdr:row>
      <xdr:rowOff>761</xdr:rowOff>
    </xdr:from>
    <xdr:ext cx="338666" cy="381000"/>
    <xdr:pic>
      <xdr:nvPicPr>
        <xdr:cNvPr id="146" name="image4.jpeg">
          <a:extLst>
            <a:ext uri="{FF2B5EF4-FFF2-40B4-BE49-F238E27FC236}">
              <a16:creationId xmlns:a16="http://schemas.microsoft.com/office/drawing/2014/main" id="{00000000-0008-0000-0D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9</xdr:col>
      <xdr:colOff>298691</xdr:colOff>
      <xdr:row>3</xdr:row>
      <xdr:rowOff>49142</xdr:rowOff>
    </xdr:from>
    <xdr:ext cx="193523" cy="290285"/>
    <xdr:pic>
      <xdr:nvPicPr>
        <xdr:cNvPr id="147" name="image5.jpeg">
          <a:extLst>
            <a:ext uri="{FF2B5EF4-FFF2-40B4-BE49-F238E27FC236}">
              <a16:creationId xmlns:a16="http://schemas.microsoft.com/office/drawing/2014/main" id="{00000000-0008-0000-0D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1</xdr:col>
      <xdr:colOff>226060</xdr:colOff>
      <xdr:row>9</xdr:row>
      <xdr:rowOff>0</xdr:rowOff>
    </xdr:from>
    <xdr:ext cx="7486015" cy="828040"/>
    <xdr:sp macro="" textlink="">
      <xdr:nvSpPr>
        <xdr:cNvPr id="148" name="Shape 148">
          <a:extLst>
            <a:ext uri="{FF2B5EF4-FFF2-40B4-BE49-F238E27FC236}">
              <a16:creationId xmlns:a16="http://schemas.microsoft.com/office/drawing/2014/main" id="{00000000-0008-0000-0D00-000094000000}"/>
            </a:ext>
          </a:extLst>
        </xdr:cNvPr>
        <xdr:cNvSpPr/>
      </xdr:nvSpPr>
      <xdr:spPr>
        <a:xfrm>
          <a:off x="0" y="0"/>
          <a:ext cx="7486015" cy="828040"/>
        </a:xfrm>
        <a:custGeom>
          <a:avLst/>
          <a:gdLst/>
          <a:ahLst/>
          <a:cxnLst/>
          <a:rect l="0" t="0" r="0" b="0"/>
          <a:pathLst>
            <a:path w="7486015" h="828040">
              <a:moveTo>
                <a:pt x="312420" y="414528"/>
              </a:moveTo>
              <a:lnTo>
                <a:pt x="0" y="414528"/>
              </a:lnTo>
              <a:lnTo>
                <a:pt x="0" y="827532"/>
              </a:lnTo>
              <a:lnTo>
                <a:pt x="312420" y="827532"/>
              </a:lnTo>
              <a:lnTo>
                <a:pt x="312420" y="414528"/>
              </a:lnTo>
              <a:close/>
            </a:path>
            <a:path w="7486015" h="828040">
              <a:moveTo>
                <a:pt x="312420" y="0"/>
              </a:moveTo>
              <a:lnTo>
                <a:pt x="0" y="0"/>
              </a:lnTo>
              <a:lnTo>
                <a:pt x="0" y="411480"/>
              </a:lnTo>
              <a:lnTo>
                <a:pt x="312420" y="411480"/>
              </a:lnTo>
              <a:lnTo>
                <a:pt x="312420" y="0"/>
              </a:lnTo>
              <a:close/>
            </a:path>
            <a:path w="7486015" h="828040">
              <a:moveTo>
                <a:pt x="1264920" y="414528"/>
              </a:moveTo>
              <a:lnTo>
                <a:pt x="315468" y="414528"/>
              </a:lnTo>
              <a:lnTo>
                <a:pt x="315468" y="827532"/>
              </a:lnTo>
              <a:lnTo>
                <a:pt x="1264920" y="827532"/>
              </a:lnTo>
              <a:lnTo>
                <a:pt x="1264920" y="414528"/>
              </a:lnTo>
              <a:close/>
            </a:path>
            <a:path w="7486015" h="828040">
              <a:moveTo>
                <a:pt x="1264920" y="0"/>
              </a:moveTo>
              <a:lnTo>
                <a:pt x="315468" y="0"/>
              </a:lnTo>
              <a:lnTo>
                <a:pt x="315468" y="411480"/>
              </a:lnTo>
              <a:lnTo>
                <a:pt x="1264920" y="411480"/>
              </a:lnTo>
              <a:lnTo>
                <a:pt x="1264920" y="0"/>
              </a:lnTo>
              <a:close/>
            </a:path>
            <a:path w="7486015" h="828040">
              <a:moveTo>
                <a:pt x="2531364" y="414528"/>
              </a:moveTo>
              <a:lnTo>
                <a:pt x="1267968" y="414528"/>
              </a:lnTo>
              <a:lnTo>
                <a:pt x="1267968" y="827532"/>
              </a:lnTo>
              <a:lnTo>
                <a:pt x="2531364" y="827532"/>
              </a:lnTo>
              <a:lnTo>
                <a:pt x="2531364" y="414528"/>
              </a:lnTo>
              <a:close/>
            </a:path>
            <a:path w="7486015" h="828040">
              <a:moveTo>
                <a:pt x="2531364" y="0"/>
              </a:moveTo>
              <a:lnTo>
                <a:pt x="1267968" y="0"/>
              </a:lnTo>
              <a:lnTo>
                <a:pt x="1267968" y="411480"/>
              </a:lnTo>
              <a:lnTo>
                <a:pt x="2531364" y="411480"/>
              </a:lnTo>
              <a:lnTo>
                <a:pt x="2531364" y="0"/>
              </a:lnTo>
              <a:close/>
            </a:path>
            <a:path w="7486015" h="828040">
              <a:moveTo>
                <a:pt x="3037332" y="414528"/>
              </a:moveTo>
              <a:lnTo>
                <a:pt x="2534412" y="414528"/>
              </a:lnTo>
              <a:lnTo>
                <a:pt x="2534412" y="827532"/>
              </a:lnTo>
              <a:lnTo>
                <a:pt x="3037332" y="827532"/>
              </a:lnTo>
              <a:lnTo>
                <a:pt x="3037332" y="414528"/>
              </a:lnTo>
              <a:close/>
            </a:path>
            <a:path w="7486015" h="828040">
              <a:moveTo>
                <a:pt x="3037332" y="207264"/>
              </a:moveTo>
              <a:lnTo>
                <a:pt x="2534412" y="207264"/>
              </a:lnTo>
              <a:lnTo>
                <a:pt x="2534412" y="411480"/>
              </a:lnTo>
              <a:lnTo>
                <a:pt x="3037332" y="411480"/>
              </a:lnTo>
              <a:lnTo>
                <a:pt x="3037332" y="207264"/>
              </a:lnTo>
              <a:close/>
            </a:path>
            <a:path w="7486015" h="828040">
              <a:moveTo>
                <a:pt x="3037332" y="0"/>
              </a:moveTo>
              <a:lnTo>
                <a:pt x="2534412" y="0"/>
              </a:lnTo>
              <a:lnTo>
                <a:pt x="2534412" y="204216"/>
              </a:lnTo>
              <a:lnTo>
                <a:pt x="3037332" y="204216"/>
              </a:lnTo>
              <a:lnTo>
                <a:pt x="3037332" y="0"/>
              </a:lnTo>
              <a:close/>
            </a:path>
            <a:path w="7486015" h="828040">
              <a:moveTo>
                <a:pt x="3674364" y="414528"/>
              </a:moveTo>
              <a:lnTo>
                <a:pt x="3040380" y="414528"/>
              </a:lnTo>
              <a:lnTo>
                <a:pt x="3040380" y="827532"/>
              </a:lnTo>
              <a:lnTo>
                <a:pt x="3674364" y="827532"/>
              </a:lnTo>
              <a:lnTo>
                <a:pt x="3674364" y="414528"/>
              </a:lnTo>
              <a:close/>
            </a:path>
            <a:path w="7486015" h="828040">
              <a:moveTo>
                <a:pt x="3674364" y="207264"/>
              </a:moveTo>
              <a:lnTo>
                <a:pt x="3040380" y="207264"/>
              </a:lnTo>
              <a:lnTo>
                <a:pt x="3040380" y="411480"/>
              </a:lnTo>
              <a:lnTo>
                <a:pt x="3674364" y="411480"/>
              </a:lnTo>
              <a:lnTo>
                <a:pt x="3674364" y="207264"/>
              </a:lnTo>
              <a:close/>
            </a:path>
            <a:path w="7486015" h="828040">
              <a:moveTo>
                <a:pt x="3674364" y="0"/>
              </a:moveTo>
              <a:lnTo>
                <a:pt x="3040380" y="0"/>
              </a:lnTo>
              <a:lnTo>
                <a:pt x="3040380" y="204216"/>
              </a:lnTo>
              <a:lnTo>
                <a:pt x="3674364" y="204216"/>
              </a:lnTo>
              <a:lnTo>
                <a:pt x="3674364" y="0"/>
              </a:lnTo>
              <a:close/>
            </a:path>
            <a:path w="7486015" h="828040">
              <a:moveTo>
                <a:pt x="4437888" y="414528"/>
              </a:moveTo>
              <a:lnTo>
                <a:pt x="3677412" y="414528"/>
              </a:lnTo>
              <a:lnTo>
                <a:pt x="3677412" y="827532"/>
              </a:lnTo>
              <a:lnTo>
                <a:pt x="4437888" y="827532"/>
              </a:lnTo>
              <a:lnTo>
                <a:pt x="4437888" y="414528"/>
              </a:lnTo>
              <a:close/>
            </a:path>
            <a:path w="7486015" h="828040">
              <a:moveTo>
                <a:pt x="4437888" y="207264"/>
              </a:moveTo>
              <a:lnTo>
                <a:pt x="3677412" y="207264"/>
              </a:lnTo>
              <a:lnTo>
                <a:pt x="3677412" y="411480"/>
              </a:lnTo>
              <a:lnTo>
                <a:pt x="4437888" y="411480"/>
              </a:lnTo>
              <a:lnTo>
                <a:pt x="4437888" y="207264"/>
              </a:lnTo>
              <a:close/>
            </a:path>
            <a:path w="7486015" h="828040">
              <a:moveTo>
                <a:pt x="4437888" y="0"/>
              </a:moveTo>
              <a:lnTo>
                <a:pt x="3677412" y="0"/>
              </a:lnTo>
              <a:lnTo>
                <a:pt x="3677412" y="204216"/>
              </a:lnTo>
              <a:lnTo>
                <a:pt x="4437888" y="204216"/>
              </a:lnTo>
              <a:lnTo>
                <a:pt x="4437888" y="0"/>
              </a:lnTo>
              <a:close/>
            </a:path>
            <a:path w="7486015" h="828040">
              <a:moveTo>
                <a:pt x="5199888" y="414528"/>
              </a:moveTo>
              <a:lnTo>
                <a:pt x="4440936" y="414528"/>
              </a:lnTo>
              <a:lnTo>
                <a:pt x="4440936" y="827532"/>
              </a:lnTo>
              <a:lnTo>
                <a:pt x="5199888" y="827532"/>
              </a:lnTo>
              <a:lnTo>
                <a:pt x="5199888" y="414528"/>
              </a:lnTo>
              <a:close/>
            </a:path>
            <a:path w="7486015" h="828040">
              <a:moveTo>
                <a:pt x="5199888" y="207264"/>
              </a:moveTo>
              <a:lnTo>
                <a:pt x="4440936" y="207264"/>
              </a:lnTo>
              <a:lnTo>
                <a:pt x="4440936" y="411480"/>
              </a:lnTo>
              <a:lnTo>
                <a:pt x="5199888" y="411480"/>
              </a:lnTo>
              <a:lnTo>
                <a:pt x="5199888" y="207264"/>
              </a:lnTo>
              <a:close/>
            </a:path>
            <a:path w="7486015" h="828040">
              <a:moveTo>
                <a:pt x="5199888" y="0"/>
              </a:moveTo>
              <a:lnTo>
                <a:pt x="4440936" y="0"/>
              </a:lnTo>
              <a:lnTo>
                <a:pt x="4440936" y="204216"/>
              </a:lnTo>
              <a:lnTo>
                <a:pt x="5199888" y="204216"/>
              </a:lnTo>
              <a:lnTo>
                <a:pt x="5199888" y="0"/>
              </a:lnTo>
              <a:close/>
            </a:path>
            <a:path w="7486015" h="828040">
              <a:moveTo>
                <a:pt x="5961875" y="414528"/>
              </a:moveTo>
              <a:lnTo>
                <a:pt x="5202936" y="414528"/>
              </a:lnTo>
              <a:lnTo>
                <a:pt x="5202936" y="827532"/>
              </a:lnTo>
              <a:lnTo>
                <a:pt x="5961875" y="827532"/>
              </a:lnTo>
              <a:lnTo>
                <a:pt x="5961875" y="414528"/>
              </a:lnTo>
              <a:close/>
            </a:path>
            <a:path w="7486015" h="828040">
              <a:moveTo>
                <a:pt x="5961875" y="207264"/>
              </a:moveTo>
              <a:lnTo>
                <a:pt x="5202936" y="207264"/>
              </a:lnTo>
              <a:lnTo>
                <a:pt x="5202936" y="411480"/>
              </a:lnTo>
              <a:lnTo>
                <a:pt x="5961875" y="411480"/>
              </a:lnTo>
              <a:lnTo>
                <a:pt x="5961875" y="207264"/>
              </a:lnTo>
              <a:close/>
            </a:path>
            <a:path w="7486015" h="828040">
              <a:moveTo>
                <a:pt x="5961875" y="0"/>
              </a:moveTo>
              <a:lnTo>
                <a:pt x="5202936" y="0"/>
              </a:lnTo>
              <a:lnTo>
                <a:pt x="5202936" y="204216"/>
              </a:lnTo>
              <a:lnTo>
                <a:pt x="5961875" y="204216"/>
              </a:lnTo>
              <a:lnTo>
                <a:pt x="5961875" y="0"/>
              </a:lnTo>
              <a:close/>
            </a:path>
            <a:path w="7486015" h="828040">
              <a:moveTo>
                <a:pt x="6723888" y="414528"/>
              </a:moveTo>
              <a:lnTo>
                <a:pt x="5964936" y="414528"/>
              </a:lnTo>
              <a:lnTo>
                <a:pt x="5964936" y="827532"/>
              </a:lnTo>
              <a:lnTo>
                <a:pt x="6723888" y="827532"/>
              </a:lnTo>
              <a:lnTo>
                <a:pt x="6723888" y="414528"/>
              </a:lnTo>
              <a:close/>
            </a:path>
            <a:path w="7486015" h="828040">
              <a:moveTo>
                <a:pt x="6723888" y="207264"/>
              </a:moveTo>
              <a:lnTo>
                <a:pt x="5964936" y="207264"/>
              </a:lnTo>
              <a:lnTo>
                <a:pt x="5964936" y="411480"/>
              </a:lnTo>
              <a:lnTo>
                <a:pt x="6723888" y="411480"/>
              </a:lnTo>
              <a:lnTo>
                <a:pt x="6723888" y="207264"/>
              </a:lnTo>
              <a:close/>
            </a:path>
            <a:path w="7486015" h="828040">
              <a:moveTo>
                <a:pt x="6723888" y="0"/>
              </a:moveTo>
              <a:lnTo>
                <a:pt x="5964936" y="0"/>
              </a:lnTo>
              <a:lnTo>
                <a:pt x="5964936" y="204216"/>
              </a:lnTo>
              <a:lnTo>
                <a:pt x="6723888" y="204216"/>
              </a:lnTo>
              <a:lnTo>
                <a:pt x="6723888" y="0"/>
              </a:lnTo>
              <a:close/>
            </a:path>
            <a:path w="7486015" h="828040">
              <a:moveTo>
                <a:pt x="7485888" y="414528"/>
              </a:moveTo>
              <a:lnTo>
                <a:pt x="6726936" y="414528"/>
              </a:lnTo>
              <a:lnTo>
                <a:pt x="6726936" y="827532"/>
              </a:lnTo>
              <a:lnTo>
                <a:pt x="7485888" y="827532"/>
              </a:lnTo>
              <a:lnTo>
                <a:pt x="7485888" y="414528"/>
              </a:lnTo>
              <a:close/>
            </a:path>
            <a:path w="7486015" h="828040">
              <a:moveTo>
                <a:pt x="7485888" y="207264"/>
              </a:moveTo>
              <a:lnTo>
                <a:pt x="6726936" y="207264"/>
              </a:lnTo>
              <a:lnTo>
                <a:pt x="6726936" y="411480"/>
              </a:lnTo>
              <a:lnTo>
                <a:pt x="7485888" y="411480"/>
              </a:lnTo>
              <a:lnTo>
                <a:pt x="7485888" y="207264"/>
              </a:lnTo>
              <a:close/>
            </a:path>
            <a:path w="7486015" h="828040">
              <a:moveTo>
                <a:pt x="7485888" y="0"/>
              </a:moveTo>
              <a:lnTo>
                <a:pt x="6726936" y="0"/>
              </a:lnTo>
              <a:lnTo>
                <a:pt x="6726936" y="204216"/>
              </a:lnTo>
              <a:lnTo>
                <a:pt x="7485888" y="204216"/>
              </a:lnTo>
              <a:lnTo>
                <a:pt x="748588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11</xdr:col>
      <xdr:colOff>546481</xdr:colOff>
      <xdr:row>10</xdr:row>
      <xdr:rowOff>0</xdr:rowOff>
    </xdr:from>
    <xdr:ext cx="645160" cy="828040"/>
    <xdr:sp macro="" textlink="">
      <xdr:nvSpPr>
        <xdr:cNvPr id="149" name="Shape 149">
          <a:extLst>
            <a:ext uri="{FF2B5EF4-FFF2-40B4-BE49-F238E27FC236}">
              <a16:creationId xmlns:a16="http://schemas.microsoft.com/office/drawing/2014/main" id="{00000000-0008-0000-0D00-000095000000}"/>
            </a:ext>
          </a:extLst>
        </xdr:cNvPr>
        <xdr:cNvSpPr/>
      </xdr:nvSpPr>
      <xdr:spPr>
        <a:xfrm>
          <a:off x="0" y="0"/>
          <a:ext cx="645160" cy="828040"/>
        </a:xfrm>
        <a:custGeom>
          <a:avLst/>
          <a:gdLst/>
          <a:ahLst/>
          <a:cxnLst/>
          <a:rect l="0" t="0" r="0" b="0"/>
          <a:pathLst>
            <a:path w="645160" h="828040">
              <a:moveTo>
                <a:pt x="644652" y="414528"/>
              </a:moveTo>
              <a:lnTo>
                <a:pt x="0" y="414528"/>
              </a:lnTo>
              <a:lnTo>
                <a:pt x="0" y="827532"/>
              </a:lnTo>
              <a:lnTo>
                <a:pt x="644652" y="827532"/>
              </a:lnTo>
              <a:lnTo>
                <a:pt x="644652" y="414528"/>
              </a:lnTo>
              <a:close/>
            </a:path>
            <a:path w="645160" h="828040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828040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2FB7A-932A-48DB-80B1-BA4B255BBFEF}">
  <dimension ref="A1:AO233"/>
  <sheetViews>
    <sheetView topLeftCell="U44" workbookViewId="0">
      <selection activeCell="AO48" sqref="AO48"/>
    </sheetView>
  </sheetViews>
  <sheetFormatPr defaultRowHeight="13.2" x14ac:dyDescent="0.25"/>
  <cols>
    <col min="1" max="3" width="6" bestFit="1" customWidth="1"/>
    <col min="4" max="6" width="4" bestFit="1" customWidth="1"/>
    <col min="7" max="7" width="3" bestFit="1" customWidth="1"/>
    <col min="8" max="8" width="4" bestFit="1" customWidth="1"/>
    <col min="9" max="9" width="7" bestFit="1" customWidth="1"/>
    <col min="10" max="12" width="6" bestFit="1" customWidth="1"/>
    <col min="13" max="13" width="7.33203125" bestFit="1" customWidth="1"/>
  </cols>
  <sheetData>
    <row r="1" spans="1:41" x14ac:dyDescent="0.25">
      <c r="A1" s="24" t="s">
        <v>286</v>
      </c>
      <c r="B1" s="24" t="s">
        <v>287</v>
      </c>
      <c r="C1" s="24" t="s">
        <v>288</v>
      </c>
      <c r="D1" s="26" t="s">
        <v>408</v>
      </c>
      <c r="E1" s="26" t="s">
        <v>409</v>
      </c>
      <c r="F1" s="26" t="s">
        <v>410</v>
      </c>
      <c r="G1" s="26" t="s">
        <v>411</v>
      </c>
      <c r="H1" s="26" t="s">
        <v>412</v>
      </c>
      <c r="I1" s="26" t="s">
        <v>413</v>
      </c>
      <c r="J1" s="26" t="s">
        <v>414</v>
      </c>
      <c r="K1" s="26" t="s">
        <v>415</v>
      </c>
      <c r="L1" s="26" t="s">
        <v>416</v>
      </c>
      <c r="M1" s="26" t="s">
        <v>417</v>
      </c>
    </row>
    <row r="2" spans="1:41" x14ac:dyDescent="0.25">
      <c r="A2" s="25">
        <v>0.30219780219780218</v>
      </c>
      <c r="B2" s="25">
        <v>0.20054945054945056</v>
      </c>
      <c r="C2" s="25">
        <v>0.48351648351648352</v>
      </c>
      <c r="D2" s="26">
        <v>382</v>
      </c>
      <c r="E2" s="26">
        <v>28</v>
      </c>
      <c r="F2" s="26">
        <v>38</v>
      </c>
      <c r="G2" s="26">
        <v>2</v>
      </c>
      <c r="H2" s="26">
        <v>450</v>
      </c>
      <c r="I2" s="27">
        <v>0.84888888888888892</v>
      </c>
      <c r="J2" s="27">
        <v>6.222222222222222E-2</v>
      </c>
      <c r="K2" s="27">
        <v>8.4444444444444447E-2</v>
      </c>
      <c r="L2" s="27">
        <v>4.4444444444444444E-3</v>
      </c>
      <c r="M2" s="28">
        <v>64.302222222222227</v>
      </c>
    </row>
    <row r="3" spans="1:41" x14ac:dyDescent="0.25">
      <c r="A3" s="25">
        <v>0.30412371134020616</v>
      </c>
      <c r="B3" s="25">
        <v>0.23195876288659795</v>
      </c>
      <c r="C3" s="25">
        <v>0.4484536082474227</v>
      </c>
      <c r="D3" s="26">
        <v>376</v>
      </c>
      <c r="E3" s="26">
        <v>26</v>
      </c>
      <c r="F3" s="26">
        <v>45</v>
      </c>
      <c r="G3" s="26">
        <v>3</v>
      </c>
      <c r="H3" s="26">
        <v>450</v>
      </c>
      <c r="I3" s="27">
        <v>0.83555555555555561</v>
      </c>
      <c r="J3" s="27">
        <v>5.7777777777777775E-2</v>
      </c>
      <c r="K3" s="27">
        <v>0.1</v>
      </c>
      <c r="L3" s="27">
        <v>6.6666666666666671E-3</v>
      </c>
      <c r="M3" s="28">
        <v>54.42</v>
      </c>
      <c r="O3" s="31" t="s">
        <v>153</v>
      </c>
    </row>
    <row r="4" spans="1:41" x14ac:dyDescent="0.25">
      <c r="A4" s="25">
        <v>0.27459016393442626</v>
      </c>
      <c r="B4" s="25">
        <v>0.26229508196721313</v>
      </c>
      <c r="C4" s="25">
        <v>0.44877049180327871</v>
      </c>
      <c r="D4" s="26">
        <v>524</v>
      </c>
      <c r="E4" s="26">
        <v>32</v>
      </c>
      <c r="F4" s="26">
        <v>58</v>
      </c>
      <c r="G4" s="26">
        <v>4</v>
      </c>
      <c r="H4" s="26">
        <v>618</v>
      </c>
      <c r="I4" s="27">
        <v>0.84789644012944987</v>
      </c>
      <c r="J4" s="27">
        <v>5.1779935275080909E-2</v>
      </c>
      <c r="K4" s="27">
        <v>9.3851132686084138E-2</v>
      </c>
      <c r="L4" s="27">
        <v>6.4724919093851136E-3</v>
      </c>
      <c r="M4" s="28">
        <v>41.58414239482201</v>
      </c>
    </row>
    <row r="5" spans="1:41" x14ac:dyDescent="0.25">
      <c r="A5" s="25">
        <v>0.30084745762711862</v>
      </c>
      <c r="B5" s="25">
        <v>0.28177966101694918</v>
      </c>
      <c r="C5" s="25">
        <v>0.3940677966101695</v>
      </c>
      <c r="D5" s="26">
        <v>548</v>
      </c>
      <c r="E5" s="26">
        <v>20</v>
      </c>
      <c r="F5" s="26">
        <v>50</v>
      </c>
      <c r="G5" s="26">
        <v>0</v>
      </c>
      <c r="H5" s="26">
        <v>618</v>
      </c>
      <c r="I5" s="27">
        <v>0.88673139158576053</v>
      </c>
      <c r="J5" s="27">
        <v>3.2362459546925564E-2</v>
      </c>
      <c r="K5" s="27">
        <v>8.0906148867313912E-2</v>
      </c>
      <c r="L5" s="27">
        <v>0</v>
      </c>
      <c r="M5" s="28">
        <v>32.129449838187703</v>
      </c>
    </row>
    <row r="6" spans="1:41" x14ac:dyDescent="0.25">
      <c r="A6" s="25">
        <v>0.42884990253411304</v>
      </c>
      <c r="B6" s="25">
        <v>0.20272904483430798</v>
      </c>
      <c r="C6" s="25">
        <v>0.35477582846003897</v>
      </c>
      <c r="D6" s="26">
        <v>548</v>
      </c>
      <c r="E6" s="26">
        <v>33</v>
      </c>
      <c r="F6" s="26">
        <v>37</v>
      </c>
      <c r="G6" s="26">
        <v>0</v>
      </c>
      <c r="H6" s="26">
        <v>618</v>
      </c>
      <c r="I6" s="27">
        <v>0.88673139158576053</v>
      </c>
      <c r="J6" s="27">
        <v>5.3398058252427182E-2</v>
      </c>
      <c r="K6" s="27">
        <v>5.9870550161812294E-2</v>
      </c>
      <c r="L6" s="27">
        <v>0</v>
      </c>
      <c r="M6" s="28">
        <v>25.503236245954692</v>
      </c>
    </row>
    <row r="7" spans="1:41" x14ac:dyDescent="0.25">
      <c r="A7" s="25">
        <v>0.40850277264325324</v>
      </c>
      <c r="B7" s="25">
        <v>0.28465804066543438</v>
      </c>
      <c r="C7" s="25">
        <v>0.29205175600739369</v>
      </c>
      <c r="D7" s="26">
        <v>555</v>
      </c>
      <c r="E7" s="26">
        <v>27</v>
      </c>
      <c r="F7" s="26">
        <v>37</v>
      </c>
      <c r="G7" s="26">
        <v>0</v>
      </c>
      <c r="H7" s="26">
        <v>619</v>
      </c>
      <c r="I7" s="27">
        <v>0.8966074313408724</v>
      </c>
      <c r="J7" s="27">
        <v>4.361873990306947E-2</v>
      </c>
      <c r="K7" s="27">
        <v>5.9773828756058162E-2</v>
      </c>
      <c r="L7" s="27">
        <v>0</v>
      </c>
      <c r="M7" s="28">
        <v>20.379644588045235</v>
      </c>
      <c r="W7" s="31" t="s">
        <v>419</v>
      </c>
      <c r="AF7" s="31" t="s">
        <v>422</v>
      </c>
      <c r="AO7" s="31" t="s">
        <v>423</v>
      </c>
    </row>
    <row r="8" spans="1:41" x14ac:dyDescent="0.25">
      <c r="A8" s="25">
        <v>0.22222222222222221</v>
      </c>
      <c r="B8" s="25">
        <v>0.20054200542005421</v>
      </c>
      <c r="C8" s="25">
        <v>0.5582655826558266</v>
      </c>
      <c r="D8" s="26">
        <v>399</v>
      </c>
      <c r="E8" s="26">
        <v>6</v>
      </c>
      <c r="F8" s="26">
        <v>41</v>
      </c>
      <c r="G8" s="26">
        <v>4</v>
      </c>
      <c r="H8" s="26">
        <v>450</v>
      </c>
      <c r="I8" s="27">
        <v>0.88666666666666671</v>
      </c>
      <c r="J8" s="27">
        <v>1.3333333333333334E-2</v>
      </c>
      <c r="K8" s="27">
        <v>9.1111111111111115E-2</v>
      </c>
      <c r="L8" s="27">
        <v>8.8888888888888889E-3</v>
      </c>
      <c r="M8" s="28">
        <v>61.05777777777778</v>
      </c>
    </row>
    <row r="9" spans="1:41" x14ac:dyDescent="0.25">
      <c r="A9" s="25">
        <v>0.20351758793969849</v>
      </c>
      <c r="B9" s="25">
        <v>0.28140703517587939</v>
      </c>
      <c r="C9" s="25">
        <v>0.49246231155778897</v>
      </c>
      <c r="D9" s="26">
        <v>418</v>
      </c>
      <c r="E9" s="26">
        <v>7</v>
      </c>
      <c r="F9" s="26">
        <v>23</v>
      </c>
      <c r="G9" s="26">
        <v>2</v>
      </c>
      <c r="H9" s="26">
        <v>450</v>
      </c>
      <c r="I9" s="27">
        <v>0.92888888888888888</v>
      </c>
      <c r="J9" s="27">
        <v>1.5555555555555555E-2</v>
      </c>
      <c r="K9" s="27">
        <v>5.1111111111111114E-2</v>
      </c>
      <c r="L9" s="27">
        <v>4.4444444444444444E-3</v>
      </c>
      <c r="M9" s="28">
        <v>57.571111111111108</v>
      </c>
      <c r="W9" s="34">
        <f>-0.4777+0.6607</f>
        <v>0.18299999999999994</v>
      </c>
      <c r="AF9" s="33">
        <f>0.7854+0.2322</f>
        <v>1.0176000000000001</v>
      </c>
      <c r="AO9" s="34">
        <f>0.6324+0.2057</f>
        <v>0.83809999999999996</v>
      </c>
    </row>
    <row r="10" spans="1:41" x14ac:dyDescent="0.25">
      <c r="A10" s="25">
        <v>0.25140712945590993</v>
      </c>
      <c r="B10" s="25">
        <v>0.33020637898686678</v>
      </c>
      <c r="C10" s="25">
        <v>0.40337711069418386</v>
      </c>
      <c r="D10" s="26">
        <v>560</v>
      </c>
      <c r="E10" s="26">
        <v>14</v>
      </c>
      <c r="F10" s="26">
        <v>56</v>
      </c>
      <c r="G10" s="26">
        <v>7</v>
      </c>
      <c r="H10" s="26">
        <v>637</v>
      </c>
      <c r="I10" s="27">
        <v>0.87912087912087911</v>
      </c>
      <c r="J10" s="27">
        <v>2.197802197802198E-2</v>
      </c>
      <c r="K10" s="27">
        <v>8.7912087912087919E-2</v>
      </c>
      <c r="L10" s="27">
        <v>1.098901098901099E-2</v>
      </c>
      <c r="M10" s="28">
        <v>48.918367346938773</v>
      </c>
    </row>
    <row r="11" spans="1:41" x14ac:dyDescent="0.25">
      <c r="A11" s="25">
        <v>0.15746421267893659</v>
      </c>
      <c r="B11" s="25">
        <v>0.33946830265848671</v>
      </c>
      <c r="C11" s="25">
        <v>0.4887525562372188</v>
      </c>
      <c r="D11" s="26">
        <v>584</v>
      </c>
      <c r="E11" s="26">
        <v>12</v>
      </c>
      <c r="F11" s="26">
        <v>38</v>
      </c>
      <c r="G11" s="26">
        <v>3</v>
      </c>
      <c r="H11" s="26">
        <v>637</v>
      </c>
      <c r="I11" s="27">
        <v>0.91679748822605966</v>
      </c>
      <c r="J11" s="27">
        <v>1.8838304552590265E-2</v>
      </c>
      <c r="K11" s="27">
        <v>5.9654631083202514E-2</v>
      </c>
      <c r="L11" s="27">
        <v>4.7095761381475663E-3</v>
      </c>
      <c r="M11" s="28">
        <v>38.497645211930923</v>
      </c>
    </row>
    <row r="12" spans="1:41" x14ac:dyDescent="0.25">
      <c r="A12" s="25">
        <v>0.20799999999999999</v>
      </c>
      <c r="B12" s="25">
        <v>0.318</v>
      </c>
      <c r="C12" s="25">
        <v>0.46800000000000003</v>
      </c>
      <c r="D12" s="26">
        <v>598</v>
      </c>
      <c r="E12" s="26">
        <v>7</v>
      </c>
      <c r="F12" s="26">
        <v>30</v>
      </c>
      <c r="G12" s="26">
        <v>2</v>
      </c>
      <c r="H12" s="26">
        <v>637</v>
      </c>
      <c r="I12" s="27">
        <v>0.93877551020408168</v>
      </c>
      <c r="J12" s="27">
        <v>1.098901098901099E-2</v>
      </c>
      <c r="K12" s="27">
        <v>4.709576138147567E-2</v>
      </c>
      <c r="L12" s="27">
        <v>3.1397174254317113E-3</v>
      </c>
      <c r="M12" s="28">
        <v>32.004709576138147</v>
      </c>
    </row>
    <row r="13" spans="1:41" x14ac:dyDescent="0.25">
      <c r="A13" s="25">
        <v>0.26719056974459726</v>
      </c>
      <c r="B13" s="25">
        <v>0.28487229862475444</v>
      </c>
      <c r="C13" s="25">
        <v>0.43222003929273084</v>
      </c>
      <c r="D13" s="26">
        <v>603</v>
      </c>
      <c r="E13" s="26">
        <v>9</v>
      </c>
      <c r="F13" s="26">
        <v>25</v>
      </c>
      <c r="G13" s="26">
        <v>0</v>
      </c>
      <c r="H13" s="26">
        <v>637</v>
      </c>
      <c r="I13" s="27">
        <v>0.94662480376766089</v>
      </c>
      <c r="J13" s="27">
        <v>1.4128728414442701E-2</v>
      </c>
      <c r="K13" s="27">
        <v>3.924646781789639E-2</v>
      </c>
      <c r="L13" s="27">
        <v>0</v>
      </c>
      <c r="M13" s="28">
        <v>27.357927786499214</v>
      </c>
    </row>
    <row r="14" spans="1:41" x14ac:dyDescent="0.25">
      <c r="A14" s="25">
        <v>0.3</v>
      </c>
      <c r="B14" s="25">
        <v>0.33703703703703702</v>
      </c>
      <c r="C14" s="25">
        <v>0.3611111111111111</v>
      </c>
      <c r="D14" s="26">
        <v>603</v>
      </c>
      <c r="E14" s="26">
        <v>5</v>
      </c>
      <c r="F14" s="26">
        <v>29</v>
      </c>
      <c r="G14" s="26">
        <v>0</v>
      </c>
      <c r="H14" s="26">
        <v>637</v>
      </c>
      <c r="I14" s="27">
        <v>0.94662480376766089</v>
      </c>
      <c r="J14" s="27">
        <v>7.8492935635792772E-3</v>
      </c>
      <c r="K14" s="27">
        <v>4.5525902668759811E-2</v>
      </c>
      <c r="L14" s="27">
        <v>0</v>
      </c>
      <c r="M14" s="28">
        <v>23.549450549450551</v>
      </c>
    </row>
    <row r="15" spans="1:41" x14ac:dyDescent="0.25">
      <c r="A15" s="25">
        <v>0.22586520947176686</v>
      </c>
      <c r="B15" s="25">
        <v>0.39708561020036431</v>
      </c>
      <c r="C15" s="25">
        <v>0.37158469945355194</v>
      </c>
      <c r="D15" s="26">
        <v>604</v>
      </c>
      <c r="E15" s="26">
        <v>6</v>
      </c>
      <c r="F15" s="26">
        <v>25</v>
      </c>
      <c r="G15" s="26">
        <v>2</v>
      </c>
      <c r="H15" s="26">
        <v>637</v>
      </c>
      <c r="I15" s="27">
        <v>0.94819466248037676</v>
      </c>
      <c r="J15" s="27">
        <v>9.4191522762951327E-3</v>
      </c>
      <c r="K15" s="27">
        <v>3.924646781789639E-2</v>
      </c>
      <c r="L15" s="27">
        <v>3.1397174254317113E-3</v>
      </c>
      <c r="M15" s="28">
        <v>19.811616954474097</v>
      </c>
    </row>
    <row r="16" spans="1:41" x14ac:dyDescent="0.25">
      <c r="A16" s="25">
        <v>0.18617021276595744</v>
      </c>
      <c r="B16" s="25">
        <v>0.19414893617021275</v>
      </c>
      <c r="C16" s="25">
        <v>0.59840425531914898</v>
      </c>
      <c r="D16" s="26">
        <v>389</v>
      </c>
      <c r="E16" s="26">
        <v>24</v>
      </c>
      <c r="F16" s="26">
        <v>36</v>
      </c>
      <c r="G16" s="26">
        <v>1</v>
      </c>
      <c r="H16" s="26">
        <v>450</v>
      </c>
      <c r="I16" s="27">
        <v>0.86444444444444446</v>
      </c>
      <c r="J16" s="27">
        <v>5.3333333333333337E-2</v>
      </c>
      <c r="K16" s="27">
        <v>0.08</v>
      </c>
      <c r="L16" s="27">
        <v>2.2222222222222222E-3</v>
      </c>
      <c r="M16" s="28">
        <v>62.915555555555557</v>
      </c>
    </row>
    <row r="17" spans="1:23" x14ac:dyDescent="0.25">
      <c r="A17" s="25">
        <v>0.22500000000000001</v>
      </c>
      <c r="B17" s="25">
        <v>0.28749999999999998</v>
      </c>
      <c r="C17" s="25">
        <v>0.46500000000000002</v>
      </c>
      <c r="D17" s="26">
        <v>380</v>
      </c>
      <c r="E17" s="26">
        <v>20</v>
      </c>
      <c r="F17" s="26">
        <v>46</v>
      </c>
      <c r="G17" s="26">
        <v>4</v>
      </c>
      <c r="H17" s="26">
        <v>450</v>
      </c>
      <c r="I17" s="27">
        <v>0.84444444444444444</v>
      </c>
      <c r="J17" s="27">
        <v>4.4444444444444446E-2</v>
      </c>
      <c r="K17" s="27">
        <v>0.10222222222222223</v>
      </c>
      <c r="L17" s="27">
        <v>8.8888888888888889E-3</v>
      </c>
      <c r="M17" s="28">
        <v>57.835555555555558</v>
      </c>
    </row>
    <row r="18" spans="1:23" x14ac:dyDescent="0.25">
      <c r="A18" s="25">
        <v>0.26447876447876451</v>
      </c>
      <c r="B18" s="25">
        <v>0.30501930501930502</v>
      </c>
      <c r="C18" s="25">
        <v>0.40733590733590735</v>
      </c>
      <c r="D18" s="26">
        <v>521</v>
      </c>
      <c r="E18" s="26">
        <v>39</v>
      </c>
      <c r="F18" s="26">
        <v>82</v>
      </c>
      <c r="G18" s="26">
        <v>3</v>
      </c>
      <c r="H18" s="26">
        <v>645</v>
      </c>
      <c r="I18" s="27">
        <v>0.80775193798449607</v>
      </c>
      <c r="J18" s="27">
        <v>6.0465116279069767E-2</v>
      </c>
      <c r="K18" s="27">
        <v>0.12713178294573643</v>
      </c>
      <c r="L18" s="27">
        <v>4.6511627906976744E-3</v>
      </c>
      <c r="M18" s="28">
        <v>47.424806201550389</v>
      </c>
    </row>
    <row r="19" spans="1:23" x14ac:dyDescent="0.25">
      <c r="A19" s="25">
        <v>0.24007936507936509</v>
      </c>
      <c r="B19" s="25">
        <v>0.29365079365079366</v>
      </c>
      <c r="C19" s="25">
        <v>0.45833333333333331</v>
      </c>
      <c r="D19" s="26">
        <v>552</v>
      </c>
      <c r="E19" s="26">
        <v>22</v>
      </c>
      <c r="F19" s="26">
        <v>69</v>
      </c>
      <c r="G19" s="26">
        <v>2</v>
      </c>
      <c r="H19" s="26">
        <v>645</v>
      </c>
      <c r="I19" s="27">
        <v>0.85581395348837208</v>
      </c>
      <c r="J19" s="27">
        <v>3.4108527131782945E-2</v>
      </c>
      <c r="K19" s="27">
        <v>0.10697674418604651</v>
      </c>
      <c r="L19" s="27">
        <v>3.1007751937984496E-3</v>
      </c>
      <c r="M19" s="28">
        <v>36.751937984496124</v>
      </c>
    </row>
    <row r="20" spans="1:23" x14ac:dyDescent="0.25">
      <c r="A20" s="25">
        <v>0.23408239700374531</v>
      </c>
      <c r="B20" s="25">
        <v>0.29775280898876405</v>
      </c>
      <c r="C20" s="25">
        <v>0.46816479400749061</v>
      </c>
      <c r="D20" s="26">
        <v>575</v>
      </c>
      <c r="E20" s="26">
        <v>20</v>
      </c>
      <c r="F20" s="26">
        <v>49</v>
      </c>
      <c r="G20" s="26">
        <v>1</v>
      </c>
      <c r="H20" s="26">
        <v>645</v>
      </c>
      <c r="I20" s="27">
        <v>0.89147286821705429</v>
      </c>
      <c r="J20" s="27">
        <v>3.1007751937984496E-2</v>
      </c>
      <c r="K20" s="27">
        <v>7.5968992248062014E-2</v>
      </c>
      <c r="L20" s="27">
        <v>1.5503875968992248E-3</v>
      </c>
      <c r="M20" s="28">
        <v>30.47751937984496</v>
      </c>
    </row>
    <row r="21" spans="1:23" x14ac:dyDescent="0.25">
      <c r="A21" s="25">
        <v>0.30297397769516726</v>
      </c>
      <c r="B21" s="25">
        <v>0.26765799256505574</v>
      </c>
      <c r="C21" s="25">
        <v>0.42193308550185876</v>
      </c>
      <c r="D21" s="26">
        <v>571</v>
      </c>
      <c r="E21" s="26">
        <v>14</v>
      </c>
      <c r="F21" s="26">
        <v>60</v>
      </c>
      <c r="G21" s="26">
        <v>0</v>
      </c>
      <c r="H21" s="26">
        <v>645</v>
      </c>
      <c r="I21" s="27">
        <v>0.88527131782945734</v>
      </c>
      <c r="J21" s="27">
        <v>2.1705426356589147E-2</v>
      </c>
      <c r="K21" s="27">
        <v>9.3023255813953487E-2</v>
      </c>
      <c r="L21" s="27">
        <v>0</v>
      </c>
      <c r="M21" s="28">
        <v>25.595348837209301</v>
      </c>
    </row>
    <row r="22" spans="1:23" x14ac:dyDescent="0.25">
      <c r="A22" s="25">
        <v>0.25367647058823528</v>
      </c>
      <c r="B22" s="25">
        <v>0.3952205882352941</v>
      </c>
      <c r="C22" s="25">
        <v>0.34375</v>
      </c>
      <c r="D22" s="26">
        <v>576</v>
      </c>
      <c r="E22" s="26">
        <v>16</v>
      </c>
      <c r="F22" s="26">
        <v>53</v>
      </c>
      <c r="G22" s="26">
        <v>0</v>
      </c>
      <c r="H22" s="26">
        <v>645</v>
      </c>
      <c r="I22" s="27">
        <v>0.89302325581395348</v>
      </c>
      <c r="J22" s="27">
        <v>2.4806201550387597E-2</v>
      </c>
      <c r="K22" s="27">
        <v>8.2170542635658914E-2</v>
      </c>
      <c r="L22" s="27">
        <v>0</v>
      </c>
      <c r="M22" s="28">
        <v>20.694573643410852</v>
      </c>
      <c r="O22" s="31" t="s">
        <v>151</v>
      </c>
    </row>
    <row r="23" spans="1:23" x14ac:dyDescent="0.25">
      <c r="A23" s="25">
        <v>0.26176470588235295</v>
      </c>
      <c r="B23" s="25">
        <v>8.2352941176470587E-2</v>
      </c>
      <c r="C23" s="25">
        <v>0.62647058823529411</v>
      </c>
      <c r="D23" s="26">
        <v>321</v>
      </c>
      <c r="E23" s="26">
        <v>42</v>
      </c>
      <c r="F23" s="26">
        <v>78</v>
      </c>
      <c r="G23" s="26">
        <v>9</v>
      </c>
      <c r="H23" s="26">
        <v>450</v>
      </c>
      <c r="I23" s="27">
        <v>0.71333333333333337</v>
      </c>
      <c r="J23" s="27">
        <v>9.3333333333333338E-2</v>
      </c>
      <c r="K23" s="27">
        <v>0.17333333333333334</v>
      </c>
      <c r="L23" s="27">
        <v>0.02</v>
      </c>
      <c r="M23" s="28">
        <v>71.095555555555549</v>
      </c>
    </row>
    <row r="24" spans="1:23" x14ac:dyDescent="0.25">
      <c r="A24" s="25">
        <v>0.36340852130325813</v>
      </c>
      <c r="B24" s="25">
        <v>0.14786967418546365</v>
      </c>
      <c r="C24" s="25">
        <v>0.45363408521303256</v>
      </c>
      <c r="D24" s="26">
        <v>328</v>
      </c>
      <c r="E24" s="26">
        <v>35</v>
      </c>
      <c r="F24" s="26">
        <v>82</v>
      </c>
      <c r="G24" s="26">
        <v>5</v>
      </c>
      <c r="H24" s="26">
        <v>450</v>
      </c>
      <c r="I24" s="27">
        <v>0.72888888888888892</v>
      </c>
      <c r="J24" s="27">
        <v>7.7777777777777779E-2</v>
      </c>
      <c r="K24" s="27">
        <v>0.18222222222222223</v>
      </c>
      <c r="L24" s="27">
        <v>1.1111111111111112E-2</v>
      </c>
      <c r="M24" s="28">
        <v>62.584444444444443</v>
      </c>
    </row>
    <row r="25" spans="1:23" x14ac:dyDescent="0.25">
      <c r="A25" s="25">
        <v>0.28907922912205569</v>
      </c>
      <c r="B25" s="25">
        <v>0.29764453961456105</v>
      </c>
      <c r="C25" s="25">
        <v>0.39828693790149894</v>
      </c>
      <c r="D25" s="26">
        <v>451</v>
      </c>
      <c r="E25" s="26">
        <v>35</v>
      </c>
      <c r="F25" s="26">
        <v>95</v>
      </c>
      <c r="G25" s="26">
        <v>4</v>
      </c>
      <c r="H25" s="26">
        <v>585</v>
      </c>
      <c r="I25" s="27">
        <v>0.77094017094017098</v>
      </c>
      <c r="J25" s="27">
        <v>5.9829059829059832E-2</v>
      </c>
      <c r="K25" s="27">
        <v>0.1623931623931624</v>
      </c>
      <c r="L25" s="27">
        <v>6.8376068376068376E-3</v>
      </c>
      <c r="M25" s="28">
        <v>50.986324786324786</v>
      </c>
      <c r="W25" s="31" t="s">
        <v>420</v>
      </c>
    </row>
    <row r="26" spans="1:23" x14ac:dyDescent="0.25">
      <c r="A26" s="25">
        <v>0.23627684964200477</v>
      </c>
      <c r="B26" s="25">
        <v>0.26252983293556087</v>
      </c>
      <c r="C26" s="25">
        <v>0.47494033412887826</v>
      </c>
      <c r="D26" s="26">
        <v>509</v>
      </c>
      <c r="E26" s="26">
        <v>16</v>
      </c>
      <c r="F26" s="26">
        <v>56</v>
      </c>
      <c r="G26" s="26">
        <v>4</v>
      </c>
      <c r="H26" s="26">
        <v>585</v>
      </c>
      <c r="I26" s="27">
        <v>0.8700854700854701</v>
      </c>
      <c r="J26" s="27">
        <v>2.735042735042735E-2</v>
      </c>
      <c r="K26" s="27">
        <v>9.5726495726495733E-2</v>
      </c>
      <c r="L26" s="27">
        <v>6.8376068376068376E-3</v>
      </c>
      <c r="M26" s="28">
        <v>40.502564102564101</v>
      </c>
    </row>
    <row r="27" spans="1:23" x14ac:dyDescent="0.25">
      <c r="A27" s="25">
        <v>0.3160270880361174</v>
      </c>
      <c r="B27" s="25">
        <v>0.19864559819413091</v>
      </c>
      <c r="C27" s="25">
        <v>0.47855530474040631</v>
      </c>
      <c r="D27" s="26">
        <v>519</v>
      </c>
      <c r="E27" s="26">
        <v>19</v>
      </c>
      <c r="F27" s="26">
        <v>47</v>
      </c>
      <c r="G27" s="26">
        <v>1</v>
      </c>
      <c r="H27" s="26">
        <v>586</v>
      </c>
      <c r="I27" s="27">
        <v>0.88566552901023887</v>
      </c>
      <c r="J27" s="27">
        <v>3.2423208191126277E-2</v>
      </c>
      <c r="K27" s="27">
        <v>8.0204778156996587E-2</v>
      </c>
      <c r="L27" s="27">
        <v>1.7064846416382253E-3</v>
      </c>
      <c r="M27" s="28">
        <v>30.122866894197951</v>
      </c>
      <c r="W27" s="34">
        <f>0.2579-0.0062</f>
        <v>0.25170000000000003</v>
      </c>
    </row>
    <row r="28" spans="1:23" x14ac:dyDescent="0.25">
      <c r="A28" s="25">
        <v>0.29815303430079154</v>
      </c>
      <c r="B28" s="25">
        <v>0.12928759894459102</v>
      </c>
      <c r="C28" s="25">
        <v>0.55936675461741425</v>
      </c>
      <c r="D28" s="26">
        <v>381</v>
      </c>
      <c r="E28" s="26">
        <v>12</v>
      </c>
      <c r="F28" s="26">
        <v>55</v>
      </c>
      <c r="G28" s="26">
        <v>2</v>
      </c>
      <c r="H28" s="26">
        <v>450</v>
      </c>
      <c r="I28" s="27">
        <v>0.84666666666666668</v>
      </c>
      <c r="J28" s="27">
        <v>2.6666666666666668E-2</v>
      </c>
      <c r="K28" s="27">
        <v>0.12222222222222222</v>
      </c>
      <c r="L28" s="27">
        <v>4.4444444444444444E-3</v>
      </c>
      <c r="M28" s="28">
        <v>62.864444444444445</v>
      </c>
    </row>
    <row r="29" spans="1:23" x14ac:dyDescent="0.25">
      <c r="A29" s="25">
        <v>0.34011627906976744</v>
      </c>
      <c r="B29" s="25">
        <v>0.20930232558139536</v>
      </c>
      <c r="C29" s="25">
        <v>0.42151162790697677</v>
      </c>
      <c r="D29" s="26">
        <v>333</v>
      </c>
      <c r="E29" s="26">
        <v>23</v>
      </c>
      <c r="F29" s="26">
        <v>86</v>
      </c>
      <c r="G29" s="26">
        <v>8</v>
      </c>
      <c r="H29" s="26">
        <v>450</v>
      </c>
      <c r="I29" s="27">
        <v>0.74</v>
      </c>
      <c r="J29" s="27">
        <v>5.1111111111111114E-2</v>
      </c>
      <c r="K29" s="27">
        <v>0.19111111111111112</v>
      </c>
      <c r="L29" s="27">
        <v>1.7777777777777778E-2</v>
      </c>
      <c r="M29" s="28">
        <v>49.713333333333331</v>
      </c>
    </row>
    <row r="30" spans="1:23" x14ac:dyDescent="0.25">
      <c r="A30" s="25">
        <v>0.27083333333333331</v>
      </c>
      <c r="B30" s="25">
        <v>0.22291666666666668</v>
      </c>
      <c r="C30" s="25">
        <v>0.48541666666666666</v>
      </c>
      <c r="D30" s="26">
        <v>527</v>
      </c>
      <c r="E30" s="26">
        <v>11</v>
      </c>
      <c r="F30" s="26">
        <v>66</v>
      </c>
      <c r="G30" s="26">
        <v>1</v>
      </c>
      <c r="H30" s="26">
        <v>605</v>
      </c>
      <c r="I30" s="27">
        <v>0.87107438016528926</v>
      </c>
      <c r="J30" s="27">
        <v>1.8181818181818181E-2</v>
      </c>
      <c r="K30" s="27">
        <v>0.10909090909090909</v>
      </c>
      <c r="L30" s="27">
        <v>1.652892561983471E-3</v>
      </c>
      <c r="M30" s="28">
        <v>39.104132231404961</v>
      </c>
    </row>
    <row r="31" spans="1:23" x14ac:dyDescent="0.25">
      <c r="A31" s="25">
        <v>0.27615062761506276</v>
      </c>
      <c r="B31" s="25">
        <v>0.21966527196652719</v>
      </c>
      <c r="C31" s="25">
        <v>0.49163179916317989</v>
      </c>
      <c r="D31" s="26">
        <v>512</v>
      </c>
      <c r="E31" s="26">
        <v>14</v>
      </c>
      <c r="F31" s="26">
        <v>79</v>
      </c>
      <c r="G31" s="26">
        <v>1</v>
      </c>
      <c r="H31" s="26">
        <v>606</v>
      </c>
      <c r="I31" s="27">
        <v>0.84488448844884489</v>
      </c>
      <c r="J31" s="27">
        <v>2.3102310231023101E-2</v>
      </c>
      <c r="K31" s="27">
        <v>0.13036303630363036</v>
      </c>
      <c r="L31" s="27">
        <v>1.6501650165016502E-3</v>
      </c>
      <c r="M31" s="28">
        <v>33.049504950495049</v>
      </c>
    </row>
    <row r="32" spans="1:23" x14ac:dyDescent="0.25">
      <c r="A32" s="25">
        <v>0.33062880324543609</v>
      </c>
      <c r="B32" s="25">
        <v>0.20283975659229209</v>
      </c>
      <c r="C32" s="25">
        <v>0.44219066937119678</v>
      </c>
      <c r="D32" s="26">
        <v>494</v>
      </c>
      <c r="E32" s="26">
        <v>20</v>
      </c>
      <c r="F32" s="26">
        <v>92</v>
      </c>
      <c r="G32" s="26">
        <v>0</v>
      </c>
      <c r="H32" s="26">
        <v>606</v>
      </c>
      <c r="I32" s="27">
        <v>0.81518151815181517</v>
      </c>
      <c r="J32" s="27">
        <v>3.3003300330033E-2</v>
      </c>
      <c r="K32" s="27">
        <v>0.15181518151815182</v>
      </c>
      <c r="L32" s="27">
        <v>0</v>
      </c>
      <c r="M32" s="28">
        <v>27.026402640264028</v>
      </c>
    </row>
    <row r="33" spans="1:41" x14ac:dyDescent="0.25">
      <c r="A33" s="25">
        <v>0.33601609657947684</v>
      </c>
      <c r="B33" s="25">
        <v>0.23943661971830985</v>
      </c>
      <c r="C33" s="25">
        <v>0.38430583501006038</v>
      </c>
      <c r="D33" s="26">
        <v>504</v>
      </c>
      <c r="E33" s="26">
        <v>14</v>
      </c>
      <c r="F33" s="26">
        <v>88</v>
      </c>
      <c r="G33" s="26">
        <v>0</v>
      </c>
      <c r="H33" s="26">
        <v>606</v>
      </c>
      <c r="I33" s="27">
        <v>0.83168316831683164</v>
      </c>
      <c r="J33" s="27">
        <v>2.3102310231023101E-2</v>
      </c>
      <c r="K33" s="27">
        <v>0.14521452145214522</v>
      </c>
      <c r="L33" s="27">
        <v>0</v>
      </c>
      <c r="M33" s="28">
        <v>20.971947194719473</v>
      </c>
    </row>
    <row r="34" spans="1:41" x14ac:dyDescent="0.25">
      <c r="A34" s="25">
        <v>0.61876832844574781</v>
      </c>
      <c r="B34" s="25">
        <v>4.1055718475073312E-2</v>
      </c>
      <c r="C34" s="25">
        <v>0.2404692082111437</v>
      </c>
      <c r="D34" s="26">
        <v>31</v>
      </c>
      <c r="E34" s="26">
        <v>137</v>
      </c>
      <c r="F34" s="26">
        <v>281</v>
      </c>
      <c r="G34" s="26">
        <v>1</v>
      </c>
      <c r="H34" s="26">
        <v>450</v>
      </c>
      <c r="I34" s="27">
        <v>6.8888888888888888E-2</v>
      </c>
      <c r="J34" s="27">
        <v>0.30444444444444446</v>
      </c>
      <c r="K34" s="27">
        <v>0.62444444444444447</v>
      </c>
      <c r="L34" s="27">
        <v>2.2222222222222222E-3</v>
      </c>
      <c r="M34" s="28">
        <v>65.737777777777779</v>
      </c>
    </row>
    <row r="35" spans="1:41" x14ac:dyDescent="0.25">
      <c r="A35" s="25">
        <v>0.80034423407917388</v>
      </c>
      <c r="B35" s="25">
        <v>1.7211703958691909E-2</v>
      </c>
      <c r="C35" s="25">
        <v>0.14802065404475043</v>
      </c>
      <c r="D35" s="26">
        <v>20</v>
      </c>
      <c r="E35" s="26">
        <v>168</v>
      </c>
      <c r="F35" s="26">
        <v>522</v>
      </c>
      <c r="G35" s="26">
        <v>0</v>
      </c>
      <c r="H35" s="26">
        <v>710</v>
      </c>
      <c r="I35" s="27">
        <v>2.8169014084507043E-2</v>
      </c>
      <c r="J35" s="27">
        <v>0.23661971830985915</v>
      </c>
      <c r="K35" s="27">
        <v>0.73521126760563382</v>
      </c>
      <c r="L35" s="27">
        <v>0</v>
      </c>
      <c r="M35" s="28">
        <v>39.161971830985912</v>
      </c>
    </row>
    <row r="36" spans="1:41" x14ac:dyDescent="0.25">
      <c r="A36" s="25">
        <v>0.69465648854961837</v>
      </c>
      <c r="B36" s="25">
        <v>3.4351145038167941E-2</v>
      </c>
      <c r="C36" s="25">
        <v>0.21374045801526717</v>
      </c>
      <c r="D36" s="26">
        <v>18</v>
      </c>
      <c r="E36" s="26">
        <v>125</v>
      </c>
      <c r="F36" s="26">
        <v>207</v>
      </c>
      <c r="G36" s="26">
        <v>0</v>
      </c>
      <c r="H36" s="26">
        <v>350</v>
      </c>
      <c r="I36" s="27">
        <v>5.1428571428571428E-2</v>
      </c>
      <c r="J36" s="27">
        <v>0.35714285714285715</v>
      </c>
      <c r="K36" s="27">
        <v>0.59142857142857141</v>
      </c>
      <c r="L36" s="27">
        <v>0</v>
      </c>
      <c r="M36" s="28">
        <v>65.605714285714285</v>
      </c>
    </row>
    <row r="37" spans="1:41" x14ac:dyDescent="0.25">
      <c r="A37" s="25">
        <v>0.76988636363636365</v>
      </c>
      <c r="B37" s="25">
        <v>3.9772727272727272E-2</v>
      </c>
      <c r="C37" s="25">
        <v>0.17897727272727273</v>
      </c>
      <c r="D37" s="26">
        <v>45</v>
      </c>
      <c r="E37" s="26">
        <v>39</v>
      </c>
      <c r="F37" s="26">
        <v>342</v>
      </c>
      <c r="G37" s="26">
        <v>0</v>
      </c>
      <c r="H37" s="26">
        <v>426</v>
      </c>
      <c r="I37" s="27">
        <v>0.10563380281690141</v>
      </c>
      <c r="J37" s="27">
        <v>9.154929577464789E-2</v>
      </c>
      <c r="K37" s="27">
        <v>0.80281690140845074</v>
      </c>
      <c r="L37" s="27">
        <v>0</v>
      </c>
      <c r="M37" s="28">
        <v>36.124413145539904</v>
      </c>
    </row>
    <row r="38" spans="1:41" x14ac:dyDescent="0.25">
      <c r="A38" s="25">
        <v>0.23955431754874651</v>
      </c>
      <c r="B38" s="25">
        <v>0.23119777158774374</v>
      </c>
      <c r="C38" s="25">
        <v>0.50696378830083566</v>
      </c>
      <c r="D38" s="26">
        <v>441</v>
      </c>
      <c r="E38" s="26">
        <v>3</v>
      </c>
      <c r="F38" s="26">
        <v>5</v>
      </c>
      <c r="G38" s="26">
        <v>1</v>
      </c>
      <c r="H38" s="26">
        <v>450</v>
      </c>
      <c r="I38" s="27">
        <v>0.98</v>
      </c>
      <c r="J38" s="27">
        <v>6.6666666666666671E-3</v>
      </c>
      <c r="K38" s="27">
        <v>1.1111111111111112E-2</v>
      </c>
      <c r="L38" s="27">
        <v>2.2222222222222222E-3</v>
      </c>
      <c r="M38" s="28">
        <v>64.168888888888887</v>
      </c>
    </row>
    <row r="39" spans="1:41" x14ac:dyDescent="0.25">
      <c r="A39" s="25">
        <v>0.2544529262086514</v>
      </c>
      <c r="B39" s="25">
        <v>0.23155216284987276</v>
      </c>
      <c r="C39" s="25">
        <v>0.49872773536895676</v>
      </c>
      <c r="D39" s="26">
        <v>673</v>
      </c>
      <c r="E39" s="26">
        <v>2</v>
      </c>
      <c r="F39" s="26">
        <v>7</v>
      </c>
      <c r="G39" s="26">
        <v>7</v>
      </c>
      <c r="H39" s="26">
        <v>689</v>
      </c>
      <c r="I39" s="27">
        <v>0.97677793904208998</v>
      </c>
      <c r="J39" s="27">
        <v>2.9027576197387518E-3</v>
      </c>
      <c r="K39" s="27">
        <v>1.0159651669085631E-2</v>
      </c>
      <c r="L39" s="27">
        <v>1.0159651669085631E-2</v>
      </c>
      <c r="M39" s="28">
        <v>47.850507982583451</v>
      </c>
    </row>
    <row r="40" spans="1:41" x14ac:dyDescent="0.25">
      <c r="A40" s="25">
        <v>0.24698795180722891</v>
      </c>
      <c r="B40" s="25">
        <v>0.36144578313253012</v>
      </c>
      <c r="C40" s="25">
        <v>0.37349397590361444</v>
      </c>
      <c r="D40" s="26">
        <v>677</v>
      </c>
      <c r="E40" s="26">
        <v>1</v>
      </c>
      <c r="F40" s="26">
        <v>10</v>
      </c>
      <c r="G40" s="26">
        <v>1</v>
      </c>
      <c r="H40" s="26">
        <v>689</v>
      </c>
      <c r="I40" s="27">
        <v>0.98258345428156746</v>
      </c>
      <c r="J40" s="27">
        <v>1.4513788098693759E-3</v>
      </c>
      <c r="K40" s="27">
        <v>1.4513788098693759E-2</v>
      </c>
      <c r="L40" s="27">
        <v>1.4513788098693759E-3</v>
      </c>
      <c r="M40" s="28">
        <v>32.925979680696663</v>
      </c>
    </row>
    <row r="41" spans="1:41" x14ac:dyDescent="0.25">
      <c r="A41" s="25">
        <v>0.25</v>
      </c>
      <c r="B41" s="25">
        <v>0.27564102564102566</v>
      </c>
      <c r="C41" s="25">
        <v>0.46367521367521369</v>
      </c>
      <c r="D41" s="26">
        <v>683</v>
      </c>
      <c r="E41" s="26">
        <v>1</v>
      </c>
      <c r="F41" s="26">
        <v>5</v>
      </c>
      <c r="G41" s="26">
        <v>0</v>
      </c>
      <c r="H41" s="26">
        <v>689</v>
      </c>
      <c r="I41" s="27">
        <v>0.99129172714078373</v>
      </c>
      <c r="J41" s="27">
        <v>1.4513788098693759E-3</v>
      </c>
      <c r="K41" s="27">
        <v>7.2568940493468797E-3</v>
      </c>
      <c r="L41" s="27">
        <v>0</v>
      </c>
      <c r="M41" s="28">
        <v>23.084179970972425</v>
      </c>
    </row>
    <row r="42" spans="1:41" x14ac:dyDescent="0.25">
      <c r="A42" s="25">
        <v>0.2413793103448276</v>
      </c>
      <c r="B42" s="25">
        <v>0.27586206896551724</v>
      </c>
      <c r="C42" s="25">
        <v>0.46551724137931033</v>
      </c>
      <c r="D42" s="26">
        <v>374</v>
      </c>
      <c r="E42" s="26">
        <v>30</v>
      </c>
      <c r="F42" s="26">
        <v>43</v>
      </c>
      <c r="G42" s="26">
        <v>3</v>
      </c>
      <c r="H42" s="26">
        <v>450</v>
      </c>
      <c r="I42" s="27">
        <v>0.83111111111111113</v>
      </c>
      <c r="J42" s="27">
        <v>6.6666666666666666E-2</v>
      </c>
      <c r="K42" s="27">
        <v>9.555555555555556E-2</v>
      </c>
      <c r="L42" s="27">
        <v>6.6666666666666671E-3</v>
      </c>
      <c r="M42" s="28">
        <v>63.602222222222224</v>
      </c>
      <c r="O42" s="31" t="s">
        <v>152</v>
      </c>
    </row>
    <row r="43" spans="1:41" x14ac:dyDescent="0.25">
      <c r="A43" s="25">
        <v>0.29583333333333334</v>
      </c>
      <c r="B43" s="25">
        <v>0.27916666666666667</v>
      </c>
      <c r="C43" s="25">
        <v>0.42083333333333334</v>
      </c>
      <c r="D43" s="26">
        <v>401</v>
      </c>
      <c r="E43" s="26">
        <v>21</v>
      </c>
      <c r="F43" s="26">
        <v>28</v>
      </c>
      <c r="G43" s="26">
        <v>0</v>
      </c>
      <c r="H43" s="26">
        <v>450</v>
      </c>
      <c r="I43" s="27">
        <v>0.89111111111111108</v>
      </c>
      <c r="J43" s="27">
        <v>4.6666666666666669E-2</v>
      </c>
      <c r="K43" s="27">
        <v>6.222222222222222E-2</v>
      </c>
      <c r="L43" s="27">
        <v>0</v>
      </c>
      <c r="M43" s="28">
        <v>58.275555555555556</v>
      </c>
    </row>
    <row r="44" spans="1:41" x14ac:dyDescent="0.25">
      <c r="A44" s="25">
        <v>0.22113502935420742</v>
      </c>
      <c r="B44" s="25">
        <v>0.37769080234833657</v>
      </c>
      <c r="C44" s="25">
        <v>0.39138943248532287</v>
      </c>
      <c r="D44" s="26">
        <v>513</v>
      </c>
      <c r="E44" s="26">
        <v>44</v>
      </c>
      <c r="F44" s="26">
        <v>53</v>
      </c>
      <c r="G44" s="26">
        <v>7</v>
      </c>
      <c r="H44" s="26">
        <v>617</v>
      </c>
      <c r="I44" s="27">
        <v>0.83144246353322526</v>
      </c>
      <c r="J44" s="27">
        <v>7.1312803889789306E-2</v>
      </c>
      <c r="K44" s="27">
        <v>8.5899513776337116E-2</v>
      </c>
      <c r="L44" s="27">
        <v>1.1345218800648298E-2</v>
      </c>
      <c r="M44" s="28">
        <v>47.35008103727715</v>
      </c>
    </row>
    <row r="45" spans="1:41" x14ac:dyDescent="0.25">
      <c r="A45" s="25">
        <v>0.12430939226519337</v>
      </c>
      <c r="B45" s="25">
        <v>0.18508287292817679</v>
      </c>
      <c r="C45" s="25">
        <v>0.65745856353591159</v>
      </c>
      <c r="D45" s="26">
        <v>546</v>
      </c>
      <c r="E45" s="26">
        <v>27</v>
      </c>
      <c r="F45" s="26">
        <v>41</v>
      </c>
      <c r="G45" s="26">
        <v>3</v>
      </c>
      <c r="H45" s="26">
        <v>617</v>
      </c>
      <c r="I45" s="27">
        <v>0.88492706645056729</v>
      </c>
      <c r="J45" s="27">
        <v>4.3760129659643439E-2</v>
      </c>
      <c r="K45" s="27">
        <v>6.6450567260940036E-2</v>
      </c>
      <c r="L45" s="27">
        <v>4.8622366288492711E-3</v>
      </c>
      <c r="M45" s="28">
        <v>37.771474878444081</v>
      </c>
    </row>
    <row r="46" spans="1:41" x14ac:dyDescent="0.25">
      <c r="A46" s="25">
        <v>0.16517055655296231</v>
      </c>
      <c r="B46" s="25">
        <v>0.30520646319569122</v>
      </c>
      <c r="C46" s="25">
        <v>0.52064631956912033</v>
      </c>
      <c r="D46" s="26">
        <v>577</v>
      </c>
      <c r="E46" s="26">
        <v>14</v>
      </c>
      <c r="F46" s="26">
        <v>25</v>
      </c>
      <c r="G46" s="26">
        <v>1</v>
      </c>
      <c r="H46" s="26">
        <v>617</v>
      </c>
      <c r="I46" s="27">
        <v>0.93517017828200977</v>
      </c>
      <c r="J46" s="27">
        <v>2.2690437601296597E-2</v>
      </c>
      <c r="K46" s="27">
        <v>4.0518638573743923E-2</v>
      </c>
      <c r="L46" s="27">
        <v>1.6207455429497568E-3</v>
      </c>
      <c r="M46" s="28">
        <v>31.852512155591572</v>
      </c>
      <c r="W46" s="31" t="s">
        <v>421</v>
      </c>
      <c r="AO46" s="31" t="s">
        <v>424</v>
      </c>
    </row>
    <row r="47" spans="1:41" x14ac:dyDescent="0.25">
      <c r="A47" s="25">
        <v>0.16888045540796964</v>
      </c>
      <c r="B47" s="25">
        <v>0.29222011385199242</v>
      </c>
      <c r="C47" s="25">
        <v>0.52371916508538896</v>
      </c>
      <c r="D47" s="26">
        <v>560</v>
      </c>
      <c r="E47" s="26">
        <v>35</v>
      </c>
      <c r="F47" s="26">
        <v>21</v>
      </c>
      <c r="G47" s="26">
        <v>1</v>
      </c>
      <c r="H47" s="26">
        <v>617</v>
      </c>
      <c r="I47" s="27">
        <v>0.90761750405186381</v>
      </c>
      <c r="J47" s="27">
        <v>5.6726094003241488E-2</v>
      </c>
      <c r="K47" s="27">
        <v>3.4035656401944892E-2</v>
      </c>
      <c r="L47" s="27">
        <v>1.6207455429497568E-3</v>
      </c>
      <c r="M47" s="28">
        <v>26.698541329011345</v>
      </c>
    </row>
    <row r="48" spans="1:41" x14ac:dyDescent="0.25">
      <c r="A48" s="25">
        <v>0.1944922547332186</v>
      </c>
      <c r="B48" s="25">
        <v>0.33734939759036142</v>
      </c>
      <c r="C48" s="25">
        <v>0.46127366609294318</v>
      </c>
      <c r="D48" s="26">
        <v>564</v>
      </c>
      <c r="E48" s="26">
        <v>24</v>
      </c>
      <c r="F48" s="26">
        <v>29</v>
      </c>
      <c r="G48" s="26">
        <v>1</v>
      </c>
      <c r="H48" s="26">
        <v>618</v>
      </c>
      <c r="I48" s="27">
        <v>0.91262135922330101</v>
      </c>
      <c r="J48" s="27">
        <v>3.8834951456310676E-2</v>
      </c>
      <c r="K48" s="27">
        <v>4.6925566343042069E-2</v>
      </c>
      <c r="L48" s="27">
        <v>1.6181229773462784E-3</v>
      </c>
      <c r="M48" s="28">
        <v>21</v>
      </c>
      <c r="W48" s="34">
        <f>0.259+0.2958</f>
        <v>0.55479999999999996</v>
      </c>
      <c r="AO48" s="34">
        <f>-0.3698+0.5467</f>
        <v>0.17689999999999995</v>
      </c>
    </row>
    <row r="49" spans="1:13" x14ac:dyDescent="0.25">
      <c r="A49" s="25">
        <v>0.34770114942528735</v>
      </c>
      <c r="B49" s="25">
        <v>0.15804597701149425</v>
      </c>
      <c r="C49" s="25">
        <v>0.41091954022988508</v>
      </c>
      <c r="D49" s="26">
        <v>240</v>
      </c>
      <c r="E49" s="26">
        <v>26</v>
      </c>
      <c r="F49" s="26">
        <v>181</v>
      </c>
      <c r="G49" s="26">
        <v>3</v>
      </c>
      <c r="H49" s="26">
        <v>450</v>
      </c>
      <c r="I49" s="27">
        <v>0.53333333333333333</v>
      </c>
      <c r="J49" s="27">
        <v>5.7777777777777775E-2</v>
      </c>
      <c r="K49" s="27">
        <v>0.4022222222222222</v>
      </c>
      <c r="L49" s="27">
        <v>6.6666666666666671E-3</v>
      </c>
      <c r="M49" s="28">
        <v>58.906666666666666</v>
      </c>
    </row>
    <row r="50" spans="1:13" x14ac:dyDescent="0.25">
      <c r="A50" s="25">
        <v>0.36249999999999999</v>
      </c>
      <c r="B50" s="25">
        <v>0.19750000000000001</v>
      </c>
      <c r="C50" s="25">
        <v>0.41</v>
      </c>
      <c r="D50" s="26">
        <v>399</v>
      </c>
      <c r="E50" s="26">
        <v>24</v>
      </c>
      <c r="F50" s="26">
        <v>276</v>
      </c>
      <c r="G50" s="26">
        <v>4</v>
      </c>
      <c r="H50" s="26">
        <v>703</v>
      </c>
      <c r="I50" s="27">
        <v>0.56756756756756754</v>
      </c>
      <c r="J50" s="27">
        <v>3.4139402560455195E-2</v>
      </c>
      <c r="K50" s="27">
        <v>0.39260312944523473</v>
      </c>
      <c r="L50" s="27">
        <v>5.6899004267425323E-3</v>
      </c>
      <c r="M50" s="28">
        <v>51.237553342816504</v>
      </c>
    </row>
    <row r="51" spans="1:13" x14ac:dyDescent="0.25">
      <c r="A51" s="25">
        <v>0.32155477031802121</v>
      </c>
      <c r="B51" s="25">
        <v>0.27738515901060068</v>
      </c>
      <c r="C51" s="25">
        <v>0.3833922261484099</v>
      </c>
      <c r="D51" s="26">
        <v>293</v>
      </c>
      <c r="E51" s="26">
        <v>23</v>
      </c>
      <c r="F51" s="26">
        <v>387</v>
      </c>
      <c r="G51" s="26">
        <v>0</v>
      </c>
      <c r="H51" s="26">
        <v>703</v>
      </c>
      <c r="I51" s="27">
        <v>0.41678520625889048</v>
      </c>
      <c r="J51" s="27">
        <v>3.2716927453769556E-2</v>
      </c>
      <c r="K51" s="27">
        <v>0.55049786628733999</v>
      </c>
      <c r="L51" s="27">
        <v>0</v>
      </c>
      <c r="M51" s="28">
        <v>40.384068278805124</v>
      </c>
    </row>
    <row r="52" spans="1:13" x14ac:dyDescent="0.25">
      <c r="A52" s="25">
        <v>0.32904411764705882</v>
      </c>
      <c r="B52" s="25">
        <v>0.20404411764705882</v>
      </c>
      <c r="C52" s="25">
        <v>0.45588235294117646</v>
      </c>
      <c r="D52" s="26">
        <v>421</v>
      </c>
      <c r="E52" s="26">
        <v>19</v>
      </c>
      <c r="F52" s="26">
        <v>259</v>
      </c>
      <c r="G52" s="26">
        <v>4</v>
      </c>
      <c r="H52" s="26">
        <v>703</v>
      </c>
      <c r="I52" s="27">
        <v>0.59886201991465149</v>
      </c>
      <c r="J52" s="27">
        <v>2.7027027027027029E-2</v>
      </c>
      <c r="K52" s="27">
        <v>0.36842105263157893</v>
      </c>
      <c r="L52" s="27">
        <v>5.6899004267425323E-3</v>
      </c>
      <c r="M52" s="28">
        <v>31.568990042674255</v>
      </c>
    </row>
    <row r="53" spans="1:13" x14ac:dyDescent="0.25">
      <c r="A53" s="25">
        <v>0.35689655172413792</v>
      </c>
      <c r="B53" s="25">
        <v>0.19827586206896552</v>
      </c>
      <c r="C53" s="25">
        <v>0.4206896551724138</v>
      </c>
      <c r="D53" s="26">
        <v>467</v>
      </c>
      <c r="E53" s="26">
        <v>27</v>
      </c>
      <c r="F53" s="26">
        <v>208</v>
      </c>
      <c r="G53" s="26">
        <v>1</v>
      </c>
      <c r="H53" s="26">
        <v>703</v>
      </c>
      <c r="I53" s="27">
        <v>0.66429587482219066</v>
      </c>
      <c r="J53" s="27">
        <v>3.8406827880512091E-2</v>
      </c>
      <c r="K53" s="27">
        <v>0.29587482219061167</v>
      </c>
      <c r="L53" s="27">
        <v>1.4224751066856331E-3</v>
      </c>
      <c r="M53" s="28">
        <v>26.463726884779515</v>
      </c>
    </row>
    <row r="54" spans="1:13" x14ac:dyDescent="0.25">
      <c r="A54" s="25">
        <v>0.32554257095158595</v>
      </c>
      <c r="B54" s="25">
        <v>0.30884808013355591</v>
      </c>
      <c r="C54" s="25">
        <v>0.34724540901502504</v>
      </c>
      <c r="D54" s="26">
        <v>451</v>
      </c>
      <c r="E54" s="26">
        <v>14</v>
      </c>
      <c r="F54" s="26">
        <v>238</v>
      </c>
      <c r="G54" s="26">
        <v>0</v>
      </c>
      <c r="H54" s="26">
        <v>703</v>
      </c>
      <c r="I54" s="27">
        <v>0.64153627311522043</v>
      </c>
      <c r="J54" s="27">
        <v>1.9914651493598862E-2</v>
      </c>
      <c r="K54" s="27">
        <v>0.33854907539118068</v>
      </c>
      <c r="L54" s="27">
        <v>0</v>
      </c>
      <c r="M54" s="28">
        <v>23.041251778093883</v>
      </c>
    </row>
    <row r="55" spans="1:13" x14ac:dyDescent="0.25">
      <c r="A55" s="25">
        <v>0.41076487252124644</v>
      </c>
      <c r="B55" s="25">
        <v>0.13314447592067988</v>
      </c>
      <c r="C55" s="25">
        <v>0.40226628895184136</v>
      </c>
      <c r="D55" s="26">
        <v>475</v>
      </c>
      <c r="E55" s="26">
        <v>14</v>
      </c>
      <c r="F55" s="26">
        <v>218</v>
      </c>
      <c r="G55" s="26">
        <v>0</v>
      </c>
      <c r="H55" s="26">
        <v>707</v>
      </c>
      <c r="I55" s="27">
        <v>0.67185289957567185</v>
      </c>
      <c r="J55" s="27">
        <v>1.9801980198019802E-2</v>
      </c>
      <c r="K55" s="27">
        <v>0.30834512022630833</v>
      </c>
      <c r="L55" s="27">
        <v>0</v>
      </c>
      <c r="M55" s="28">
        <v>19.644978783592645</v>
      </c>
    </row>
    <row r="56" spans="1:13" x14ac:dyDescent="0.25">
      <c r="A56" s="25">
        <v>0.42833876221498374</v>
      </c>
      <c r="B56" s="25">
        <v>0.2263843648208469</v>
      </c>
      <c r="C56" s="25">
        <v>0.32573289902280128</v>
      </c>
      <c r="D56" s="26">
        <v>395</v>
      </c>
      <c r="E56" s="26">
        <v>5</v>
      </c>
      <c r="F56" s="26">
        <v>48</v>
      </c>
      <c r="G56" s="26">
        <v>2</v>
      </c>
      <c r="H56" s="26">
        <v>450</v>
      </c>
      <c r="I56" s="27">
        <v>0.87777777777777777</v>
      </c>
      <c r="J56" s="27">
        <v>1.1111111111111112E-2</v>
      </c>
      <c r="K56" s="27">
        <v>0.10666666666666667</v>
      </c>
      <c r="L56" s="27">
        <v>4.4444444444444444E-3</v>
      </c>
      <c r="M56" s="28">
        <v>58.537777777777777</v>
      </c>
    </row>
    <row r="57" spans="1:13" x14ac:dyDescent="0.25">
      <c r="A57" s="25">
        <v>0.58272058823529416</v>
      </c>
      <c r="B57" s="25">
        <v>0.17463235294117646</v>
      </c>
      <c r="C57" s="25">
        <v>0.22058823529411764</v>
      </c>
      <c r="D57" s="26">
        <v>588</v>
      </c>
      <c r="E57" s="26">
        <v>19</v>
      </c>
      <c r="F57" s="26">
        <v>73</v>
      </c>
      <c r="G57" s="26">
        <v>2</v>
      </c>
      <c r="H57" s="26">
        <v>682</v>
      </c>
      <c r="I57" s="27">
        <v>0.8621700879765396</v>
      </c>
      <c r="J57" s="27">
        <v>2.7859237536656891E-2</v>
      </c>
      <c r="K57" s="27">
        <v>0.10703812316715543</v>
      </c>
      <c r="L57" s="27">
        <v>2.9325513196480938E-3</v>
      </c>
      <c r="M57" s="28">
        <v>47.004398826979475</v>
      </c>
    </row>
    <row r="58" spans="1:13" x14ac:dyDescent="0.25">
      <c r="A58" s="25">
        <v>0.47924528301886793</v>
      </c>
      <c r="B58" s="25">
        <v>0.20377358490566039</v>
      </c>
      <c r="C58" s="25">
        <v>0.30566037735849055</v>
      </c>
      <c r="D58" s="26">
        <v>610</v>
      </c>
      <c r="E58" s="26">
        <v>12</v>
      </c>
      <c r="F58" s="26">
        <v>60</v>
      </c>
      <c r="G58" s="26">
        <v>0</v>
      </c>
      <c r="H58" s="26">
        <v>682</v>
      </c>
      <c r="I58" s="27">
        <v>0.8944281524926686</v>
      </c>
      <c r="J58" s="27">
        <v>1.7595307917888565E-2</v>
      </c>
      <c r="K58" s="27">
        <v>8.797653958944282E-2</v>
      </c>
      <c r="L58" s="27">
        <v>0</v>
      </c>
      <c r="M58" s="28">
        <v>30.60850439882698</v>
      </c>
    </row>
    <row r="59" spans="1:13" x14ac:dyDescent="0.25">
      <c r="A59" s="25">
        <v>0.46125461254612549</v>
      </c>
      <c r="B59" s="25">
        <v>0.2029520295202952</v>
      </c>
      <c r="C59" s="25">
        <v>0.3210332103321033</v>
      </c>
      <c r="D59" s="26">
        <v>620</v>
      </c>
      <c r="E59" s="26">
        <v>17</v>
      </c>
      <c r="F59" s="26">
        <v>45</v>
      </c>
      <c r="G59" s="26">
        <v>0</v>
      </c>
      <c r="H59" s="26">
        <v>682</v>
      </c>
      <c r="I59" s="27">
        <v>0.90909090909090906</v>
      </c>
      <c r="J59" s="27">
        <v>2.4926686217008796E-2</v>
      </c>
      <c r="K59" s="27">
        <v>6.5982404692082108E-2</v>
      </c>
      <c r="L59" s="27">
        <v>0</v>
      </c>
      <c r="M59" s="28">
        <v>24.296187683284458</v>
      </c>
    </row>
    <row r="60" spans="1:13" x14ac:dyDescent="0.25">
      <c r="A60" s="25">
        <v>0.47707979626485569</v>
      </c>
      <c r="B60" s="25">
        <v>0.24787775891341257</v>
      </c>
      <c r="C60" s="25">
        <v>0.2699490662139219</v>
      </c>
      <c r="D60" s="26">
        <v>601</v>
      </c>
      <c r="E60" s="26">
        <v>18</v>
      </c>
      <c r="F60" s="26">
        <v>64</v>
      </c>
      <c r="G60" s="26">
        <v>0</v>
      </c>
      <c r="H60" s="26">
        <v>683</v>
      </c>
      <c r="I60" s="27">
        <v>0.87994143484626652</v>
      </c>
      <c r="J60" s="27">
        <v>2.6354319180087848E-2</v>
      </c>
      <c r="K60" s="27">
        <v>9.3704245973645683E-2</v>
      </c>
      <c r="L60" s="27">
        <v>0</v>
      </c>
      <c r="M60" s="28">
        <v>20.155197657393849</v>
      </c>
    </row>
    <row r="61" spans="1:13" x14ac:dyDescent="0.25">
      <c r="A61" s="25">
        <v>0.4350758853288364</v>
      </c>
      <c r="B61" s="25">
        <v>0.28330522765598654</v>
      </c>
      <c r="C61" s="25">
        <v>0.26981450252951095</v>
      </c>
      <c r="D61" s="26">
        <v>269</v>
      </c>
      <c r="E61" s="26">
        <v>53</v>
      </c>
      <c r="F61" s="26">
        <v>127</v>
      </c>
      <c r="G61" s="26">
        <v>1</v>
      </c>
      <c r="H61" s="26">
        <v>450</v>
      </c>
      <c r="I61" s="27">
        <v>0.59777777777777774</v>
      </c>
      <c r="J61" s="27">
        <v>0.11777777777777777</v>
      </c>
      <c r="K61" s="27">
        <v>0.28222222222222221</v>
      </c>
      <c r="L61" s="27">
        <v>2.2222222222222222E-3</v>
      </c>
      <c r="M61" s="28">
        <v>65.426666666666662</v>
      </c>
    </row>
    <row r="62" spans="1:13" x14ac:dyDescent="0.25">
      <c r="A62" s="25">
        <v>0.20207253886010362</v>
      </c>
      <c r="B62" s="25">
        <v>0.23056994818652848</v>
      </c>
      <c r="C62" s="25">
        <v>0.55958549222797926</v>
      </c>
      <c r="D62" s="26">
        <v>332</v>
      </c>
      <c r="E62" s="26">
        <v>25</v>
      </c>
      <c r="F62" s="26">
        <v>93</v>
      </c>
      <c r="G62" s="26">
        <v>0</v>
      </c>
      <c r="H62" s="26">
        <v>450</v>
      </c>
      <c r="I62" s="27">
        <v>0.73777777777777775</v>
      </c>
      <c r="J62" s="27">
        <v>5.5555555555555552E-2</v>
      </c>
      <c r="K62" s="27">
        <v>0.20666666666666667</v>
      </c>
      <c r="L62" s="27">
        <v>0</v>
      </c>
      <c r="M62" s="28">
        <v>55.713333333333331</v>
      </c>
    </row>
    <row r="63" spans="1:13" x14ac:dyDescent="0.25">
      <c r="A63" s="25">
        <v>0.26956521739130435</v>
      </c>
      <c r="B63" s="25">
        <v>0.32</v>
      </c>
      <c r="C63" s="25">
        <v>0.39826086956521739</v>
      </c>
      <c r="D63" s="26">
        <v>517</v>
      </c>
      <c r="E63" s="26">
        <v>22</v>
      </c>
      <c r="F63" s="26">
        <v>130</v>
      </c>
      <c r="G63" s="26">
        <v>9</v>
      </c>
      <c r="H63" s="26">
        <v>678</v>
      </c>
      <c r="I63" s="27">
        <v>0.76253687315634222</v>
      </c>
      <c r="J63" s="27">
        <v>3.2448377581120944E-2</v>
      </c>
      <c r="K63" s="27">
        <v>0.19174041297935104</v>
      </c>
      <c r="L63" s="27">
        <v>1.3274336283185841E-2</v>
      </c>
      <c r="M63" s="28">
        <v>43.262536873156343</v>
      </c>
    </row>
    <row r="64" spans="1:13" x14ac:dyDescent="0.25">
      <c r="A64" s="25">
        <v>0.27697841726618705</v>
      </c>
      <c r="B64" s="25">
        <v>0.26798561151079137</v>
      </c>
      <c r="C64" s="25">
        <v>0.44064748201438847</v>
      </c>
      <c r="D64" s="26">
        <v>587</v>
      </c>
      <c r="E64" s="26">
        <v>13</v>
      </c>
      <c r="F64" s="26">
        <v>77</v>
      </c>
      <c r="G64" s="26">
        <v>1</v>
      </c>
      <c r="H64" s="26">
        <v>678</v>
      </c>
      <c r="I64" s="27">
        <v>0.86578171091445433</v>
      </c>
      <c r="J64" s="27">
        <v>1.9174041297935103E-2</v>
      </c>
      <c r="K64" s="27">
        <v>0.11356932153392331</v>
      </c>
      <c r="L64" s="27">
        <v>1.4749262536873156E-3</v>
      </c>
      <c r="M64" s="28">
        <v>31.567846607669615</v>
      </c>
    </row>
    <row r="65" spans="1:13" x14ac:dyDescent="0.25">
      <c r="A65" s="25">
        <v>0.3181019332161687</v>
      </c>
      <c r="B65" s="25">
        <v>0.27240773286467485</v>
      </c>
      <c r="C65" s="25">
        <v>0.39367311072056238</v>
      </c>
      <c r="D65" s="26">
        <v>600</v>
      </c>
      <c r="E65" s="26">
        <v>6</v>
      </c>
      <c r="F65" s="26">
        <v>72</v>
      </c>
      <c r="G65" s="26">
        <v>0</v>
      </c>
      <c r="H65" s="26">
        <v>678</v>
      </c>
      <c r="I65" s="27">
        <v>0.88495575221238942</v>
      </c>
      <c r="J65" s="27">
        <v>8.8495575221238937E-3</v>
      </c>
      <c r="K65" s="27">
        <v>0.10619469026548672</v>
      </c>
      <c r="L65" s="27">
        <v>0</v>
      </c>
      <c r="M65" s="28">
        <v>25.547197640117993</v>
      </c>
    </row>
    <row r="66" spans="1:13" x14ac:dyDescent="0.25">
      <c r="A66" s="25">
        <v>0.28378378378378377</v>
      </c>
      <c r="B66" s="25">
        <v>0.33952702702702703</v>
      </c>
      <c r="C66" s="25">
        <v>0.36148648648648651</v>
      </c>
      <c r="D66" s="26">
        <v>597</v>
      </c>
      <c r="E66" s="26">
        <v>6</v>
      </c>
      <c r="F66" s="26">
        <v>76</v>
      </c>
      <c r="G66" s="26">
        <v>0</v>
      </c>
      <c r="H66" s="26">
        <v>679</v>
      </c>
      <c r="I66" s="27">
        <v>0.87923416789396169</v>
      </c>
      <c r="J66" s="27">
        <v>8.836524300441826E-3</v>
      </c>
      <c r="K66" s="27">
        <v>0.11192930780559647</v>
      </c>
      <c r="L66" s="27">
        <v>0</v>
      </c>
      <c r="M66" s="28">
        <v>20.521354933726069</v>
      </c>
    </row>
    <row r="67" spans="1:13" x14ac:dyDescent="0.25">
      <c r="A67" s="25">
        <v>0.2344632768361582</v>
      </c>
      <c r="B67" s="25">
        <v>0.13559322033898305</v>
      </c>
      <c r="C67" s="25">
        <v>0.58192090395480223</v>
      </c>
      <c r="D67" s="26">
        <v>355</v>
      </c>
      <c r="E67" s="26">
        <v>9</v>
      </c>
      <c r="F67" s="26">
        <v>81</v>
      </c>
      <c r="G67" s="26">
        <v>5</v>
      </c>
      <c r="H67" s="26">
        <v>450</v>
      </c>
      <c r="I67" s="27">
        <v>0.78888888888888886</v>
      </c>
      <c r="J67" s="27">
        <v>0.02</v>
      </c>
      <c r="K67" s="27">
        <v>0.18</v>
      </c>
      <c r="L67" s="27">
        <v>1.1111111111111112E-2</v>
      </c>
      <c r="M67" s="28">
        <v>63.397777777777776</v>
      </c>
    </row>
    <row r="68" spans="1:13" x14ac:dyDescent="0.25">
      <c r="A68" s="25">
        <v>0.29601990049751242</v>
      </c>
      <c r="B68" s="25">
        <v>0.13930348258706468</v>
      </c>
      <c r="C68" s="25">
        <v>0.52985074626865669</v>
      </c>
      <c r="D68" s="26">
        <v>373</v>
      </c>
      <c r="E68" s="26">
        <v>8</v>
      </c>
      <c r="F68" s="26">
        <v>68</v>
      </c>
      <c r="G68" s="26">
        <v>1</v>
      </c>
      <c r="H68" s="26">
        <v>450</v>
      </c>
      <c r="I68" s="27">
        <v>0.8288888888888889</v>
      </c>
      <c r="J68" s="27">
        <v>1.7777777777777778E-2</v>
      </c>
      <c r="K68" s="27">
        <v>0.15111111111111111</v>
      </c>
      <c r="L68" s="27">
        <v>2.2222222222222222E-3</v>
      </c>
      <c r="M68" s="28">
        <v>61.308888888888887</v>
      </c>
    </row>
    <row r="69" spans="1:13" x14ac:dyDescent="0.25">
      <c r="A69" s="25">
        <v>0.28821656050955413</v>
      </c>
      <c r="B69" s="25">
        <v>0.25318471337579618</v>
      </c>
      <c r="C69" s="25">
        <v>0.43789808917197454</v>
      </c>
      <c r="D69" s="26">
        <v>610</v>
      </c>
      <c r="E69" s="26">
        <v>19</v>
      </c>
      <c r="F69" s="26">
        <v>106</v>
      </c>
      <c r="G69" s="26">
        <v>3</v>
      </c>
      <c r="H69" s="26">
        <v>738</v>
      </c>
      <c r="I69" s="27">
        <v>0.82655826558265577</v>
      </c>
      <c r="J69" s="27">
        <v>2.5745257452574527E-2</v>
      </c>
      <c r="K69" s="27">
        <v>0.14363143631436315</v>
      </c>
      <c r="L69" s="27">
        <v>4.0650406504065045E-3</v>
      </c>
      <c r="M69" s="28">
        <v>54.192411924119241</v>
      </c>
    </row>
    <row r="70" spans="1:13" x14ac:dyDescent="0.25">
      <c r="A70" s="25">
        <v>0.2807017543859649</v>
      </c>
      <c r="B70" s="25">
        <v>0.31754385964912279</v>
      </c>
      <c r="C70" s="25">
        <v>0.38070175438596493</v>
      </c>
      <c r="D70" s="26">
        <v>568</v>
      </c>
      <c r="E70" s="26">
        <v>21</v>
      </c>
      <c r="F70" s="26">
        <v>143</v>
      </c>
      <c r="G70" s="26">
        <v>7</v>
      </c>
      <c r="H70" s="26">
        <v>739</v>
      </c>
      <c r="I70" s="27">
        <v>0.76860622462787553</v>
      </c>
      <c r="J70" s="27">
        <v>2.8416779431664412E-2</v>
      </c>
      <c r="K70" s="27">
        <v>0.19350473612990526</v>
      </c>
      <c r="L70" s="27">
        <v>9.4722598105548041E-3</v>
      </c>
      <c r="M70" s="28">
        <v>44.362652232746953</v>
      </c>
    </row>
    <row r="71" spans="1:13" x14ac:dyDescent="0.25">
      <c r="A71" s="25">
        <v>0.25352112676056338</v>
      </c>
      <c r="B71" s="25">
        <v>0.2869718309859155</v>
      </c>
      <c r="C71" s="25">
        <v>0.448943661971831</v>
      </c>
      <c r="D71" s="26">
        <v>612</v>
      </c>
      <c r="E71" s="26">
        <v>18</v>
      </c>
      <c r="F71" s="26">
        <v>106</v>
      </c>
      <c r="G71" s="26">
        <v>3</v>
      </c>
      <c r="H71" s="26">
        <v>739</v>
      </c>
      <c r="I71" s="27">
        <v>0.82814614343707715</v>
      </c>
      <c r="J71" s="27">
        <v>2.4357239512855209E-2</v>
      </c>
      <c r="K71" s="27">
        <v>0.14343707713125844</v>
      </c>
      <c r="L71" s="27">
        <v>4.0595399188092015E-3</v>
      </c>
      <c r="M71" s="28">
        <v>36.820027063599461</v>
      </c>
    </row>
    <row r="72" spans="1:13" x14ac:dyDescent="0.25">
      <c r="A72" s="25">
        <v>0.2611683848797251</v>
      </c>
      <c r="B72" s="25">
        <v>0.28006872852233677</v>
      </c>
      <c r="C72" s="25">
        <v>0.45017182130584193</v>
      </c>
      <c r="D72" s="26">
        <v>650</v>
      </c>
      <c r="E72" s="26">
        <v>13</v>
      </c>
      <c r="F72" s="26">
        <v>74</v>
      </c>
      <c r="G72" s="26">
        <v>2</v>
      </c>
      <c r="H72" s="26">
        <v>739</v>
      </c>
      <c r="I72" s="27">
        <v>0.87956698240866038</v>
      </c>
      <c r="J72" s="27">
        <v>1.7591339648173207E-2</v>
      </c>
      <c r="K72" s="27">
        <v>0.10013531799729364</v>
      </c>
      <c r="L72" s="27">
        <v>2.7063599458728013E-3</v>
      </c>
      <c r="M72" s="28">
        <v>31.713125845737483</v>
      </c>
    </row>
    <row r="73" spans="1:13" x14ac:dyDescent="0.25">
      <c r="A73" s="25">
        <v>0.31438127090301005</v>
      </c>
      <c r="B73" s="25">
        <v>0.25919732441471571</v>
      </c>
      <c r="C73" s="25">
        <v>0.41638795986622074</v>
      </c>
      <c r="D73" s="26">
        <v>663</v>
      </c>
      <c r="E73" s="26">
        <v>5</v>
      </c>
      <c r="F73" s="26">
        <v>69</v>
      </c>
      <c r="G73" s="26">
        <v>2</v>
      </c>
      <c r="H73" s="26">
        <v>739</v>
      </c>
      <c r="I73" s="27">
        <v>0.89715832205683355</v>
      </c>
      <c r="J73" s="27">
        <v>6.7658998646820028E-3</v>
      </c>
      <c r="K73" s="27">
        <v>9.336941813261164E-2</v>
      </c>
      <c r="L73" s="27">
        <v>2.7063599458728013E-3</v>
      </c>
      <c r="M73" s="28">
        <v>27.732070365358592</v>
      </c>
    </row>
    <row r="74" spans="1:13" x14ac:dyDescent="0.25">
      <c r="A74" s="25">
        <v>0.29967426710097722</v>
      </c>
      <c r="B74" s="25">
        <v>0.28175895765472314</v>
      </c>
      <c r="C74" s="25">
        <v>0.41042345276872966</v>
      </c>
      <c r="D74" s="26">
        <v>662</v>
      </c>
      <c r="E74" s="26">
        <v>8</v>
      </c>
      <c r="F74" s="26">
        <v>69</v>
      </c>
      <c r="G74" s="26">
        <v>0</v>
      </c>
      <c r="H74" s="26">
        <v>739</v>
      </c>
      <c r="I74" s="27">
        <v>0.89580514208389717</v>
      </c>
      <c r="J74" s="27">
        <v>1.0825439783491205E-2</v>
      </c>
      <c r="K74" s="27">
        <v>9.336941813261164E-2</v>
      </c>
      <c r="L74" s="27">
        <v>0</v>
      </c>
      <c r="M74" s="28">
        <v>23.944519621109606</v>
      </c>
    </row>
    <row r="75" spans="1:13" x14ac:dyDescent="0.25">
      <c r="A75" s="25">
        <v>0.30612244897959184</v>
      </c>
      <c r="B75" s="25">
        <v>0.29984301412872844</v>
      </c>
      <c r="C75" s="25">
        <v>0.38461538461538464</v>
      </c>
      <c r="D75" s="26">
        <v>663</v>
      </c>
      <c r="E75" s="26">
        <v>2</v>
      </c>
      <c r="F75" s="26">
        <v>74</v>
      </c>
      <c r="G75" s="26">
        <v>0</v>
      </c>
      <c r="H75" s="26">
        <v>739</v>
      </c>
      <c r="I75" s="27">
        <v>0.89715832205683355</v>
      </c>
      <c r="J75" s="27">
        <v>2.7063599458728013E-3</v>
      </c>
      <c r="K75" s="27">
        <v>0.10013531799729364</v>
      </c>
      <c r="L75" s="27">
        <v>0</v>
      </c>
      <c r="M75" s="28">
        <v>19.959404600811908</v>
      </c>
    </row>
    <row r="76" spans="1:13" x14ac:dyDescent="0.25">
      <c r="A76" s="25">
        <v>0.48757763975155277</v>
      </c>
      <c r="B76" s="25">
        <v>8.6956521739130432E-2</v>
      </c>
      <c r="C76" s="25">
        <v>0.38819875776397517</v>
      </c>
      <c r="D76" s="26">
        <v>376</v>
      </c>
      <c r="E76" s="26">
        <v>23</v>
      </c>
      <c r="F76" s="26">
        <v>50</v>
      </c>
      <c r="G76" s="26">
        <v>1</v>
      </c>
      <c r="H76" s="26">
        <v>450</v>
      </c>
      <c r="I76" s="27">
        <v>0.83555555555555561</v>
      </c>
      <c r="J76" s="27">
        <v>5.1111111111111114E-2</v>
      </c>
      <c r="K76" s="27">
        <v>0.1111111111111111</v>
      </c>
      <c r="L76" s="27">
        <v>2.2222222222222222E-3</v>
      </c>
      <c r="M76" s="28">
        <v>62.651111111111113</v>
      </c>
    </row>
    <row r="77" spans="1:13" x14ac:dyDescent="0.25">
      <c r="A77" s="25">
        <v>0.4483695652173913</v>
      </c>
      <c r="B77" s="25">
        <v>0.125</v>
      </c>
      <c r="C77" s="25">
        <v>0.38315217391304346</v>
      </c>
      <c r="D77" s="26">
        <v>589</v>
      </c>
      <c r="E77" s="26">
        <v>43</v>
      </c>
      <c r="F77" s="26">
        <v>85</v>
      </c>
      <c r="G77" s="26">
        <v>2</v>
      </c>
      <c r="H77" s="26">
        <v>719</v>
      </c>
      <c r="I77" s="27">
        <v>0.81919332406119616</v>
      </c>
      <c r="J77" s="27">
        <v>5.9805285118219746E-2</v>
      </c>
      <c r="K77" s="27">
        <v>0.11821974965229486</v>
      </c>
      <c r="L77" s="27">
        <v>2.7816411682892906E-3</v>
      </c>
      <c r="M77" s="28">
        <v>51.089012517385257</v>
      </c>
    </row>
    <row r="78" spans="1:13" x14ac:dyDescent="0.25">
      <c r="A78" s="25">
        <v>0.40536277602523657</v>
      </c>
      <c r="B78" s="25">
        <v>0.17665615141955837</v>
      </c>
      <c r="C78" s="25">
        <v>0.38958990536277605</v>
      </c>
      <c r="D78" s="26">
        <v>617</v>
      </c>
      <c r="E78" s="26">
        <v>33</v>
      </c>
      <c r="F78" s="26">
        <v>66</v>
      </c>
      <c r="G78" s="26">
        <v>4</v>
      </c>
      <c r="H78" s="26">
        <v>720</v>
      </c>
      <c r="I78" s="27">
        <v>0.8569444444444444</v>
      </c>
      <c r="J78" s="27">
        <v>4.583333333333333E-2</v>
      </c>
      <c r="K78" s="27">
        <v>9.166666666666666E-2</v>
      </c>
      <c r="L78" s="27">
        <v>5.5555555555555558E-3</v>
      </c>
      <c r="M78" s="28">
        <v>40.475000000000001</v>
      </c>
    </row>
    <row r="79" spans="1:13" x14ac:dyDescent="0.25">
      <c r="A79" s="25">
        <v>0.41245791245791247</v>
      </c>
      <c r="B79" s="25">
        <v>0.19865319865319866</v>
      </c>
      <c r="C79" s="25">
        <v>0.37542087542087543</v>
      </c>
      <c r="D79" s="26">
        <v>606</v>
      </c>
      <c r="E79" s="26">
        <v>42</v>
      </c>
      <c r="F79" s="26">
        <v>70</v>
      </c>
      <c r="G79" s="26">
        <v>2</v>
      </c>
      <c r="H79" s="26">
        <v>720</v>
      </c>
      <c r="I79" s="27">
        <v>0.84166666666666667</v>
      </c>
      <c r="J79" s="27">
        <v>5.8333333333333334E-2</v>
      </c>
      <c r="K79" s="27">
        <v>9.7222222222222224E-2</v>
      </c>
      <c r="L79" s="27">
        <v>2.7777777777777779E-3</v>
      </c>
      <c r="M79" s="28">
        <v>31.402777777777779</v>
      </c>
    </row>
    <row r="80" spans="1:13" x14ac:dyDescent="0.25">
      <c r="A80" s="25">
        <v>0.42342342342342343</v>
      </c>
      <c r="B80" s="25">
        <v>0.20180180180180179</v>
      </c>
      <c r="C80" s="25">
        <v>0.36396396396396397</v>
      </c>
      <c r="D80" s="26">
        <v>635</v>
      </c>
      <c r="E80" s="26">
        <v>26</v>
      </c>
      <c r="F80" s="26">
        <v>59</v>
      </c>
      <c r="G80" s="26">
        <v>0</v>
      </c>
      <c r="H80" s="26">
        <v>720</v>
      </c>
      <c r="I80" s="27">
        <v>0.88194444444444442</v>
      </c>
      <c r="J80" s="27">
        <v>3.6111111111111108E-2</v>
      </c>
      <c r="K80" s="27">
        <v>8.1944444444444445E-2</v>
      </c>
      <c r="L80" s="27">
        <v>0</v>
      </c>
      <c r="M80" s="28">
        <v>24.881944444444443</v>
      </c>
    </row>
    <row r="81" spans="1:13" x14ac:dyDescent="0.25">
      <c r="A81" s="25">
        <v>0.28446771378708552</v>
      </c>
      <c r="B81" s="25">
        <v>0.23211169284467714</v>
      </c>
      <c r="C81" s="25">
        <v>0.47120418848167539</v>
      </c>
      <c r="D81" s="26">
        <v>649</v>
      </c>
      <c r="E81" s="26">
        <v>22</v>
      </c>
      <c r="F81" s="26">
        <v>49</v>
      </c>
      <c r="G81" s="26">
        <v>0</v>
      </c>
      <c r="H81" s="26">
        <v>720</v>
      </c>
      <c r="I81" s="27">
        <v>0.90138888888888891</v>
      </c>
      <c r="J81" s="27">
        <v>3.0555555555555555E-2</v>
      </c>
      <c r="K81" s="27">
        <v>6.805555555555555E-2</v>
      </c>
      <c r="L81" s="27">
        <v>0</v>
      </c>
      <c r="M81" s="28">
        <v>20.022222222222222</v>
      </c>
    </row>
    <row r="82" spans="1:13" x14ac:dyDescent="0.25">
      <c r="A82" s="25">
        <v>0.23671497584541062</v>
      </c>
      <c r="B82" s="25">
        <v>0.32367149758454106</v>
      </c>
      <c r="C82" s="25">
        <v>0.43156199677938806</v>
      </c>
      <c r="D82" s="26">
        <v>241</v>
      </c>
      <c r="E82" s="26">
        <v>110</v>
      </c>
      <c r="F82" s="26">
        <v>96</v>
      </c>
      <c r="G82" s="26">
        <v>3</v>
      </c>
      <c r="H82" s="26">
        <v>450</v>
      </c>
      <c r="I82" s="27">
        <v>0.53555555555555556</v>
      </c>
      <c r="J82" s="27">
        <v>0.24444444444444444</v>
      </c>
      <c r="K82" s="27">
        <v>0.21333333333333335</v>
      </c>
      <c r="L82" s="27">
        <v>6.6666666666666671E-3</v>
      </c>
      <c r="M82" s="28">
        <v>66.34</v>
      </c>
    </row>
    <row r="83" spans="1:13" x14ac:dyDescent="0.25">
      <c r="A83" s="25">
        <v>0.2116991643454039</v>
      </c>
      <c r="B83" s="25">
        <v>0.19498607242339833</v>
      </c>
      <c r="C83" s="25">
        <v>0.54596100278551529</v>
      </c>
      <c r="D83" s="26">
        <v>245</v>
      </c>
      <c r="E83" s="26">
        <v>101</v>
      </c>
      <c r="F83" s="26">
        <v>103</v>
      </c>
      <c r="G83" s="26">
        <v>1</v>
      </c>
      <c r="H83" s="26">
        <v>450</v>
      </c>
      <c r="I83" s="27">
        <v>0.5444444444444444</v>
      </c>
      <c r="J83" s="27">
        <v>0.22444444444444445</v>
      </c>
      <c r="K83" s="27">
        <v>0.22888888888888889</v>
      </c>
      <c r="L83" s="27">
        <v>2.2222222222222222E-3</v>
      </c>
      <c r="M83" s="28">
        <v>61.784444444444446</v>
      </c>
    </row>
    <row r="84" spans="1:13" x14ac:dyDescent="0.25">
      <c r="A84" s="25">
        <v>0.27914614121510672</v>
      </c>
      <c r="B84" s="25">
        <v>0.26600985221674878</v>
      </c>
      <c r="C84" s="25">
        <v>0.44334975369458129</v>
      </c>
      <c r="D84" s="26">
        <v>487</v>
      </c>
      <c r="E84" s="26">
        <v>128</v>
      </c>
      <c r="F84" s="26">
        <v>130</v>
      </c>
      <c r="G84" s="26">
        <v>2</v>
      </c>
      <c r="H84" s="26">
        <v>747</v>
      </c>
      <c r="I84" s="27">
        <v>0.65194109772423026</v>
      </c>
      <c r="J84" s="27">
        <v>0.17135207496653279</v>
      </c>
      <c r="K84" s="27">
        <v>0.17402945113788487</v>
      </c>
      <c r="L84" s="27">
        <v>2.6773761713520749E-3</v>
      </c>
      <c r="M84" s="28">
        <v>52.402945113788491</v>
      </c>
    </row>
    <row r="85" spans="1:13" x14ac:dyDescent="0.25">
      <c r="A85" s="25">
        <v>0.25085910652920962</v>
      </c>
      <c r="B85" s="25">
        <v>0.3436426116838488</v>
      </c>
      <c r="C85" s="25">
        <v>0.38831615120274915</v>
      </c>
      <c r="D85" s="26">
        <v>460</v>
      </c>
      <c r="E85" s="26">
        <v>148</v>
      </c>
      <c r="F85" s="26">
        <v>134</v>
      </c>
      <c r="G85" s="26">
        <v>6</v>
      </c>
      <c r="H85" s="26">
        <v>748</v>
      </c>
      <c r="I85" s="27">
        <v>0.61497326203208558</v>
      </c>
      <c r="J85" s="27">
        <v>0.19786096256684493</v>
      </c>
      <c r="K85" s="27">
        <v>0.17914438502673796</v>
      </c>
      <c r="L85" s="27">
        <v>8.0213903743315516E-3</v>
      </c>
      <c r="M85" s="28">
        <v>42.915775401069517</v>
      </c>
    </row>
    <row r="86" spans="1:13" x14ac:dyDescent="0.25">
      <c r="A86" s="25">
        <v>0.29276895943562609</v>
      </c>
      <c r="B86" s="25">
        <v>0.27513227513227512</v>
      </c>
      <c r="C86" s="25">
        <v>0.42151675485008816</v>
      </c>
      <c r="D86" s="26">
        <v>477</v>
      </c>
      <c r="E86" s="26">
        <v>103</v>
      </c>
      <c r="F86" s="26">
        <v>167</v>
      </c>
      <c r="G86" s="26">
        <v>1</v>
      </c>
      <c r="H86" s="26">
        <v>748</v>
      </c>
      <c r="I86" s="27">
        <v>0.63770053475935828</v>
      </c>
      <c r="J86" s="27">
        <v>0.13770053475935828</v>
      </c>
      <c r="K86" s="27">
        <v>0.2232620320855615</v>
      </c>
      <c r="L86" s="27">
        <v>1.3368983957219251E-3</v>
      </c>
      <c r="M86" s="28">
        <v>33.790106951871657</v>
      </c>
    </row>
    <row r="87" spans="1:13" x14ac:dyDescent="0.25">
      <c r="A87" s="25">
        <v>0.29610829103214892</v>
      </c>
      <c r="B87" s="25">
        <v>0.28934010152284262</v>
      </c>
      <c r="C87" s="25">
        <v>0.40778341793570222</v>
      </c>
      <c r="D87" s="26">
        <v>587</v>
      </c>
      <c r="E87" s="26">
        <v>58</v>
      </c>
      <c r="F87" s="26">
        <v>102</v>
      </c>
      <c r="G87" s="26">
        <v>1</v>
      </c>
      <c r="H87" s="26">
        <v>748</v>
      </c>
      <c r="I87" s="27">
        <v>0.78475935828877008</v>
      </c>
      <c r="J87" s="27">
        <v>7.7540106951871662E-2</v>
      </c>
      <c r="K87" s="27">
        <v>0.13636363636363635</v>
      </c>
      <c r="L87" s="27">
        <v>1.3368983957219251E-3</v>
      </c>
      <c r="M87" s="28">
        <v>25.657754010695186</v>
      </c>
    </row>
    <row r="88" spans="1:13" x14ac:dyDescent="0.25">
      <c r="A88" s="25">
        <v>0.25844594594594594</v>
      </c>
      <c r="B88" s="25">
        <v>0.32263513513513514</v>
      </c>
      <c r="C88" s="25">
        <v>0.40878378378378377</v>
      </c>
      <c r="D88" s="26">
        <v>648</v>
      </c>
      <c r="E88" s="26">
        <v>29</v>
      </c>
      <c r="F88" s="26">
        <v>71</v>
      </c>
      <c r="G88" s="26">
        <v>0</v>
      </c>
      <c r="H88" s="26">
        <v>748</v>
      </c>
      <c r="I88" s="27">
        <v>0.86631016042780751</v>
      </c>
      <c r="J88" s="27">
        <v>3.8770053475935831E-2</v>
      </c>
      <c r="K88" s="27">
        <v>9.4919786096256689E-2</v>
      </c>
      <c r="L88" s="27">
        <v>0</v>
      </c>
      <c r="M88" s="28">
        <v>20.080213903743317</v>
      </c>
    </row>
    <row r="89" spans="1:13" x14ac:dyDescent="0.25">
      <c r="A89" s="25">
        <v>0.41528239202657807</v>
      </c>
      <c r="B89" s="25">
        <v>0.10631229235880399</v>
      </c>
      <c r="C89" s="25">
        <v>0.46179401993355484</v>
      </c>
      <c r="D89" s="26">
        <v>270</v>
      </c>
      <c r="E89" s="26">
        <v>140</v>
      </c>
      <c r="F89" s="26">
        <v>38</v>
      </c>
      <c r="G89" s="26">
        <v>2</v>
      </c>
      <c r="H89" s="26">
        <v>450</v>
      </c>
      <c r="I89" s="27">
        <v>0.6</v>
      </c>
      <c r="J89" s="27">
        <v>0.31111111111111112</v>
      </c>
      <c r="K89" s="27">
        <v>8.4444444444444447E-2</v>
      </c>
      <c r="L89" s="27">
        <v>4.4444444444444444E-3</v>
      </c>
      <c r="M89" s="28">
        <v>68.737777777777779</v>
      </c>
    </row>
    <row r="90" spans="1:13" x14ac:dyDescent="0.25">
      <c r="A90" s="25">
        <v>0.453125</v>
      </c>
      <c r="B90" s="25">
        <v>0.1328125</v>
      </c>
      <c r="C90" s="25">
        <v>0.40364583333333331</v>
      </c>
      <c r="D90" s="26">
        <v>248</v>
      </c>
      <c r="E90" s="26">
        <v>143</v>
      </c>
      <c r="F90" s="26">
        <v>54</v>
      </c>
      <c r="G90" s="26">
        <v>5</v>
      </c>
      <c r="H90" s="26">
        <v>450</v>
      </c>
      <c r="I90" s="27">
        <v>0.55111111111111111</v>
      </c>
      <c r="J90" s="27">
        <v>0.31777777777777777</v>
      </c>
      <c r="K90" s="27">
        <v>0.12</v>
      </c>
      <c r="L90" s="27">
        <v>1.1111111111111112E-2</v>
      </c>
      <c r="M90" s="28">
        <v>66.364444444444445</v>
      </c>
    </row>
    <row r="91" spans="1:13" x14ac:dyDescent="0.25">
      <c r="A91" s="25">
        <v>0.52835051546391754</v>
      </c>
      <c r="B91" s="25">
        <v>0.12371134020618557</v>
      </c>
      <c r="C91" s="25">
        <v>0.32731958762886598</v>
      </c>
      <c r="D91" s="26">
        <v>242</v>
      </c>
      <c r="E91" s="26">
        <v>138</v>
      </c>
      <c r="F91" s="26">
        <v>67</v>
      </c>
      <c r="G91" s="26">
        <v>3</v>
      </c>
      <c r="H91" s="26">
        <v>450</v>
      </c>
      <c r="I91" s="27">
        <v>0.5377777777777778</v>
      </c>
      <c r="J91" s="27">
        <v>0.30666666666666664</v>
      </c>
      <c r="K91" s="27">
        <v>0.14888888888888888</v>
      </c>
      <c r="L91" s="27">
        <v>6.6666666666666671E-3</v>
      </c>
      <c r="M91" s="28">
        <v>59.835555555555558</v>
      </c>
    </row>
    <row r="92" spans="1:13" x14ac:dyDescent="0.25">
      <c r="A92" s="25">
        <v>0.48281505728314239</v>
      </c>
      <c r="B92" s="25">
        <v>0.19803600654664485</v>
      </c>
      <c r="C92" s="25">
        <v>0.30114566284779049</v>
      </c>
      <c r="D92" s="26">
        <v>439</v>
      </c>
      <c r="E92" s="26">
        <v>191</v>
      </c>
      <c r="F92" s="26">
        <v>104</v>
      </c>
      <c r="G92" s="26">
        <v>7</v>
      </c>
      <c r="H92" s="26">
        <v>741</v>
      </c>
      <c r="I92" s="27">
        <v>0.59244264507422406</v>
      </c>
      <c r="J92" s="27">
        <v>0.25775978407557354</v>
      </c>
      <c r="K92" s="27">
        <v>0.14035087719298245</v>
      </c>
      <c r="L92" s="27">
        <v>9.4466936572199737E-3</v>
      </c>
      <c r="M92" s="28">
        <v>52.032388663967609</v>
      </c>
    </row>
    <row r="93" spans="1:13" x14ac:dyDescent="0.25">
      <c r="A93" s="25">
        <v>0.43760683760683761</v>
      </c>
      <c r="B93" s="25">
        <v>0.23247863247863249</v>
      </c>
      <c r="C93" s="25">
        <v>0.30256410256410254</v>
      </c>
      <c r="D93" s="26">
        <v>486</v>
      </c>
      <c r="E93" s="26">
        <v>170</v>
      </c>
      <c r="F93" s="26">
        <v>83</v>
      </c>
      <c r="G93" s="26">
        <v>2</v>
      </c>
      <c r="H93" s="26">
        <v>741</v>
      </c>
      <c r="I93" s="27">
        <v>0.65587044534412953</v>
      </c>
      <c r="J93" s="27">
        <v>0.22941970310391363</v>
      </c>
      <c r="K93" s="27">
        <v>0.11201079622132254</v>
      </c>
      <c r="L93" s="27">
        <v>2.6990553306342779E-3</v>
      </c>
      <c r="M93" s="28">
        <v>44.429149797570851</v>
      </c>
    </row>
    <row r="94" spans="1:13" x14ac:dyDescent="0.25">
      <c r="A94" s="25">
        <v>0.37696335078534032</v>
      </c>
      <c r="B94" s="25">
        <v>0.23211169284467714</v>
      </c>
      <c r="C94" s="25">
        <v>0.38045375218150085</v>
      </c>
      <c r="D94" s="26">
        <v>520</v>
      </c>
      <c r="E94" s="26">
        <v>139</v>
      </c>
      <c r="F94" s="26">
        <v>76</v>
      </c>
      <c r="G94" s="26">
        <v>6</v>
      </c>
      <c r="H94" s="26">
        <v>741</v>
      </c>
      <c r="I94" s="27">
        <v>0.70175438596491224</v>
      </c>
      <c r="J94" s="27">
        <v>0.18758434547908232</v>
      </c>
      <c r="K94" s="27">
        <v>0.10256410256410256</v>
      </c>
      <c r="L94" s="27">
        <v>8.0971659919028341E-3</v>
      </c>
      <c r="M94" s="28">
        <v>38.442645074224025</v>
      </c>
    </row>
    <row r="95" spans="1:13" x14ac:dyDescent="0.25">
      <c r="A95" s="25">
        <v>0.38380281690140844</v>
      </c>
      <c r="B95" s="25">
        <v>0.23415492957746478</v>
      </c>
      <c r="C95" s="25">
        <v>0.37323943661971831</v>
      </c>
      <c r="D95" s="26">
        <v>563</v>
      </c>
      <c r="E95" s="26">
        <v>106</v>
      </c>
      <c r="F95" s="26">
        <v>71</v>
      </c>
      <c r="G95" s="26">
        <v>1</v>
      </c>
      <c r="H95" s="26">
        <v>741</v>
      </c>
      <c r="I95" s="27">
        <v>0.75978407557354921</v>
      </c>
      <c r="J95" s="27">
        <v>0.14304993252361672</v>
      </c>
      <c r="K95" s="27">
        <v>9.5816464237516871E-2</v>
      </c>
      <c r="L95" s="27">
        <v>1.3495276653171389E-3</v>
      </c>
      <c r="M95" s="28">
        <v>32.709851551956817</v>
      </c>
    </row>
    <row r="96" spans="1:13" x14ac:dyDescent="0.25">
      <c r="A96" s="25">
        <v>0.39721254355400698</v>
      </c>
      <c r="B96" s="25">
        <v>0.23693379790940766</v>
      </c>
      <c r="C96" s="25">
        <v>0.35540069686411152</v>
      </c>
      <c r="D96" s="26">
        <v>600</v>
      </c>
      <c r="E96" s="26">
        <v>69</v>
      </c>
      <c r="F96" s="26">
        <v>72</v>
      </c>
      <c r="G96" s="26">
        <v>0</v>
      </c>
      <c r="H96" s="26">
        <v>741</v>
      </c>
      <c r="I96" s="27">
        <v>0.80971659919028338</v>
      </c>
      <c r="J96" s="27">
        <v>9.3117408906882596E-2</v>
      </c>
      <c r="K96" s="27">
        <v>9.7165991902834009E-2</v>
      </c>
      <c r="L96" s="27">
        <v>0</v>
      </c>
      <c r="M96" s="28">
        <v>26.642375168690958</v>
      </c>
    </row>
    <row r="97" spans="1:13" x14ac:dyDescent="0.25">
      <c r="A97" s="25">
        <v>0.36970684039087948</v>
      </c>
      <c r="B97" s="25">
        <v>0.28175895765472314</v>
      </c>
      <c r="C97" s="25">
        <v>0.33713355048859933</v>
      </c>
      <c r="D97" s="26">
        <v>604</v>
      </c>
      <c r="E97" s="26">
        <v>57</v>
      </c>
      <c r="F97" s="26">
        <v>80</v>
      </c>
      <c r="G97" s="26">
        <v>0</v>
      </c>
      <c r="H97" s="26">
        <v>741</v>
      </c>
      <c r="I97" s="27">
        <v>0.81511470985155199</v>
      </c>
      <c r="J97" s="27">
        <v>7.6923076923076927E-2</v>
      </c>
      <c r="K97" s="27">
        <v>0.10796221322537113</v>
      </c>
      <c r="L97" s="27">
        <v>0</v>
      </c>
      <c r="M97" s="28">
        <v>20.720647773279353</v>
      </c>
    </row>
    <row r="98" spans="1:13" x14ac:dyDescent="0.25">
      <c r="A98" s="25">
        <v>0.42366412213740456</v>
      </c>
      <c r="B98" s="25">
        <v>3.8167938931297711E-2</v>
      </c>
      <c r="C98" s="25">
        <v>0.41984732824427479</v>
      </c>
      <c r="D98" s="26">
        <v>41</v>
      </c>
      <c r="E98" s="26">
        <v>93</v>
      </c>
      <c r="F98" s="26">
        <v>216</v>
      </c>
      <c r="G98" s="26">
        <v>0</v>
      </c>
      <c r="H98" s="26">
        <v>350</v>
      </c>
      <c r="I98" s="27">
        <v>0.11714285714285715</v>
      </c>
      <c r="J98" s="27">
        <v>0.26571428571428574</v>
      </c>
      <c r="K98" s="27">
        <v>0.6171428571428571</v>
      </c>
      <c r="L98" s="27">
        <v>0</v>
      </c>
      <c r="M98" s="28">
        <v>65.931428571428569</v>
      </c>
    </row>
    <row r="99" spans="1:13" x14ac:dyDescent="0.25">
      <c r="A99" s="25">
        <v>0.49477351916376305</v>
      </c>
      <c r="B99" s="25">
        <v>0.11149825783972125</v>
      </c>
      <c r="C99" s="25">
        <v>0.34843205574912894</v>
      </c>
      <c r="D99" s="26">
        <v>114</v>
      </c>
      <c r="E99" s="26">
        <v>74</v>
      </c>
      <c r="F99" s="26">
        <v>167</v>
      </c>
      <c r="G99" s="26">
        <v>0</v>
      </c>
      <c r="H99" s="26">
        <v>355</v>
      </c>
      <c r="I99" s="27">
        <v>0.3211267605633803</v>
      </c>
      <c r="J99" s="27">
        <v>0.20845070422535211</v>
      </c>
      <c r="K99" s="27">
        <v>0.47042253521126759</v>
      </c>
      <c r="L99" s="27">
        <v>0</v>
      </c>
      <c r="M99" s="28">
        <v>35.44507042253521</v>
      </c>
    </row>
    <row r="100" spans="1:13" x14ac:dyDescent="0.25">
      <c r="A100" s="25">
        <v>0.11299435028248588</v>
      </c>
      <c r="B100" s="25">
        <v>0.14124293785310735</v>
      </c>
      <c r="C100" s="25">
        <v>0.73163841807909602</v>
      </c>
      <c r="D100" s="26">
        <v>446</v>
      </c>
      <c r="E100" s="26">
        <v>0</v>
      </c>
      <c r="F100" s="26">
        <v>1</v>
      </c>
      <c r="G100" s="26">
        <v>3</v>
      </c>
      <c r="H100" s="26">
        <v>450</v>
      </c>
      <c r="I100" s="27">
        <v>0.99111111111111116</v>
      </c>
      <c r="J100" s="27">
        <v>0</v>
      </c>
      <c r="K100" s="27">
        <v>2.2222222222222222E-3</v>
      </c>
      <c r="L100" s="27">
        <v>6.6666666666666671E-3</v>
      </c>
      <c r="M100" s="28">
        <v>63.082222222222221</v>
      </c>
    </row>
    <row r="101" spans="1:13" x14ac:dyDescent="0.25">
      <c r="A101" s="25">
        <v>9.3816631130063971E-2</v>
      </c>
      <c r="B101" s="25">
        <v>0.3006396588486141</v>
      </c>
      <c r="C101" s="25">
        <v>0.59914712153518124</v>
      </c>
      <c r="D101" s="26">
        <v>615</v>
      </c>
      <c r="E101" s="26">
        <v>3</v>
      </c>
      <c r="F101" s="26">
        <v>5</v>
      </c>
      <c r="G101" s="26">
        <v>5</v>
      </c>
      <c r="H101" s="26">
        <v>628</v>
      </c>
      <c r="I101" s="27">
        <v>0.97929936305732479</v>
      </c>
      <c r="J101" s="27">
        <v>4.7770700636942673E-3</v>
      </c>
      <c r="K101" s="27">
        <v>7.9617834394904458E-3</v>
      </c>
      <c r="L101" s="27">
        <v>7.9617834394904458E-3</v>
      </c>
      <c r="M101" s="28">
        <v>32.305732484076437</v>
      </c>
    </row>
    <row r="102" spans="1:13" x14ac:dyDescent="0.25">
      <c r="A102" s="25">
        <v>0.13119533527696792</v>
      </c>
      <c r="B102" s="25">
        <v>0.15160349854227406</v>
      </c>
      <c r="C102" s="25">
        <v>0.70262390670553931</v>
      </c>
      <c r="D102" s="26">
        <v>413</v>
      </c>
      <c r="E102" s="26">
        <v>1</v>
      </c>
      <c r="F102" s="26">
        <v>3</v>
      </c>
      <c r="G102" s="26">
        <v>33</v>
      </c>
      <c r="H102" s="26">
        <v>450</v>
      </c>
      <c r="I102" s="27">
        <v>0.9177777777777778</v>
      </c>
      <c r="J102" s="27">
        <v>2.2222222222222222E-3</v>
      </c>
      <c r="K102" s="27">
        <v>6.6666666666666671E-3</v>
      </c>
      <c r="L102" s="27">
        <v>7.3333333333333334E-2</v>
      </c>
      <c r="M102" s="28">
        <v>66.031111111111116</v>
      </c>
    </row>
    <row r="103" spans="1:13" x14ac:dyDescent="0.25">
      <c r="A103" s="25">
        <v>0.11873350923482849</v>
      </c>
      <c r="B103" s="25">
        <v>0.21108179419525067</v>
      </c>
      <c r="C103" s="25">
        <v>0.65435356200527706</v>
      </c>
      <c r="D103" s="26">
        <v>373</v>
      </c>
      <c r="E103" s="26">
        <v>2</v>
      </c>
      <c r="F103" s="26">
        <v>2</v>
      </c>
      <c r="G103" s="26">
        <v>95</v>
      </c>
      <c r="H103" s="26">
        <v>472</v>
      </c>
      <c r="I103" s="27">
        <v>0.7902542372881356</v>
      </c>
      <c r="J103" s="27">
        <v>4.2372881355932203E-3</v>
      </c>
      <c r="K103" s="27">
        <v>4.2372881355932203E-3</v>
      </c>
      <c r="L103" s="27">
        <v>0.20127118644067796</v>
      </c>
      <c r="M103" s="28">
        <v>47.04449152542373</v>
      </c>
    </row>
    <row r="104" spans="1:13" x14ac:dyDescent="0.25">
      <c r="A104" s="25">
        <v>0.15680473372781065</v>
      </c>
      <c r="B104" s="25">
        <v>0.25739644970414199</v>
      </c>
      <c r="C104" s="25">
        <v>0.57692307692307687</v>
      </c>
      <c r="D104" s="26">
        <v>405</v>
      </c>
      <c r="E104" s="26">
        <v>0</v>
      </c>
      <c r="F104" s="26">
        <v>2</v>
      </c>
      <c r="G104" s="26">
        <v>65</v>
      </c>
      <c r="H104" s="26">
        <v>472</v>
      </c>
      <c r="I104" s="27">
        <v>0.85805084745762716</v>
      </c>
      <c r="J104" s="27">
        <v>0</v>
      </c>
      <c r="K104" s="27">
        <v>4.2372881355932203E-3</v>
      </c>
      <c r="L104" s="27">
        <v>0.13771186440677965</v>
      </c>
      <c r="M104" s="28">
        <v>28.70550847457627</v>
      </c>
    </row>
    <row r="105" spans="1:13" x14ac:dyDescent="0.25">
      <c r="A105" s="25">
        <v>0.13573407202216067</v>
      </c>
      <c r="B105" s="25">
        <v>0.1440443213296399</v>
      </c>
      <c r="C105" s="25">
        <v>0.70914127423822715</v>
      </c>
      <c r="D105" s="26">
        <v>436</v>
      </c>
      <c r="E105" s="26">
        <v>9</v>
      </c>
      <c r="F105" s="26">
        <v>4</v>
      </c>
      <c r="G105" s="26">
        <v>1</v>
      </c>
      <c r="H105" s="26">
        <v>450</v>
      </c>
      <c r="I105" s="27">
        <v>0.96888888888888891</v>
      </c>
      <c r="J105" s="27">
        <v>0.02</v>
      </c>
      <c r="K105" s="27">
        <v>8.8888888888888889E-3</v>
      </c>
      <c r="L105" s="27">
        <v>2.2222222222222222E-3</v>
      </c>
      <c r="M105" s="28">
        <v>62.144444444444446</v>
      </c>
    </row>
    <row r="106" spans="1:13" x14ac:dyDescent="0.25">
      <c r="A106" s="25">
        <v>0.17499999999999999</v>
      </c>
      <c r="B106" s="25">
        <v>0.24374999999999999</v>
      </c>
      <c r="C106" s="25">
        <v>0.57708333333333328</v>
      </c>
      <c r="D106" s="26">
        <v>573</v>
      </c>
      <c r="E106" s="26">
        <v>2</v>
      </c>
      <c r="F106" s="26">
        <v>8</v>
      </c>
      <c r="G106" s="26">
        <v>1</v>
      </c>
      <c r="H106" s="26">
        <v>584</v>
      </c>
      <c r="I106" s="27">
        <v>0.98116438356164382</v>
      </c>
      <c r="J106" s="27">
        <v>3.4246575342465752E-3</v>
      </c>
      <c r="K106" s="27">
        <v>1.3698630136986301E-2</v>
      </c>
      <c r="L106" s="27">
        <v>1.7123287671232876E-3</v>
      </c>
      <c r="M106" s="28">
        <v>33.351027397260275</v>
      </c>
    </row>
    <row r="107" spans="1:13" x14ac:dyDescent="0.25">
      <c r="A107" s="25">
        <v>0.22754491017964071</v>
      </c>
      <c r="B107" s="25">
        <v>0.11377245508982035</v>
      </c>
      <c r="C107" s="25">
        <v>0.61676646706586824</v>
      </c>
      <c r="D107" s="26">
        <v>338</v>
      </c>
      <c r="E107" s="26">
        <v>25</v>
      </c>
      <c r="F107" s="26">
        <v>83</v>
      </c>
      <c r="G107" s="26">
        <v>4</v>
      </c>
      <c r="H107" s="26">
        <v>450</v>
      </c>
      <c r="I107" s="27">
        <v>0.75111111111111106</v>
      </c>
      <c r="J107" s="27">
        <v>5.5555555555555552E-2</v>
      </c>
      <c r="K107" s="27">
        <v>0.18444444444444444</v>
      </c>
      <c r="L107" s="27">
        <v>8.8888888888888889E-3</v>
      </c>
      <c r="M107" s="28">
        <v>65.706666666666663</v>
      </c>
    </row>
    <row r="108" spans="1:13" x14ac:dyDescent="0.25">
      <c r="A108" s="25">
        <v>0.23136246786632392</v>
      </c>
      <c r="B108" s="25">
        <v>0.16452442159383032</v>
      </c>
      <c r="C108" s="25">
        <v>0.56555269922879181</v>
      </c>
      <c r="D108" s="26">
        <v>344</v>
      </c>
      <c r="E108" s="26">
        <v>37</v>
      </c>
      <c r="F108" s="26">
        <v>68</v>
      </c>
      <c r="G108" s="26">
        <v>1</v>
      </c>
      <c r="H108" s="26">
        <v>450</v>
      </c>
      <c r="I108" s="27">
        <v>0.76444444444444448</v>
      </c>
      <c r="J108" s="27">
        <v>8.2222222222222224E-2</v>
      </c>
      <c r="K108" s="27">
        <v>0.15111111111111111</v>
      </c>
      <c r="L108" s="27">
        <v>2.2222222222222222E-3</v>
      </c>
      <c r="M108" s="28">
        <v>58.82</v>
      </c>
    </row>
    <row r="109" spans="1:13" x14ac:dyDescent="0.25">
      <c r="A109" s="25">
        <v>0.25830258302583026</v>
      </c>
      <c r="B109" s="25">
        <v>0.20479704797047971</v>
      </c>
      <c r="C109" s="25">
        <v>0.51845018450184499</v>
      </c>
      <c r="D109" s="26">
        <v>480</v>
      </c>
      <c r="E109" s="26">
        <v>50</v>
      </c>
      <c r="F109" s="26">
        <v>103</v>
      </c>
      <c r="G109" s="26">
        <v>2</v>
      </c>
      <c r="H109" s="26">
        <v>635</v>
      </c>
      <c r="I109" s="27">
        <v>0.75590551181102361</v>
      </c>
      <c r="J109" s="27">
        <v>7.874015748031496E-2</v>
      </c>
      <c r="K109" s="27">
        <v>0.16220472440944883</v>
      </c>
      <c r="L109" s="27">
        <v>3.1496062992125984E-3</v>
      </c>
      <c r="M109" s="28">
        <v>47.845669291338581</v>
      </c>
    </row>
    <row r="110" spans="1:13" x14ac:dyDescent="0.25">
      <c r="A110" s="25">
        <v>0.26724137931034481</v>
      </c>
      <c r="B110" s="25">
        <v>0.23275862068965517</v>
      </c>
      <c r="C110" s="25">
        <v>0.47198275862068967</v>
      </c>
      <c r="D110" s="26">
        <v>467</v>
      </c>
      <c r="E110" s="26">
        <v>59</v>
      </c>
      <c r="F110" s="26">
        <v>108</v>
      </c>
      <c r="G110" s="26">
        <v>1</v>
      </c>
      <c r="H110" s="26">
        <v>635</v>
      </c>
      <c r="I110" s="27">
        <v>0.73543307086614174</v>
      </c>
      <c r="J110" s="27">
        <v>9.2913385826771652E-2</v>
      </c>
      <c r="K110" s="27">
        <v>0.17007874015748031</v>
      </c>
      <c r="L110" s="27">
        <v>1.5748031496062992E-3</v>
      </c>
      <c r="M110" s="28">
        <v>38.020472440944879</v>
      </c>
    </row>
    <row r="111" spans="1:13" x14ac:dyDescent="0.25">
      <c r="A111" s="25">
        <v>0.24948453608247423</v>
      </c>
      <c r="B111" s="25">
        <v>0.20824742268041238</v>
      </c>
      <c r="C111" s="25">
        <v>0.52783505154639176</v>
      </c>
      <c r="D111" s="26">
        <v>497</v>
      </c>
      <c r="E111" s="26">
        <v>51</v>
      </c>
      <c r="F111" s="26">
        <v>87</v>
      </c>
      <c r="G111" s="26">
        <v>0</v>
      </c>
      <c r="H111" s="26">
        <v>635</v>
      </c>
      <c r="I111" s="27">
        <v>0.78267716535433074</v>
      </c>
      <c r="J111" s="27">
        <v>8.0314960629921259E-2</v>
      </c>
      <c r="K111" s="27">
        <v>0.13700787401574804</v>
      </c>
      <c r="L111" s="27">
        <v>0</v>
      </c>
      <c r="M111" s="28">
        <v>31.269291338582676</v>
      </c>
    </row>
    <row r="112" spans="1:13" x14ac:dyDescent="0.25">
      <c r="A112" s="25">
        <v>0.28160919540229884</v>
      </c>
      <c r="B112" s="25">
        <v>0.20689655172413793</v>
      </c>
      <c r="C112" s="25">
        <v>0.49808429118773945</v>
      </c>
      <c r="D112" s="26">
        <v>501</v>
      </c>
      <c r="E112" s="26">
        <v>35</v>
      </c>
      <c r="F112" s="26">
        <v>99</v>
      </c>
      <c r="G112" s="26">
        <v>0</v>
      </c>
      <c r="H112" s="26">
        <v>635</v>
      </c>
      <c r="I112" s="27">
        <v>0.78897637795275588</v>
      </c>
      <c r="J112" s="27">
        <v>5.5118110236220472E-2</v>
      </c>
      <c r="K112" s="27">
        <v>0.15590551181102363</v>
      </c>
      <c r="L112" s="27">
        <v>0</v>
      </c>
      <c r="M112" s="28">
        <v>25.875590551181102</v>
      </c>
    </row>
    <row r="113" spans="1:13" x14ac:dyDescent="0.25">
      <c r="A113" s="25">
        <v>0.24349442379182157</v>
      </c>
      <c r="B113" s="25">
        <v>0.19516728624535315</v>
      </c>
      <c r="C113" s="25">
        <v>0.53345724907063197</v>
      </c>
      <c r="D113" s="26">
        <v>504</v>
      </c>
      <c r="E113" s="26">
        <v>24</v>
      </c>
      <c r="F113" s="26">
        <v>108</v>
      </c>
      <c r="G113" s="26">
        <v>0</v>
      </c>
      <c r="H113" s="26">
        <v>636</v>
      </c>
      <c r="I113" s="27">
        <v>0.79245283018867929</v>
      </c>
      <c r="J113" s="27">
        <v>3.7735849056603772E-2</v>
      </c>
      <c r="K113" s="27">
        <v>0.16981132075471697</v>
      </c>
      <c r="L113" s="27">
        <v>0</v>
      </c>
      <c r="M113" s="28">
        <v>20.79245283018868</v>
      </c>
    </row>
    <row r="114" spans="1:13" x14ac:dyDescent="0.25">
      <c r="A114" s="25">
        <v>0.32937685459940652</v>
      </c>
      <c r="B114" s="25">
        <v>5.637982195845697E-2</v>
      </c>
      <c r="C114" s="25">
        <v>0.56973293768545996</v>
      </c>
      <c r="D114" s="26">
        <v>231</v>
      </c>
      <c r="E114" s="26">
        <v>135</v>
      </c>
      <c r="F114" s="26">
        <v>84</v>
      </c>
      <c r="G114" s="26">
        <v>0</v>
      </c>
      <c r="H114" s="26">
        <v>450</v>
      </c>
      <c r="I114" s="27">
        <v>0.51333333333333331</v>
      </c>
      <c r="J114" s="27">
        <v>0.3</v>
      </c>
      <c r="K114" s="27">
        <v>0.18666666666666668</v>
      </c>
      <c r="L114" s="27">
        <v>0</v>
      </c>
      <c r="M114" s="28">
        <v>68.646666666666661</v>
      </c>
    </row>
    <row r="115" spans="1:13" x14ac:dyDescent="0.25">
      <c r="A115" s="25">
        <v>0.38095238095238093</v>
      </c>
      <c r="B115" s="25">
        <v>9.2592592592592587E-2</v>
      </c>
      <c r="C115" s="25">
        <v>0.46560846560846558</v>
      </c>
      <c r="D115" s="26">
        <v>246</v>
      </c>
      <c r="E115" s="26">
        <v>88</v>
      </c>
      <c r="F115" s="26">
        <v>115</v>
      </c>
      <c r="G115" s="26">
        <v>1</v>
      </c>
      <c r="H115" s="26">
        <v>450</v>
      </c>
      <c r="I115" s="27">
        <v>0.54666666666666663</v>
      </c>
      <c r="J115" s="27">
        <v>0.19555555555555557</v>
      </c>
      <c r="K115" s="27">
        <v>0.25555555555555554</v>
      </c>
      <c r="L115" s="27">
        <v>2.2222222222222222E-3</v>
      </c>
      <c r="M115" s="28">
        <v>59.7</v>
      </c>
    </row>
    <row r="116" spans="1:13" x14ac:dyDescent="0.25">
      <c r="A116" s="25">
        <v>0.44795539033457249</v>
      </c>
      <c r="B116" s="25">
        <v>0.12639405204460966</v>
      </c>
      <c r="C116" s="25">
        <v>0.38289962825278812</v>
      </c>
      <c r="D116" s="26">
        <v>292</v>
      </c>
      <c r="E116" s="26">
        <v>129</v>
      </c>
      <c r="F116" s="26">
        <v>234</v>
      </c>
      <c r="G116" s="26">
        <v>3</v>
      </c>
      <c r="H116" s="26">
        <v>658</v>
      </c>
      <c r="I116" s="27">
        <v>0.44376899696048633</v>
      </c>
      <c r="J116" s="27">
        <v>0.196048632218845</v>
      </c>
      <c r="K116" s="27">
        <v>0.35562310030395139</v>
      </c>
      <c r="L116" s="27">
        <v>4.559270516717325E-3</v>
      </c>
      <c r="M116" s="28">
        <v>46.788753799392097</v>
      </c>
    </row>
    <row r="117" spans="1:13" x14ac:dyDescent="0.25">
      <c r="A117" s="25">
        <v>0.4181459566074951</v>
      </c>
      <c r="B117" s="25">
        <v>0.14003944773175542</v>
      </c>
      <c r="C117" s="25">
        <v>0.39842209072978302</v>
      </c>
      <c r="D117" s="26">
        <v>341</v>
      </c>
      <c r="E117" s="26">
        <v>68</v>
      </c>
      <c r="F117" s="26">
        <v>247</v>
      </c>
      <c r="G117" s="26">
        <v>3</v>
      </c>
      <c r="H117" s="26">
        <v>659</v>
      </c>
      <c r="I117" s="27">
        <v>0.51745068285280726</v>
      </c>
      <c r="J117" s="27">
        <v>0.10318664643399089</v>
      </c>
      <c r="K117" s="27">
        <v>0.37481031866464337</v>
      </c>
      <c r="L117" s="27">
        <v>4.552352048558422E-3</v>
      </c>
      <c r="M117" s="28">
        <v>36.21244309559939</v>
      </c>
    </row>
    <row r="118" spans="1:13" x14ac:dyDescent="0.25">
      <c r="A118" s="25">
        <v>0.40160642570281124</v>
      </c>
      <c r="B118" s="25">
        <v>0.15863453815261044</v>
      </c>
      <c r="C118" s="25">
        <v>0.40963855421686746</v>
      </c>
      <c r="D118" s="26">
        <v>350</v>
      </c>
      <c r="E118" s="26">
        <v>65</v>
      </c>
      <c r="F118" s="26">
        <v>244</v>
      </c>
      <c r="G118" s="26">
        <v>0</v>
      </c>
      <c r="H118" s="26">
        <v>659</v>
      </c>
      <c r="I118" s="27">
        <v>0.53110773899848251</v>
      </c>
      <c r="J118" s="27">
        <v>9.8634294385432475E-2</v>
      </c>
      <c r="K118" s="27">
        <v>0.37025796661608495</v>
      </c>
      <c r="L118" s="27">
        <v>0</v>
      </c>
      <c r="M118" s="28">
        <v>25.701062215477997</v>
      </c>
    </row>
    <row r="119" spans="1:13" x14ac:dyDescent="0.25">
      <c r="A119" s="25">
        <v>0.20869565217391303</v>
      </c>
      <c r="B119" s="25">
        <v>6.3768115942028983E-2</v>
      </c>
      <c r="C119" s="25">
        <v>0.68985507246376809</v>
      </c>
      <c r="D119" s="26">
        <v>366</v>
      </c>
      <c r="E119" s="26">
        <v>38</v>
      </c>
      <c r="F119" s="26">
        <v>46</v>
      </c>
      <c r="G119" s="26">
        <v>0</v>
      </c>
      <c r="H119" s="26">
        <v>450</v>
      </c>
      <c r="I119" s="27">
        <v>0.81333333333333335</v>
      </c>
      <c r="J119" s="27">
        <v>8.4444444444444447E-2</v>
      </c>
      <c r="K119" s="27">
        <v>0.10222222222222223</v>
      </c>
      <c r="L119" s="27">
        <v>0</v>
      </c>
      <c r="M119" s="28">
        <v>66.031111111111116</v>
      </c>
    </row>
    <row r="120" spans="1:13" x14ac:dyDescent="0.25">
      <c r="A120" s="25">
        <v>0.13784461152882205</v>
      </c>
      <c r="B120" s="25">
        <v>0.16541353383458646</v>
      </c>
      <c r="C120" s="25">
        <v>0.67669172932330823</v>
      </c>
      <c r="D120" s="26">
        <v>418</v>
      </c>
      <c r="E120" s="26">
        <v>8</v>
      </c>
      <c r="F120" s="26">
        <v>22</v>
      </c>
      <c r="G120" s="26">
        <v>2</v>
      </c>
      <c r="H120" s="26">
        <v>450</v>
      </c>
      <c r="I120" s="27">
        <v>0.92888888888888888</v>
      </c>
      <c r="J120" s="27">
        <v>1.7777777777777778E-2</v>
      </c>
      <c r="K120" s="27">
        <v>4.8888888888888891E-2</v>
      </c>
      <c r="L120" s="27">
        <v>4.4444444444444444E-3</v>
      </c>
      <c r="M120" s="28">
        <v>57.162222222222219</v>
      </c>
    </row>
    <row r="121" spans="1:13" x14ac:dyDescent="0.25">
      <c r="A121" s="25">
        <v>0.15053763440860216</v>
      </c>
      <c r="B121" s="25">
        <v>0.23835125448028674</v>
      </c>
      <c r="C121" s="25">
        <v>0.58064516129032262</v>
      </c>
      <c r="D121" s="26">
        <v>631</v>
      </c>
      <c r="E121" s="26">
        <v>7</v>
      </c>
      <c r="F121" s="26">
        <v>35</v>
      </c>
      <c r="G121" s="26">
        <v>6</v>
      </c>
      <c r="H121" s="26">
        <v>679</v>
      </c>
      <c r="I121" s="27">
        <v>0.92930780559646542</v>
      </c>
      <c r="J121" s="27">
        <v>1.0309278350515464E-2</v>
      </c>
      <c r="K121" s="27">
        <v>5.1546391752577317E-2</v>
      </c>
      <c r="L121" s="27">
        <v>8.836524300441826E-3</v>
      </c>
      <c r="M121" s="28">
        <v>43.982326951399116</v>
      </c>
    </row>
    <row r="122" spans="1:13" x14ac:dyDescent="0.25">
      <c r="A122" s="25">
        <v>0.11663479923518165</v>
      </c>
      <c r="B122" s="25">
        <v>0.26768642447418739</v>
      </c>
      <c r="C122" s="25">
        <v>0.60803059273422566</v>
      </c>
      <c r="D122" s="26">
        <v>655</v>
      </c>
      <c r="E122" s="26">
        <v>6</v>
      </c>
      <c r="F122" s="26">
        <v>17</v>
      </c>
      <c r="G122" s="26">
        <v>1</v>
      </c>
      <c r="H122" s="26">
        <v>679</v>
      </c>
      <c r="I122" s="27">
        <v>0.96465390279823271</v>
      </c>
      <c r="J122" s="27">
        <v>8.836524300441826E-3</v>
      </c>
      <c r="K122" s="27">
        <v>2.5036818851251842E-2</v>
      </c>
      <c r="L122" s="27">
        <v>1.4727540500736377E-3</v>
      </c>
      <c r="M122" s="28">
        <v>30.117820324005891</v>
      </c>
    </row>
    <row r="123" spans="1:13" x14ac:dyDescent="0.25">
      <c r="A123" s="25">
        <v>0.17173524150268335</v>
      </c>
      <c r="B123" s="25">
        <v>0.2844364937388193</v>
      </c>
      <c r="C123" s="25">
        <v>0.53488372093023251</v>
      </c>
      <c r="D123" s="26">
        <v>652</v>
      </c>
      <c r="E123" s="26">
        <v>1</v>
      </c>
      <c r="F123" s="26">
        <v>27</v>
      </c>
      <c r="G123" s="26">
        <v>0</v>
      </c>
      <c r="H123" s="26">
        <v>680</v>
      </c>
      <c r="I123" s="27">
        <v>0.95882352941176474</v>
      </c>
      <c r="J123" s="27">
        <v>1.4705882352941176E-3</v>
      </c>
      <c r="K123" s="27">
        <v>3.9705882352941174E-2</v>
      </c>
      <c r="L123" s="27">
        <v>0</v>
      </c>
      <c r="M123" s="28">
        <v>21.548529411764704</v>
      </c>
    </row>
    <row r="124" spans="1:13" x14ac:dyDescent="0.25">
      <c r="A124" s="25">
        <v>0.16315789473684211</v>
      </c>
      <c r="B124" s="25">
        <v>0.20263157894736841</v>
      </c>
      <c r="C124" s="25">
        <v>0.62631578947368416</v>
      </c>
      <c r="D124" s="26">
        <v>288</v>
      </c>
      <c r="E124" s="26">
        <v>134</v>
      </c>
      <c r="F124" s="26">
        <v>28</v>
      </c>
      <c r="G124" s="26">
        <v>0</v>
      </c>
      <c r="H124" s="26">
        <v>450</v>
      </c>
      <c r="I124" s="27">
        <v>0.64</v>
      </c>
      <c r="J124" s="27">
        <v>0.29777777777777775</v>
      </c>
      <c r="K124" s="27">
        <v>6.222222222222222E-2</v>
      </c>
      <c r="L124" s="27">
        <v>0</v>
      </c>
      <c r="M124" s="28">
        <v>68.862222222222229</v>
      </c>
    </row>
    <row r="125" spans="1:13" x14ac:dyDescent="0.25">
      <c r="A125" s="25">
        <v>0.1915966386554622</v>
      </c>
      <c r="B125" s="25">
        <v>0.25042016806722689</v>
      </c>
      <c r="C125" s="25">
        <v>0.54621848739495793</v>
      </c>
      <c r="D125" s="26">
        <v>328</v>
      </c>
      <c r="E125" s="26">
        <v>99</v>
      </c>
      <c r="F125" s="26">
        <v>23</v>
      </c>
      <c r="G125" s="26">
        <v>0</v>
      </c>
      <c r="H125" s="26">
        <v>450</v>
      </c>
      <c r="I125" s="27">
        <v>0.72888888888888892</v>
      </c>
      <c r="J125" s="27">
        <v>0.22</v>
      </c>
      <c r="K125" s="27">
        <v>5.1111111111111114E-2</v>
      </c>
      <c r="L125" s="27">
        <v>0</v>
      </c>
      <c r="M125" s="28">
        <v>55.086666666666666</v>
      </c>
    </row>
    <row r="126" spans="1:13" x14ac:dyDescent="0.25">
      <c r="A126" s="25">
        <v>0.28392857142857142</v>
      </c>
      <c r="B126" s="25">
        <v>0.25714285714285712</v>
      </c>
      <c r="C126" s="25">
        <v>0.45892857142857141</v>
      </c>
      <c r="D126" s="26">
        <v>443</v>
      </c>
      <c r="E126" s="26">
        <v>134</v>
      </c>
      <c r="F126" s="26">
        <v>65</v>
      </c>
      <c r="G126" s="26">
        <v>3</v>
      </c>
      <c r="H126" s="26">
        <v>645</v>
      </c>
      <c r="I126" s="27">
        <v>0.68682170542635657</v>
      </c>
      <c r="J126" s="27">
        <v>0.20775193798449612</v>
      </c>
      <c r="K126" s="27">
        <v>0.10077519379844961</v>
      </c>
      <c r="L126" s="27">
        <v>4.6511627906976744E-3</v>
      </c>
      <c r="M126" s="28">
        <v>40.013953488372096</v>
      </c>
    </row>
    <row r="127" spans="1:13" x14ac:dyDescent="0.25">
      <c r="A127" s="25">
        <v>0.31724137931034485</v>
      </c>
      <c r="B127" s="25">
        <v>0.26551724137931032</v>
      </c>
      <c r="C127" s="25">
        <v>0.4086206896551724</v>
      </c>
      <c r="D127" s="26">
        <v>481</v>
      </c>
      <c r="E127" s="26">
        <v>90</v>
      </c>
      <c r="F127" s="26">
        <v>72</v>
      </c>
      <c r="G127" s="26">
        <v>2</v>
      </c>
      <c r="H127" s="26">
        <v>645</v>
      </c>
      <c r="I127" s="27">
        <v>0.74573643410852708</v>
      </c>
      <c r="J127" s="27">
        <v>0.13953488372093023</v>
      </c>
      <c r="K127" s="27">
        <v>0.11162790697674418</v>
      </c>
      <c r="L127" s="27">
        <v>3.1007751937984496E-3</v>
      </c>
      <c r="M127" s="28">
        <v>24.913178294573644</v>
      </c>
    </row>
    <row r="128" spans="1:13" x14ac:dyDescent="0.25">
      <c r="A128" s="25">
        <v>0.23414634146341465</v>
      </c>
      <c r="B128" s="25">
        <v>0.36097560975609755</v>
      </c>
      <c r="C128" s="25">
        <v>0.40162601626016259</v>
      </c>
      <c r="D128" s="26">
        <v>427</v>
      </c>
      <c r="E128" s="26">
        <v>5</v>
      </c>
      <c r="F128" s="26">
        <v>16</v>
      </c>
      <c r="G128" s="26">
        <v>2</v>
      </c>
      <c r="H128" s="26">
        <v>450</v>
      </c>
      <c r="I128" s="27">
        <v>0.94888888888888889</v>
      </c>
      <c r="J128" s="27">
        <v>1.1111111111111112E-2</v>
      </c>
      <c r="K128" s="27">
        <v>3.5555555555555556E-2</v>
      </c>
      <c r="L128" s="27">
        <v>4.4444444444444444E-3</v>
      </c>
      <c r="M128" s="28">
        <v>61.362222222222222</v>
      </c>
    </row>
    <row r="129" spans="1:13" x14ac:dyDescent="0.25">
      <c r="A129" s="25">
        <v>0.3125</v>
      </c>
      <c r="B129" s="25">
        <v>7.5657894736842105E-2</v>
      </c>
      <c r="C129" s="25">
        <v>0.57565789473684215</v>
      </c>
      <c r="D129" s="26">
        <v>647</v>
      </c>
      <c r="E129" s="26">
        <v>22</v>
      </c>
      <c r="F129" s="26">
        <v>32</v>
      </c>
      <c r="G129" s="26">
        <v>4</v>
      </c>
      <c r="H129" s="26">
        <v>705</v>
      </c>
      <c r="I129" s="27">
        <v>0.9177304964539007</v>
      </c>
      <c r="J129" s="27">
        <v>3.1205673758865248E-2</v>
      </c>
      <c r="K129" s="27">
        <v>4.5390070921985819E-2</v>
      </c>
      <c r="L129" s="27">
        <v>5.6737588652482273E-3</v>
      </c>
      <c r="M129" s="28">
        <v>47.94609929078014</v>
      </c>
    </row>
    <row r="130" spans="1:13" x14ac:dyDescent="0.25">
      <c r="A130" s="25">
        <v>0.30623306233062331</v>
      </c>
      <c r="B130" s="25">
        <v>0.12466124661246612</v>
      </c>
      <c r="C130" s="25">
        <v>0.55284552845528456</v>
      </c>
      <c r="D130" s="26">
        <v>664</v>
      </c>
      <c r="E130" s="26">
        <v>16</v>
      </c>
      <c r="F130" s="26">
        <v>23</v>
      </c>
      <c r="G130" s="26">
        <v>2</v>
      </c>
      <c r="H130" s="26">
        <v>705</v>
      </c>
      <c r="I130" s="27">
        <v>0.9418439716312057</v>
      </c>
      <c r="J130" s="27">
        <v>2.2695035460992909E-2</v>
      </c>
      <c r="K130" s="27">
        <v>3.2624113475177303E-2</v>
      </c>
      <c r="L130" s="27">
        <v>2.8368794326241137E-3</v>
      </c>
      <c r="M130" s="28">
        <v>32.699290780141844</v>
      </c>
    </row>
    <row r="131" spans="1:13" x14ac:dyDescent="0.25">
      <c r="A131" s="25">
        <v>0.36382113821138212</v>
      </c>
      <c r="B131" s="25">
        <v>0.18292682926829268</v>
      </c>
      <c r="C131" s="25">
        <v>0.42276422764227645</v>
      </c>
      <c r="D131" s="26">
        <v>673</v>
      </c>
      <c r="E131" s="26">
        <v>19</v>
      </c>
      <c r="F131" s="26">
        <v>12</v>
      </c>
      <c r="G131" s="26">
        <v>1</v>
      </c>
      <c r="H131" s="26">
        <v>705</v>
      </c>
      <c r="I131" s="27">
        <v>0.95460992907801423</v>
      </c>
      <c r="J131" s="27">
        <v>2.6950354609929079E-2</v>
      </c>
      <c r="K131" s="27">
        <v>1.7021276595744681E-2</v>
      </c>
      <c r="L131" s="27">
        <v>1.4184397163120568E-3</v>
      </c>
      <c r="M131" s="28">
        <v>25.8</v>
      </c>
    </row>
    <row r="132" spans="1:13" x14ac:dyDescent="0.25">
      <c r="A132" s="25">
        <v>0.33265720081135902</v>
      </c>
      <c r="B132" s="25">
        <v>0.19675456389452334</v>
      </c>
      <c r="C132" s="25">
        <v>0.45233265720081134</v>
      </c>
      <c r="D132" s="26">
        <v>680</v>
      </c>
      <c r="E132" s="26">
        <v>13</v>
      </c>
      <c r="F132" s="26">
        <v>12</v>
      </c>
      <c r="G132" s="26">
        <v>0</v>
      </c>
      <c r="H132" s="26">
        <v>705</v>
      </c>
      <c r="I132" s="27">
        <v>0.96453900709219853</v>
      </c>
      <c r="J132" s="27">
        <v>1.8439716312056736E-2</v>
      </c>
      <c r="K132" s="27">
        <v>1.7021276595744681E-2</v>
      </c>
      <c r="L132" s="27">
        <v>0</v>
      </c>
      <c r="M132" s="28">
        <v>20.595744680851062</v>
      </c>
    </row>
    <row r="133" spans="1:13" x14ac:dyDescent="0.25">
      <c r="A133" s="25">
        <v>0.2578125</v>
      </c>
      <c r="B133" s="25">
        <v>7.8125E-2</v>
      </c>
      <c r="C133" s="25">
        <v>0.65234375</v>
      </c>
      <c r="D133" s="26">
        <v>265</v>
      </c>
      <c r="E133" s="26">
        <v>65</v>
      </c>
      <c r="F133" s="26">
        <v>18</v>
      </c>
      <c r="G133" s="26">
        <v>2</v>
      </c>
      <c r="H133" s="26">
        <v>350</v>
      </c>
      <c r="I133" s="27">
        <v>0.75714285714285712</v>
      </c>
      <c r="J133" s="27">
        <v>0.18571428571428572</v>
      </c>
      <c r="K133" s="27">
        <v>5.1428571428571428E-2</v>
      </c>
      <c r="L133" s="27">
        <v>5.7142857142857143E-3</v>
      </c>
      <c r="M133" s="28">
        <v>68.342857142857142</v>
      </c>
    </row>
    <row r="134" spans="1:13" x14ac:dyDescent="0.25">
      <c r="A134" s="25">
        <v>0.18457300275482094</v>
      </c>
      <c r="B134" s="25">
        <v>0.23415977961432508</v>
      </c>
      <c r="C134" s="25">
        <v>0.56473829201101933</v>
      </c>
      <c r="D134" s="26">
        <v>415</v>
      </c>
      <c r="E134" s="26">
        <v>18</v>
      </c>
      <c r="F134" s="26">
        <v>16</v>
      </c>
      <c r="G134" s="26">
        <v>1</v>
      </c>
      <c r="H134" s="26">
        <v>450</v>
      </c>
      <c r="I134" s="27">
        <v>0.92222222222222228</v>
      </c>
      <c r="J134" s="27">
        <v>0.04</v>
      </c>
      <c r="K134" s="27">
        <v>3.5555555555555556E-2</v>
      </c>
      <c r="L134" s="27">
        <v>2.2222222222222222E-3</v>
      </c>
      <c r="M134" s="28">
        <v>38.142222222222223</v>
      </c>
    </row>
    <row r="135" spans="1:13" x14ac:dyDescent="0.25">
      <c r="A135" s="25">
        <v>0.11898016997167139</v>
      </c>
      <c r="B135" s="25">
        <v>0.14447592067988668</v>
      </c>
      <c r="C135" s="25">
        <v>0.72237960339943341</v>
      </c>
      <c r="D135" s="26">
        <v>448</v>
      </c>
      <c r="E135" s="26">
        <v>0</v>
      </c>
      <c r="F135" s="26">
        <v>2</v>
      </c>
      <c r="G135" s="26">
        <v>0</v>
      </c>
      <c r="H135" s="26">
        <v>450</v>
      </c>
      <c r="I135" s="27">
        <v>0.99555555555555553</v>
      </c>
      <c r="J135" s="27">
        <v>0</v>
      </c>
      <c r="K135" s="27">
        <v>4.4444444444444444E-3</v>
      </c>
      <c r="L135" s="27">
        <v>0</v>
      </c>
      <c r="M135" s="28">
        <v>62.12222222222222</v>
      </c>
    </row>
    <row r="136" spans="1:13" x14ac:dyDescent="0.25">
      <c r="A136" s="25">
        <v>0.15127701375245581</v>
      </c>
      <c r="B136" s="25">
        <v>0.25736738703339884</v>
      </c>
      <c r="C136" s="25">
        <v>0.58939096267190572</v>
      </c>
      <c r="D136" s="26">
        <v>634</v>
      </c>
      <c r="E136" s="26">
        <v>0</v>
      </c>
      <c r="F136" s="26">
        <v>2</v>
      </c>
      <c r="G136" s="26">
        <v>0</v>
      </c>
      <c r="H136" s="26">
        <v>636</v>
      </c>
      <c r="I136" s="27">
        <v>0.99685534591194969</v>
      </c>
      <c r="J136" s="27">
        <v>0</v>
      </c>
      <c r="K136" s="27">
        <v>3.1446540880503146E-3</v>
      </c>
      <c r="L136" s="27">
        <v>0</v>
      </c>
      <c r="M136" s="28">
        <v>31.429245283018869</v>
      </c>
    </row>
    <row r="137" spans="1:13" x14ac:dyDescent="0.25">
      <c r="A137" s="25">
        <v>0.13123359580052493</v>
      </c>
      <c r="B137" s="25">
        <v>0.10761154855643044</v>
      </c>
      <c r="C137" s="25">
        <v>0.71916010498687666</v>
      </c>
      <c r="D137" s="26">
        <v>443</v>
      </c>
      <c r="E137" s="26">
        <v>1</v>
      </c>
      <c r="F137" s="26">
        <v>6</v>
      </c>
      <c r="G137" s="26">
        <v>0</v>
      </c>
      <c r="H137" s="26">
        <v>450</v>
      </c>
      <c r="I137" s="27">
        <v>0.98444444444444446</v>
      </c>
      <c r="J137" s="27">
        <v>2.2222222222222222E-3</v>
      </c>
      <c r="K137" s="27">
        <v>1.3333333333333334E-2</v>
      </c>
      <c r="L137" s="27">
        <v>0</v>
      </c>
      <c r="M137" s="28">
        <v>62.906666666666666</v>
      </c>
    </row>
    <row r="138" spans="1:13" x14ac:dyDescent="0.25">
      <c r="A138" s="25">
        <v>0.16129032258064516</v>
      </c>
      <c r="B138" s="25">
        <v>0.26655348047538202</v>
      </c>
      <c r="C138" s="25">
        <v>0.5585738539898133</v>
      </c>
      <c r="D138" s="26">
        <v>704</v>
      </c>
      <c r="E138" s="26">
        <v>0</v>
      </c>
      <c r="F138" s="26">
        <v>12</v>
      </c>
      <c r="G138" s="26">
        <v>0</v>
      </c>
      <c r="H138" s="26">
        <v>716</v>
      </c>
      <c r="I138" s="27">
        <v>0.98324022346368711</v>
      </c>
      <c r="J138" s="27">
        <v>0</v>
      </c>
      <c r="K138" s="27">
        <v>1.6759776536312849E-2</v>
      </c>
      <c r="L138" s="27">
        <v>0</v>
      </c>
      <c r="M138" s="28">
        <v>33.581005586592177</v>
      </c>
    </row>
    <row r="139" spans="1:13" x14ac:dyDescent="0.25">
      <c r="A139" s="25">
        <v>0.13461538461538461</v>
      </c>
      <c r="B139" s="25">
        <v>8.7912087912087919E-2</v>
      </c>
      <c r="C139" s="25">
        <v>0.73076923076923073</v>
      </c>
      <c r="D139" s="26">
        <v>441</v>
      </c>
      <c r="E139" s="26">
        <v>6</v>
      </c>
      <c r="F139" s="26">
        <v>3</v>
      </c>
      <c r="G139" s="26">
        <v>0</v>
      </c>
      <c r="H139" s="26">
        <v>450</v>
      </c>
      <c r="I139" s="27">
        <v>0.98</v>
      </c>
      <c r="J139" s="27">
        <v>1.3333333333333334E-2</v>
      </c>
      <c r="K139" s="27">
        <v>6.6666666666666671E-3</v>
      </c>
      <c r="L139" s="27">
        <v>0</v>
      </c>
      <c r="M139" s="28">
        <v>65.742222222222225</v>
      </c>
    </row>
    <row r="140" spans="1:13" x14ac:dyDescent="0.25">
      <c r="A140" s="25">
        <v>9.4629156010230184E-2</v>
      </c>
      <c r="B140" s="25">
        <v>0.15089514066496162</v>
      </c>
      <c r="C140" s="25">
        <v>0.7493606138107417</v>
      </c>
      <c r="D140" s="26">
        <v>441</v>
      </c>
      <c r="E140" s="26">
        <v>1</v>
      </c>
      <c r="F140" s="26">
        <v>7</v>
      </c>
      <c r="G140" s="26">
        <v>1</v>
      </c>
      <c r="H140" s="26">
        <v>450</v>
      </c>
      <c r="I140" s="27">
        <v>0.98</v>
      </c>
      <c r="J140" s="27">
        <v>2.2222222222222222E-3</v>
      </c>
      <c r="K140" s="27">
        <v>1.5555555555555555E-2</v>
      </c>
      <c r="L140" s="27">
        <v>2.2222222222222222E-3</v>
      </c>
      <c r="M140" s="28">
        <v>55.055555555555557</v>
      </c>
    </row>
    <row r="141" spans="1:13" x14ac:dyDescent="0.25">
      <c r="A141" s="25">
        <v>0.12623762376237624</v>
      </c>
      <c r="B141" s="25">
        <v>0.22524752475247525</v>
      </c>
      <c r="C141" s="25">
        <v>0.63366336633663367</v>
      </c>
      <c r="D141" s="26">
        <v>503</v>
      </c>
      <c r="E141" s="26">
        <v>4</v>
      </c>
      <c r="F141" s="26">
        <v>2</v>
      </c>
      <c r="G141" s="26">
        <v>1</v>
      </c>
      <c r="H141" s="26">
        <v>510</v>
      </c>
      <c r="I141" s="27">
        <v>0.98627450980392162</v>
      </c>
      <c r="J141" s="27">
        <v>7.8431372549019607E-3</v>
      </c>
      <c r="K141" s="27">
        <v>3.9215686274509803E-3</v>
      </c>
      <c r="L141" s="27">
        <v>1.9607843137254902E-3</v>
      </c>
      <c r="M141" s="28">
        <v>41.492156862745098</v>
      </c>
    </row>
    <row r="142" spans="1:13" x14ac:dyDescent="0.25">
      <c r="A142" s="25">
        <v>0.14035087719298245</v>
      </c>
      <c r="B142" s="25">
        <v>0.27067669172932329</v>
      </c>
      <c r="C142" s="25">
        <v>0.5864661654135338</v>
      </c>
      <c r="D142" s="26">
        <v>508</v>
      </c>
      <c r="E142" s="26">
        <v>0</v>
      </c>
      <c r="F142" s="26">
        <v>2</v>
      </c>
      <c r="G142" s="26">
        <v>0</v>
      </c>
      <c r="H142" s="26">
        <v>510</v>
      </c>
      <c r="I142" s="27">
        <v>0.99607843137254903</v>
      </c>
      <c r="J142" s="27">
        <v>0</v>
      </c>
      <c r="K142" s="27">
        <v>3.9215686274509803E-3</v>
      </c>
      <c r="L142" s="27">
        <v>0</v>
      </c>
      <c r="M142" s="28">
        <v>29.594117647058823</v>
      </c>
    </row>
    <row r="143" spans="1:13" x14ac:dyDescent="0.25">
      <c r="A143" s="25">
        <v>0.12903225806451613</v>
      </c>
      <c r="B143" s="25">
        <v>0.23732718894009217</v>
      </c>
      <c r="C143" s="25">
        <v>0.63133640552995396</v>
      </c>
      <c r="D143" s="26">
        <v>510</v>
      </c>
      <c r="E143" s="26">
        <v>0</v>
      </c>
      <c r="F143" s="26">
        <v>0</v>
      </c>
      <c r="G143" s="26">
        <v>0</v>
      </c>
      <c r="H143" s="26">
        <v>510</v>
      </c>
      <c r="I143" s="27">
        <v>1</v>
      </c>
      <c r="J143" s="27">
        <v>0</v>
      </c>
      <c r="K143" s="27">
        <v>0</v>
      </c>
      <c r="L143" s="27">
        <v>0</v>
      </c>
      <c r="M143" s="28">
        <v>21.658823529411766</v>
      </c>
    </row>
    <row r="144" spans="1:13" x14ac:dyDescent="0.25">
      <c r="A144" s="25">
        <v>0.26842105263157895</v>
      </c>
      <c r="B144" s="25">
        <v>0.18684210526315789</v>
      </c>
      <c r="C144" s="25">
        <v>0.52105263157894732</v>
      </c>
      <c r="D144" s="26">
        <v>342</v>
      </c>
      <c r="E144" s="26">
        <v>38</v>
      </c>
      <c r="F144" s="26">
        <v>62</v>
      </c>
      <c r="G144" s="26">
        <v>8</v>
      </c>
      <c r="H144" s="26">
        <v>450</v>
      </c>
      <c r="I144" s="27">
        <v>0.76</v>
      </c>
      <c r="J144" s="27">
        <v>8.4444444444444447E-2</v>
      </c>
      <c r="K144" s="27">
        <v>0.13777777777777778</v>
      </c>
      <c r="L144" s="27">
        <v>1.7777777777777778E-2</v>
      </c>
      <c r="M144" s="28">
        <v>56.888888888888886</v>
      </c>
    </row>
    <row r="145" spans="1:13" x14ac:dyDescent="0.25">
      <c r="A145" s="25">
        <v>0.23360655737704919</v>
      </c>
      <c r="B145" s="25">
        <v>0.23770491803278687</v>
      </c>
      <c r="C145" s="25">
        <v>0.51639344262295084</v>
      </c>
      <c r="D145" s="26">
        <v>470</v>
      </c>
      <c r="E145" s="26">
        <v>31</v>
      </c>
      <c r="F145" s="26">
        <v>73</v>
      </c>
      <c r="G145" s="26">
        <v>5</v>
      </c>
      <c r="H145" s="26">
        <v>579</v>
      </c>
      <c r="I145" s="27">
        <v>0.81174438687392059</v>
      </c>
      <c r="J145" s="27">
        <v>5.3540587219343697E-2</v>
      </c>
      <c r="K145" s="27">
        <v>0.12607944732297063</v>
      </c>
      <c r="L145" s="27">
        <v>8.6355785837651123E-3</v>
      </c>
      <c r="M145" s="28">
        <v>44.360967184801382</v>
      </c>
    </row>
    <row r="146" spans="1:13" x14ac:dyDescent="0.25">
      <c r="A146" s="25">
        <v>0.31777777777777777</v>
      </c>
      <c r="B146" s="25">
        <v>0.19111111111111112</v>
      </c>
      <c r="C146" s="25">
        <v>0.47555555555555556</v>
      </c>
      <c r="D146" s="26">
        <v>449</v>
      </c>
      <c r="E146" s="26">
        <v>51</v>
      </c>
      <c r="F146" s="26">
        <v>74</v>
      </c>
      <c r="G146" s="26">
        <v>5</v>
      </c>
      <c r="H146" s="26">
        <v>579</v>
      </c>
      <c r="I146" s="27">
        <v>0.7754749568221071</v>
      </c>
      <c r="J146" s="27">
        <v>8.8082901554404139E-2</v>
      </c>
      <c r="K146" s="27">
        <v>0.12780656303972365</v>
      </c>
      <c r="L146" s="27">
        <v>8.6355785837651123E-3</v>
      </c>
      <c r="M146" s="28">
        <v>36.354058721934372</v>
      </c>
    </row>
    <row r="147" spans="1:13" x14ac:dyDescent="0.25">
      <c r="A147" s="25">
        <v>0.33105022831050229</v>
      </c>
      <c r="B147" s="25">
        <v>0.24657534246575341</v>
      </c>
      <c r="C147" s="25">
        <v>0.4178082191780822</v>
      </c>
      <c r="D147" s="26">
        <v>467</v>
      </c>
      <c r="E147" s="26">
        <v>46</v>
      </c>
      <c r="F147" s="26">
        <v>61</v>
      </c>
      <c r="G147" s="26">
        <v>5</v>
      </c>
      <c r="H147" s="26">
        <v>579</v>
      </c>
      <c r="I147" s="27">
        <v>0.8065630397236615</v>
      </c>
      <c r="J147" s="27">
        <v>7.9447322970639028E-2</v>
      </c>
      <c r="K147" s="27">
        <v>0.10535405872193437</v>
      </c>
      <c r="L147" s="27">
        <v>8.6355785837651123E-3</v>
      </c>
      <c r="M147" s="28">
        <v>27.008635578583764</v>
      </c>
    </row>
    <row r="148" spans="1:13" x14ac:dyDescent="0.25">
      <c r="A148" s="25">
        <v>0.26904761904761904</v>
      </c>
      <c r="B148" s="25">
        <v>0.28095238095238095</v>
      </c>
      <c r="C148" s="25">
        <v>0.43571428571428572</v>
      </c>
      <c r="D148" s="26">
        <v>485</v>
      </c>
      <c r="E148" s="26">
        <v>45</v>
      </c>
      <c r="F148" s="26">
        <v>51</v>
      </c>
      <c r="G148" s="26">
        <v>0</v>
      </c>
      <c r="H148" s="26">
        <v>581</v>
      </c>
      <c r="I148" s="27">
        <v>0.83476764199655762</v>
      </c>
      <c r="J148" s="27">
        <v>7.7452667814113599E-2</v>
      </c>
      <c r="K148" s="27">
        <v>8.7779690189328741E-2</v>
      </c>
      <c r="L148" s="27">
        <v>0</v>
      </c>
      <c r="M148" s="28">
        <v>20.204819277108435</v>
      </c>
    </row>
    <row r="149" spans="1:13" x14ac:dyDescent="0.25">
      <c r="A149" s="25">
        <v>0.2144927536231884</v>
      </c>
      <c r="B149" s="25">
        <v>8.4057971014492749E-2</v>
      </c>
      <c r="C149" s="25">
        <v>0.663768115942029</v>
      </c>
      <c r="D149" s="26">
        <v>324</v>
      </c>
      <c r="E149" s="26">
        <v>52</v>
      </c>
      <c r="F149" s="26">
        <v>73</v>
      </c>
      <c r="G149" s="26">
        <v>1</v>
      </c>
      <c r="H149" s="26">
        <v>450</v>
      </c>
      <c r="I149" s="27">
        <v>0.72</v>
      </c>
      <c r="J149" s="27">
        <v>0.11555555555555555</v>
      </c>
      <c r="K149" s="27">
        <v>0.16222222222222221</v>
      </c>
      <c r="L149" s="27">
        <v>2.2222222222222222E-3</v>
      </c>
      <c r="M149" s="28">
        <v>68.22</v>
      </c>
    </row>
    <row r="150" spans="1:13" x14ac:dyDescent="0.25">
      <c r="A150" s="25">
        <v>0.27486910994764396</v>
      </c>
      <c r="B150" s="25">
        <v>0.10209424083769633</v>
      </c>
      <c r="C150" s="25">
        <v>0.60209424083769636</v>
      </c>
      <c r="D150" s="26">
        <v>340</v>
      </c>
      <c r="E150" s="26">
        <v>40</v>
      </c>
      <c r="F150" s="26">
        <v>66</v>
      </c>
      <c r="G150" s="26">
        <v>4</v>
      </c>
      <c r="H150" s="26">
        <v>450</v>
      </c>
      <c r="I150" s="27">
        <v>0.75555555555555554</v>
      </c>
      <c r="J150" s="27">
        <v>8.8888888888888892E-2</v>
      </c>
      <c r="K150" s="27">
        <v>0.14666666666666667</v>
      </c>
      <c r="L150" s="27">
        <v>8.8888888888888889E-3</v>
      </c>
      <c r="M150" s="28">
        <v>61</v>
      </c>
    </row>
    <row r="151" spans="1:13" x14ac:dyDescent="0.25">
      <c r="A151" s="25">
        <v>0.21588946459412781</v>
      </c>
      <c r="B151" s="25">
        <v>0.17098445595854922</v>
      </c>
      <c r="C151" s="25">
        <v>0.60276338514680483</v>
      </c>
      <c r="D151" s="26">
        <v>552</v>
      </c>
      <c r="E151" s="26">
        <v>38</v>
      </c>
      <c r="F151" s="26">
        <v>82</v>
      </c>
      <c r="G151" s="26">
        <v>7</v>
      </c>
      <c r="H151" s="26">
        <v>679</v>
      </c>
      <c r="I151" s="27">
        <v>0.81296023564064801</v>
      </c>
      <c r="J151" s="27">
        <v>5.5964653902798235E-2</v>
      </c>
      <c r="K151" s="27">
        <v>0.12076583210603829</v>
      </c>
      <c r="L151" s="27">
        <v>1.0309278350515464E-2</v>
      </c>
      <c r="M151" s="28">
        <v>52.706921944035344</v>
      </c>
    </row>
    <row r="152" spans="1:13" x14ac:dyDescent="0.25">
      <c r="A152" s="25">
        <v>0.3104089219330855</v>
      </c>
      <c r="B152" s="25">
        <v>0.1895910780669145</v>
      </c>
      <c r="C152" s="25">
        <v>0.49628252788104088</v>
      </c>
      <c r="D152" s="26">
        <v>511</v>
      </c>
      <c r="E152" s="26">
        <v>53</v>
      </c>
      <c r="F152" s="26">
        <v>114</v>
      </c>
      <c r="G152" s="26">
        <v>1</v>
      </c>
      <c r="H152" s="26">
        <v>679</v>
      </c>
      <c r="I152" s="27">
        <v>0.75257731958762886</v>
      </c>
      <c r="J152" s="27">
        <v>7.8055964653902798E-2</v>
      </c>
      <c r="K152" s="27">
        <v>0.16789396170839468</v>
      </c>
      <c r="L152" s="27">
        <v>1.4727540500736377E-3</v>
      </c>
      <c r="M152" s="28">
        <v>42.266568483063331</v>
      </c>
    </row>
    <row r="153" spans="1:13" x14ac:dyDescent="0.25">
      <c r="A153" s="25">
        <v>0.31001890359168244</v>
      </c>
      <c r="B153" s="25">
        <v>0.15689981096408318</v>
      </c>
      <c r="C153" s="25">
        <v>0.52551984877126656</v>
      </c>
      <c r="D153" s="26">
        <v>497</v>
      </c>
      <c r="E153" s="26">
        <v>65</v>
      </c>
      <c r="F153" s="26">
        <v>113</v>
      </c>
      <c r="G153" s="26">
        <v>4</v>
      </c>
      <c r="H153" s="26">
        <v>679</v>
      </c>
      <c r="I153" s="27">
        <v>0.73195876288659789</v>
      </c>
      <c r="J153" s="27">
        <v>9.5729013254786458E-2</v>
      </c>
      <c r="K153" s="27">
        <v>0.16642120765832105</v>
      </c>
      <c r="L153" s="27">
        <v>5.8910162002945507E-3</v>
      </c>
      <c r="M153" s="28">
        <v>34.681885125184095</v>
      </c>
    </row>
    <row r="154" spans="1:13" x14ac:dyDescent="0.25">
      <c r="A154" s="25">
        <v>0.30492424242424243</v>
      </c>
      <c r="B154" s="25">
        <v>0.19507575757575757</v>
      </c>
      <c r="C154" s="25">
        <v>0.48863636363636365</v>
      </c>
      <c r="D154" s="26">
        <v>537</v>
      </c>
      <c r="E154" s="26">
        <v>48</v>
      </c>
      <c r="F154" s="26">
        <v>93</v>
      </c>
      <c r="G154" s="26">
        <v>1</v>
      </c>
      <c r="H154" s="26">
        <v>679</v>
      </c>
      <c r="I154" s="27">
        <v>0.79086892488954341</v>
      </c>
      <c r="J154" s="27">
        <v>7.0692194403534608E-2</v>
      </c>
      <c r="K154" s="27">
        <v>0.13696612665684832</v>
      </c>
      <c r="L154" s="27">
        <v>1.4727540500736377E-3</v>
      </c>
      <c r="M154" s="28">
        <v>27.544918998527248</v>
      </c>
    </row>
    <row r="155" spans="1:13" x14ac:dyDescent="0.25">
      <c r="A155" s="25">
        <v>0.28673835125448027</v>
      </c>
      <c r="B155" s="25">
        <v>0.20967741935483872</v>
      </c>
      <c r="C155" s="25">
        <v>0.48745519713261648</v>
      </c>
      <c r="D155" s="26">
        <v>528</v>
      </c>
      <c r="E155" s="26">
        <v>55</v>
      </c>
      <c r="F155" s="26">
        <v>97</v>
      </c>
      <c r="G155" s="26">
        <v>0</v>
      </c>
      <c r="H155" s="26">
        <v>680</v>
      </c>
      <c r="I155" s="27">
        <v>0.77647058823529413</v>
      </c>
      <c r="J155" s="27">
        <v>8.0882352941176475E-2</v>
      </c>
      <c r="K155" s="27">
        <v>0.1426470588235294</v>
      </c>
      <c r="L155" s="27">
        <v>0</v>
      </c>
      <c r="M155" s="28">
        <v>21.44705882352941</v>
      </c>
    </row>
    <row r="156" spans="1:13" x14ac:dyDescent="0.25">
      <c r="A156" s="25">
        <v>0.2512690355329949</v>
      </c>
      <c r="B156" s="25">
        <v>7.1065989847715741E-2</v>
      </c>
      <c r="C156" s="25">
        <v>0.64720812182741116</v>
      </c>
      <c r="D156" s="26">
        <v>247</v>
      </c>
      <c r="E156" s="26">
        <v>10</v>
      </c>
      <c r="F156" s="26">
        <v>190</v>
      </c>
      <c r="G156" s="26">
        <v>3</v>
      </c>
      <c r="H156" s="26">
        <v>450</v>
      </c>
      <c r="I156" s="27">
        <v>0.54888888888888887</v>
      </c>
      <c r="J156" s="27">
        <v>2.2222222222222223E-2</v>
      </c>
      <c r="K156" s="27">
        <v>0.42222222222222222</v>
      </c>
      <c r="L156" s="27">
        <v>6.6666666666666671E-3</v>
      </c>
      <c r="M156" s="28">
        <v>60.271111111111111</v>
      </c>
    </row>
    <row r="157" spans="1:13" x14ac:dyDescent="0.25">
      <c r="A157" s="25">
        <v>0.39246467817896391</v>
      </c>
      <c r="B157" s="25">
        <v>0.11459968602825746</v>
      </c>
      <c r="C157" s="25">
        <v>0.47095761381475665</v>
      </c>
      <c r="D157" s="26">
        <v>373</v>
      </c>
      <c r="E157" s="26">
        <v>11</v>
      </c>
      <c r="F157" s="26">
        <v>333</v>
      </c>
      <c r="G157" s="26">
        <v>5</v>
      </c>
      <c r="H157" s="26">
        <v>722</v>
      </c>
      <c r="I157" s="27">
        <v>0.5166204986149584</v>
      </c>
      <c r="J157" s="27">
        <v>1.5235457063711912E-2</v>
      </c>
      <c r="K157" s="27">
        <v>0.46121883656509693</v>
      </c>
      <c r="L157" s="27">
        <v>6.9252077562326868E-3</v>
      </c>
      <c r="M157" s="28">
        <v>46.29639889196676</v>
      </c>
    </row>
    <row r="158" spans="1:13" x14ac:dyDescent="0.25">
      <c r="A158" s="25">
        <v>0.3536379018612521</v>
      </c>
      <c r="B158" s="25">
        <v>0.10998307952622674</v>
      </c>
      <c r="C158" s="25">
        <v>0.52453468697123518</v>
      </c>
      <c r="D158" s="26">
        <v>441</v>
      </c>
      <c r="E158" s="26">
        <v>15</v>
      </c>
      <c r="F158" s="26">
        <v>266</v>
      </c>
      <c r="G158" s="26">
        <v>0</v>
      </c>
      <c r="H158" s="26">
        <v>722</v>
      </c>
      <c r="I158" s="27">
        <v>0.61080332409972304</v>
      </c>
      <c r="J158" s="27">
        <v>2.077562326869806E-2</v>
      </c>
      <c r="K158" s="27">
        <v>0.36842105263157893</v>
      </c>
      <c r="L158" s="27">
        <v>0</v>
      </c>
      <c r="M158" s="28">
        <v>32.292243767313018</v>
      </c>
    </row>
    <row r="159" spans="1:13" x14ac:dyDescent="0.25">
      <c r="A159" s="25">
        <v>0.32896890343698854</v>
      </c>
      <c r="B159" s="25">
        <v>0.15875613747954173</v>
      </c>
      <c r="C159" s="25">
        <v>0.50736497545008186</v>
      </c>
      <c r="D159" s="26">
        <v>457</v>
      </c>
      <c r="E159" s="26">
        <v>17</v>
      </c>
      <c r="F159" s="26">
        <v>247</v>
      </c>
      <c r="G159" s="26">
        <v>1</v>
      </c>
      <c r="H159" s="26">
        <v>722</v>
      </c>
      <c r="I159" s="27">
        <v>0.63296398891966754</v>
      </c>
      <c r="J159" s="27">
        <v>2.3545706371191136E-2</v>
      </c>
      <c r="K159" s="27">
        <v>0.34210526315789475</v>
      </c>
      <c r="L159" s="27">
        <v>1.3850415512465374E-3</v>
      </c>
      <c r="M159" s="28">
        <v>22.991689750692522</v>
      </c>
    </row>
    <row r="160" spans="1:13" x14ac:dyDescent="0.25">
      <c r="A160" s="25">
        <v>0.40492957746478875</v>
      </c>
      <c r="B160" s="25">
        <v>7.0422535211267609E-2</v>
      </c>
      <c r="C160" s="25">
        <v>0.50352112676056338</v>
      </c>
      <c r="D160" s="26">
        <v>193</v>
      </c>
      <c r="E160" s="26">
        <v>51</v>
      </c>
      <c r="F160" s="26">
        <v>96</v>
      </c>
      <c r="G160" s="26">
        <v>4</v>
      </c>
      <c r="H160" s="26">
        <v>344</v>
      </c>
      <c r="I160" s="27">
        <v>0.56104651162790697</v>
      </c>
      <c r="J160" s="27">
        <v>0.14825581395348839</v>
      </c>
      <c r="K160" s="27">
        <v>0.27906976744186046</v>
      </c>
      <c r="L160" s="27">
        <v>1.1627906976744186E-2</v>
      </c>
      <c r="M160" s="28">
        <v>63.543604651162788</v>
      </c>
    </row>
    <row r="161" spans="1:13" x14ac:dyDescent="0.25">
      <c r="A161" s="25">
        <v>0.48581560283687941</v>
      </c>
      <c r="B161" s="25">
        <v>0.11347517730496454</v>
      </c>
      <c r="C161" s="25">
        <v>0.39361702127659576</v>
      </c>
      <c r="D161" s="26">
        <v>186</v>
      </c>
      <c r="E161" s="26">
        <v>73</v>
      </c>
      <c r="F161" s="26">
        <v>80</v>
      </c>
      <c r="G161" s="26">
        <v>6</v>
      </c>
      <c r="H161" s="26">
        <v>345</v>
      </c>
      <c r="I161" s="27">
        <v>0.53913043478260869</v>
      </c>
      <c r="J161" s="27">
        <v>0.21159420289855072</v>
      </c>
      <c r="K161" s="27">
        <v>0.2318840579710145</v>
      </c>
      <c r="L161" s="27">
        <v>1.7391304347826087E-2</v>
      </c>
      <c r="M161" s="28">
        <v>33.217391304347828</v>
      </c>
    </row>
    <row r="162" spans="1:13" x14ac:dyDescent="0.25">
      <c r="A162" s="25">
        <v>0.23651452282157676</v>
      </c>
      <c r="B162" s="25">
        <v>0.1078838174273859</v>
      </c>
      <c r="C162" s="25">
        <v>0.6431535269709544</v>
      </c>
      <c r="D162" s="26">
        <v>260</v>
      </c>
      <c r="E162" s="26">
        <v>9</v>
      </c>
      <c r="F162" s="26">
        <v>30</v>
      </c>
      <c r="G162" s="26">
        <v>0</v>
      </c>
      <c r="H162" s="26">
        <v>299</v>
      </c>
      <c r="I162" s="27">
        <v>0.86956521739130432</v>
      </c>
      <c r="J162" s="27">
        <v>3.0100334448160536E-2</v>
      </c>
      <c r="K162" s="27">
        <v>0.10033444816053512</v>
      </c>
      <c r="L162" s="27">
        <v>0</v>
      </c>
      <c r="M162" s="28">
        <v>66.240802675585286</v>
      </c>
    </row>
    <row r="163" spans="1:13" x14ac:dyDescent="0.25">
      <c r="A163" s="25">
        <v>0.12449799196787148</v>
      </c>
      <c r="B163" s="25">
        <v>0.13654618473895583</v>
      </c>
      <c r="C163" s="25">
        <v>0.73493975903614461</v>
      </c>
      <c r="D163" s="26">
        <v>291</v>
      </c>
      <c r="E163" s="26">
        <v>0</v>
      </c>
      <c r="F163" s="26">
        <v>8</v>
      </c>
      <c r="G163" s="26">
        <v>0</v>
      </c>
      <c r="H163" s="26">
        <v>299</v>
      </c>
      <c r="I163" s="27">
        <v>0.97324414715719065</v>
      </c>
      <c r="J163" s="27">
        <v>0</v>
      </c>
      <c r="K163" s="27">
        <v>2.6755852842809364E-2</v>
      </c>
      <c r="L163" s="27">
        <v>0</v>
      </c>
      <c r="M163" s="28">
        <v>37.816053511705682</v>
      </c>
    </row>
    <row r="164" spans="1:13" x14ac:dyDescent="0.25">
      <c r="A164" s="25">
        <v>0.41358024691358025</v>
      </c>
      <c r="B164" s="25">
        <v>2.7777777777777776E-2</v>
      </c>
      <c r="C164" s="25">
        <v>0.5092592592592593</v>
      </c>
      <c r="D164" s="26">
        <v>171</v>
      </c>
      <c r="E164" s="26">
        <v>185</v>
      </c>
      <c r="F164" s="26">
        <v>94</v>
      </c>
      <c r="G164" s="26">
        <v>0</v>
      </c>
      <c r="H164" s="26">
        <v>450</v>
      </c>
      <c r="I164" s="27">
        <v>0.38</v>
      </c>
      <c r="J164" s="27">
        <v>0.41111111111111109</v>
      </c>
      <c r="K164" s="27">
        <v>0.2088888888888889</v>
      </c>
      <c r="L164" s="27">
        <v>0</v>
      </c>
      <c r="M164" s="28">
        <v>70.533333333333331</v>
      </c>
    </row>
    <row r="165" spans="1:13" x14ac:dyDescent="0.25">
      <c r="A165" s="25">
        <v>0.46216216216216216</v>
      </c>
      <c r="B165" s="25">
        <v>5.1351351351351354E-2</v>
      </c>
      <c r="C165" s="25">
        <v>0.46216216216216216</v>
      </c>
      <c r="D165" s="26">
        <v>193</v>
      </c>
      <c r="E165" s="26">
        <v>154</v>
      </c>
      <c r="F165" s="26">
        <v>100</v>
      </c>
      <c r="G165" s="26">
        <v>3</v>
      </c>
      <c r="H165" s="26">
        <v>450</v>
      </c>
      <c r="I165" s="27">
        <v>0.42888888888888888</v>
      </c>
      <c r="J165" s="27">
        <v>0.34222222222222221</v>
      </c>
      <c r="K165" s="27">
        <v>0.22222222222222221</v>
      </c>
      <c r="L165" s="27">
        <v>6.6666666666666671E-3</v>
      </c>
      <c r="M165" s="28">
        <v>61.642222222222223</v>
      </c>
    </row>
    <row r="166" spans="1:13" x14ac:dyDescent="0.25">
      <c r="A166" s="25">
        <v>0.5047801147227533</v>
      </c>
      <c r="B166" s="25">
        <v>7.0745697896749518E-2</v>
      </c>
      <c r="C166" s="25">
        <v>0.40344168260038243</v>
      </c>
      <c r="D166" s="26">
        <v>259</v>
      </c>
      <c r="E166" s="26">
        <v>217</v>
      </c>
      <c r="F166" s="26">
        <v>151</v>
      </c>
      <c r="G166" s="26">
        <v>3</v>
      </c>
      <c r="H166" s="26">
        <v>630</v>
      </c>
      <c r="I166" s="27">
        <v>0.41111111111111109</v>
      </c>
      <c r="J166" s="27">
        <v>0.34444444444444444</v>
      </c>
      <c r="K166" s="27">
        <v>0.23968253968253969</v>
      </c>
      <c r="L166" s="27">
        <v>4.7619047619047623E-3</v>
      </c>
      <c r="M166" s="28">
        <v>50.831746031746029</v>
      </c>
    </row>
    <row r="167" spans="1:13" x14ac:dyDescent="0.25">
      <c r="A167" s="25">
        <v>0.54435483870967738</v>
      </c>
      <c r="B167" s="25">
        <v>5.8467741935483868E-2</v>
      </c>
      <c r="C167" s="25">
        <v>0.37903225806451613</v>
      </c>
      <c r="D167" s="26">
        <v>244</v>
      </c>
      <c r="E167" s="26">
        <v>203</v>
      </c>
      <c r="F167" s="26">
        <v>182</v>
      </c>
      <c r="G167" s="26">
        <v>2</v>
      </c>
      <c r="H167" s="26">
        <v>631</v>
      </c>
      <c r="I167" s="27">
        <v>0.3866877971473851</v>
      </c>
      <c r="J167" s="27">
        <v>0.32171156893819336</v>
      </c>
      <c r="K167" s="27">
        <v>0.28843106180665612</v>
      </c>
      <c r="L167" s="27">
        <v>3.1695721077654518E-3</v>
      </c>
      <c r="M167" s="28">
        <v>41.299524564183834</v>
      </c>
    </row>
    <row r="168" spans="1:13" x14ac:dyDescent="0.25">
      <c r="A168" s="25">
        <v>0.58382642998027612</v>
      </c>
      <c r="B168" s="25">
        <v>5.7199211045364892E-2</v>
      </c>
      <c r="C168" s="25">
        <v>0.34122287968441817</v>
      </c>
      <c r="D168" s="26">
        <v>237</v>
      </c>
      <c r="E168" s="26">
        <v>201</v>
      </c>
      <c r="F168" s="26">
        <v>192</v>
      </c>
      <c r="G168" s="26">
        <v>1</v>
      </c>
      <c r="H168" s="26">
        <v>631</v>
      </c>
      <c r="I168" s="27">
        <v>0.37559429477020601</v>
      </c>
      <c r="J168" s="27">
        <v>0.31854199683042789</v>
      </c>
      <c r="K168" s="27">
        <v>0.30427892234548337</v>
      </c>
      <c r="L168" s="27">
        <v>1.5847860538827259E-3</v>
      </c>
      <c r="M168" s="28">
        <v>32.042789223454832</v>
      </c>
    </row>
    <row r="169" spans="1:13" x14ac:dyDescent="0.25">
      <c r="A169" s="25">
        <v>0.51136363636363635</v>
      </c>
      <c r="B169" s="25">
        <v>9.4696969696969696E-2</v>
      </c>
      <c r="C169" s="25">
        <v>0.38257575757575757</v>
      </c>
      <c r="D169" s="26">
        <v>281</v>
      </c>
      <c r="E169" s="26">
        <v>158</v>
      </c>
      <c r="F169" s="26">
        <v>191</v>
      </c>
      <c r="G169" s="26">
        <v>1</v>
      </c>
      <c r="H169" s="26">
        <v>631</v>
      </c>
      <c r="I169" s="27">
        <v>0.44532488114104596</v>
      </c>
      <c r="J169" s="27">
        <v>0.25039619651347067</v>
      </c>
      <c r="K169" s="27">
        <v>0.30269413629160064</v>
      </c>
      <c r="L169" s="27">
        <v>1.5847860538827259E-3</v>
      </c>
      <c r="M169" s="28">
        <v>22.649762282091917</v>
      </c>
    </row>
    <row r="170" spans="1:13" x14ac:dyDescent="0.25">
      <c r="A170" s="25">
        <v>0.3008595988538682</v>
      </c>
      <c r="B170" s="25">
        <v>5.1575931232091692E-2</v>
      </c>
      <c r="C170" s="25">
        <v>0.62177650429799425</v>
      </c>
      <c r="D170" s="26">
        <v>288</v>
      </c>
      <c r="E170" s="26">
        <v>91</v>
      </c>
      <c r="F170" s="26">
        <v>70</v>
      </c>
      <c r="G170" s="26">
        <v>1</v>
      </c>
      <c r="H170" s="26">
        <v>450</v>
      </c>
      <c r="I170" s="27">
        <v>0.64</v>
      </c>
      <c r="J170" s="27">
        <v>0.20222222222222222</v>
      </c>
      <c r="K170" s="27">
        <v>0.15555555555555556</v>
      </c>
      <c r="L170" s="27">
        <v>2.2222222222222222E-3</v>
      </c>
      <c r="M170" s="28">
        <v>66.61333333333333</v>
      </c>
    </row>
    <row r="171" spans="1:13" x14ac:dyDescent="0.25">
      <c r="A171" s="25">
        <v>0.27647058823529413</v>
      </c>
      <c r="B171" s="25">
        <v>8.8235294117647065E-2</v>
      </c>
      <c r="C171" s="25">
        <v>0.6215686274509804</v>
      </c>
      <c r="D171" s="26">
        <v>421</v>
      </c>
      <c r="E171" s="26">
        <v>101</v>
      </c>
      <c r="F171" s="26">
        <v>102</v>
      </c>
      <c r="G171" s="26">
        <v>1</v>
      </c>
      <c r="H171" s="26">
        <v>625</v>
      </c>
      <c r="I171" s="27">
        <v>0.67359999999999998</v>
      </c>
      <c r="J171" s="27">
        <v>0.16159999999999999</v>
      </c>
      <c r="K171" s="27">
        <v>0.16320000000000001</v>
      </c>
      <c r="L171" s="27">
        <v>1.6000000000000001E-3</v>
      </c>
      <c r="M171" s="28">
        <v>47.753599999999999</v>
      </c>
    </row>
    <row r="172" spans="1:13" x14ac:dyDescent="0.25">
      <c r="A172" s="25">
        <v>0.32803180914512925</v>
      </c>
      <c r="B172" s="25">
        <v>0.10337972166998012</v>
      </c>
      <c r="C172" s="25">
        <v>0.55069582504970183</v>
      </c>
      <c r="D172" s="26">
        <v>417</v>
      </c>
      <c r="E172" s="26">
        <v>49</v>
      </c>
      <c r="F172" s="26">
        <v>160</v>
      </c>
      <c r="G172" s="26">
        <v>0</v>
      </c>
      <c r="H172" s="26">
        <v>626</v>
      </c>
      <c r="I172" s="27">
        <v>0.66613418530351443</v>
      </c>
      <c r="J172" s="27">
        <v>7.8274760383386585E-2</v>
      </c>
      <c r="K172" s="27">
        <v>0.25559105431309903</v>
      </c>
      <c r="L172" s="27">
        <v>0</v>
      </c>
      <c r="M172" s="28">
        <v>28.156549520766774</v>
      </c>
    </row>
    <row r="173" spans="1:13" x14ac:dyDescent="0.25">
      <c r="A173" s="25">
        <v>0.17464788732394365</v>
      </c>
      <c r="B173" s="25">
        <v>5.0704225352112678E-2</v>
      </c>
      <c r="C173" s="25">
        <v>0.76338028169014083</v>
      </c>
      <c r="D173" s="26">
        <v>372</v>
      </c>
      <c r="E173" s="26">
        <v>61</v>
      </c>
      <c r="F173" s="26">
        <v>15</v>
      </c>
      <c r="G173" s="26">
        <v>2</v>
      </c>
      <c r="H173" s="26">
        <v>450</v>
      </c>
      <c r="I173" s="27">
        <v>0.82666666666666666</v>
      </c>
      <c r="J173" s="27">
        <v>0.13555555555555557</v>
      </c>
      <c r="K173" s="27">
        <v>3.3333333333333333E-2</v>
      </c>
      <c r="L173" s="27">
        <v>4.4444444444444444E-3</v>
      </c>
      <c r="M173" s="28">
        <v>68.348888888888894</v>
      </c>
    </row>
    <row r="174" spans="1:13" x14ac:dyDescent="0.25">
      <c r="A174" s="25">
        <v>0.17771883289124668</v>
      </c>
      <c r="B174" s="25">
        <v>8.4880636604774531E-2</v>
      </c>
      <c r="C174" s="25">
        <v>0.73209549071618041</v>
      </c>
      <c r="D174" s="26">
        <v>398</v>
      </c>
      <c r="E174" s="26">
        <v>35</v>
      </c>
      <c r="F174" s="26">
        <v>15</v>
      </c>
      <c r="G174" s="26">
        <v>2</v>
      </c>
      <c r="H174" s="26">
        <v>450</v>
      </c>
      <c r="I174" s="27">
        <v>0.88444444444444448</v>
      </c>
      <c r="J174" s="27">
        <v>7.7777777777777779E-2</v>
      </c>
      <c r="K174" s="27">
        <v>3.3333333333333333E-2</v>
      </c>
      <c r="L174" s="27">
        <v>4.4444444444444444E-3</v>
      </c>
      <c r="M174" s="28">
        <v>48.955555555555556</v>
      </c>
    </row>
    <row r="175" spans="1:13" x14ac:dyDescent="0.25">
      <c r="A175" s="25">
        <v>0.13297872340425532</v>
      </c>
      <c r="B175" s="25">
        <v>0.13563829787234041</v>
      </c>
      <c r="C175" s="25">
        <v>0.72872340425531912</v>
      </c>
      <c r="D175" s="26">
        <v>421</v>
      </c>
      <c r="E175" s="26">
        <v>4</v>
      </c>
      <c r="F175" s="26">
        <v>26</v>
      </c>
      <c r="G175" s="26">
        <v>0</v>
      </c>
      <c r="H175" s="26">
        <v>451</v>
      </c>
      <c r="I175" s="27">
        <v>0.93348115299334811</v>
      </c>
      <c r="J175" s="27">
        <v>8.869179600886918E-3</v>
      </c>
      <c r="K175" s="27">
        <v>5.7649667405764965E-2</v>
      </c>
      <c r="L175" s="27">
        <v>0</v>
      </c>
      <c r="M175" s="28">
        <v>28.552106430155209</v>
      </c>
    </row>
    <row r="176" spans="1:13" x14ac:dyDescent="0.25">
      <c r="A176" s="25">
        <v>0.48799999999999999</v>
      </c>
      <c r="B176" s="25">
        <v>1.6E-2</v>
      </c>
      <c r="C176" s="25">
        <v>0.44</v>
      </c>
      <c r="D176" s="26">
        <v>35</v>
      </c>
      <c r="E176" s="26">
        <v>83</v>
      </c>
      <c r="F176" s="26">
        <v>205</v>
      </c>
      <c r="G176" s="26">
        <v>0</v>
      </c>
      <c r="H176" s="26">
        <v>323</v>
      </c>
      <c r="I176" s="27">
        <v>0.10835913312693499</v>
      </c>
      <c r="J176" s="27">
        <v>0.25696594427244585</v>
      </c>
      <c r="K176" s="27">
        <v>0.6346749226006192</v>
      </c>
      <c r="L176" s="27">
        <v>0</v>
      </c>
      <c r="M176" s="28">
        <v>67.250773993808053</v>
      </c>
    </row>
    <row r="177" spans="1:13" x14ac:dyDescent="0.25">
      <c r="A177" s="25">
        <v>0.4609375</v>
      </c>
      <c r="B177" s="25">
        <v>4.1666666666666664E-2</v>
      </c>
      <c r="C177" s="25">
        <v>0.45572916666666669</v>
      </c>
      <c r="D177" s="26">
        <v>103</v>
      </c>
      <c r="E177" s="26">
        <v>27</v>
      </c>
      <c r="F177" s="26">
        <v>320</v>
      </c>
      <c r="G177" s="26">
        <v>0</v>
      </c>
      <c r="H177" s="26">
        <v>450</v>
      </c>
      <c r="I177" s="27">
        <v>0.22888888888888889</v>
      </c>
      <c r="J177" s="27">
        <v>0.06</v>
      </c>
      <c r="K177" s="27">
        <v>0.71111111111111114</v>
      </c>
      <c r="L177" s="27">
        <v>0</v>
      </c>
      <c r="M177" s="28">
        <v>37.595555555555556</v>
      </c>
    </row>
    <row r="178" spans="1:13" x14ac:dyDescent="0.25">
      <c r="A178" s="25">
        <v>0.38244514106583072</v>
      </c>
      <c r="B178" s="25">
        <v>3.1347962382445138E-2</v>
      </c>
      <c r="C178" s="25">
        <v>0.55485893416927901</v>
      </c>
      <c r="D178" s="26">
        <v>169</v>
      </c>
      <c r="E178" s="26">
        <v>188</v>
      </c>
      <c r="F178" s="26">
        <v>91</v>
      </c>
      <c r="G178" s="26">
        <v>2</v>
      </c>
      <c r="H178" s="26">
        <v>450</v>
      </c>
      <c r="I178" s="27">
        <v>0.37555555555555553</v>
      </c>
      <c r="J178" s="27">
        <v>0.4177777777777778</v>
      </c>
      <c r="K178" s="27">
        <v>0.20222222222222222</v>
      </c>
      <c r="L178" s="27">
        <v>4.4444444444444444E-3</v>
      </c>
      <c r="M178" s="28">
        <v>73.362222222222229</v>
      </c>
    </row>
    <row r="179" spans="1:13" x14ac:dyDescent="0.25">
      <c r="A179" s="25">
        <v>0.45530726256983239</v>
      </c>
      <c r="B179" s="25">
        <v>2.7932960893854747E-2</v>
      </c>
      <c r="C179" s="25">
        <v>0.49441340782122906</v>
      </c>
      <c r="D179" s="26">
        <v>175</v>
      </c>
      <c r="E179" s="26">
        <v>187</v>
      </c>
      <c r="F179" s="26">
        <v>86</v>
      </c>
      <c r="G179" s="26">
        <v>2</v>
      </c>
      <c r="H179" s="26">
        <v>450</v>
      </c>
      <c r="I179" s="27">
        <v>0.3888888888888889</v>
      </c>
      <c r="J179" s="27">
        <v>0.41555555555555557</v>
      </c>
      <c r="K179" s="27">
        <v>0.19111111111111112</v>
      </c>
      <c r="L179" s="27">
        <v>4.4444444444444444E-3</v>
      </c>
      <c r="M179" s="28">
        <v>65.086666666666673</v>
      </c>
    </row>
    <row r="180" spans="1:13" x14ac:dyDescent="0.25">
      <c r="A180" s="25">
        <v>0.504</v>
      </c>
      <c r="B180" s="25">
        <v>2.4E-2</v>
      </c>
      <c r="C180" s="25">
        <v>0.44266666666666665</v>
      </c>
      <c r="D180" s="26">
        <v>184</v>
      </c>
      <c r="E180" s="26">
        <v>141</v>
      </c>
      <c r="F180" s="26">
        <v>124</v>
      </c>
      <c r="G180" s="26">
        <v>1</v>
      </c>
      <c r="H180" s="26">
        <v>450</v>
      </c>
      <c r="I180" s="27">
        <v>0.40888888888888891</v>
      </c>
      <c r="J180" s="27">
        <v>0.31333333333333335</v>
      </c>
      <c r="K180" s="27">
        <v>0.27555555555555555</v>
      </c>
      <c r="L180" s="27">
        <v>2.2222222222222222E-3</v>
      </c>
      <c r="M180" s="28">
        <v>56.282222222222224</v>
      </c>
    </row>
    <row r="181" spans="1:13" x14ac:dyDescent="0.25">
      <c r="A181" s="25">
        <v>0.47157894736842104</v>
      </c>
      <c r="B181" s="25">
        <v>5.0526315789473683E-2</v>
      </c>
      <c r="C181" s="25">
        <v>0.44842105263157894</v>
      </c>
      <c r="D181" s="26">
        <v>246</v>
      </c>
      <c r="E181" s="26">
        <v>184</v>
      </c>
      <c r="F181" s="26">
        <v>143</v>
      </c>
      <c r="G181" s="26">
        <v>1</v>
      </c>
      <c r="H181" s="26">
        <v>574</v>
      </c>
      <c r="I181" s="27">
        <v>0.42857142857142855</v>
      </c>
      <c r="J181" s="27">
        <v>0.32055749128919858</v>
      </c>
      <c r="K181" s="27">
        <v>0.24912891986062718</v>
      </c>
      <c r="L181" s="27">
        <v>1.7421602787456446E-3</v>
      </c>
      <c r="M181" s="28">
        <v>46.554006968641112</v>
      </c>
    </row>
    <row r="182" spans="1:13" x14ac:dyDescent="0.25">
      <c r="A182" s="25">
        <v>0.50800915331807783</v>
      </c>
      <c r="B182" s="25">
        <v>3.8901601830663615E-2</v>
      </c>
      <c r="C182" s="25">
        <v>0.43249427917620137</v>
      </c>
      <c r="D182" s="26">
        <v>231</v>
      </c>
      <c r="E182" s="26">
        <v>161</v>
      </c>
      <c r="F182" s="26">
        <v>178</v>
      </c>
      <c r="G182" s="26">
        <v>4</v>
      </c>
      <c r="H182" s="26">
        <v>574</v>
      </c>
      <c r="I182" s="27">
        <v>0.40243902439024393</v>
      </c>
      <c r="J182" s="27">
        <v>0.28048780487804881</v>
      </c>
      <c r="K182" s="27">
        <v>0.31010452961672474</v>
      </c>
      <c r="L182" s="27">
        <v>6.9686411149825784E-3</v>
      </c>
      <c r="M182" s="28">
        <v>36.264808362369337</v>
      </c>
    </row>
    <row r="183" spans="1:13" x14ac:dyDescent="0.25">
      <c r="A183" s="25">
        <v>0.43902439024390244</v>
      </c>
      <c r="B183" s="25">
        <v>6.2084257206208429E-2</v>
      </c>
      <c r="C183" s="25">
        <v>0.4656319290465632</v>
      </c>
      <c r="D183" s="26">
        <v>253</v>
      </c>
      <c r="E183" s="26">
        <v>102</v>
      </c>
      <c r="F183" s="26">
        <v>219</v>
      </c>
      <c r="G183" s="26">
        <v>0</v>
      </c>
      <c r="H183" s="26">
        <v>574</v>
      </c>
      <c r="I183" s="27">
        <v>0.44076655052264807</v>
      </c>
      <c r="J183" s="27">
        <v>0.17770034843205576</v>
      </c>
      <c r="K183" s="27">
        <v>0.38153310104529614</v>
      </c>
      <c r="L183" s="27">
        <v>0</v>
      </c>
      <c r="M183" s="28">
        <v>24.778745644599304</v>
      </c>
    </row>
    <row r="184" spans="1:13" x14ac:dyDescent="0.25">
      <c r="A184" s="25">
        <v>0.46546546546546547</v>
      </c>
      <c r="B184" s="25">
        <v>3.003003003003003E-2</v>
      </c>
      <c r="C184" s="25">
        <v>0.46546546546546547</v>
      </c>
      <c r="D184" s="26">
        <v>154</v>
      </c>
      <c r="E184" s="26">
        <v>55</v>
      </c>
      <c r="F184" s="26">
        <v>239</v>
      </c>
      <c r="G184" s="26">
        <v>2</v>
      </c>
      <c r="H184" s="26">
        <v>450</v>
      </c>
      <c r="I184" s="27">
        <v>0.34222222222222221</v>
      </c>
      <c r="J184" s="27">
        <v>0.12222222222222222</v>
      </c>
      <c r="K184" s="27">
        <v>0.53111111111111109</v>
      </c>
      <c r="L184" s="27">
        <v>4.4444444444444444E-3</v>
      </c>
      <c r="M184" s="28">
        <v>67.63333333333334</v>
      </c>
    </row>
    <row r="185" spans="1:13" x14ac:dyDescent="0.25">
      <c r="A185" s="25">
        <v>0.39173228346456695</v>
      </c>
      <c r="B185" s="25">
        <v>8.2677165354330714E-2</v>
      </c>
      <c r="C185" s="25">
        <v>0.49803149606299213</v>
      </c>
      <c r="D185" s="26">
        <v>276</v>
      </c>
      <c r="E185" s="26">
        <v>30</v>
      </c>
      <c r="F185" s="26">
        <v>304</v>
      </c>
      <c r="G185" s="26">
        <v>5</v>
      </c>
      <c r="H185" s="26">
        <v>615</v>
      </c>
      <c r="I185" s="27">
        <v>0.44878048780487806</v>
      </c>
      <c r="J185" s="27">
        <v>4.878048780487805E-2</v>
      </c>
      <c r="K185" s="27">
        <v>0.49430894308943091</v>
      </c>
      <c r="L185" s="27">
        <v>8.130081300813009E-3</v>
      </c>
      <c r="M185" s="28">
        <v>48.346341463414632</v>
      </c>
    </row>
    <row r="186" spans="1:13" x14ac:dyDescent="0.25">
      <c r="A186" s="25">
        <v>0.46450304259634889</v>
      </c>
      <c r="B186" s="25">
        <v>7.9107505070993914E-2</v>
      </c>
      <c r="C186" s="25">
        <v>0.42190669371196754</v>
      </c>
      <c r="D186" s="26">
        <v>293</v>
      </c>
      <c r="E186" s="26">
        <v>15</v>
      </c>
      <c r="F186" s="26">
        <v>307</v>
      </c>
      <c r="G186" s="26">
        <v>1</v>
      </c>
      <c r="H186" s="26">
        <v>616</v>
      </c>
      <c r="I186" s="27">
        <v>0.47564935064935066</v>
      </c>
      <c r="J186" s="27">
        <v>2.4350649350649352E-2</v>
      </c>
      <c r="K186" s="27">
        <v>0.49837662337662336</v>
      </c>
      <c r="L186" s="27">
        <v>1.6233766233766235E-3</v>
      </c>
      <c r="M186" s="28">
        <v>28.801948051948052</v>
      </c>
    </row>
    <row r="187" spans="1:13" x14ac:dyDescent="0.25">
      <c r="A187" s="25">
        <v>0.2265625</v>
      </c>
      <c r="B187" s="25">
        <v>3.90625E-2</v>
      </c>
      <c r="C187" s="25">
        <v>0.70052083333333337</v>
      </c>
      <c r="D187" s="26">
        <v>313</v>
      </c>
      <c r="E187" s="26">
        <v>21</v>
      </c>
      <c r="F187" s="26">
        <v>114</v>
      </c>
      <c r="G187" s="26">
        <v>2</v>
      </c>
      <c r="H187" s="26">
        <v>450</v>
      </c>
      <c r="I187" s="27">
        <v>0.69555555555555559</v>
      </c>
      <c r="J187" s="27">
        <v>4.6666666666666669E-2</v>
      </c>
      <c r="K187" s="27">
        <v>0.25333333333333335</v>
      </c>
      <c r="L187" s="27">
        <v>4.4444444444444444E-3</v>
      </c>
      <c r="M187" s="28">
        <v>63.866666666666667</v>
      </c>
    </row>
    <row r="188" spans="1:13" x14ac:dyDescent="0.25">
      <c r="A188" s="25">
        <v>0.3987603305785124</v>
      </c>
      <c r="B188" s="25">
        <v>6.1983471074380167E-2</v>
      </c>
      <c r="C188" s="25">
        <v>0.493801652892562</v>
      </c>
      <c r="D188" s="26">
        <v>293</v>
      </c>
      <c r="E188" s="26">
        <v>52</v>
      </c>
      <c r="F188" s="26">
        <v>252</v>
      </c>
      <c r="G188" s="26">
        <v>5</v>
      </c>
      <c r="H188" s="26">
        <v>602</v>
      </c>
      <c r="I188" s="27">
        <v>0.48671096345514953</v>
      </c>
      <c r="J188" s="27">
        <v>8.6378737541528236E-2</v>
      </c>
      <c r="K188" s="27">
        <v>0.41860465116279072</v>
      </c>
      <c r="L188" s="27">
        <v>8.3056478405315621E-3</v>
      </c>
      <c r="M188" s="28">
        <v>43.519933554817278</v>
      </c>
    </row>
    <row r="189" spans="1:13" x14ac:dyDescent="0.25">
      <c r="A189" s="25">
        <v>0.41683366733466931</v>
      </c>
      <c r="B189" s="25">
        <v>2.8056112224448898E-2</v>
      </c>
      <c r="C189" s="25">
        <v>0.49498997995991983</v>
      </c>
      <c r="D189" s="26">
        <v>262</v>
      </c>
      <c r="E189" s="26">
        <v>46</v>
      </c>
      <c r="F189" s="26">
        <v>295</v>
      </c>
      <c r="G189" s="26">
        <v>0</v>
      </c>
      <c r="H189" s="26">
        <v>603</v>
      </c>
      <c r="I189" s="27">
        <v>0.43449419568822556</v>
      </c>
      <c r="J189" s="27">
        <v>7.6285240464344942E-2</v>
      </c>
      <c r="K189" s="27">
        <v>0.48922056384742951</v>
      </c>
      <c r="L189" s="27">
        <v>0</v>
      </c>
      <c r="M189" s="28">
        <v>25.802653399668326</v>
      </c>
    </row>
    <row r="190" spans="1:13" x14ac:dyDescent="0.25">
      <c r="A190" s="25">
        <v>0.30808080808080807</v>
      </c>
      <c r="B190" s="25">
        <v>5.808080808080808E-2</v>
      </c>
      <c r="C190" s="25">
        <v>0.60101010101010099</v>
      </c>
      <c r="D190" s="26">
        <v>256</v>
      </c>
      <c r="E190" s="26">
        <v>54</v>
      </c>
      <c r="F190" s="26">
        <v>136</v>
      </c>
      <c r="G190" s="26">
        <v>4</v>
      </c>
      <c r="H190" s="26">
        <v>450</v>
      </c>
      <c r="I190" s="27">
        <v>0.56888888888888889</v>
      </c>
      <c r="J190" s="27">
        <v>0.12</v>
      </c>
      <c r="K190" s="27">
        <v>0.30222222222222223</v>
      </c>
      <c r="L190" s="27">
        <v>8.8888888888888889E-3</v>
      </c>
      <c r="M190" s="28">
        <v>59.726666666666667</v>
      </c>
    </row>
    <row r="191" spans="1:13" x14ac:dyDescent="0.25">
      <c r="A191" s="25">
        <v>0.388086642599278</v>
      </c>
      <c r="B191" s="25">
        <v>0.10649819494584838</v>
      </c>
      <c r="C191" s="25">
        <v>0.47472924187725629</v>
      </c>
      <c r="D191" s="26">
        <v>351</v>
      </c>
      <c r="E191" s="26">
        <v>85</v>
      </c>
      <c r="F191" s="26">
        <v>198</v>
      </c>
      <c r="G191" s="26">
        <v>5</v>
      </c>
      <c r="H191" s="26">
        <v>639</v>
      </c>
      <c r="I191" s="27">
        <v>0.54929577464788737</v>
      </c>
      <c r="J191" s="27">
        <v>0.13302034428794993</v>
      </c>
      <c r="K191" s="27">
        <v>0.30985915492957744</v>
      </c>
      <c r="L191" s="27">
        <v>7.8247261345852897E-3</v>
      </c>
      <c r="M191" s="28">
        <v>47.591549295774648</v>
      </c>
    </row>
    <row r="192" spans="1:13" x14ac:dyDescent="0.25">
      <c r="A192" s="25">
        <v>0.44268774703557312</v>
      </c>
      <c r="B192" s="25">
        <v>8.3003952569169967E-2</v>
      </c>
      <c r="C192" s="25">
        <v>0.46837944664031622</v>
      </c>
      <c r="D192" s="26">
        <v>314</v>
      </c>
      <c r="E192" s="26">
        <v>100</v>
      </c>
      <c r="F192" s="26">
        <v>221</v>
      </c>
      <c r="G192" s="26">
        <v>4</v>
      </c>
      <c r="H192" s="26">
        <v>639</v>
      </c>
      <c r="I192" s="27">
        <v>0.49139280125195617</v>
      </c>
      <c r="J192" s="27">
        <v>0.1564945226917058</v>
      </c>
      <c r="K192" s="27">
        <v>0.34585289514866979</v>
      </c>
      <c r="L192" s="27">
        <v>6.2597809076682318E-3</v>
      </c>
      <c r="M192" s="28">
        <v>35.721439749608763</v>
      </c>
    </row>
    <row r="193" spans="1:13" x14ac:dyDescent="0.25">
      <c r="A193" s="25">
        <v>0.36799999999999999</v>
      </c>
      <c r="B193" s="25">
        <v>0.13400000000000001</v>
      </c>
      <c r="C193" s="25">
        <v>0.49</v>
      </c>
      <c r="D193" s="26">
        <v>400</v>
      </c>
      <c r="E193" s="26">
        <v>70</v>
      </c>
      <c r="F193" s="26">
        <v>169</v>
      </c>
      <c r="G193" s="26">
        <v>0</v>
      </c>
      <c r="H193" s="26">
        <v>639</v>
      </c>
      <c r="I193" s="27">
        <v>0.6259780907668232</v>
      </c>
      <c r="J193" s="27">
        <v>0.10954616588419405</v>
      </c>
      <c r="K193" s="27">
        <v>0.26447574334898277</v>
      </c>
      <c r="L193" s="27">
        <v>0</v>
      </c>
      <c r="M193" s="28">
        <v>27.679186228482003</v>
      </c>
    </row>
    <row r="194" spans="1:13" x14ac:dyDescent="0.25">
      <c r="A194" s="25">
        <v>0.38112522686025407</v>
      </c>
      <c r="B194" s="25">
        <v>0.14156079854809436</v>
      </c>
      <c r="C194" s="25">
        <v>0.47731397459165154</v>
      </c>
      <c r="D194" s="26">
        <v>436</v>
      </c>
      <c r="E194" s="26">
        <v>56</v>
      </c>
      <c r="F194" s="26">
        <v>147</v>
      </c>
      <c r="G194" s="26">
        <v>0</v>
      </c>
      <c r="H194" s="26">
        <v>639</v>
      </c>
      <c r="I194" s="27">
        <v>0.68231611893583721</v>
      </c>
      <c r="J194" s="27">
        <v>8.7636932707355245E-2</v>
      </c>
      <c r="K194" s="27">
        <v>0.2300469483568075</v>
      </c>
      <c r="L194" s="27">
        <v>0</v>
      </c>
      <c r="M194" s="28">
        <v>21.103286384976524</v>
      </c>
    </row>
    <row r="195" spans="1:13" x14ac:dyDescent="0.25">
      <c r="A195" s="25">
        <v>0.51902173913043481</v>
      </c>
      <c r="B195" s="25">
        <v>1.9021739130434784E-2</v>
      </c>
      <c r="C195" s="25">
        <v>0.40217391304347827</v>
      </c>
      <c r="D195" s="26">
        <v>75</v>
      </c>
      <c r="E195" s="26">
        <v>181</v>
      </c>
      <c r="F195" s="26">
        <v>192</v>
      </c>
      <c r="G195" s="26">
        <v>2</v>
      </c>
      <c r="H195" s="26">
        <v>450</v>
      </c>
      <c r="I195" s="27">
        <v>0.16666666666666666</v>
      </c>
      <c r="J195" s="27">
        <v>0.4022222222222222</v>
      </c>
      <c r="K195" s="27">
        <v>0.42666666666666669</v>
      </c>
      <c r="L195" s="27">
        <v>4.4444444444444444E-3</v>
      </c>
      <c r="M195" s="28">
        <v>63.346666666666664</v>
      </c>
    </row>
    <row r="196" spans="1:13" x14ac:dyDescent="0.25">
      <c r="A196" s="25">
        <v>0.57714285714285718</v>
      </c>
      <c r="B196" s="25">
        <v>3.0476190476190476E-2</v>
      </c>
      <c r="C196" s="25">
        <v>0.37523809523809526</v>
      </c>
      <c r="D196" s="26">
        <v>150</v>
      </c>
      <c r="E196" s="26">
        <v>257</v>
      </c>
      <c r="F196" s="26">
        <v>199</v>
      </c>
      <c r="G196" s="26">
        <v>5</v>
      </c>
      <c r="H196" s="26">
        <v>611</v>
      </c>
      <c r="I196" s="27">
        <v>0.24549918166939444</v>
      </c>
      <c r="J196" s="27">
        <v>0.42062193126022912</v>
      </c>
      <c r="K196" s="27">
        <v>0.32569558101472995</v>
      </c>
      <c r="L196" s="27">
        <v>8.1833060556464818E-3</v>
      </c>
      <c r="M196" s="28">
        <v>51.040916530278231</v>
      </c>
    </row>
    <row r="197" spans="1:13" x14ac:dyDescent="0.25">
      <c r="A197" s="25">
        <v>0.67535070140280562</v>
      </c>
      <c r="B197" s="25">
        <v>3.2064128256513023E-2</v>
      </c>
      <c r="C197" s="25">
        <v>0.27454909819639278</v>
      </c>
      <c r="D197" s="26">
        <v>98</v>
      </c>
      <c r="E197" s="26">
        <v>251</v>
      </c>
      <c r="F197" s="26">
        <v>259</v>
      </c>
      <c r="G197" s="26">
        <v>3</v>
      </c>
      <c r="H197" s="26">
        <v>611</v>
      </c>
      <c r="I197" s="27">
        <v>0.16039279869067102</v>
      </c>
      <c r="J197" s="27">
        <v>0.41080196399345337</v>
      </c>
      <c r="K197" s="27">
        <v>0.4238952536824877</v>
      </c>
      <c r="L197" s="27">
        <v>4.9099836333878887E-3</v>
      </c>
      <c r="M197" s="28">
        <v>41.173486088379704</v>
      </c>
    </row>
    <row r="198" spans="1:13" x14ac:dyDescent="0.25">
      <c r="A198" s="25">
        <v>0.61963190184049077</v>
      </c>
      <c r="B198" s="25">
        <v>4.7034764826175871E-2</v>
      </c>
      <c r="C198" s="25">
        <v>0.30674846625766872</v>
      </c>
      <c r="D198" s="26">
        <v>153</v>
      </c>
      <c r="E198" s="26">
        <v>203</v>
      </c>
      <c r="F198" s="26">
        <v>252</v>
      </c>
      <c r="G198" s="26">
        <v>3</v>
      </c>
      <c r="H198" s="26">
        <v>611</v>
      </c>
      <c r="I198" s="27">
        <v>0.25040916530278234</v>
      </c>
      <c r="J198" s="27">
        <v>0.33224222585924712</v>
      </c>
      <c r="K198" s="27">
        <v>0.41243862520458263</v>
      </c>
      <c r="L198" s="27">
        <v>4.9099836333878887E-3</v>
      </c>
      <c r="M198" s="28">
        <v>33.779050736497545</v>
      </c>
    </row>
    <row r="199" spans="1:13" x14ac:dyDescent="0.25">
      <c r="A199" s="25">
        <v>0.65617977528089888</v>
      </c>
      <c r="B199" s="25">
        <v>5.3932584269662923E-2</v>
      </c>
      <c r="C199" s="25">
        <v>0.25617977528089886</v>
      </c>
      <c r="D199" s="26">
        <v>159</v>
      </c>
      <c r="E199" s="26">
        <v>204</v>
      </c>
      <c r="F199" s="26">
        <v>248</v>
      </c>
      <c r="G199" s="26">
        <v>0</v>
      </c>
      <c r="H199" s="26">
        <v>611</v>
      </c>
      <c r="I199" s="27">
        <v>0.2602291325695581</v>
      </c>
      <c r="J199" s="27">
        <v>0.33387888707037644</v>
      </c>
      <c r="K199" s="27">
        <v>0.40589198036006546</v>
      </c>
      <c r="L199" s="27">
        <v>0</v>
      </c>
      <c r="M199" s="28">
        <v>27.135842880523732</v>
      </c>
    </row>
    <row r="200" spans="1:13" x14ac:dyDescent="0.25">
      <c r="A200" s="25">
        <v>0.61932938856015785</v>
      </c>
      <c r="B200" s="25">
        <v>4.142011834319527E-2</v>
      </c>
      <c r="C200" s="25">
        <v>0.3057199211045365</v>
      </c>
      <c r="D200" s="26">
        <v>185</v>
      </c>
      <c r="E200" s="26">
        <v>173</v>
      </c>
      <c r="F200" s="26">
        <v>257</v>
      </c>
      <c r="G200" s="26">
        <v>0</v>
      </c>
      <c r="H200" s="26">
        <v>615</v>
      </c>
      <c r="I200" s="27">
        <v>0.30081300813008133</v>
      </c>
      <c r="J200" s="27">
        <v>0.28130081300813009</v>
      </c>
      <c r="K200" s="27">
        <v>0.41788617886178864</v>
      </c>
      <c r="L200" s="27">
        <v>0</v>
      </c>
      <c r="M200" s="28">
        <v>21.040650406504064</v>
      </c>
    </row>
    <row r="201" spans="1:13" x14ac:dyDescent="0.25">
      <c r="A201" s="25">
        <v>0.2138728323699422</v>
      </c>
      <c r="B201" s="25">
        <v>0.10982658959537572</v>
      </c>
      <c r="C201" s="25">
        <v>0.65895953757225434</v>
      </c>
      <c r="D201" s="26">
        <v>426</v>
      </c>
      <c r="E201" s="26">
        <v>12</v>
      </c>
      <c r="F201" s="26">
        <v>0</v>
      </c>
      <c r="G201" s="26">
        <v>12</v>
      </c>
      <c r="H201" s="26">
        <v>450</v>
      </c>
      <c r="I201" s="27">
        <v>0.94666666666666666</v>
      </c>
      <c r="J201" s="27">
        <v>2.6666666666666668E-2</v>
      </c>
      <c r="K201" s="27">
        <v>0</v>
      </c>
      <c r="L201" s="27">
        <v>2.6666666666666668E-2</v>
      </c>
      <c r="M201" s="28">
        <v>65.864444444444445</v>
      </c>
    </row>
    <row r="202" spans="1:13" x14ac:dyDescent="0.25">
      <c r="A202" s="25">
        <v>0.21837088388214904</v>
      </c>
      <c r="B202" s="25">
        <v>0.1733102253032929</v>
      </c>
      <c r="C202" s="25">
        <v>0.59618717504332752</v>
      </c>
      <c r="D202" s="26">
        <v>637</v>
      </c>
      <c r="E202" s="26">
        <v>6</v>
      </c>
      <c r="F202" s="26">
        <v>5</v>
      </c>
      <c r="G202" s="26">
        <v>60</v>
      </c>
      <c r="H202" s="26">
        <v>708</v>
      </c>
      <c r="I202" s="27">
        <v>0.89971751412429379</v>
      </c>
      <c r="J202" s="27">
        <v>8.4745762711864406E-3</v>
      </c>
      <c r="K202" s="27">
        <v>7.0621468926553672E-3</v>
      </c>
      <c r="L202" s="27">
        <v>8.4745762711864403E-2</v>
      </c>
      <c r="M202" s="28">
        <v>35.426553672316388</v>
      </c>
    </row>
    <row r="203" spans="1:13" x14ac:dyDescent="0.25">
      <c r="A203" s="25">
        <v>0.12844036697247707</v>
      </c>
      <c r="B203" s="25">
        <v>0.10703363914373089</v>
      </c>
      <c r="C203" s="25">
        <v>0.72477064220183485</v>
      </c>
      <c r="D203" s="26">
        <v>423</v>
      </c>
      <c r="E203" s="26">
        <v>17</v>
      </c>
      <c r="F203" s="26">
        <v>7</v>
      </c>
      <c r="G203" s="26">
        <v>3</v>
      </c>
      <c r="H203" s="26">
        <v>450</v>
      </c>
      <c r="I203" s="27">
        <v>0.94</v>
      </c>
      <c r="J203" s="27">
        <v>3.7777777777777778E-2</v>
      </c>
      <c r="K203" s="27">
        <v>1.5555555555555555E-2</v>
      </c>
      <c r="L203" s="27">
        <v>6.6666666666666671E-3</v>
      </c>
      <c r="M203" s="28">
        <v>68.12222222222222</v>
      </c>
    </row>
    <row r="204" spans="1:13" x14ac:dyDescent="0.25">
      <c r="A204" s="25">
        <v>0.20384615384615384</v>
      </c>
      <c r="B204" s="25">
        <v>0.22115384615384615</v>
      </c>
      <c r="C204" s="25">
        <v>0.56346153846153846</v>
      </c>
      <c r="D204" s="26">
        <v>600</v>
      </c>
      <c r="E204" s="26">
        <v>28</v>
      </c>
      <c r="F204" s="26">
        <v>27</v>
      </c>
      <c r="G204" s="26">
        <v>0</v>
      </c>
      <c r="H204" s="26">
        <v>655</v>
      </c>
      <c r="I204" s="27">
        <v>0.91603053435114501</v>
      </c>
      <c r="J204" s="27">
        <v>4.2748091603053436E-2</v>
      </c>
      <c r="K204" s="27">
        <v>4.1221374045801527E-2</v>
      </c>
      <c r="L204" s="27">
        <v>0</v>
      </c>
      <c r="M204" s="28">
        <v>48.558778625954197</v>
      </c>
    </row>
    <row r="205" spans="1:13" x14ac:dyDescent="0.25">
      <c r="A205" s="25">
        <v>0.20348837209302326</v>
      </c>
      <c r="B205" s="25">
        <v>0.22868217054263565</v>
      </c>
      <c r="C205" s="25">
        <v>0.55426356589147285</v>
      </c>
      <c r="D205" s="26">
        <v>614</v>
      </c>
      <c r="E205" s="26">
        <v>17</v>
      </c>
      <c r="F205" s="26">
        <v>22</v>
      </c>
      <c r="G205" s="26">
        <v>2</v>
      </c>
      <c r="H205" s="26">
        <v>655</v>
      </c>
      <c r="I205" s="27">
        <v>0.93740458015267181</v>
      </c>
      <c r="J205" s="27">
        <v>2.5954198473282442E-2</v>
      </c>
      <c r="K205" s="27">
        <v>3.3587786259541987E-2</v>
      </c>
      <c r="L205" s="27">
        <v>3.0534351145038168E-3</v>
      </c>
      <c r="M205" s="28">
        <v>29.076335877862597</v>
      </c>
    </row>
    <row r="206" spans="1:13" x14ac:dyDescent="0.25">
      <c r="A206" s="25">
        <v>0.13707165109034267</v>
      </c>
      <c r="B206" s="25">
        <v>0.17757009345794392</v>
      </c>
      <c r="C206" s="25">
        <v>0.67601246105919</v>
      </c>
      <c r="D206" s="26">
        <v>385</v>
      </c>
      <c r="E206" s="26">
        <v>9</v>
      </c>
      <c r="F206" s="26">
        <v>6</v>
      </c>
      <c r="G206" s="26">
        <v>0</v>
      </c>
      <c r="H206" s="26">
        <v>400</v>
      </c>
      <c r="I206" s="27">
        <v>0.96250000000000002</v>
      </c>
      <c r="J206" s="27">
        <v>2.2499999999999999E-2</v>
      </c>
      <c r="K206" s="27">
        <v>1.4999999999999999E-2</v>
      </c>
      <c r="L206" s="27">
        <v>0</v>
      </c>
      <c r="M206" s="28">
        <v>62.842500000000001</v>
      </c>
    </row>
    <row r="207" spans="1:13" x14ac:dyDescent="0.25">
      <c r="A207" s="25">
        <v>0.15324675324675324</v>
      </c>
      <c r="B207" s="25">
        <v>0.26753246753246751</v>
      </c>
      <c r="C207" s="25">
        <v>0.57662337662337659</v>
      </c>
      <c r="D207" s="26">
        <v>467</v>
      </c>
      <c r="E207" s="26">
        <v>5</v>
      </c>
      <c r="F207" s="26">
        <v>15</v>
      </c>
      <c r="G207" s="26">
        <v>0</v>
      </c>
      <c r="H207" s="26">
        <v>487</v>
      </c>
      <c r="I207" s="27">
        <v>0.95893223819301843</v>
      </c>
      <c r="J207" s="27">
        <v>1.0266940451745379E-2</v>
      </c>
      <c r="K207" s="27">
        <v>3.0800821355236138E-2</v>
      </c>
      <c r="L207" s="27">
        <v>0</v>
      </c>
      <c r="M207" s="28">
        <v>33.447638603696099</v>
      </c>
    </row>
    <row r="208" spans="1:13" x14ac:dyDescent="0.25">
      <c r="A208" s="25">
        <v>0.14225053078556263</v>
      </c>
      <c r="B208" s="25">
        <v>0.1932059447983015</v>
      </c>
      <c r="C208" s="25">
        <v>0.65817409766454349</v>
      </c>
      <c r="D208" s="26">
        <v>567</v>
      </c>
      <c r="E208" s="26">
        <v>7</v>
      </c>
      <c r="F208" s="26">
        <v>0</v>
      </c>
      <c r="G208" s="26">
        <v>0</v>
      </c>
      <c r="H208" s="26">
        <v>574</v>
      </c>
      <c r="I208" s="27">
        <v>0.98780487804878048</v>
      </c>
      <c r="J208" s="27">
        <v>1.2195121951219513E-2</v>
      </c>
      <c r="K208" s="27">
        <v>0</v>
      </c>
      <c r="L208" s="27">
        <v>0</v>
      </c>
      <c r="M208" s="28">
        <v>46.907665505226483</v>
      </c>
    </row>
    <row r="209" spans="1:13" x14ac:dyDescent="0.25">
      <c r="A209" s="25">
        <v>7.2494669509594878E-2</v>
      </c>
      <c r="B209" s="25">
        <v>0.23454157782515991</v>
      </c>
      <c r="C209" s="25">
        <v>0.68230277185501065</v>
      </c>
      <c r="D209" s="26">
        <v>564</v>
      </c>
      <c r="E209" s="26">
        <v>3</v>
      </c>
      <c r="F209" s="26">
        <v>8</v>
      </c>
      <c r="G209" s="26">
        <v>3</v>
      </c>
      <c r="H209" s="26">
        <v>578</v>
      </c>
      <c r="I209" s="27">
        <v>0.97577854671280273</v>
      </c>
      <c r="J209" s="27">
        <v>5.1903114186851208E-3</v>
      </c>
      <c r="K209" s="27">
        <v>1.384083044982699E-2</v>
      </c>
      <c r="L209" s="27">
        <v>5.1903114186851208E-3</v>
      </c>
      <c r="M209" s="28">
        <v>47.064013840830448</v>
      </c>
    </row>
    <row r="210" spans="1:13" x14ac:dyDescent="0.25">
      <c r="A210" s="25">
        <v>0.1440443213296399</v>
      </c>
      <c r="B210" s="25">
        <v>0.12742382271468145</v>
      </c>
      <c r="C210" s="25">
        <v>0.69806094182825484</v>
      </c>
      <c r="D210" s="26">
        <v>416</v>
      </c>
      <c r="E210" s="26">
        <v>15</v>
      </c>
      <c r="F210" s="26">
        <v>7</v>
      </c>
      <c r="G210" s="26">
        <v>12</v>
      </c>
      <c r="H210" s="26">
        <v>450</v>
      </c>
      <c r="I210" s="27">
        <v>0.9244444444444444</v>
      </c>
      <c r="J210" s="27">
        <v>3.3333333333333333E-2</v>
      </c>
      <c r="K210" s="27">
        <v>1.5555555555555555E-2</v>
      </c>
      <c r="L210" s="27">
        <v>2.6666666666666668E-2</v>
      </c>
      <c r="M210" s="28">
        <v>64.282222222222217</v>
      </c>
    </row>
    <row r="211" spans="1:13" x14ac:dyDescent="0.25">
      <c r="A211" s="25">
        <v>0.18069306930693069</v>
      </c>
      <c r="B211" s="25">
        <v>0.25990099009900991</v>
      </c>
      <c r="C211" s="25">
        <v>0.54950495049504955</v>
      </c>
      <c r="D211" s="26">
        <v>450</v>
      </c>
      <c r="E211" s="26">
        <v>31</v>
      </c>
      <c r="F211" s="26">
        <v>7</v>
      </c>
      <c r="G211" s="26">
        <v>21</v>
      </c>
      <c r="H211" s="26">
        <v>509</v>
      </c>
      <c r="I211" s="27">
        <v>0.88408644400785852</v>
      </c>
      <c r="J211" s="27">
        <v>6.0903732809430254E-2</v>
      </c>
      <c r="K211" s="27">
        <v>1.37524557956778E-2</v>
      </c>
      <c r="L211" s="27">
        <v>4.1257367387033402E-2</v>
      </c>
      <c r="M211" s="28">
        <v>43.79567779960707</v>
      </c>
    </row>
    <row r="212" spans="1:13" x14ac:dyDescent="0.25">
      <c r="A212" s="25">
        <v>0.18981481481481483</v>
      </c>
      <c r="B212" s="25">
        <v>0.31018518518518517</v>
      </c>
      <c r="C212" s="25">
        <v>0.49305555555555558</v>
      </c>
      <c r="D212" s="26">
        <v>462</v>
      </c>
      <c r="E212" s="26">
        <v>18</v>
      </c>
      <c r="F212" s="26">
        <v>15</v>
      </c>
      <c r="G212" s="26">
        <v>15</v>
      </c>
      <c r="H212" s="26">
        <v>510</v>
      </c>
      <c r="I212" s="27">
        <v>0.90588235294117647</v>
      </c>
      <c r="J212" s="27">
        <v>3.5294117647058823E-2</v>
      </c>
      <c r="K212" s="27">
        <v>2.9411764705882353E-2</v>
      </c>
      <c r="L212" s="27">
        <v>2.9411764705882353E-2</v>
      </c>
      <c r="M212" s="28">
        <v>26.666666666666668</v>
      </c>
    </row>
    <row r="213" spans="1:13" x14ac:dyDescent="0.25">
      <c r="A213" s="25">
        <v>0.36551724137931035</v>
      </c>
      <c r="B213" s="25">
        <v>7.9310344827586213E-2</v>
      </c>
      <c r="C213" s="25">
        <v>0.47931034482758622</v>
      </c>
      <c r="D213" s="26">
        <v>176</v>
      </c>
      <c r="E213" s="26">
        <v>212</v>
      </c>
      <c r="F213" s="26">
        <v>62</v>
      </c>
      <c r="G213" s="26">
        <v>0</v>
      </c>
      <c r="H213" s="26">
        <v>450</v>
      </c>
      <c r="I213" s="27">
        <v>0.39111111111111113</v>
      </c>
      <c r="J213" s="27">
        <v>0.47111111111111109</v>
      </c>
      <c r="K213" s="27">
        <v>0.13777777777777778</v>
      </c>
      <c r="L213" s="27">
        <v>0</v>
      </c>
      <c r="M213" s="28">
        <v>71.242222222222225</v>
      </c>
    </row>
    <row r="214" spans="1:13" x14ac:dyDescent="0.25">
      <c r="A214" s="25">
        <v>0.48333333333333334</v>
      </c>
      <c r="B214" s="25">
        <v>9.166666666666666E-2</v>
      </c>
      <c r="C214" s="25">
        <v>0.38333333333333336</v>
      </c>
      <c r="D214" s="26">
        <v>205</v>
      </c>
      <c r="E214" s="26">
        <v>180</v>
      </c>
      <c r="F214" s="26">
        <v>65</v>
      </c>
      <c r="G214" s="26">
        <v>0</v>
      </c>
      <c r="H214" s="26">
        <v>450</v>
      </c>
      <c r="I214" s="27">
        <v>0.45555555555555555</v>
      </c>
      <c r="J214" s="27">
        <v>0.4</v>
      </c>
      <c r="K214" s="27">
        <v>0.14444444444444443</v>
      </c>
      <c r="L214" s="27">
        <v>0</v>
      </c>
      <c r="M214" s="28">
        <v>56.113333333333337</v>
      </c>
    </row>
    <row r="215" spans="1:13" x14ac:dyDescent="0.25">
      <c r="A215" s="25">
        <v>0.50901803607214424</v>
      </c>
      <c r="B215" s="25">
        <v>0.14028056112224449</v>
      </c>
      <c r="C215" s="25">
        <v>0.32665330661322645</v>
      </c>
      <c r="D215" s="26">
        <v>310</v>
      </c>
      <c r="E215" s="26">
        <v>216</v>
      </c>
      <c r="F215" s="26">
        <v>136</v>
      </c>
      <c r="G215" s="26">
        <v>3</v>
      </c>
      <c r="H215" s="26">
        <v>665</v>
      </c>
      <c r="I215" s="27">
        <v>0.46616541353383456</v>
      </c>
      <c r="J215" s="27">
        <v>0.324812030075188</v>
      </c>
      <c r="K215" s="27">
        <v>0.20451127819548873</v>
      </c>
      <c r="L215" s="27">
        <v>4.5112781954887221E-3</v>
      </c>
      <c r="M215" s="28">
        <v>41.670676691729327</v>
      </c>
    </row>
    <row r="216" spans="1:13" x14ac:dyDescent="0.25">
      <c r="A216" s="25">
        <v>0.48296593186372744</v>
      </c>
      <c r="B216" s="25">
        <v>0.18036072144288579</v>
      </c>
      <c r="C216" s="25">
        <v>0.31663326653306612</v>
      </c>
      <c r="D216" s="26">
        <v>368</v>
      </c>
      <c r="E216" s="26">
        <v>152</v>
      </c>
      <c r="F216" s="26">
        <v>145</v>
      </c>
      <c r="G216" s="26">
        <v>1</v>
      </c>
      <c r="H216" s="26">
        <v>666</v>
      </c>
      <c r="I216" s="27">
        <v>0.55255255255255253</v>
      </c>
      <c r="J216" s="27">
        <v>0.22822822822822822</v>
      </c>
      <c r="K216" s="27">
        <v>0.21771771771771772</v>
      </c>
      <c r="L216" s="27">
        <v>1.5015015015015015E-3</v>
      </c>
      <c r="M216" s="28">
        <v>26.448948948948949</v>
      </c>
    </row>
    <row r="217" spans="1:13" x14ac:dyDescent="0.25">
      <c r="A217" s="25">
        <v>0.17910447761194029</v>
      </c>
      <c r="B217" s="25">
        <v>0.16791044776119404</v>
      </c>
      <c r="C217" s="25">
        <v>0.63805970149253732</v>
      </c>
      <c r="D217" s="26">
        <v>316</v>
      </c>
      <c r="E217" s="26">
        <v>0</v>
      </c>
      <c r="F217" s="26">
        <v>5</v>
      </c>
      <c r="G217" s="26">
        <v>0</v>
      </c>
      <c r="H217" s="26">
        <v>321</v>
      </c>
      <c r="I217" s="27">
        <v>0.98442367601246106</v>
      </c>
      <c r="J217" s="27">
        <v>0</v>
      </c>
      <c r="K217" s="27">
        <v>1.5576323987538941E-2</v>
      </c>
      <c r="L217" s="27">
        <v>0</v>
      </c>
      <c r="M217" s="28">
        <v>58.211838006230529</v>
      </c>
    </row>
    <row r="218" spans="1:13" x14ac:dyDescent="0.25">
      <c r="A218" s="25">
        <v>0.1417624521072797</v>
      </c>
      <c r="B218" s="25">
        <v>0.27203065134099619</v>
      </c>
      <c r="C218" s="25">
        <v>0.56704980842911878</v>
      </c>
      <c r="D218" s="26">
        <v>313</v>
      </c>
      <c r="E218" s="26">
        <v>0</v>
      </c>
      <c r="F218" s="26">
        <v>8</v>
      </c>
      <c r="G218" s="26">
        <v>0</v>
      </c>
      <c r="H218" s="26">
        <v>321</v>
      </c>
      <c r="I218" s="27">
        <v>0.97507788161993769</v>
      </c>
      <c r="J218" s="27">
        <v>0</v>
      </c>
      <c r="K218" s="27">
        <v>2.4922118380062305E-2</v>
      </c>
      <c r="L218" s="27">
        <v>0</v>
      </c>
      <c r="M218" s="28">
        <v>29.856697819314643</v>
      </c>
    </row>
    <row r="219" spans="1:13" x14ac:dyDescent="0.25">
      <c r="A219" s="25">
        <v>0.23015873015873015</v>
      </c>
      <c r="B219" s="25">
        <v>0.16666666666666666</v>
      </c>
      <c r="C219" s="25">
        <v>0.59523809523809523</v>
      </c>
      <c r="D219" s="26">
        <v>443</v>
      </c>
      <c r="E219" s="26">
        <v>1</v>
      </c>
      <c r="F219" s="26">
        <v>0</v>
      </c>
      <c r="G219" s="26">
        <v>0</v>
      </c>
      <c r="H219" s="26">
        <v>444</v>
      </c>
      <c r="I219" s="27">
        <v>0.99774774774774777</v>
      </c>
      <c r="J219" s="27">
        <v>2.2522522522522522E-3</v>
      </c>
      <c r="K219" s="27">
        <v>0</v>
      </c>
      <c r="L219" s="27">
        <v>0</v>
      </c>
      <c r="M219" s="28">
        <v>46.166666666666664</v>
      </c>
    </row>
    <row r="220" spans="1:13" x14ac:dyDescent="0.25">
      <c r="A220" s="25">
        <v>0.12662337662337661</v>
      </c>
      <c r="B220" s="25">
        <v>0.13311688311688311</v>
      </c>
      <c r="C220" s="25">
        <v>0.72077922077922074</v>
      </c>
      <c r="D220" s="26">
        <v>377</v>
      </c>
      <c r="E220" s="26">
        <v>31</v>
      </c>
      <c r="F220" s="26">
        <v>42</v>
      </c>
      <c r="G220" s="26">
        <v>0</v>
      </c>
      <c r="H220" s="26">
        <v>450</v>
      </c>
      <c r="I220" s="27">
        <v>0.83777777777777773</v>
      </c>
      <c r="J220" s="27">
        <v>6.8888888888888888E-2</v>
      </c>
      <c r="K220" s="27">
        <v>9.3333333333333338E-2</v>
      </c>
      <c r="L220" s="27">
        <v>0</v>
      </c>
      <c r="M220" s="28">
        <v>67.86666666666666</v>
      </c>
    </row>
    <row r="221" spans="1:13" x14ac:dyDescent="0.25">
      <c r="A221" s="25">
        <v>0.16492146596858639</v>
      </c>
      <c r="B221" s="25">
        <v>0.17277486910994763</v>
      </c>
      <c r="C221" s="25">
        <v>0.65445026178010468</v>
      </c>
      <c r="D221" s="26">
        <v>403</v>
      </c>
      <c r="E221" s="26">
        <v>10</v>
      </c>
      <c r="F221" s="26">
        <v>34</v>
      </c>
      <c r="G221" s="26">
        <v>3</v>
      </c>
      <c r="H221" s="26">
        <v>450</v>
      </c>
      <c r="I221" s="27">
        <v>0.89555555555555555</v>
      </c>
      <c r="J221" s="27">
        <v>2.2222222222222223E-2</v>
      </c>
      <c r="K221" s="27">
        <v>7.5555555555555556E-2</v>
      </c>
      <c r="L221" s="27">
        <v>6.6666666666666671E-3</v>
      </c>
      <c r="M221" s="28">
        <v>58.797777777777775</v>
      </c>
    </row>
    <row r="222" spans="1:13" x14ac:dyDescent="0.25">
      <c r="A222" s="25">
        <v>0.16750000000000001</v>
      </c>
      <c r="B222" s="25">
        <v>0.24</v>
      </c>
      <c r="C222" s="25">
        <v>0.5675</v>
      </c>
      <c r="D222" s="26">
        <v>465</v>
      </c>
      <c r="E222" s="26">
        <v>9</v>
      </c>
      <c r="F222" s="26">
        <v>35</v>
      </c>
      <c r="G222" s="26">
        <v>3</v>
      </c>
      <c r="H222" s="26">
        <v>512</v>
      </c>
      <c r="I222" s="27">
        <v>0.908203125</v>
      </c>
      <c r="J222" s="27">
        <v>1.7578125E-2</v>
      </c>
      <c r="K222" s="27">
        <v>6.8359375E-2</v>
      </c>
      <c r="L222" s="27">
        <v>5.859375E-3</v>
      </c>
      <c r="M222" s="28">
        <v>45.193359375</v>
      </c>
    </row>
    <row r="223" spans="1:13" x14ac:dyDescent="0.25">
      <c r="A223" s="25">
        <v>0.1867007672634271</v>
      </c>
      <c r="B223" s="25">
        <v>0.23529411764705882</v>
      </c>
      <c r="C223" s="25">
        <v>0.57544757033248084</v>
      </c>
      <c r="D223" s="26">
        <v>469</v>
      </c>
      <c r="E223" s="26">
        <v>4</v>
      </c>
      <c r="F223" s="26">
        <v>38</v>
      </c>
      <c r="G223" s="26">
        <v>2</v>
      </c>
      <c r="H223" s="26">
        <v>513</v>
      </c>
      <c r="I223" s="27">
        <v>0.91423001949317739</v>
      </c>
      <c r="J223" s="27">
        <v>7.7972709551656916E-3</v>
      </c>
      <c r="K223" s="27">
        <v>7.407407407407407E-2</v>
      </c>
      <c r="L223" s="27">
        <v>3.8986354775828458E-3</v>
      </c>
      <c r="M223" s="28">
        <v>33.787524366471736</v>
      </c>
    </row>
    <row r="224" spans="1:13" x14ac:dyDescent="0.25">
      <c r="A224" s="25">
        <v>0.16190476190476191</v>
      </c>
      <c r="B224" s="25">
        <v>0.25714285714285712</v>
      </c>
      <c r="C224" s="25">
        <v>0.580952380952381</v>
      </c>
      <c r="D224" s="26">
        <v>477</v>
      </c>
      <c r="E224" s="26">
        <v>2</v>
      </c>
      <c r="F224" s="26">
        <v>34</v>
      </c>
      <c r="G224" s="26">
        <v>0</v>
      </c>
      <c r="H224" s="26">
        <v>513</v>
      </c>
      <c r="I224" s="27">
        <v>0.92982456140350878</v>
      </c>
      <c r="J224" s="27">
        <v>3.8986354775828458E-3</v>
      </c>
      <c r="K224" s="27">
        <v>6.6276803118908378E-2</v>
      </c>
      <c r="L224" s="27">
        <v>0</v>
      </c>
      <c r="M224" s="28">
        <v>23.799220272904485</v>
      </c>
    </row>
    <row r="225" spans="1:13" x14ac:dyDescent="0.25">
      <c r="A225" s="25">
        <v>0.13994169096209913</v>
      </c>
      <c r="B225" s="25">
        <v>0.1282798833819242</v>
      </c>
      <c r="C225" s="25">
        <v>0.69970845481049559</v>
      </c>
      <c r="D225" s="26">
        <v>448</v>
      </c>
      <c r="E225" s="26">
        <v>0</v>
      </c>
      <c r="F225" s="26">
        <v>2</v>
      </c>
      <c r="G225" s="26">
        <v>0</v>
      </c>
      <c r="H225" s="26">
        <v>450</v>
      </c>
      <c r="I225" s="27">
        <v>0.99555555555555553</v>
      </c>
      <c r="J225" s="27">
        <v>0</v>
      </c>
      <c r="K225" s="27">
        <v>4.4444444444444444E-3</v>
      </c>
      <c r="L225" s="27">
        <v>0</v>
      </c>
      <c r="M225" s="28">
        <v>65.204444444444448</v>
      </c>
    </row>
    <row r="226" spans="1:13" x14ac:dyDescent="0.25">
      <c r="A226" s="25">
        <v>0.17105263157894737</v>
      </c>
      <c r="B226" s="25">
        <v>0.24210526315789474</v>
      </c>
      <c r="C226" s="25">
        <v>0.57105263157894737</v>
      </c>
      <c r="D226" s="26">
        <v>458</v>
      </c>
      <c r="E226" s="26">
        <v>0</v>
      </c>
      <c r="F226" s="26">
        <v>0</v>
      </c>
      <c r="G226" s="26">
        <v>2</v>
      </c>
      <c r="H226" s="26">
        <v>460</v>
      </c>
      <c r="I226" s="27">
        <v>0.9956521739130435</v>
      </c>
      <c r="J226" s="27">
        <v>0</v>
      </c>
      <c r="K226" s="27">
        <v>0</v>
      </c>
      <c r="L226" s="27">
        <v>4.3478260869565218E-3</v>
      </c>
      <c r="M226" s="28">
        <v>44.834782608695654</v>
      </c>
    </row>
    <row r="227" spans="1:13" x14ac:dyDescent="0.25">
      <c r="A227" s="25">
        <v>0.13513513513513514</v>
      </c>
      <c r="B227" s="25">
        <v>0.3</v>
      </c>
      <c r="C227" s="25">
        <v>0.56216216216216219</v>
      </c>
      <c r="D227" s="26">
        <v>460</v>
      </c>
      <c r="E227" s="26">
        <v>0</v>
      </c>
      <c r="F227" s="26">
        <v>0</v>
      </c>
      <c r="G227" s="26">
        <v>0</v>
      </c>
      <c r="H227" s="26">
        <v>460</v>
      </c>
      <c r="I227" s="27">
        <v>1</v>
      </c>
      <c r="J227" s="27">
        <v>0</v>
      </c>
      <c r="K227" s="27">
        <v>0</v>
      </c>
      <c r="L227" s="27">
        <v>0</v>
      </c>
      <c r="M227" s="28">
        <v>27.52391304347826</v>
      </c>
    </row>
    <row r="228" spans="1:13" x14ac:dyDescent="0.25">
      <c r="A228" s="25">
        <v>0.15659955257270694</v>
      </c>
      <c r="B228" s="25">
        <v>0.21029082774049218</v>
      </c>
      <c r="C228" s="25">
        <v>0.6174496644295302</v>
      </c>
      <c r="D228" s="26">
        <v>558</v>
      </c>
      <c r="E228" s="26">
        <v>5</v>
      </c>
      <c r="F228" s="26">
        <v>3</v>
      </c>
      <c r="G228" s="26">
        <v>0</v>
      </c>
      <c r="H228" s="26">
        <v>566</v>
      </c>
      <c r="I228" s="27">
        <v>0.98586572438162545</v>
      </c>
      <c r="J228" s="27">
        <v>8.8339222614840993E-3</v>
      </c>
      <c r="K228" s="27">
        <v>5.3003533568904597E-3</v>
      </c>
      <c r="L228" s="27">
        <v>0</v>
      </c>
      <c r="M228" s="28">
        <v>46.268551236749119</v>
      </c>
    </row>
    <row r="229" spans="1:13" x14ac:dyDescent="0.25">
      <c r="A229" s="25">
        <v>0.2857142857142857</v>
      </c>
      <c r="B229" s="25">
        <v>0.15126050420168066</v>
      </c>
      <c r="C229" s="25">
        <v>0.54621848739495793</v>
      </c>
      <c r="D229" s="26">
        <v>334</v>
      </c>
      <c r="E229" s="26">
        <v>79</v>
      </c>
      <c r="F229" s="26">
        <v>34</v>
      </c>
      <c r="G229" s="26">
        <v>3</v>
      </c>
      <c r="H229" s="26">
        <v>450</v>
      </c>
      <c r="I229" s="27">
        <v>0.74222222222222223</v>
      </c>
      <c r="J229" s="27">
        <v>0.17555555555555555</v>
      </c>
      <c r="K229" s="27">
        <v>7.5555555555555556E-2</v>
      </c>
      <c r="L229" s="27">
        <v>6.6666666666666671E-3</v>
      </c>
      <c r="M229" s="28">
        <v>61.764444444444443</v>
      </c>
    </row>
    <row r="230" spans="1:13" x14ac:dyDescent="0.25">
      <c r="A230" s="25">
        <v>0.25789473684210529</v>
      </c>
      <c r="B230" s="25">
        <v>0.27105263157894738</v>
      </c>
      <c r="C230" s="25">
        <v>0.46052631578947367</v>
      </c>
      <c r="D230" s="26">
        <v>436</v>
      </c>
      <c r="E230" s="26">
        <v>47</v>
      </c>
      <c r="F230" s="26">
        <v>12</v>
      </c>
      <c r="G230" s="26">
        <v>0</v>
      </c>
      <c r="H230" s="26">
        <v>495</v>
      </c>
      <c r="I230" s="27">
        <v>0.88080808080808082</v>
      </c>
      <c r="J230" s="27">
        <v>9.494949494949495E-2</v>
      </c>
      <c r="K230" s="27">
        <v>2.4242424242424242E-2</v>
      </c>
      <c r="L230" s="27">
        <v>0</v>
      </c>
      <c r="M230" s="28">
        <v>33.303030303030305</v>
      </c>
    </row>
    <row r="231" spans="1:13" x14ac:dyDescent="0.25">
      <c r="A231" s="25">
        <v>0.132013201320132</v>
      </c>
      <c r="B231" s="25">
        <v>0.15511551155115511</v>
      </c>
      <c r="C231" s="25">
        <v>0.69636963696369636</v>
      </c>
      <c r="D231" s="26">
        <v>368</v>
      </c>
      <c r="E231" s="26">
        <v>0</v>
      </c>
      <c r="F231" s="26">
        <v>1</v>
      </c>
      <c r="G231" s="26">
        <v>0</v>
      </c>
      <c r="H231" s="26">
        <v>369</v>
      </c>
      <c r="I231" s="27">
        <v>0.99728997289972898</v>
      </c>
      <c r="J231" s="27">
        <v>0</v>
      </c>
      <c r="K231" s="27">
        <v>2.7100271002710027E-3</v>
      </c>
      <c r="L231" s="27">
        <v>0</v>
      </c>
      <c r="M231" s="28">
        <v>63.146341463414636</v>
      </c>
    </row>
    <row r="232" spans="1:13" x14ac:dyDescent="0.25">
      <c r="A232" s="25">
        <v>0.12709030100334448</v>
      </c>
      <c r="B232" s="25">
        <v>0.21404682274247491</v>
      </c>
      <c r="C232" s="25">
        <v>0.65551839464882944</v>
      </c>
      <c r="D232" s="26">
        <v>368</v>
      </c>
      <c r="E232" s="26">
        <v>1</v>
      </c>
      <c r="F232" s="26">
        <v>0</v>
      </c>
      <c r="G232" s="26">
        <v>0</v>
      </c>
      <c r="H232" s="26">
        <v>369</v>
      </c>
      <c r="I232" s="27">
        <v>0.99728997289972898</v>
      </c>
      <c r="J232" s="27">
        <v>2.7100271002710027E-3</v>
      </c>
      <c r="K232" s="27">
        <v>0</v>
      </c>
      <c r="L232" s="27">
        <v>0</v>
      </c>
      <c r="M232" s="28">
        <v>32.571815718157183</v>
      </c>
    </row>
    <row r="233" spans="1:13" x14ac:dyDescent="0.25">
      <c r="A233" s="25">
        <v>0.15313653136531366</v>
      </c>
      <c r="B233" s="25">
        <v>0.25645756457564578</v>
      </c>
      <c r="C233" s="25">
        <v>0.57749077490774903</v>
      </c>
      <c r="D233" s="26">
        <v>667</v>
      </c>
      <c r="E233" s="26">
        <v>0</v>
      </c>
      <c r="F233" s="26">
        <v>1</v>
      </c>
      <c r="G233" s="26">
        <v>1</v>
      </c>
      <c r="H233" s="26">
        <v>669</v>
      </c>
      <c r="I233" s="27">
        <v>0.99701046337817634</v>
      </c>
      <c r="J233" s="27">
        <v>0</v>
      </c>
      <c r="K233" s="27">
        <v>1.4947683109118087E-3</v>
      </c>
      <c r="L233" s="27">
        <v>1.4947683109118087E-3</v>
      </c>
      <c r="M233" s="28">
        <v>46.699551569506724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A77C3-2399-493A-B090-6A6070E0FD9C}">
  <dimension ref="A1:AB250"/>
  <sheetViews>
    <sheetView tabSelected="1" workbookViewId="0">
      <pane xSplit="4" ySplit="1" topLeftCell="E228" activePane="bottomRight" state="frozen"/>
      <selection pane="topRight" activeCell="E1" sqref="E1"/>
      <selection pane="bottomLeft" activeCell="A2" sqref="A2"/>
      <selection pane="bottomRight" activeCell="E247" sqref="E247"/>
    </sheetView>
  </sheetViews>
  <sheetFormatPr defaultRowHeight="13.2" x14ac:dyDescent="0.25"/>
  <cols>
    <col min="1" max="1" width="8.44140625" bestFit="1" customWidth="1"/>
    <col min="2" max="2" width="34.44140625" bestFit="1" customWidth="1"/>
    <col min="3" max="3" width="65.44140625" bestFit="1" customWidth="1"/>
    <col min="4" max="4" width="6.5546875" bestFit="1" customWidth="1"/>
    <col min="5" max="5" width="24.44140625" bestFit="1" customWidth="1"/>
    <col min="6" max="8" width="6" bestFit="1" customWidth="1"/>
    <col min="9" max="9" width="4.77734375" bestFit="1" customWidth="1"/>
    <col min="10" max="10" width="9.21875" bestFit="1" customWidth="1"/>
    <col min="11" max="11" width="22" bestFit="1" customWidth="1"/>
    <col min="12" max="12" width="29.21875" bestFit="1" customWidth="1"/>
    <col min="13" max="13" width="10.44140625" bestFit="1" customWidth="1"/>
    <col min="14" max="14" width="19.109375" bestFit="1" customWidth="1"/>
    <col min="15" max="17" width="6" bestFit="1" customWidth="1"/>
    <col min="18" max="18" width="7" bestFit="1" customWidth="1"/>
    <col min="19" max="20" width="6" bestFit="1" customWidth="1"/>
    <col min="21" max="21" width="4" bestFit="1" customWidth="1"/>
    <col min="22" max="23" width="7" bestFit="1" customWidth="1"/>
    <col min="24" max="26" width="6" bestFit="1" customWidth="1"/>
    <col min="27" max="27" width="7.33203125" bestFit="1" customWidth="1"/>
  </cols>
  <sheetData>
    <row r="1" spans="1:28" x14ac:dyDescent="0.25">
      <c r="A1" s="24" t="s">
        <v>156</v>
      </c>
      <c r="B1" s="24" t="s">
        <v>173</v>
      </c>
      <c r="C1" s="24" t="s">
        <v>157</v>
      </c>
      <c r="D1" s="24" t="s">
        <v>174</v>
      </c>
      <c r="E1" s="24" t="s">
        <v>175</v>
      </c>
      <c r="F1" s="24" t="s">
        <v>151</v>
      </c>
      <c r="G1" s="24" t="s">
        <v>152</v>
      </c>
      <c r="H1" s="24" t="s">
        <v>153</v>
      </c>
      <c r="I1" s="24" t="s">
        <v>154</v>
      </c>
      <c r="J1" s="24" t="s">
        <v>155</v>
      </c>
      <c r="K1" s="24" t="s">
        <v>159</v>
      </c>
      <c r="L1" s="24" t="s">
        <v>158</v>
      </c>
      <c r="M1" s="24" t="s">
        <v>285</v>
      </c>
      <c r="N1" s="24" t="s">
        <v>176</v>
      </c>
      <c r="O1" s="24" t="s">
        <v>286</v>
      </c>
      <c r="P1" s="24" t="s">
        <v>287</v>
      </c>
      <c r="Q1" s="24" t="s">
        <v>288</v>
      </c>
      <c r="R1" s="26" t="s">
        <v>408</v>
      </c>
      <c r="S1" s="26" t="s">
        <v>409</v>
      </c>
      <c r="T1" s="26" t="s">
        <v>410</v>
      </c>
      <c r="U1" s="26" t="s">
        <v>411</v>
      </c>
      <c r="V1" s="26" t="s">
        <v>412</v>
      </c>
      <c r="W1" s="26" t="s">
        <v>413</v>
      </c>
      <c r="X1" s="26" t="s">
        <v>414</v>
      </c>
      <c r="Y1" s="26" t="s">
        <v>415</v>
      </c>
      <c r="Z1" s="26" t="s">
        <v>416</v>
      </c>
      <c r="AA1" s="26" t="s">
        <v>417</v>
      </c>
      <c r="AB1" s="25" t="s">
        <v>425</v>
      </c>
    </row>
    <row r="2" spans="1:28" s="40" customFormat="1" x14ac:dyDescent="0.25">
      <c r="A2" s="35">
        <v>1</v>
      </c>
      <c r="B2" s="35" t="s">
        <v>160</v>
      </c>
      <c r="C2" s="35"/>
      <c r="D2" s="35"/>
      <c r="E2" s="35">
        <v>2858</v>
      </c>
      <c r="F2" s="35">
        <v>471</v>
      </c>
      <c r="G2" s="35">
        <v>1538</v>
      </c>
      <c r="H2" s="35">
        <v>431</v>
      </c>
      <c r="I2" s="35">
        <v>8</v>
      </c>
      <c r="J2" s="35">
        <v>5</v>
      </c>
      <c r="K2" s="35">
        <v>2453</v>
      </c>
      <c r="L2" s="35">
        <v>86</v>
      </c>
      <c r="M2" s="35">
        <f>L2+K2</f>
        <v>2539</v>
      </c>
      <c r="N2" s="35">
        <v>319</v>
      </c>
      <c r="O2" s="36">
        <f>H2/M2</f>
        <v>0.16975187081528162</v>
      </c>
      <c r="P2" s="36">
        <f>F2/M2</f>
        <v>0.18550610476565577</v>
      </c>
      <c r="Q2" s="36">
        <f>G2/M2</f>
        <v>0.60575029539188652</v>
      </c>
      <c r="R2" s="37">
        <v>29</v>
      </c>
      <c r="S2" s="37">
        <v>1</v>
      </c>
      <c r="T2" s="37">
        <v>0</v>
      </c>
      <c r="U2" s="37">
        <v>0</v>
      </c>
      <c r="V2" s="37">
        <v>30</v>
      </c>
      <c r="W2" s="38">
        <v>0.96666666666666667</v>
      </c>
      <c r="X2" s="38">
        <v>3.3333333333333333E-2</v>
      </c>
      <c r="Y2" s="38">
        <v>0</v>
      </c>
      <c r="Z2" s="38">
        <v>0</v>
      </c>
      <c r="AA2" s="39">
        <v>39.595238095238088</v>
      </c>
      <c r="AB2" s="36">
        <f>M2/V2</f>
        <v>84.63333333333334</v>
      </c>
    </row>
    <row r="3" spans="1:28" s="40" customFormat="1" x14ac:dyDescent="0.25">
      <c r="A3" s="35">
        <v>2</v>
      </c>
      <c r="B3" s="35" t="s">
        <v>161</v>
      </c>
      <c r="C3" s="35" t="s">
        <v>162</v>
      </c>
      <c r="D3" s="35">
        <v>1</v>
      </c>
      <c r="E3" s="35">
        <v>292</v>
      </c>
      <c r="F3" s="35">
        <v>82</v>
      </c>
      <c r="G3" s="35">
        <v>206</v>
      </c>
      <c r="H3" s="35">
        <v>4</v>
      </c>
      <c r="I3" s="35">
        <v>0</v>
      </c>
      <c r="J3" s="35">
        <v>0</v>
      </c>
      <c r="K3" s="35">
        <v>292</v>
      </c>
      <c r="L3" s="35">
        <v>0</v>
      </c>
      <c r="M3" s="35">
        <f t="shared" ref="M3:M66" si="0">L3+K3</f>
        <v>292</v>
      </c>
      <c r="N3" s="35">
        <v>0</v>
      </c>
      <c r="O3" s="36">
        <f t="shared" ref="O3:O66" si="1">H3/M3</f>
        <v>1.3698630136986301E-2</v>
      </c>
      <c r="P3" s="36">
        <f t="shared" ref="P3:P66" si="2">F3/M3</f>
        <v>0.28082191780821919</v>
      </c>
      <c r="Q3" s="36">
        <f t="shared" ref="Q3:Q66" si="3">G3/M3</f>
        <v>0.70547945205479456</v>
      </c>
      <c r="R3" s="37">
        <v>367</v>
      </c>
      <c r="S3" s="37">
        <v>0</v>
      </c>
      <c r="T3" s="37">
        <v>0</v>
      </c>
      <c r="U3" s="37">
        <v>1</v>
      </c>
      <c r="V3" s="37">
        <v>368</v>
      </c>
      <c r="W3" s="38">
        <v>0.99728260869565222</v>
      </c>
      <c r="X3" s="38">
        <v>0</v>
      </c>
      <c r="Y3" s="38">
        <v>0</v>
      </c>
      <c r="Z3" s="38">
        <v>2.717391304347826E-3</v>
      </c>
      <c r="AA3" s="39">
        <v>29.682065217391305</v>
      </c>
      <c r="AB3" s="36">
        <f t="shared" ref="AB3:AB66" si="4">M3/V3</f>
        <v>0.79347826086956519</v>
      </c>
    </row>
    <row r="4" spans="1:28" s="40" customFormat="1" x14ac:dyDescent="0.25">
      <c r="A4" s="35"/>
      <c r="B4" s="35"/>
      <c r="C4" s="35"/>
      <c r="D4" s="35">
        <v>2</v>
      </c>
      <c r="E4" s="35">
        <v>320</v>
      </c>
      <c r="F4" s="35">
        <v>105</v>
      </c>
      <c r="G4" s="35">
        <v>202</v>
      </c>
      <c r="H4" s="35">
        <v>8</v>
      </c>
      <c r="I4" s="35">
        <v>1</v>
      </c>
      <c r="J4" s="35">
        <v>2</v>
      </c>
      <c r="K4" s="35">
        <v>318</v>
      </c>
      <c r="L4" s="35">
        <v>2</v>
      </c>
      <c r="M4" s="35">
        <f t="shared" si="0"/>
        <v>320</v>
      </c>
      <c r="N4" s="35">
        <v>0</v>
      </c>
      <c r="O4" s="36">
        <f t="shared" si="1"/>
        <v>2.5000000000000001E-2</v>
      </c>
      <c r="P4" s="36">
        <f t="shared" si="2"/>
        <v>0.328125</v>
      </c>
      <c r="Q4" s="36">
        <f t="shared" si="3"/>
        <v>0.63124999999999998</v>
      </c>
      <c r="R4" s="37">
        <v>367</v>
      </c>
      <c r="S4" s="37">
        <v>0</v>
      </c>
      <c r="T4" s="37">
        <v>0</v>
      </c>
      <c r="U4" s="37">
        <v>1</v>
      </c>
      <c r="V4" s="37">
        <v>368</v>
      </c>
      <c r="W4" s="38">
        <v>0.99728260869565222</v>
      </c>
      <c r="X4" s="38">
        <v>0</v>
      </c>
      <c r="Y4" s="38">
        <v>0</v>
      </c>
      <c r="Z4" s="38">
        <v>2.717391304347826E-3</v>
      </c>
      <c r="AA4" s="39">
        <v>31.347826086956523</v>
      </c>
      <c r="AB4" s="36">
        <f t="shared" si="4"/>
        <v>0.86956521739130432</v>
      </c>
    </row>
    <row r="5" spans="1:28" s="40" customFormat="1" x14ac:dyDescent="0.25">
      <c r="A5" s="35"/>
      <c r="B5" s="35"/>
      <c r="C5" s="35" t="s">
        <v>163</v>
      </c>
      <c r="D5" s="35">
        <v>1</v>
      </c>
      <c r="E5" s="35">
        <v>129</v>
      </c>
      <c r="F5" s="35">
        <v>40</v>
      </c>
      <c r="G5" s="35">
        <v>81</v>
      </c>
      <c r="H5" s="35">
        <v>7</v>
      </c>
      <c r="I5" s="35">
        <v>0</v>
      </c>
      <c r="J5" s="35">
        <v>0</v>
      </c>
      <c r="K5" s="35">
        <v>128</v>
      </c>
      <c r="L5" s="35">
        <v>1</v>
      </c>
      <c r="M5" s="35">
        <f t="shared" si="0"/>
        <v>129</v>
      </c>
      <c r="N5" s="35">
        <v>0</v>
      </c>
      <c r="O5" s="36">
        <f t="shared" si="1"/>
        <v>5.4263565891472867E-2</v>
      </c>
      <c r="P5" s="36">
        <f t="shared" si="2"/>
        <v>0.31007751937984496</v>
      </c>
      <c r="Q5" s="36">
        <f t="shared" si="3"/>
        <v>0.62790697674418605</v>
      </c>
      <c r="R5" s="37">
        <v>133</v>
      </c>
      <c r="S5" s="37">
        <v>0</v>
      </c>
      <c r="T5" s="37">
        <v>5</v>
      </c>
      <c r="U5" s="37">
        <v>6</v>
      </c>
      <c r="V5" s="37">
        <v>144</v>
      </c>
      <c r="W5" s="38">
        <v>0.92361111111111116</v>
      </c>
      <c r="X5" s="38">
        <v>0</v>
      </c>
      <c r="Y5" s="38">
        <v>3.4722222222222224E-2</v>
      </c>
      <c r="Z5" s="38">
        <v>4.1666666666666664E-2</v>
      </c>
      <c r="AA5" s="39">
        <v>34.340277777777779</v>
      </c>
      <c r="AB5" s="36">
        <f t="shared" si="4"/>
        <v>0.89583333333333337</v>
      </c>
    </row>
    <row r="6" spans="1:28" s="40" customFormat="1" x14ac:dyDescent="0.25">
      <c r="A6" s="35">
        <v>3</v>
      </c>
      <c r="B6" s="35" t="s">
        <v>164</v>
      </c>
      <c r="C6" s="35" t="s">
        <v>165</v>
      </c>
      <c r="D6" s="35">
        <v>1</v>
      </c>
      <c r="E6" s="35">
        <v>300</v>
      </c>
      <c r="F6" s="35">
        <v>52</v>
      </c>
      <c r="G6" s="35">
        <v>242</v>
      </c>
      <c r="H6" s="35">
        <v>6</v>
      </c>
      <c r="I6" s="35">
        <v>0</v>
      </c>
      <c r="J6" s="35">
        <v>0</v>
      </c>
      <c r="K6" s="35">
        <v>300</v>
      </c>
      <c r="L6" s="35">
        <v>0</v>
      </c>
      <c r="M6" s="35">
        <f t="shared" si="0"/>
        <v>300</v>
      </c>
      <c r="N6" s="35">
        <v>0</v>
      </c>
      <c r="O6" s="36">
        <f t="shared" si="1"/>
        <v>0.02</v>
      </c>
      <c r="P6" s="36">
        <f t="shared" si="2"/>
        <v>0.17333333333333334</v>
      </c>
      <c r="Q6" s="36">
        <f t="shared" si="3"/>
        <v>0.80666666666666664</v>
      </c>
      <c r="R6" s="37">
        <v>305</v>
      </c>
      <c r="S6" s="37">
        <v>1</v>
      </c>
      <c r="T6" s="37">
        <v>13</v>
      </c>
      <c r="U6" s="37">
        <v>8</v>
      </c>
      <c r="V6" s="37">
        <v>327</v>
      </c>
      <c r="W6" s="38">
        <v>0.93272171253822633</v>
      </c>
      <c r="X6" s="38">
        <v>3.0581039755351682E-3</v>
      </c>
      <c r="Y6" s="38">
        <v>3.9755351681957186E-2</v>
      </c>
      <c r="Z6" s="38">
        <v>2.4464831804281346E-2</v>
      </c>
      <c r="AA6" s="39">
        <v>38.19198028673835</v>
      </c>
      <c r="AB6" s="36">
        <f t="shared" si="4"/>
        <v>0.91743119266055051</v>
      </c>
    </row>
    <row r="7" spans="1:28" s="40" customFormat="1" x14ac:dyDescent="0.25">
      <c r="A7" s="35">
        <v>4</v>
      </c>
      <c r="B7" s="35" t="s">
        <v>166</v>
      </c>
      <c r="C7" s="35" t="s">
        <v>167</v>
      </c>
      <c r="D7" s="35">
        <v>1</v>
      </c>
      <c r="E7" s="35">
        <v>416</v>
      </c>
      <c r="F7" s="35">
        <v>201</v>
      </c>
      <c r="G7" s="35">
        <v>185</v>
      </c>
      <c r="H7" s="35">
        <v>26</v>
      </c>
      <c r="I7" s="35">
        <v>0</v>
      </c>
      <c r="J7" s="35">
        <v>3</v>
      </c>
      <c r="K7" s="35">
        <v>415</v>
      </c>
      <c r="L7" s="35">
        <v>1</v>
      </c>
      <c r="M7" s="35">
        <f t="shared" si="0"/>
        <v>416</v>
      </c>
      <c r="N7" s="35">
        <v>0</v>
      </c>
      <c r="O7" s="36">
        <f t="shared" si="1"/>
        <v>6.25E-2</v>
      </c>
      <c r="P7" s="36">
        <f t="shared" si="2"/>
        <v>0.48317307692307693</v>
      </c>
      <c r="Q7" s="36">
        <f t="shared" si="3"/>
        <v>0.44471153846153844</v>
      </c>
      <c r="R7" s="37">
        <v>453</v>
      </c>
      <c r="S7" s="37">
        <v>4</v>
      </c>
      <c r="T7" s="37">
        <v>9</v>
      </c>
      <c r="U7" s="37">
        <v>19</v>
      </c>
      <c r="V7" s="37">
        <v>485</v>
      </c>
      <c r="W7" s="38">
        <v>0.93402061855670104</v>
      </c>
      <c r="X7" s="38">
        <v>8.2474226804123713E-3</v>
      </c>
      <c r="Y7" s="38">
        <v>1.8556701030927835E-2</v>
      </c>
      <c r="Z7" s="38">
        <v>3.9175257731958762E-2</v>
      </c>
      <c r="AA7" s="39">
        <v>33.643298969072163</v>
      </c>
      <c r="AB7" s="36">
        <f t="shared" si="4"/>
        <v>0.85773195876288655</v>
      </c>
    </row>
    <row r="8" spans="1:28" s="40" customFormat="1" x14ac:dyDescent="0.25">
      <c r="A8" s="35"/>
      <c r="B8" s="35"/>
      <c r="C8" s="35"/>
      <c r="D8" s="35">
        <v>2</v>
      </c>
      <c r="E8" s="35">
        <v>432</v>
      </c>
      <c r="F8" s="35">
        <v>197</v>
      </c>
      <c r="G8" s="35">
        <v>194</v>
      </c>
      <c r="H8" s="35">
        <v>35</v>
      </c>
      <c r="I8" s="35">
        <v>0</v>
      </c>
      <c r="J8" s="35">
        <v>6</v>
      </c>
      <c r="K8" s="35">
        <v>432</v>
      </c>
      <c r="L8" s="35">
        <v>0</v>
      </c>
      <c r="M8" s="35">
        <f t="shared" si="0"/>
        <v>432</v>
      </c>
      <c r="N8" s="35">
        <v>0</v>
      </c>
      <c r="O8" s="36">
        <f t="shared" si="1"/>
        <v>8.1018518518518517E-2</v>
      </c>
      <c r="P8" s="36">
        <f t="shared" si="2"/>
        <v>0.45601851851851855</v>
      </c>
      <c r="Q8" s="36">
        <f t="shared" si="3"/>
        <v>0.44907407407407407</v>
      </c>
      <c r="R8" s="37">
        <v>455</v>
      </c>
      <c r="S8" s="37">
        <v>3</v>
      </c>
      <c r="T8" s="37">
        <v>18</v>
      </c>
      <c r="U8" s="37">
        <v>9</v>
      </c>
      <c r="V8" s="37">
        <v>485</v>
      </c>
      <c r="W8" s="38">
        <v>0.93814432989690721</v>
      </c>
      <c r="X8" s="38">
        <v>6.1855670103092781E-3</v>
      </c>
      <c r="Y8" s="38">
        <v>3.711340206185567E-2</v>
      </c>
      <c r="Z8" s="38">
        <v>1.8556701030927835E-2</v>
      </c>
      <c r="AA8" s="39">
        <v>33.55876288659794</v>
      </c>
      <c r="AB8" s="36">
        <f t="shared" si="4"/>
        <v>0.89072164948453614</v>
      </c>
    </row>
    <row r="9" spans="1:28" s="40" customFormat="1" x14ac:dyDescent="0.25">
      <c r="A9" s="35"/>
      <c r="B9" s="35"/>
      <c r="C9" s="35" t="s">
        <v>168</v>
      </c>
      <c r="D9" s="35">
        <v>1</v>
      </c>
      <c r="E9" s="35">
        <v>24</v>
      </c>
      <c r="F9" s="35">
        <v>1</v>
      </c>
      <c r="G9" s="35">
        <v>23</v>
      </c>
      <c r="H9" s="35">
        <v>0</v>
      </c>
      <c r="I9" s="35">
        <v>0</v>
      </c>
      <c r="J9" s="35">
        <v>0</v>
      </c>
      <c r="K9" s="35">
        <v>24</v>
      </c>
      <c r="L9" s="35">
        <v>0</v>
      </c>
      <c r="M9" s="35">
        <f t="shared" si="0"/>
        <v>24</v>
      </c>
      <c r="N9" s="35">
        <v>0</v>
      </c>
      <c r="O9" s="36">
        <f t="shared" si="1"/>
        <v>0</v>
      </c>
      <c r="P9" s="36">
        <f t="shared" si="2"/>
        <v>4.1666666666666664E-2</v>
      </c>
      <c r="Q9" s="36">
        <f t="shared" si="3"/>
        <v>0.95833333333333337</v>
      </c>
      <c r="R9" s="37">
        <v>26</v>
      </c>
      <c r="S9" s="37">
        <v>0</v>
      </c>
      <c r="T9" s="37">
        <v>0</v>
      </c>
      <c r="U9" s="37">
        <v>1</v>
      </c>
      <c r="V9" s="37">
        <v>27</v>
      </c>
      <c r="W9" s="38">
        <v>0.96296296296296291</v>
      </c>
      <c r="X9" s="38">
        <v>0</v>
      </c>
      <c r="Y9" s="38">
        <v>0</v>
      </c>
      <c r="Z9" s="38">
        <v>3.7037037037037035E-2</v>
      </c>
      <c r="AA9" s="39">
        <v>38.478021978021978</v>
      </c>
      <c r="AB9" s="36">
        <f t="shared" si="4"/>
        <v>0.88888888888888884</v>
      </c>
    </row>
    <row r="10" spans="1:28" s="40" customFormat="1" x14ac:dyDescent="0.25">
      <c r="A10" s="35">
        <v>5</v>
      </c>
      <c r="B10" s="35" t="s">
        <v>169</v>
      </c>
      <c r="C10" s="35" t="s">
        <v>170</v>
      </c>
      <c r="D10" s="35">
        <v>1</v>
      </c>
      <c r="E10" s="35">
        <v>12</v>
      </c>
      <c r="F10" s="35">
        <v>2</v>
      </c>
      <c r="G10" s="35">
        <v>10</v>
      </c>
      <c r="H10" s="35">
        <v>0</v>
      </c>
      <c r="I10" s="35">
        <v>0</v>
      </c>
      <c r="J10" s="35">
        <v>0</v>
      </c>
      <c r="K10" s="35">
        <v>12</v>
      </c>
      <c r="L10" s="35">
        <v>0</v>
      </c>
      <c r="M10" s="35">
        <f t="shared" si="0"/>
        <v>12</v>
      </c>
      <c r="N10" s="35">
        <v>0</v>
      </c>
      <c r="O10" s="36">
        <f t="shared" si="1"/>
        <v>0</v>
      </c>
      <c r="P10" s="36">
        <f t="shared" si="2"/>
        <v>0.16666666666666666</v>
      </c>
      <c r="Q10" s="36">
        <f t="shared" si="3"/>
        <v>0.83333333333333337</v>
      </c>
      <c r="R10" s="37">
        <v>13</v>
      </c>
      <c r="S10" s="37">
        <v>0</v>
      </c>
      <c r="T10" s="37">
        <v>0</v>
      </c>
      <c r="U10" s="37">
        <v>0</v>
      </c>
      <c r="V10" s="37">
        <v>13</v>
      </c>
      <c r="W10" s="38">
        <v>1</v>
      </c>
      <c r="X10" s="38">
        <v>0</v>
      </c>
      <c r="Y10" s="38">
        <v>0</v>
      </c>
      <c r="Z10" s="38">
        <v>0</v>
      </c>
      <c r="AA10" s="39">
        <v>36.384615384615387</v>
      </c>
      <c r="AB10" s="36">
        <f t="shared" si="4"/>
        <v>0.92307692307692313</v>
      </c>
    </row>
    <row r="11" spans="1:28" x14ac:dyDescent="0.25">
      <c r="A11" s="24">
        <v>6</v>
      </c>
      <c r="B11" s="24" t="s">
        <v>171</v>
      </c>
      <c r="C11" s="24" t="s">
        <v>172</v>
      </c>
      <c r="D11" s="24">
        <v>1</v>
      </c>
      <c r="E11" s="24">
        <v>364</v>
      </c>
      <c r="F11" s="24">
        <v>73</v>
      </c>
      <c r="G11" s="24">
        <v>176</v>
      </c>
      <c r="H11" s="24">
        <v>110</v>
      </c>
      <c r="I11" s="24">
        <v>1</v>
      </c>
      <c r="J11" s="24">
        <v>3</v>
      </c>
      <c r="K11" s="24">
        <v>363</v>
      </c>
      <c r="L11" s="24">
        <v>1</v>
      </c>
      <c r="M11" s="24">
        <f t="shared" si="0"/>
        <v>364</v>
      </c>
      <c r="N11" s="24">
        <v>0</v>
      </c>
      <c r="O11" s="25">
        <f t="shared" si="1"/>
        <v>0.30219780219780218</v>
      </c>
      <c r="P11" s="25">
        <f t="shared" si="2"/>
        <v>0.20054945054945056</v>
      </c>
      <c r="Q11" s="25">
        <f t="shared" si="3"/>
        <v>0.48351648351648352</v>
      </c>
      <c r="R11" s="26">
        <v>382</v>
      </c>
      <c r="S11" s="26">
        <v>28</v>
      </c>
      <c r="T11" s="26">
        <v>38</v>
      </c>
      <c r="U11" s="26">
        <v>2</v>
      </c>
      <c r="V11" s="26">
        <v>450</v>
      </c>
      <c r="W11" s="27">
        <v>0.84888888888888892</v>
      </c>
      <c r="X11" s="27">
        <v>6.222222222222222E-2</v>
      </c>
      <c r="Y11" s="27">
        <v>8.4444444444444447E-2</v>
      </c>
      <c r="Z11" s="27">
        <v>4.4444444444444444E-3</v>
      </c>
      <c r="AA11" s="28">
        <v>64.302222222222227</v>
      </c>
      <c r="AB11" s="25">
        <f t="shared" si="4"/>
        <v>0.80888888888888888</v>
      </c>
    </row>
    <row r="12" spans="1:28" x14ac:dyDescent="0.25">
      <c r="A12" s="24"/>
      <c r="B12" s="24"/>
      <c r="C12" s="24"/>
      <c r="D12" s="24">
        <v>2</v>
      </c>
      <c r="E12" s="24">
        <v>388</v>
      </c>
      <c r="F12" s="24">
        <v>90</v>
      </c>
      <c r="G12" s="24">
        <v>174</v>
      </c>
      <c r="H12" s="24">
        <v>118</v>
      </c>
      <c r="I12" s="24">
        <v>0</v>
      </c>
      <c r="J12" s="24">
        <v>4</v>
      </c>
      <c r="K12" s="24">
        <v>386</v>
      </c>
      <c r="L12" s="24">
        <v>2</v>
      </c>
      <c r="M12" s="24">
        <f t="shared" si="0"/>
        <v>388</v>
      </c>
      <c r="N12" s="24">
        <v>0</v>
      </c>
      <c r="O12" s="25">
        <f t="shared" si="1"/>
        <v>0.30412371134020616</v>
      </c>
      <c r="P12" s="25">
        <f t="shared" si="2"/>
        <v>0.23195876288659795</v>
      </c>
      <c r="Q12" s="25">
        <f t="shared" si="3"/>
        <v>0.4484536082474227</v>
      </c>
      <c r="R12" s="26">
        <v>376</v>
      </c>
      <c r="S12" s="26">
        <v>26</v>
      </c>
      <c r="T12" s="26">
        <v>45</v>
      </c>
      <c r="U12" s="26">
        <v>3</v>
      </c>
      <c r="V12" s="26">
        <v>450</v>
      </c>
      <c r="W12" s="27">
        <v>0.83555555555555561</v>
      </c>
      <c r="X12" s="27">
        <v>5.7777777777777775E-2</v>
      </c>
      <c r="Y12" s="27">
        <v>0.1</v>
      </c>
      <c r="Z12" s="27">
        <v>6.6666666666666671E-3</v>
      </c>
      <c r="AA12" s="28">
        <v>54.42</v>
      </c>
      <c r="AB12" s="25">
        <f t="shared" si="4"/>
        <v>0.86222222222222222</v>
      </c>
    </row>
    <row r="13" spans="1:28" x14ac:dyDescent="0.25">
      <c r="A13" s="24"/>
      <c r="B13" s="24"/>
      <c r="C13" s="24"/>
      <c r="D13" s="24">
        <v>3</v>
      </c>
      <c r="E13" s="24">
        <v>488</v>
      </c>
      <c r="F13" s="24">
        <v>128</v>
      </c>
      <c r="G13" s="24">
        <v>219</v>
      </c>
      <c r="H13" s="24">
        <v>134</v>
      </c>
      <c r="I13" s="24">
        <v>3</v>
      </c>
      <c r="J13" s="24">
        <v>4</v>
      </c>
      <c r="K13" s="24">
        <v>488</v>
      </c>
      <c r="L13" s="24">
        <v>0</v>
      </c>
      <c r="M13" s="24">
        <f t="shared" si="0"/>
        <v>488</v>
      </c>
      <c r="N13" s="24">
        <v>0</v>
      </c>
      <c r="O13" s="25">
        <f t="shared" si="1"/>
        <v>0.27459016393442626</v>
      </c>
      <c r="P13" s="25">
        <f t="shared" si="2"/>
        <v>0.26229508196721313</v>
      </c>
      <c r="Q13" s="25">
        <f t="shared" si="3"/>
        <v>0.44877049180327871</v>
      </c>
      <c r="R13" s="26">
        <v>524</v>
      </c>
      <c r="S13" s="26">
        <v>32</v>
      </c>
      <c r="T13" s="26">
        <v>58</v>
      </c>
      <c r="U13" s="26">
        <v>4</v>
      </c>
      <c r="V13" s="26">
        <v>618</v>
      </c>
      <c r="W13" s="27">
        <v>0.84789644012944987</v>
      </c>
      <c r="X13" s="27">
        <v>5.1779935275080909E-2</v>
      </c>
      <c r="Y13" s="27">
        <v>9.3851132686084138E-2</v>
      </c>
      <c r="Z13" s="27">
        <v>6.4724919093851136E-3</v>
      </c>
      <c r="AA13" s="28">
        <v>41.58414239482201</v>
      </c>
      <c r="AB13" s="25">
        <f t="shared" si="4"/>
        <v>0.78964401294498376</v>
      </c>
    </row>
    <row r="14" spans="1:28" x14ac:dyDescent="0.25">
      <c r="A14" s="24"/>
      <c r="B14" s="24"/>
      <c r="C14" s="24"/>
      <c r="D14" s="24">
        <v>4</v>
      </c>
      <c r="E14" s="24">
        <v>472</v>
      </c>
      <c r="F14" s="24">
        <v>133</v>
      </c>
      <c r="G14" s="24">
        <v>186</v>
      </c>
      <c r="H14" s="24">
        <v>142</v>
      </c>
      <c r="I14" s="24">
        <v>2</v>
      </c>
      <c r="J14" s="24">
        <v>6</v>
      </c>
      <c r="K14" s="24">
        <v>469</v>
      </c>
      <c r="L14" s="24">
        <v>3</v>
      </c>
      <c r="M14" s="24">
        <f t="shared" si="0"/>
        <v>472</v>
      </c>
      <c r="N14" s="24">
        <v>0</v>
      </c>
      <c r="O14" s="25">
        <f t="shared" si="1"/>
        <v>0.30084745762711862</v>
      </c>
      <c r="P14" s="25">
        <f t="shared" si="2"/>
        <v>0.28177966101694918</v>
      </c>
      <c r="Q14" s="25">
        <f t="shared" si="3"/>
        <v>0.3940677966101695</v>
      </c>
      <c r="R14" s="26">
        <v>548</v>
      </c>
      <c r="S14" s="26">
        <v>20</v>
      </c>
      <c r="T14" s="26">
        <v>50</v>
      </c>
      <c r="U14" s="26">
        <v>0</v>
      </c>
      <c r="V14" s="26">
        <v>618</v>
      </c>
      <c r="W14" s="27">
        <v>0.88673139158576053</v>
      </c>
      <c r="X14" s="27">
        <v>3.2362459546925564E-2</v>
      </c>
      <c r="Y14" s="27">
        <v>8.0906148867313912E-2</v>
      </c>
      <c r="Z14" s="27">
        <v>0</v>
      </c>
      <c r="AA14" s="28">
        <v>32.129449838187703</v>
      </c>
      <c r="AB14" s="25">
        <f t="shared" si="4"/>
        <v>0.7637540453074434</v>
      </c>
    </row>
    <row r="15" spans="1:28" x14ac:dyDescent="0.25">
      <c r="A15" s="24"/>
      <c r="B15" s="24"/>
      <c r="C15" s="24"/>
      <c r="D15" s="24">
        <v>5</v>
      </c>
      <c r="E15" s="24">
        <v>513</v>
      </c>
      <c r="F15" s="24">
        <v>104</v>
      </c>
      <c r="G15" s="24">
        <v>182</v>
      </c>
      <c r="H15" s="24">
        <v>220</v>
      </c>
      <c r="I15" s="24">
        <v>2</v>
      </c>
      <c r="J15" s="24">
        <v>5</v>
      </c>
      <c r="K15" s="24">
        <v>513</v>
      </c>
      <c r="L15" s="24">
        <v>0</v>
      </c>
      <c r="M15" s="24">
        <f t="shared" si="0"/>
        <v>513</v>
      </c>
      <c r="N15" s="24">
        <v>0</v>
      </c>
      <c r="O15" s="25">
        <f t="shared" si="1"/>
        <v>0.42884990253411304</v>
      </c>
      <c r="P15" s="25">
        <f t="shared" si="2"/>
        <v>0.20272904483430798</v>
      </c>
      <c r="Q15" s="25">
        <f t="shared" si="3"/>
        <v>0.35477582846003897</v>
      </c>
      <c r="R15" s="26">
        <v>548</v>
      </c>
      <c r="S15" s="26">
        <v>33</v>
      </c>
      <c r="T15" s="26">
        <v>37</v>
      </c>
      <c r="U15" s="26">
        <v>0</v>
      </c>
      <c r="V15" s="26">
        <v>618</v>
      </c>
      <c r="W15" s="27">
        <v>0.88673139158576053</v>
      </c>
      <c r="X15" s="27">
        <v>5.3398058252427182E-2</v>
      </c>
      <c r="Y15" s="27">
        <v>5.9870550161812294E-2</v>
      </c>
      <c r="Z15" s="27">
        <v>0</v>
      </c>
      <c r="AA15" s="28">
        <v>25.503236245954692</v>
      </c>
      <c r="AB15" s="25">
        <f t="shared" si="4"/>
        <v>0.83009708737864074</v>
      </c>
    </row>
    <row r="16" spans="1:28" x14ac:dyDescent="0.25">
      <c r="A16" s="24"/>
      <c r="B16" s="24"/>
      <c r="C16" s="24"/>
      <c r="D16" s="24">
        <v>6</v>
      </c>
      <c r="E16" s="24">
        <v>541</v>
      </c>
      <c r="F16" s="24">
        <v>154</v>
      </c>
      <c r="G16" s="24">
        <v>158</v>
      </c>
      <c r="H16" s="24">
        <v>221</v>
      </c>
      <c r="I16" s="24">
        <v>1</v>
      </c>
      <c r="J16" s="24">
        <v>6</v>
      </c>
      <c r="K16" s="24">
        <v>540</v>
      </c>
      <c r="L16" s="24">
        <v>1</v>
      </c>
      <c r="M16" s="24">
        <f t="shared" si="0"/>
        <v>541</v>
      </c>
      <c r="N16" s="24">
        <v>0</v>
      </c>
      <c r="O16" s="25">
        <f t="shared" si="1"/>
        <v>0.40850277264325324</v>
      </c>
      <c r="P16" s="25">
        <f t="shared" si="2"/>
        <v>0.28465804066543438</v>
      </c>
      <c r="Q16" s="25">
        <f t="shared" si="3"/>
        <v>0.29205175600739369</v>
      </c>
      <c r="R16" s="26">
        <v>555</v>
      </c>
      <c r="S16" s="26">
        <v>27</v>
      </c>
      <c r="T16" s="26">
        <v>37</v>
      </c>
      <c r="U16" s="26">
        <v>0</v>
      </c>
      <c r="V16" s="26">
        <v>619</v>
      </c>
      <c r="W16" s="27">
        <v>0.8966074313408724</v>
      </c>
      <c r="X16" s="27">
        <v>4.361873990306947E-2</v>
      </c>
      <c r="Y16" s="27">
        <v>5.9773828756058162E-2</v>
      </c>
      <c r="Z16" s="27">
        <v>0</v>
      </c>
      <c r="AA16" s="28">
        <v>20.379644588045235</v>
      </c>
      <c r="AB16" s="25">
        <f t="shared" si="4"/>
        <v>0.87399030694668822</v>
      </c>
    </row>
    <row r="17" spans="1:28" x14ac:dyDescent="0.25">
      <c r="A17" s="24">
        <v>7</v>
      </c>
      <c r="B17" s="24" t="s">
        <v>177</v>
      </c>
      <c r="C17" s="24" t="s">
        <v>178</v>
      </c>
      <c r="D17" s="24">
        <v>1</v>
      </c>
      <c r="E17" s="24">
        <v>369</v>
      </c>
      <c r="F17" s="24">
        <v>74</v>
      </c>
      <c r="G17" s="24">
        <v>206</v>
      </c>
      <c r="H17" s="24">
        <v>82</v>
      </c>
      <c r="I17" s="24">
        <v>4</v>
      </c>
      <c r="J17" s="24">
        <v>0</v>
      </c>
      <c r="K17" s="24">
        <v>366</v>
      </c>
      <c r="L17" s="24">
        <v>3</v>
      </c>
      <c r="M17" s="24">
        <f t="shared" si="0"/>
        <v>369</v>
      </c>
      <c r="N17" s="24">
        <v>0</v>
      </c>
      <c r="O17" s="25">
        <f t="shared" si="1"/>
        <v>0.22222222222222221</v>
      </c>
      <c r="P17" s="25">
        <f t="shared" si="2"/>
        <v>0.20054200542005421</v>
      </c>
      <c r="Q17" s="25">
        <f t="shared" si="3"/>
        <v>0.5582655826558266</v>
      </c>
      <c r="R17" s="26">
        <v>399</v>
      </c>
      <c r="S17" s="26">
        <v>6</v>
      </c>
      <c r="T17" s="26">
        <v>41</v>
      </c>
      <c r="U17" s="26">
        <v>4</v>
      </c>
      <c r="V17" s="26">
        <v>450</v>
      </c>
      <c r="W17" s="27">
        <v>0.88666666666666671</v>
      </c>
      <c r="X17" s="27">
        <v>1.3333333333333334E-2</v>
      </c>
      <c r="Y17" s="27">
        <v>9.1111111111111115E-2</v>
      </c>
      <c r="Z17" s="27">
        <v>8.8888888888888889E-3</v>
      </c>
      <c r="AA17" s="28">
        <v>61.05777777777778</v>
      </c>
      <c r="AB17" s="25">
        <f t="shared" si="4"/>
        <v>0.82</v>
      </c>
    </row>
    <row r="18" spans="1:28" x14ac:dyDescent="0.25">
      <c r="A18" s="24"/>
      <c r="B18" s="24"/>
      <c r="C18" s="24"/>
      <c r="D18" s="24">
        <v>2</v>
      </c>
      <c r="E18" s="24">
        <v>398</v>
      </c>
      <c r="F18" s="24">
        <v>112</v>
      </c>
      <c r="G18" s="24">
        <v>196</v>
      </c>
      <c r="H18" s="24">
        <v>81</v>
      </c>
      <c r="I18" s="24">
        <v>2</v>
      </c>
      <c r="J18" s="24">
        <v>2</v>
      </c>
      <c r="K18" s="24">
        <v>393</v>
      </c>
      <c r="L18" s="24">
        <v>5</v>
      </c>
      <c r="M18" s="24">
        <f t="shared" si="0"/>
        <v>398</v>
      </c>
      <c r="N18" s="24">
        <v>0</v>
      </c>
      <c r="O18" s="25">
        <f t="shared" si="1"/>
        <v>0.20351758793969849</v>
      </c>
      <c r="P18" s="25">
        <f t="shared" si="2"/>
        <v>0.28140703517587939</v>
      </c>
      <c r="Q18" s="25">
        <f t="shared" si="3"/>
        <v>0.49246231155778897</v>
      </c>
      <c r="R18" s="26">
        <v>418</v>
      </c>
      <c r="S18" s="26">
        <v>7</v>
      </c>
      <c r="T18" s="26">
        <v>23</v>
      </c>
      <c r="U18" s="26">
        <v>2</v>
      </c>
      <c r="V18" s="26">
        <v>450</v>
      </c>
      <c r="W18" s="27">
        <v>0.92888888888888888</v>
      </c>
      <c r="X18" s="27">
        <v>1.5555555555555555E-2</v>
      </c>
      <c r="Y18" s="27">
        <v>5.1111111111111114E-2</v>
      </c>
      <c r="Z18" s="27">
        <v>4.4444444444444444E-3</v>
      </c>
      <c r="AA18" s="28">
        <v>57.571111111111108</v>
      </c>
      <c r="AB18" s="25">
        <f t="shared" si="4"/>
        <v>0.88444444444444448</v>
      </c>
    </row>
    <row r="19" spans="1:28" x14ac:dyDescent="0.25">
      <c r="A19" s="24"/>
      <c r="B19" s="24"/>
      <c r="C19" s="24"/>
      <c r="D19" s="24">
        <v>3</v>
      </c>
      <c r="E19" s="24">
        <v>533</v>
      </c>
      <c r="F19" s="24">
        <v>176</v>
      </c>
      <c r="G19" s="24">
        <v>215</v>
      </c>
      <c r="H19" s="24">
        <v>134</v>
      </c>
      <c r="I19" s="24">
        <v>2</v>
      </c>
      <c r="J19" s="24">
        <v>4</v>
      </c>
      <c r="K19" s="24">
        <v>531</v>
      </c>
      <c r="L19" s="24">
        <v>2</v>
      </c>
      <c r="M19" s="24">
        <f t="shared" si="0"/>
        <v>533</v>
      </c>
      <c r="N19" s="24">
        <v>0</v>
      </c>
      <c r="O19" s="25">
        <f t="shared" si="1"/>
        <v>0.25140712945590993</v>
      </c>
      <c r="P19" s="25">
        <f t="shared" si="2"/>
        <v>0.33020637898686678</v>
      </c>
      <c r="Q19" s="25">
        <f t="shared" si="3"/>
        <v>0.40337711069418386</v>
      </c>
      <c r="R19" s="26">
        <v>560</v>
      </c>
      <c r="S19" s="26">
        <v>14</v>
      </c>
      <c r="T19" s="26">
        <v>56</v>
      </c>
      <c r="U19" s="26">
        <v>7</v>
      </c>
      <c r="V19" s="26">
        <v>637</v>
      </c>
      <c r="W19" s="27">
        <v>0.87912087912087911</v>
      </c>
      <c r="X19" s="27">
        <v>2.197802197802198E-2</v>
      </c>
      <c r="Y19" s="27">
        <v>8.7912087912087919E-2</v>
      </c>
      <c r="Z19" s="27">
        <v>1.098901098901099E-2</v>
      </c>
      <c r="AA19" s="28">
        <v>48.918367346938773</v>
      </c>
      <c r="AB19" s="25">
        <f t="shared" si="4"/>
        <v>0.83673469387755106</v>
      </c>
    </row>
    <row r="20" spans="1:28" x14ac:dyDescent="0.25">
      <c r="A20" s="24"/>
      <c r="B20" s="24"/>
      <c r="C20" s="24"/>
      <c r="D20" s="24">
        <v>4</v>
      </c>
      <c r="E20" s="24">
        <v>489</v>
      </c>
      <c r="F20" s="24">
        <v>166</v>
      </c>
      <c r="G20" s="24">
        <v>239</v>
      </c>
      <c r="H20" s="24">
        <v>77</v>
      </c>
      <c r="I20" s="24">
        <v>2</v>
      </c>
      <c r="J20" s="24">
        <v>2</v>
      </c>
      <c r="K20" s="24">
        <v>486</v>
      </c>
      <c r="L20" s="24">
        <v>3</v>
      </c>
      <c r="M20" s="24">
        <f t="shared" si="0"/>
        <v>489</v>
      </c>
      <c r="N20" s="24">
        <v>0</v>
      </c>
      <c r="O20" s="25">
        <f t="shared" si="1"/>
        <v>0.15746421267893659</v>
      </c>
      <c r="P20" s="25">
        <f t="shared" si="2"/>
        <v>0.33946830265848671</v>
      </c>
      <c r="Q20" s="25">
        <f t="shared" si="3"/>
        <v>0.4887525562372188</v>
      </c>
      <c r="R20" s="26">
        <v>584</v>
      </c>
      <c r="S20" s="26">
        <v>12</v>
      </c>
      <c r="T20" s="26">
        <v>38</v>
      </c>
      <c r="U20" s="26">
        <v>3</v>
      </c>
      <c r="V20" s="26">
        <v>637</v>
      </c>
      <c r="W20" s="27">
        <v>0.91679748822605966</v>
      </c>
      <c r="X20" s="27">
        <v>1.8838304552590265E-2</v>
      </c>
      <c r="Y20" s="27">
        <v>5.9654631083202514E-2</v>
      </c>
      <c r="Z20" s="27">
        <v>4.7095761381475663E-3</v>
      </c>
      <c r="AA20" s="28">
        <v>38.497645211930923</v>
      </c>
      <c r="AB20" s="25">
        <f t="shared" si="4"/>
        <v>0.76766091051805341</v>
      </c>
    </row>
    <row r="21" spans="1:28" x14ac:dyDescent="0.25">
      <c r="A21" s="24"/>
      <c r="B21" s="24"/>
      <c r="C21" s="24"/>
      <c r="D21" s="24">
        <v>5</v>
      </c>
      <c r="E21" s="24">
        <v>500</v>
      </c>
      <c r="F21" s="24">
        <v>159</v>
      </c>
      <c r="G21" s="24">
        <v>234</v>
      </c>
      <c r="H21" s="24">
        <v>104</v>
      </c>
      <c r="I21" s="24">
        <v>1</v>
      </c>
      <c r="J21" s="24">
        <v>0</v>
      </c>
      <c r="K21" s="24">
        <v>498</v>
      </c>
      <c r="L21" s="24">
        <v>2</v>
      </c>
      <c r="M21" s="24">
        <f t="shared" si="0"/>
        <v>500</v>
      </c>
      <c r="N21" s="24">
        <v>0</v>
      </c>
      <c r="O21" s="25">
        <f t="shared" si="1"/>
        <v>0.20799999999999999</v>
      </c>
      <c r="P21" s="25">
        <f t="shared" si="2"/>
        <v>0.318</v>
      </c>
      <c r="Q21" s="25">
        <f t="shared" si="3"/>
        <v>0.46800000000000003</v>
      </c>
      <c r="R21" s="26">
        <v>598</v>
      </c>
      <c r="S21" s="26">
        <v>7</v>
      </c>
      <c r="T21" s="26">
        <v>30</v>
      </c>
      <c r="U21" s="26">
        <v>2</v>
      </c>
      <c r="V21" s="26">
        <v>637</v>
      </c>
      <c r="W21" s="27">
        <v>0.93877551020408168</v>
      </c>
      <c r="X21" s="27">
        <v>1.098901098901099E-2</v>
      </c>
      <c r="Y21" s="27">
        <v>4.709576138147567E-2</v>
      </c>
      <c r="Z21" s="27">
        <v>3.1397174254317113E-3</v>
      </c>
      <c r="AA21" s="28">
        <v>32.004709576138147</v>
      </c>
      <c r="AB21" s="25">
        <f t="shared" si="4"/>
        <v>0.78492935635792782</v>
      </c>
    </row>
    <row r="22" spans="1:28" x14ac:dyDescent="0.25">
      <c r="A22" s="24"/>
      <c r="B22" s="24"/>
      <c r="C22" s="24"/>
      <c r="D22" s="24">
        <v>6</v>
      </c>
      <c r="E22" s="24">
        <v>509</v>
      </c>
      <c r="F22" s="24">
        <v>145</v>
      </c>
      <c r="G22" s="24">
        <v>220</v>
      </c>
      <c r="H22" s="24">
        <v>136</v>
      </c>
      <c r="I22" s="24">
        <v>1</v>
      </c>
      <c r="J22" s="24">
        <v>2</v>
      </c>
      <c r="K22" s="24">
        <v>504</v>
      </c>
      <c r="L22" s="24">
        <v>5</v>
      </c>
      <c r="M22" s="24">
        <f t="shared" si="0"/>
        <v>509</v>
      </c>
      <c r="N22" s="24">
        <v>0</v>
      </c>
      <c r="O22" s="25">
        <f t="shared" si="1"/>
        <v>0.26719056974459726</v>
      </c>
      <c r="P22" s="25">
        <f t="shared" si="2"/>
        <v>0.28487229862475444</v>
      </c>
      <c r="Q22" s="25">
        <f t="shared" si="3"/>
        <v>0.43222003929273084</v>
      </c>
      <c r="R22" s="26">
        <v>603</v>
      </c>
      <c r="S22" s="26">
        <v>9</v>
      </c>
      <c r="T22" s="26">
        <v>25</v>
      </c>
      <c r="U22" s="26">
        <v>0</v>
      </c>
      <c r="V22" s="26">
        <v>637</v>
      </c>
      <c r="W22" s="27">
        <v>0.94662480376766089</v>
      </c>
      <c r="X22" s="27">
        <v>1.4128728414442701E-2</v>
      </c>
      <c r="Y22" s="27">
        <v>3.924646781789639E-2</v>
      </c>
      <c r="Z22" s="27">
        <v>0</v>
      </c>
      <c r="AA22" s="28">
        <v>27.357927786499214</v>
      </c>
      <c r="AB22" s="25">
        <f t="shared" si="4"/>
        <v>0.7990580847723705</v>
      </c>
    </row>
    <row r="23" spans="1:28" x14ac:dyDescent="0.25">
      <c r="A23" s="24"/>
      <c r="B23" s="24"/>
      <c r="C23" s="24"/>
      <c r="D23" s="24">
        <v>7</v>
      </c>
      <c r="E23" s="24">
        <v>540</v>
      </c>
      <c r="F23" s="24">
        <v>182</v>
      </c>
      <c r="G23" s="24">
        <v>195</v>
      </c>
      <c r="H23" s="24">
        <v>162</v>
      </c>
      <c r="I23" s="24">
        <v>1</v>
      </c>
      <c r="J23" s="24">
        <v>0</v>
      </c>
      <c r="K23" s="24">
        <v>540</v>
      </c>
      <c r="L23" s="24">
        <v>0</v>
      </c>
      <c r="M23" s="24">
        <f t="shared" si="0"/>
        <v>540</v>
      </c>
      <c r="N23" s="24">
        <v>0</v>
      </c>
      <c r="O23" s="25">
        <f t="shared" si="1"/>
        <v>0.3</v>
      </c>
      <c r="P23" s="25">
        <f t="shared" si="2"/>
        <v>0.33703703703703702</v>
      </c>
      <c r="Q23" s="25">
        <f t="shared" si="3"/>
        <v>0.3611111111111111</v>
      </c>
      <c r="R23" s="26">
        <v>603</v>
      </c>
      <c r="S23" s="26">
        <v>5</v>
      </c>
      <c r="T23" s="26">
        <v>29</v>
      </c>
      <c r="U23" s="26">
        <v>0</v>
      </c>
      <c r="V23" s="26">
        <v>637</v>
      </c>
      <c r="W23" s="27">
        <v>0.94662480376766089</v>
      </c>
      <c r="X23" s="27">
        <v>7.8492935635792772E-3</v>
      </c>
      <c r="Y23" s="27">
        <v>4.5525902668759811E-2</v>
      </c>
      <c r="Z23" s="27">
        <v>0</v>
      </c>
      <c r="AA23" s="28">
        <v>23.549450549450551</v>
      </c>
      <c r="AB23" s="25">
        <f t="shared" si="4"/>
        <v>0.84772370486656201</v>
      </c>
    </row>
    <row r="24" spans="1:28" x14ac:dyDescent="0.25">
      <c r="A24" s="24"/>
      <c r="B24" s="24"/>
      <c r="C24" s="24"/>
      <c r="D24" s="24">
        <v>8</v>
      </c>
      <c r="E24" s="24">
        <v>549</v>
      </c>
      <c r="F24" s="24">
        <v>218</v>
      </c>
      <c r="G24" s="24">
        <v>204</v>
      </c>
      <c r="H24" s="24">
        <v>124</v>
      </c>
      <c r="I24" s="24">
        <v>1</v>
      </c>
      <c r="J24" s="24">
        <v>1</v>
      </c>
      <c r="K24" s="24">
        <v>548</v>
      </c>
      <c r="L24" s="24">
        <v>1</v>
      </c>
      <c r="M24" s="24">
        <f t="shared" si="0"/>
        <v>549</v>
      </c>
      <c r="N24" s="24">
        <v>0</v>
      </c>
      <c r="O24" s="25">
        <f t="shared" si="1"/>
        <v>0.22586520947176686</v>
      </c>
      <c r="P24" s="25">
        <f t="shared" si="2"/>
        <v>0.39708561020036431</v>
      </c>
      <c r="Q24" s="25">
        <f t="shared" si="3"/>
        <v>0.37158469945355194</v>
      </c>
      <c r="R24" s="26">
        <v>604</v>
      </c>
      <c r="S24" s="26">
        <v>6</v>
      </c>
      <c r="T24" s="26">
        <v>25</v>
      </c>
      <c r="U24" s="26">
        <v>2</v>
      </c>
      <c r="V24" s="26">
        <v>637</v>
      </c>
      <c r="W24" s="27">
        <v>0.94819466248037676</v>
      </c>
      <c r="X24" s="27">
        <v>9.4191522762951327E-3</v>
      </c>
      <c r="Y24" s="27">
        <v>3.924646781789639E-2</v>
      </c>
      <c r="Z24" s="27">
        <v>3.1397174254317113E-3</v>
      </c>
      <c r="AA24" s="28">
        <v>19.811616954474097</v>
      </c>
      <c r="AB24" s="25">
        <f t="shared" si="4"/>
        <v>0.86185243328100469</v>
      </c>
    </row>
    <row r="25" spans="1:28" x14ac:dyDescent="0.25">
      <c r="A25" s="24"/>
      <c r="B25" s="24"/>
      <c r="C25" s="24" t="s">
        <v>179</v>
      </c>
      <c r="D25" s="24">
        <v>1</v>
      </c>
      <c r="E25" s="24">
        <v>376</v>
      </c>
      <c r="F25" s="24">
        <v>73</v>
      </c>
      <c r="G25" s="24">
        <v>225</v>
      </c>
      <c r="H25" s="24">
        <v>70</v>
      </c>
      <c r="I25" s="24">
        <v>4</v>
      </c>
      <c r="J25" s="24">
        <v>2</v>
      </c>
      <c r="K25" s="24">
        <v>374</v>
      </c>
      <c r="L25" s="24">
        <v>2</v>
      </c>
      <c r="M25" s="24">
        <f t="shared" si="0"/>
        <v>376</v>
      </c>
      <c r="N25" s="24">
        <v>0</v>
      </c>
      <c r="O25" s="25">
        <f t="shared" si="1"/>
        <v>0.18617021276595744</v>
      </c>
      <c r="P25" s="25">
        <f t="shared" si="2"/>
        <v>0.19414893617021275</v>
      </c>
      <c r="Q25" s="25">
        <f t="shared" si="3"/>
        <v>0.59840425531914898</v>
      </c>
      <c r="R25" s="26">
        <v>389</v>
      </c>
      <c r="S25" s="26">
        <v>24</v>
      </c>
      <c r="T25" s="26">
        <v>36</v>
      </c>
      <c r="U25" s="26">
        <v>1</v>
      </c>
      <c r="V25" s="26">
        <v>450</v>
      </c>
      <c r="W25" s="27">
        <v>0.86444444444444446</v>
      </c>
      <c r="X25" s="27">
        <v>5.3333333333333337E-2</v>
      </c>
      <c r="Y25" s="27">
        <v>0.08</v>
      </c>
      <c r="Z25" s="27">
        <v>2.2222222222222222E-3</v>
      </c>
      <c r="AA25" s="28">
        <v>62.915555555555557</v>
      </c>
      <c r="AB25" s="25">
        <f t="shared" si="4"/>
        <v>0.83555555555555561</v>
      </c>
    </row>
    <row r="26" spans="1:28" x14ac:dyDescent="0.25">
      <c r="A26" s="24"/>
      <c r="B26" s="24"/>
      <c r="C26" s="24"/>
      <c r="D26" s="24">
        <v>2</v>
      </c>
      <c r="E26" s="24">
        <v>400</v>
      </c>
      <c r="F26" s="24">
        <v>115</v>
      </c>
      <c r="G26" s="24">
        <v>186</v>
      </c>
      <c r="H26" s="24">
        <v>90</v>
      </c>
      <c r="I26" s="24">
        <v>0</v>
      </c>
      <c r="J26" s="24">
        <v>7</v>
      </c>
      <c r="K26" s="24">
        <v>398</v>
      </c>
      <c r="L26" s="24">
        <v>2</v>
      </c>
      <c r="M26" s="24">
        <f t="shared" si="0"/>
        <v>400</v>
      </c>
      <c r="N26" s="24">
        <v>0</v>
      </c>
      <c r="O26" s="25">
        <f t="shared" si="1"/>
        <v>0.22500000000000001</v>
      </c>
      <c r="P26" s="25">
        <f t="shared" si="2"/>
        <v>0.28749999999999998</v>
      </c>
      <c r="Q26" s="25">
        <f t="shared" si="3"/>
        <v>0.46500000000000002</v>
      </c>
      <c r="R26" s="26">
        <v>380</v>
      </c>
      <c r="S26" s="26">
        <v>20</v>
      </c>
      <c r="T26" s="26">
        <v>46</v>
      </c>
      <c r="U26" s="26">
        <v>4</v>
      </c>
      <c r="V26" s="26">
        <v>450</v>
      </c>
      <c r="W26" s="27">
        <v>0.84444444444444444</v>
      </c>
      <c r="X26" s="27">
        <v>4.4444444444444446E-2</v>
      </c>
      <c r="Y26" s="27">
        <v>0.10222222222222223</v>
      </c>
      <c r="Z26" s="27">
        <v>8.8888888888888889E-3</v>
      </c>
      <c r="AA26" s="28">
        <v>57.835555555555558</v>
      </c>
      <c r="AB26" s="25">
        <f t="shared" si="4"/>
        <v>0.88888888888888884</v>
      </c>
    </row>
    <row r="27" spans="1:28" x14ac:dyDescent="0.25">
      <c r="A27" s="24"/>
      <c r="B27" s="24"/>
      <c r="C27" s="24"/>
      <c r="D27" s="24">
        <v>3</v>
      </c>
      <c r="E27" s="24">
        <v>518</v>
      </c>
      <c r="F27" s="24">
        <v>158</v>
      </c>
      <c r="G27" s="24">
        <v>211</v>
      </c>
      <c r="H27" s="24">
        <v>137</v>
      </c>
      <c r="I27" s="24">
        <v>2</v>
      </c>
      <c r="J27" s="24">
        <v>6</v>
      </c>
      <c r="K27" s="24">
        <v>514</v>
      </c>
      <c r="L27" s="24">
        <v>4</v>
      </c>
      <c r="M27" s="24">
        <f t="shared" si="0"/>
        <v>518</v>
      </c>
      <c r="N27" s="24">
        <v>0</v>
      </c>
      <c r="O27" s="25">
        <f t="shared" si="1"/>
        <v>0.26447876447876451</v>
      </c>
      <c r="P27" s="25">
        <f t="shared" si="2"/>
        <v>0.30501930501930502</v>
      </c>
      <c r="Q27" s="25">
        <f t="shared" si="3"/>
        <v>0.40733590733590735</v>
      </c>
      <c r="R27" s="26">
        <v>521</v>
      </c>
      <c r="S27" s="26">
        <v>39</v>
      </c>
      <c r="T27" s="26">
        <v>82</v>
      </c>
      <c r="U27" s="26">
        <v>3</v>
      </c>
      <c r="V27" s="26">
        <v>645</v>
      </c>
      <c r="W27" s="27">
        <v>0.80775193798449607</v>
      </c>
      <c r="X27" s="27">
        <v>6.0465116279069767E-2</v>
      </c>
      <c r="Y27" s="27">
        <v>0.12713178294573643</v>
      </c>
      <c r="Z27" s="27">
        <v>4.6511627906976744E-3</v>
      </c>
      <c r="AA27" s="28">
        <v>47.424806201550389</v>
      </c>
      <c r="AB27" s="25">
        <f t="shared" si="4"/>
        <v>0.80310077519379841</v>
      </c>
    </row>
    <row r="28" spans="1:28" x14ac:dyDescent="0.25">
      <c r="A28" s="24"/>
      <c r="B28" s="24"/>
      <c r="C28" s="24"/>
      <c r="D28" s="24">
        <v>4</v>
      </c>
      <c r="E28" s="24">
        <v>504</v>
      </c>
      <c r="F28" s="24">
        <v>148</v>
      </c>
      <c r="G28" s="24">
        <v>231</v>
      </c>
      <c r="H28" s="24">
        <v>121</v>
      </c>
      <c r="I28" s="24">
        <v>0</v>
      </c>
      <c r="J28" s="24">
        <v>4</v>
      </c>
      <c r="K28" s="24">
        <v>504</v>
      </c>
      <c r="L28" s="24">
        <v>0</v>
      </c>
      <c r="M28" s="24">
        <f t="shared" si="0"/>
        <v>504</v>
      </c>
      <c r="N28" s="24">
        <v>0</v>
      </c>
      <c r="O28" s="25">
        <f t="shared" si="1"/>
        <v>0.24007936507936509</v>
      </c>
      <c r="P28" s="25">
        <f t="shared" si="2"/>
        <v>0.29365079365079366</v>
      </c>
      <c r="Q28" s="25">
        <f t="shared" si="3"/>
        <v>0.45833333333333331</v>
      </c>
      <c r="R28" s="26">
        <v>552</v>
      </c>
      <c r="S28" s="26">
        <v>22</v>
      </c>
      <c r="T28" s="26">
        <v>69</v>
      </c>
      <c r="U28" s="26">
        <v>2</v>
      </c>
      <c r="V28" s="26">
        <v>645</v>
      </c>
      <c r="W28" s="27">
        <v>0.85581395348837208</v>
      </c>
      <c r="X28" s="27">
        <v>3.4108527131782945E-2</v>
      </c>
      <c r="Y28" s="27">
        <v>0.10697674418604651</v>
      </c>
      <c r="Z28" s="27">
        <v>3.1007751937984496E-3</v>
      </c>
      <c r="AA28" s="28">
        <v>36.751937984496124</v>
      </c>
      <c r="AB28" s="25">
        <f t="shared" si="4"/>
        <v>0.78139534883720929</v>
      </c>
    </row>
    <row r="29" spans="1:28" x14ac:dyDescent="0.25">
      <c r="A29" s="24"/>
      <c r="B29" s="24"/>
      <c r="C29" s="24"/>
      <c r="D29" s="24">
        <v>5</v>
      </c>
      <c r="E29" s="24">
        <v>534</v>
      </c>
      <c r="F29" s="24">
        <v>159</v>
      </c>
      <c r="G29" s="24">
        <v>250</v>
      </c>
      <c r="H29" s="24">
        <v>125</v>
      </c>
      <c r="I29" s="24">
        <v>0</v>
      </c>
      <c r="J29" s="24">
        <v>0</v>
      </c>
      <c r="K29" s="24">
        <v>534</v>
      </c>
      <c r="L29" s="24">
        <v>0</v>
      </c>
      <c r="M29" s="24">
        <f t="shared" si="0"/>
        <v>534</v>
      </c>
      <c r="N29" s="24">
        <v>0</v>
      </c>
      <c r="O29" s="25">
        <f t="shared" si="1"/>
        <v>0.23408239700374531</v>
      </c>
      <c r="P29" s="25">
        <f t="shared" si="2"/>
        <v>0.29775280898876405</v>
      </c>
      <c r="Q29" s="25">
        <f t="shared" si="3"/>
        <v>0.46816479400749061</v>
      </c>
      <c r="R29" s="26">
        <v>575</v>
      </c>
      <c r="S29" s="26">
        <v>20</v>
      </c>
      <c r="T29" s="26">
        <v>49</v>
      </c>
      <c r="U29" s="26">
        <v>1</v>
      </c>
      <c r="V29" s="26">
        <v>645</v>
      </c>
      <c r="W29" s="27">
        <v>0.89147286821705429</v>
      </c>
      <c r="X29" s="27">
        <v>3.1007751937984496E-2</v>
      </c>
      <c r="Y29" s="27">
        <v>7.5968992248062014E-2</v>
      </c>
      <c r="Z29" s="27">
        <v>1.5503875968992248E-3</v>
      </c>
      <c r="AA29" s="28">
        <v>30.47751937984496</v>
      </c>
      <c r="AB29" s="25">
        <f t="shared" si="4"/>
        <v>0.82790697674418601</v>
      </c>
    </row>
    <row r="30" spans="1:28" x14ac:dyDescent="0.25">
      <c r="A30" s="24"/>
      <c r="B30" s="24"/>
      <c r="C30" s="24"/>
      <c r="D30" s="24">
        <v>6</v>
      </c>
      <c r="E30" s="24">
        <v>539</v>
      </c>
      <c r="F30" s="24">
        <v>144</v>
      </c>
      <c r="G30" s="24">
        <v>227</v>
      </c>
      <c r="H30" s="24">
        <v>163</v>
      </c>
      <c r="I30" s="24">
        <v>0</v>
      </c>
      <c r="J30" s="24">
        <v>1</v>
      </c>
      <c r="K30" s="24">
        <v>535</v>
      </c>
      <c r="L30" s="24">
        <v>3</v>
      </c>
      <c r="M30" s="24">
        <f t="shared" si="0"/>
        <v>538</v>
      </c>
      <c r="N30" s="24">
        <v>1</v>
      </c>
      <c r="O30" s="25">
        <f t="shared" si="1"/>
        <v>0.30297397769516726</v>
      </c>
      <c r="P30" s="25">
        <f t="shared" si="2"/>
        <v>0.26765799256505574</v>
      </c>
      <c r="Q30" s="25">
        <f t="shared" si="3"/>
        <v>0.42193308550185876</v>
      </c>
      <c r="R30" s="26">
        <v>571</v>
      </c>
      <c r="S30" s="26">
        <v>14</v>
      </c>
      <c r="T30" s="26">
        <v>60</v>
      </c>
      <c r="U30" s="26">
        <v>0</v>
      </c>
      <c r="V30" s="26">
        <v>645</v>
      </c>
      <c r="W30" s="27">
        <v>0.88527131782945734</v>
      </c>
      <c r="X30" s="27">
        <v>2.1705426356589147E-2</v>
      </c>
      <c r="Y30" s="27">
        <v>9.3023255813953487E-2</v>
      </c>
      <c r="Z30" s="27">
        <v>0</v>
      </c>
      <c r="AA30" s="28">
        <v>25.595348837209301</v>
      </c>
      <c r="AB30" s="25">
        <f t="shared" si="4"/>
        <v>0.83410852713178296</v>
      </c>
    </row>
    <row r="31" spans="1:28" x14ac:dyDescent="0.25">
      <c r="A31" s="24"/>
      <c r="B31" s="24"/>
      <c r="C31" s="24"/>
      <c r="D31" s="24">
        <v>7</v>
      </c>
      <c r="E31" s="24">
        <v>544</v>
      </c>
      <c r="F31" s="24">
        <v>215</v>
      </c>
      <c r="G31" s="24">
        <v>187</v>
      </c>
      <c r="H31" s="24">
        <v>138</v>
      </c>
      <c r="I31" s="24">
        <v>1</v>
      </c>
      <c r="J31" s="24">
        <v>1</v>
      </c>
      <c r="K31" s="24">
        <v>542</v>
      </c>
      <c r="L31" s="24">
        <v>2</v>
      </c>
      <c r="M31" s="24">
        <f t="shared" si="0"/>
        <v>544</v>
      </c>
      <c r="N31" s="24">
        <v>0</v>
      </c>
      <c r="O31" s="25">
        <f t="shared" si="1"/>
        <v>0.25367647058823528</v>
      </c>
      <c r="P31" s="25">
        <f t="shared" si="2"/>
        <v>0.3952205882352941</v>
      </c>
      <c r="Q31" s="25">
        <f t="shared" si="3"/>
        <v>0.34375</v>
      </c>
      <c r="R31" s="26">
        <v>576</v>
      </c>
      <c r="S31" s="26">
        <v>16</v>
      </c>
      <c r="T31" s="26">
        <v>53</v>
      </c>
      <c r="U31" s="26">
        <v>0</v>
      </c>
      <c r="V31" s="26">
        <v>645</v>
      </c>
      <c r="W31" s="27">
        <v>0.89302325581395348</v>
      </c>
      <c r="X31" s="27">
        <v>2.4806201550387597E-2</v>
      </c>
      <c r="Y31" s="27">
        <v>8.2170542635658914E-2</v>
      </c>
      <c r="Z31" s="27">
        <v>0</v>
      </c>
      <c r="AA31" s="28">
        <v>20.694573643410852</v>
      </c>
      <c r="AB31" s="25">
        <f t="shared" si="4"/>
        <v>0.84341085271317828</v>
      </c>
    </row>
    <row r="32" spans="1:28" x14ac:dyDescent="0.25">
      <c r="A32" s="24">
        <v>8</v>
      </c>
      <c r="B32" s="24" t="s">
        <v>180</v>
      </c>
      <c r="C32" s="24" t="s">
        <v>181</v>
      </c>
      <c r="D32" s="24">
        <v>1</v>
      </c>
      <c r="E32" s="24">
        <v>340</v>
      </c>
      <c r="F32" s="24">
        <v>28</v>
      </c>
      <c r="G32" s="24">
        <v>213</v>
      </c>
      <c r="H32" s="24">
        <v>89</v>
      </c>
      <c r="I32" s="24">
        <v>2</v>
      </c>
      <c r="J32" s="24">
        <v>4</v>
      </c>
      <c r="K32" s="24">
        <v>336</v>
      </c>
      <c r="L32" s="24">
        <v>4</v>
      </c>
      <c r="M32" s="24">
        <f t="shared" si="0"/>
        <v>340</v>
      </c>
      <c r="N32" s="24">
        <v>0</v>
      </c>
      <c r="O32" s="25">
        <f t="shared" si="1"/>
        <v>0.26176470588235295</v>
      </c>
      <c r="P32" s="25">
        <f t="shared" si="2"/>
        <v>8.2352941176470587E-2</v>
      </c>
      <c r="Q32" s="25">
        <f t="shared" si="3"/>
        <v>0.62647058823529411</v>
      </c>
      <c r="R32" s="26">
        <v>321</v>
      </c>
      <c r="S32" s="26">
        <v>42</v>
      </c>
      <c r="T32" s="26">
        <v>78</v>
      </c>
      <c r="U32" s="26">
        <v>9</v>
      </c>
      <c r="V32" s="26">
        <v>450</v>
      </c>
      <c r="W32" s="27">
        <v>0.71333333333333337</v>
      </c>
      <c r="X32" s="27">
        <v>9.3333333333333338E-2</v>
      </c>
      <c r="Y32" s="27">
        <v>0.17333333333333334</v>
      </c>
      <c r="Z32" s="27">
        <v>0.02</v>
      </c>
      <c r="AA32" s="28">
        <v>71.095555555555549</v>
      </c>
      <c r="AB32" s="25">
        <f t="shared" si="4"/>
        <v>0.75555555555555554</v>
      </c>
    </row>
    <row r="33" spans="1:28" x14ac:dyDescent="0.25">
      <c r="A33" s="24"/>
      <c r="B33" s="24"/>
      <c r="C33" s="24"/>
      <c r="D33" s="24">
        <v>2</v>
      </c>
      <c r="E33" s="24">
        <v>399</v>
      </c>
      <c r="F33" s="24">
        <v>59</v>
      </c>
      <c r="G33" s="24">
        <v>181</v>
      </c>
      <c r="H33" s="24">
        <v>145</v>
      </c>
      <c r="I33" s="24">
        <v>4</v>
      </c>
      <c r="J33" s="24">
        <v>5</v>
      </c>
      <c r="K33" s="24">
        <v>394</v>
      </c>
      <c r="L33" s="24">
        <v>5</v>
      </c>
      <c r="M33" s="24">
        <f t="shared" si="0"/>
        <v>399</v>
      </c>
      <c r="N33" s="24">
        <v>0</v>
      </c>
      <c r="O33" s="25">
        <f t="shared" si="1"/>
        <v>0.36340852130325813</v>
      </c>
      <c r="P33" s="25">
        <f t="shared" si="2"/>
        <v>0.14786967418546365</v>
      </c>
      <c r="Q33" s="25">
        <f t="shared" si="3"/>
        <v>0.45363408521303256</v>
      </c>
      <c r="R33" s="26">
        <v>328</v>
      </c>
      <c r="S33" s="26">
        <v>35</v>
      </c>
      <c r="T33" s="26">
        <v>82</v>
      </c>
      <c r="U33" s="26">
        <v>5</v>
      </c>
      <c r="V33" s="26">
        <v>450</v>
      </c>
      <c r="W33" s="27">
        <v>0.72888888888888892</v>
      </c>
      <c r="X33" s="27">
        <v>7.7777777777777779E-2</v>
      </c>
      <c r="Y33" s="27">
        <v>0.18222222222222223</v>
      </c>
      <c r="Z33" s="27">
        <v>1.1111111111111112E-2</v>
      </c>
      <c r="AA33" s="28">
        <v>62.584444444444443</v>
      </c>
      <c r="AB33" s="25">
        <f t="shared" si="4"/>
        <v>0.88666666666666671</v>
      </c>
    </row>
    <row r="34" spans="1:28" x14ac:dyDescent="0.25">
      <c r="A34" s="24"/>
      <c r="B34" s="24"/>
      <c r="C34" s="24"/>
      <c r="D34" s="24">
        <v>3</v>
      </c>
      <c r="E34" s="24">
        <v>467</v>
      </c>
      <c r="F34" s="24">
        <v>139</v>
      </c>
      <c r="G34" s="24">
        <v>186</v>
      </c>
      <c r="H34" s="24">
        <v>135</v>
      </c>
      <c r="I34" s="24">
        <v>3</v>
      </c>
      <c r="J34" s="24">
        <v>0</v>
      </c>
      <c r="K34" s="24">
        <v>463</v>
      </c>
      <c r="L34" s="24">
        <v>4</v>
      </c>
      <c r="M34" s="24">
        <f t="shared" si="0"/>
        <v>467</v>
      </c>
      <c r="N34" s="24">
        <v>0</v>
      </c>
      <c r="O34" s="25">
        <f t="shared" si="1"/>
        <v>0.28907922912205569</v>
      </c>
      <c r="P34" s="25">
        <f t="shared" si="2"/>
        <v>0.29764453961456105</v>
      </c>
      <c r="Q34" s="25">
        <f t="shared" si="3"/>
        <v>0.39828693790149894</v>
      </c>
      <c r="R34" s="26">
        <v>451</v>
      </c>
      <c r="S34" s="26">
        <v>35</v>
      </c>
      <c r="T34" s="26">
        <v>95</v>
      </c>
      <c r="U34" s="26">
        <v>4</v>
      </c>
      <c r="V34" s="26">
        <v>585</v>
      </c>
      <c r="W34" s="27">
        <v>0.77094017094017098</v>
      </c>
      <c r="X34" s="27">
        <v>5.9829059829059832E-2</v>
      </c>
      <c r="Y34" s="27">
        <v>0.1623931623931624</v>
      </c>
      <c r="Z34" s="27">
        <v>6.8376068376068376E-3</v>
      </c>
      <c r="AA34" s="28">
        <v>50.986324786324786</v>
      </c>
      <c r="AB34" s="25">
        <f t="shared" si="4"/>
        <v>0.79829059829059834</v>
      </c>
    </row>
    <row r="35" spans="1:28" x14ac:dyDescent="0.25">
      <c r="A35" s="24"/>
      <c r="B35" s="24"/>
      <c r="C35" s="24"/>
      <c r="D35" s="24">
        <v>4</v>
      </c>
      <c r="E35" s="24">
        <v>419</v>
      </c>
      <c r="F35" s="24">
        <v>110</v>
      </c>
      <c r="G35" s="24">
        <v>199</v>
      </c>
      <c r="H35" s="24">
        <v>99</v>
      </c>
      <c r="I35" s="24">
        <v>4</v>
      </c>
      <c r="J35" s="24">
        <v>3</v>
      </c>
      <c r="K35" s="24">
        <v>415</v>
      </c>
      <c r="L35" s="24">
        <v>4</v>
      </c>
      <c r="M35" s="24">
        <f t="shared" si="0"/>
        <v>419</v>
      </c>
      <c r="N35" s="24">
        <v>0</v>
      </c>
      <c r="O35" s="25">
        <f t="shared" si="1"/>
        <v>0.23627684964200477</v>
      </c>
      <c r="P35" s="25">
        <f t="shared" si="2"/>
        <v>0.26252983293556087</v>
      </c>
      <c r="Q35" s="25">
        <f t="shared" si="3"/>
        <v>0.47494033412887826</v>
      </c>
      <c r="R35" s="26">
        <v>509</v>
      </c>
      <c r="S35" s="26">
        <v>16</v>
      </c>
      <c r="T35" s="26">
        <v>56</v>
      </c>
      <c r="U35" s="26">
        <v>4</v>
      </c>
      <c r="V35" s="26">
        <v>585</v>
      </c>
      <c r="W35" s="27">
        <v>0.8700854700854701</v>
      </c>
      <c r="X35" s="27">
        <v>2.735042735042735E-2</v>
      </c>
      <c r="Y35" s="27">
        <v>9.5726495726495733E-2</v>
      </c>
      <c r="Z35" s="27">
        <v>6.8376068376068376E-3</v>
      </c>
      <c r="AA35" s="28">
        <v>40.502564102564101</v>
      </c>
      <c r="AB35" s="25">
        <f t="shared" si="4"/>
        <v>0.71623931623931625</v>
      </c>
    </row>
    <row r="36" spans="1:28" x14ac:dyDescent="0.25">
      <c r="A36" s="24"/>
      <c r="B36" s="24"/>
      <c r="C36" s="24"/>
      <c r="D36" s="24">
        <v>5</v>
      </c>
      <c r="E36" s="24">
        <v>443</v>
      </c>
      <c r="F36" s="24">
        <v>88</v>
      </c>
      <c r="G36" s="24">
        <v>212</v>
      </c>
      <c r="H36" s="24">
        <v>140</v>
      </c>
      <c r="I36" s="24">
        <v>2</v>
      </c>
      <c r="J36" s="24">
        <v>1</v>
      </c>
      <c r="K36" s="24">
        <v>443</v>
      </c>
      <c r="L36" s="24">
        <v>0</v>
      </c>
      <c r="M36" s="24">
        <f t="shared" si="0"/>
        <v>443</v>
      </c>
      <c r="N36" s="24">
        <v>0</v>
      </c>
      <c r="O36" s="25">
        <f t="shared" si="1"/>
        <v>0.3160270880361174</v>
      </c>
      <c r="P36" s="25">
        <f t="shared" si="2"/>
        <v>0.19864559819413091</v>
      </c>
      <c r="Q36" s="25">
        <f t="shared" si="3"/>
        <v>0.47855530474040631</v>
      </c>
      <c r="R36" s="26">
        <v>519</v>
      </c>
      <c r="S36" s="26">
        <v>19</v>
      </c>
      <c r="T36" s="26">
        <v>47</v>
      </c>
      <c r="U36" s="26">
        <v>1</v>
      </c>
      <c r="V36" s="26">
        <v>586</v>
      </c>
      <c r="W36" s="27">
        <v>0.88566552901023887</v>
      </c>
      <c r="X36" s="27">
        <v>3.2423208191126277E-2</v>
      </c>
      <c r="Y36" s="27">
        <v>8.0204778156996587E-2</v>
      </c>
      <c r="Z36" s="27">
        <v>1.7064846416382253E-3</v>
      </c>
      <c r="AA36" s="28">
        <v>30.122866894197951</v>
      </c>
      <c r="AB36" s="25">
        <f t="shared" si="4"/>
        <v>0.75597269624573382</v>
      </c>
    </row>
    <row r="37" spans="1:28" x14ac:dyDescent="0.25">
      <c r="A37" s="24">
        <v>8</v>
      </c>
      <c r="B37" s="24" t="s">
        <v>180</v>
      </c>
      <c r="C37" s="24" t="s">
        <v>182</v>
      </c>
      <c r="D37" s="24">
        <v>1</v>
      </c>
      <c r="E37" s="24">
        <v>379</v>
      </c>
      <c r="F37" s="24">
        <v>49</v>
      </c>
      <c r="G37" s="24">
        <v>212</v>
      </c>
      <c r="H37" s="24">
        <v>113</v>
      </c>
      <c r="I37" s="24">
        <v>0</v>
      </c>
      <c r="J37" s="24">
        <v>0</v>
      </c>
      <c r="K37" s="24">
        <v>374</v>
      </c>
      <c r="L37" s="24">
        <v>5</v>
      </c>
      <c r="M37" s="24">
        <f t="shared" si="0"/>
        <v>379</v>
      </c>
      <c r="N37" s="24">
        <v>0</v>
      </c>
      <c r="O37" s="25">
        <f t="shared" si="1"/>
        <v>0.29815303430079154</v>
      </c>
      <c r="P37" s="25">
        <f t="shared" si="2"/>
        <v>0.12928759894459102</v>
      </c>
      <c r="Q37" s="25">
        <f t="shared" si="3"/>
        <v>0.55936675461741425</v>
      </c>
      <c r="R37" s="26">
        <v>381</v>
      </c>
      <c r="S37" s="26">
        <v>12</v>
      </c>
      <c r="T37" s="26">
        <v>55</v>
      </c>
      <c r="U37" s="26">
        <v>2</v>
      </c>
      <c r="V37" s="26">
        <v>450</v>
      </c>
      <c r="W37" s="27">
        <v>0.84666666666666668</v>
      </c>
      <c r="X37" s="27">
        <v>2.6666666666666668E-2</v>
      </c>
      <c r="Y37" s="27">
        <v>0.12222222222222222</v>
      </c>
      <c r="Z37" s="27">
        <v>4.4444444444444444E-3</v>
      </c>
      <c r="AA37" s="28">
        <v>62.864444444444445</v>
      </c>
      <c r="AB37" s="25">
        <f t="shared" si="4"/>
        <v>0.84222222222222221</v>
      </c>
    </row>
    <row r="38" spans="1:28" x14ac:dyDescent="0.25">
      <c r="A38" s="24"/>
      <c r="B38" s="24"/>
      <c r="C38" s="24"/>
      <c r="D38" s="24">
        <v>2</v>
      </c>
      <c r="E38" s="24">
        <v>344</v>
      </c>
      <c r="F38" s="24">
        <v>72</v>
      </c>
      <c r="G38" s="24">
        <v>145</v>
      </c>
      <c r="H38" s="24">
        <v>117</v>
      </c>
      <c r="I38" s="24">
        <v>6</v>
      </c>
      <c r="J38" s="24">
        <v>2</v>
      </c>
      <c r="K38" s="24">
        <v>342</v>
      </c>
      <c r="L38" s="24">
        <v>2</v>
      </c>
      <c r="M38" s="24">
        <f t="shared" si="0"/>
        <v>344</v>
      </c>
      <c r="N38" s="24">
        <v>0</v>
      </c>
      <c r="O38" s="25">
        <f t="shared" si="1"/>
        <v>0.34011627906976744</v>
      </c>
      <c r="P38" s="25">
        <f t="shared" si="2"/>
        <v>0.20930232558139536</v>
      </c>
      <c r="Q38" s="25">
        <f t="shared" si="3"/>
        <v>0.42151162790697677</v>
      </c>
      <c r="R38" s="26">
        <v>333</v>
      </c>
      <c r="S38" s="26">
        <v>23</v>
      </c>
      <c r="T38" s="26">
        <v>86</v>
      </c>
      <c r="U38" s="26">
        <v>8</v>
      </c>
      <c r="V38" s="26">
        <v>450</v>
      </c>
      <c r="W38" s="27">
        <v>0.74</v>
      </c>
      <c r="X38" s="27">
        <v>5.1111111111111114E-2</v>
      </c>
      <c r="Y38" s="27">
        <v>0.19111111111111112</v>
      </c>
      <c r="Z38" s="27">
        <v>1.7777777777777778E-2</v>
      </c>
      <c r="AA38" s="28">
        <v>49.713333333333331</v>
      </c>
      <c r="AB38" s="25">
        <f t="shared" si="4"/>
        <v>0.76444444444444448</v>
      </c>
    </row>
    <row r="39" spans="1:28" x14ac:dyDescent="0.25">
      <c r="A39" s="24"/>
      <c r="B39" s="24"/>
      <c r="C39" s="24"/>
      <c r="D39" s="24">
        <v>3</v>
      </c>
      <c r="E39" s="24">
        <v>480</v>
      </c>
      <c r="F39" s="24">
        <v>107</v>
      </c>
      <c r="G39" s="24">
        <v>233</v>
      </c>
      <c r="H39" s="24">
        <v>130</v>
      </c>
      <c r="I39" s="24">
        <v>2</v>
      </c>
      <c r="J39" s="24">
        <v>4</v>
      </c>
      <c r="K39" s="24">
        <v>476</v>
      </c>
      <c r="L39" s="24">
        <v>4</v>
      </c>
      <c r="M39" s="24">
        <f t="shared" si="0"/>
        <v>480</v>
      </c>
      <c r="N39" s="24">
        <v>0</v>
      </c>
      <c r="O39" s="25">
        <f t="shared" si="1"/>
        <v>0.27083333333333331</v>
      </c>
      <c r="P39" s="25">
        <f t="shared" si="2"/>
        <v>0.22291666666666668</v>
      </c>
      <c r="Q39" s="25">
        <f t="shared" si="3"/>
        <v>0.48541666666666666</v>
      </c>
      <c r="R39" s="26">
        <v>527</v>
      </c>
      <c r="S39" s="26">
        <v>11</v>
      </c>
      <c r="T39" s="26">
        <v>66</v>
      </c>
      <c r="U39" s="26">
        <v>1</v>
      </c>
      <c r="V39" s="26">
        <v>605</v>
      </c>
      <c r="W39" s="27">
        <v>0.87107438016528926</v>
      </c>
      <c r="X39" s="27">
        <v>1.8181818181818181E-2</v>
      </c>
      <c r="Y39" s="27">
        <v>0.10909090909090909</v>
      </c>
      <c r="Z39" s="27">
        <v>1.652892561983471E-3</v>
      </c>
      <c r="AA39" s="28">
        <v>39.104132231404961</v>
      </c>
      <c r="AB39" s="25">
        <f t="shared" si="4"/>
        <v>0.79338842975206614</v>
      </c>
    </row>
    <row r="40" spans="1:28" x14ac:dyDescent="0.25">
      <c r="A40" s="24"/>
      <c r="B40" s="24"/>
      <c r="C40" s="24"/>
      <c r="D40" s="24">
        <v>4</v>
      </c>
      <c r="E40" s="24">
        <v>478</v>
      </c>
      <c r="F40" s="24">
        <v>105</v>
      </c>
      <c r="G40" s="24">
        <v>235</v>
      </c>
      <c r="H40" s="24">
        <v>132</v>
      </c>
      <c r="I40" s="24">
        <v>3</v>
      </c>
      <c r="J40" s="24">
        <v>3</v>
      </c>
      <c r="K40" s="24">
        <v>478</v>
      </c>
      <c r="L40" s="24">
        <v>0</v>
      </c>
      <c r="M40" s="24">
        <f t="shared" si="0"/>
        <v>478</v>
      </c>
      <c r="N40" s="24">
        <v>0</v>
      </c>
      <c r="O40" s="25">
        <f t="shared" si="1"/>
        <v>0.27615062761506276</v>
      </c>
      <c r="P40" s="25">
        <f t="shared" si="2"/>
        <v>0.21966527196652719</v>
      </c>
      <c r="Q40" s="25">
        <f t="shared" si="3"/>
        <v>0.49163179916317989</v>
      </c>
      <c r="R40" s="26">
        <v>512</v>
      </c>
      <c r="S40" s="26">
        <v>14</v>
      </c>
      <c r="T40" s="26">
        <v>79</v>
      </c>
      <c r="U40" s="26">
        <v>1</v>
      </c>
      <c r="V40" s="26">
        <v>606</v>
      </c>
      <c r="W40" s="27">
        <v>0.84488448844884489</v>
      </c>
      <c r="X40" s="27">
        <v>2.3102310231023101E-2</v>
      </c>
      <c r="Y40" s="27">
        <v>0.13036303630363036</v>
      </c>
      <c r="Z40" s="27">
        <v>1.6501650165016502E-3</v>
      </c>
      <c r="AA40" s="28">
        <v>33.049504950495049</v>
      </c>
      <c r="AB40" s="25">
        <f t="shared" si="4"/>
        <v>0.78877887788778878</v>
      </c>
    </row>
    <row r="41" spans="1:28" x14ac:dyDescent="0.25">
      <c r="A41" s="24"/>
      <c r="B41" s="24"/>
      <c r="C41" s="24"/>
      <c r="D41" s="24">
        <v>5</v>
      </c>
      <c r="E41" s="24">
        <v>493</v>
      </c>
      <c r="F41" s="24">
        <v>100</v>
      </c>
      <c r="G41" s="24">
        <v>218</v>
      </c>
      <c r="H41" s="24">
        <v>163</v>
      </c>
      <c r="I41" s="24">
        <v>8</v>
      </c>
      <c r="J41" s="24">
        <v>2</v>
      </c>
      <c r="K41" s="24">
        <v>491</v>
      </c>
      <c r="L41" s="24">
        <v>2</v>
      </c>
      <c r="M41" s="24">
        <f t="shared" si="0"/>
        <v>493</v>
      </c>
      <c r="N41" s="24">
        <v>0</v>
      </c>
      <c r="O41" s="25">
        <f t="shared" si="1"/>
        <v>0.33062880324543609</v>
      </c>
      <c r="P41" s="25">
        <f t="shared" si="2"/>
        <v>0.20283975659229209</v>
      </c>
      <c r="Q41" s="25">
        <f t="shared" si="3"/>
        <v>0.44219066937119678</v>
      </c>
      <c r="R41" s="26">
        <v>494</v>
      </c>
      <c r="S41" s="26">
        <v>20</v>
      </c>
      <c r="T41" s="26">
        <v>92</v>
      </c>
      <c r="U41" s="26">
        <v>0</v>
      </c>
      <c r="V41" s="26">
        <v>606</v>
      </c>
      <c r="W41" s="27">
        <v>0.81518151815181517</v>
      </c>
      <c r="X41" s="27">
        <v>3.3003300330033E-2</v>
      </c>
      <c r="Y41" s="27">
        <v>0.15181518151815182</v>
      </c>
      <c r="Z41" s="27">
        <v>0</v>
      </c>
      <c r="AA41" s="28">
        <v>27.026402640264028</v>
      </c>
      <c r="AB41" s="25">
        <f t="shared" si="4"/>
        <v>0.81353135313531355</v>
      </c>
    </row>
    <row r="42" spans="1:28" x14ac:dyDescent="0.25">
      <c r="A42" s="24"/>
      <c r="B42" s="24"/>
      <c r="C42" s="24"/>
      <c r="D42" s="24">
        <v>6</v>
      </c>
      <c r="E42" s="24">
        <v>497</v>
      </c>
      <c r="F42" s="24">
        <v>119</v>
      </c>
      <c r="G42" s="24">
        <v>191</v>
      </c>
      <c r="H42" s="24">
        <v>167</v>
      </c>
      <c r="I42" s="24">
        <v>8</v>
      </c>
      <c r="J42" s="24">
        <v>6</v>
      </c>
      <c r="K42" s="24">
        <v>491</v>
      </c>
      <c r="L42" s="24">
        <v>6</v>
      </c>
      <c r="M42" s="24">
        <f t="shared" si="0"/>
        <v>497</v>
      </c>
      <c r="N42" s="24">
        <v>0</v>
      </c>
      <c r="O42" s="25">
        <f t="shared" si="1"/>
        <v>0.33601609657947684</v>
      </c>
      <c r="P42" s="25">
        <f t="shared" si="2"/>
        <v>0.23943661971830985</v>
      </c>
      <c r="Q42" s="25">
        <f t="shared" si="3"/>
        <v>0.38430583501006038</v>
      </c>
      <c r="R42" s="26">
        <v>504</v>
      </c>
      <c r="S42" s="26">
        <v>14</v>
      </c>
      <c r="T42" s="26">
        <v>88</v>
      </c>
      <c r="U42" s="26">
        <v>0</v>
      </c>
      <c r="V42" s="26">
        <v>606</v>
      </c>
      <c r="W42" s="27">
        <v>0.83168316831683164</v>
      </c>
      <c r="X42" s="27">
        <v>2.3102310231023101E-2</v>
      </c>
      <c r="Y42" s="27">
        <v>0.14521452145214522</v>
      </c>
      <c r="Z42" s="27">
        <v>0</v>
      </c>
      <c r="AA42" s="28">
        <v>20.971947194719473</v>
      </c>
      <c r="AB42" s="25">
        <f t="shared" si="4"/>
        <v>0.82013201320132012</v>
      </c>
    </row>
    <row r="43" spans="1:28" x14ac:dyDescent="0.25">
      <c r="A43" s="24">
        <v>9</v>
      </c>
      <c r="B43" s="24" t="s">
        <v>183</v>
      </c>
      <c r="C43" s="24" t="s">
        <v>184</v>
      </c>
      <c r="D43" s="24">
        <v>1</v>
      </c>
      <c r="E43" s="24">
        <v>341</v>
      </c>
      <c r="F43" s="24">
        <v>14</v>
      </c>
      <c r="G43" s="24">
        <v>82</v>
      </c>
      <c r="H43" s="24">
        <v>211</v>
      </c>
      <c r="I43" s="24">
        <v>7</v>
      </c>
      <c r="J43" s="24">
        <v>3</v>
      </c>
      <c r="K43" s="24">
        <v>317</v>
      </c>
      <c r="L43" s="24">
        <v>24</v>
      </c>
      <c r="M43" s="24">
        <f t="shared" si="0"/>
        <v>341</v>
      </c>
      <c r="N43" s="24">
        <v>0</v>
      </c>
      <c r="O43" s="25">
        <f t="shared" si="1"/>
        <v>0.61876832844574781</v>
      </c>
      <c r="P43" s="25">
        <f t="shared" si="2"/>
        <v>4.1055718475073312E-2</v>
      </c>
      <c r="Q43" s="25">
        <f t="shared" si="3"/>
        <v>0.2404692082111437</v>
      </c>
      <c r="R43" s="26">
        <v>31</v>
      </c>
      <c r="S43" s="26">
        <v>137</v>
      </c>
      <c r="T43" s="26">
        <v>281</v>
      </c>
      <c r="U43" s="26">
        <v>1</v>
      </c>
      <c r="V43" s="26">
        <v>450</v>
      </c>
      <c r="W43" s="27">
        <v>6.8888888888888888E-2</v>
      </c>
      <c r="X43" s="27">
        <v>0.30444444444444446</v>
      </c>
      <c r="Y43" s="27">
        <v>0.62444444444444447</v>
      </c>
      <c r="Z43" s="27">
        <v>2.2222222222222222E-3</v>
      </c>
      <c r="AA43" s="28">
        <v>65.737777777777779</v>
      </c>
      <c r="AB43" s="25">
        <f t="shared" si="4"/>
        <v>0.75777777777777777</v>
      </c>
    </row>
    <row r="44" spans="1:28" x14ac:dyDescent="0.25">
      <c r="A44" s="24"/>
      <c r="B44" s="24"/>
      <c r="C44" s="24"/>
      <c r="D44" s="24">
        <v>2</v>
      </c>
      <c r="E44" s="24">
        <v>581</v>
      </c>
      <c r="F44" s="24">
        <v>10</v>
      </c>
      <c r="G44" s="24">
        <v>86</v>
      </c>
      <c r="H44" s="24">
        <v>465</v>
      </c>
      <c r="I44" s="24">
        <v>13</v>
      </c>
      <c r="J44" s="24">
        <v>1</v>
      </c>
      <c r="K44" s="24">
        <v>575</v>
      </c>
      <c r="L44" s="24">
        <v>6</v>
      </c>
      <c r="M44" s="24">
        <f t="shared" si="0"/>
        <v>581</v>
      </c>
      <c r="N44" s="24">
        <v>0</v>
      </c>
      <c r="O44" s="25">
        <f t="shared" si="1"/>
        <v>0.80034423407917388</v>
      </c>
      <c r="P44" s="25">
        <f t="shared" si="2"/>
        <v>1.7211703958691909E-2</v>
      </c>
      <c r="Q44" s="25">
        <f t="shared" si="3"/>
        <v>0.14802065404475043</v>
      </c>
      <c r="R44" s="26">
        <v>20</v>
      </c>
      <c r="S44" s="26">
        <v>168</v>
      </c>
      <c r="T44" s="26">
        <v>522</v>
      </c>
      <c r="U44" s="26">
        <v>0</v>
      </c>
      <c r="V44" s="26">
        <v>710</v>
      </c>
      <c r="W44" s="27">
        <v>2.8169014084507043E-2</v>
      </c>
      <c r="X44" s="27">
        <v>0.23661971830985915</v>
      </c>
      <c r="Y44" s="27">
        <v>0.73521126760563382</v>
      </c>
      <c r="Z44" s="27">
        <v>0</v>
      </c>
      <c r="AA44" s="28">
        <v>39.161971830985912</v>
      </c>
      <c r="AB44" s="25">
        <f t="shared" si="4"/>
        <v>0.8183098591549296</v>
      </c>
    </row>
    <row r="45" spans="1:28" x14ac:dyDescent="0.25">
      <c r="A45" s="24">
        <v>10</v>
      </c>
      <c r="B45" s="24" t="s">
        <v>185</v>
      </c>
      <c r="C45" s="24" t="s">
        <v>186</v>
      </c>
      <c r="D45" s="24">
        <v>1</v>
      </c>
      <c r="E45" s="24">
        <v>262</v>
      </c>
      <c r="F45" s="24">
        <v>9</v>
      </c>
      <c r="G45" s="24">
        <v>56</v>
      </c>
      <c r="H45" s="24">
        <v>182</v>
      </c>
      <c r="I45" s="24">
        <v>9</v>
      </c>
      <c r="J45" s="24">
        <v>0</v>
      </c>
      <c r="K45" s="24">
        <v>256</v>
      </c>
      <c r="L45" s="24">
        <v>6</v>
      </c>
      <c r="M45" s="24">
        <f t="shared" si="0"/>
        <v>262</v>
      </c>
      <c r="N45" s="24">
        <v>0</v>
      </c>
      <c r="O45" s="25">
        <f t="shared" si="1"/>
        <v>0.69465648854961837</v>
      </c>
      <c r="P45" s="25">
        <f t="shared" si="2"/>
        <v>3.4351145038167941E-2</v>
      </c>
      <c r="Q45" s="25">
        <f t="shared" si="3"/>
        <v>0.21374045801526717</v>
      </c>
      <c r="R45" s="26">
        <v>18</v>
      </c>
      <c r="S45" s="26">
        <v>125</v>
      </c>
      <c r="T45" s="26">
        <v>207</v>
      </c>
      <c r="U45" s="26">
        <v>0</v>
      </c>
      <c r="V45" s="26">
        <v>350</v>
      </c>
      <c r="W45" s="27">
        <v>5.1428571428571428E-2</v>
      </c>
      <c r="X45" s="27">
        <v>0.35714285714285715</v>
      </c>
      <c r="Y45" s="27">
        <v>0.59142857142857141</v>
      </c>
      <c r="Z45" s="27">
        <v>0</v>
      </c>
      <c r="AA45" s="28">
        <v>65.605714285714285</v>
      </c>
      <c r="AB45" s="25">
        <f t="shared" si="4"/>
        <v>0.74857142857142855</v>
      </c>
    </row>
    <row r="46" spans="1:28" x14ac:dyDescent="0.25">
      <c r="A46" s="24"/>
      <c r="B46" s="24"/>
      <c r="C46" s="24"/>
      <c r="D46" s="24">
        <v>2</v>
      </c>
      <c r="E46" s="24">
        <v>352</v>
      </c>
      <c r="F46" s="24">
        <v>14</v>
      </c>
      <c r="G46" s="24">
        <v>63</v>
      </c>
      <c r="H46" s="24">
        <v>271</v>
      </c>
      <c r="I46" s="24">
        <v>2</v>
      </c>
      <c r="J46" s="24">
        <v>0</v>
      </c>
      <c r="K46" s="24">
        <v>350</v>
      </c>
      <c r="L46" s="24">
        <v>2</v>
      </c>
      <c r="M46" s="24">
        <f t="shared" si="0"/>
        <v>352</v>
      </c>
      <c r="N46" s="24">
        <v>0</v>
      </c>
      <c r="O46" s="25">
        <f t="shared" si="1"/>
        <v>0.76988636363636365</v>
      </c>
      <c r="P46" s="25">
        <f t="shared" si="2"/>
        <v>3.9772727272727272E-2</v>
      </c>
      <c r="Q46" s="25">
        <f t="shared" si="3"/>
        <v>0.17897727272727273</v>
      </c>
      <c r="R46" s="26">
        <v>45</v>
      </c>
      <c r="S46" s="26">
        <v>39</v>
      </c>
      <c r="T46" s="26">
        <v>342</v>
      </c>
      <c r="U46" s="26">
        <v>0</v>
      </c>
      <c r="V46" s="26">
        <v>426</v>
      </c>
      <c r="W46" s="27">
        <v>0.10563380281690141</v>
      </c>
      <c r="X46" s="27">
        <v>9.154929577464789E-2</v>
      </c>
      <c r="Y46" s="27">
        <v>0.80281690140845074</v>
      </c>
      <c r="Z46" s="27">
        <v>0</v>
      </c>
      <c r="AA46" s="28">
        <v>36.124413145539904</v>
      </c>
      <c r="AB46" s="25">
        <f t="shared" si="4"/>
        <v>0.82629107981220662</v>
      </c>
    </row>
    <row r="47" spans="1:28" x14ac:dyDescent="0.25">
      <c r="A47" s="24">
        <v>11</v>
      </c>
      <c r="B47" s="24" t="s">
        <v>187</v>
      </c>
      <c r="C47" s="24" t="s">
        <v>188</v>
      </c>
      <c r="D47" s="24">
        <v>1</v>
      </c>
      <c r="E47" s="24">
        <v>359</v>
      </c>
      <c r="F47" s="24">
        <v>83</v>
      </c>
      <c r="G47" s="24">
        <v>182</v>
      </c>
      <c r="H47" s="24">
        <v>86</v>
      </c>
      <c r="I47" s="24">
        <v>0</v>
      </c>
      <c r="J47" s="24">
        <v>4</v>
      </c>
      <c r="K47" s="24">
        <v>355</v>
      </c>
      <c r="L47" s="24">
        <v>4</v>
      </c>
      <c r="M47" s="24">
        <f t="shared" si="0"/>
        <v>359</v>
      </c>
      <c r="N47" s="24">
        <v>0</v>
      </c>
      <c r="O47" s="25">
        <f t="shared" si="1"/>
        <v>0.23955431754874651</v>
      </c>
      <c r="P47" s="25">
        <f t="shared" si="2"/>
        <v>0.23119777158774374</v>
      </c>
      <c r="Q47" s="25">
        <f t="shared" si="3"/>
        <v>0.50696378830083566</v>
      </c>
      <c r="R47" s="26">
        <v>374</v>
      </c>
      <c r="S47" s="26">
        <v>30</v>
      </c>
      <c r="T47" s="26">
        <v>43</v>
      </c>
      <c r="U47" s="26">
        <v>3</v>
      </c>
      <c r="V47" s="26">
        <v>450</v>
      </c>
      <c r="W47" s="27">
        <v>0.83111111111111113</v>
      </c>
      <c r="X47" s="27">
        <v>6.6666666666666666E-2</v>
      </c>
      <c r="Y47" s="27">
        <v>9.555555555555556E-2</v>
      </c>
      <c r="Z47" s="27">
        <v>6.6666666666666671E-3</v>
      </c>
      <c r="AA47" s="28">
        <v>63.602222222222224</v>
      </c>
      <c r="AB47" s="25">
        <f t="shared" si="4"/>
        <v>0.79777777777777781</v>
      </c>
    </row>
    <row r="48" spans="1:28" x14ac:dyDescent="0.25">
      <c r="A48" s="24"/>
      <c r="B48" s="24"/>
      <c r="C48" s="24"/>
      <c r="D48" s="24">
        <v>2</v>
      </c>
      <c r="E48" s="24">
        <v>393</v>
      </c>
      <c r="F48" s="24">
        <v>91</v>
      </c>
      <c r="G48" s="24">
        <v>196</v>
      </c>
      <c r="H48" s="24">
        <v>100</v>
      </c>
      <c r="I48" s="24">
        <v>1</v>
      </c>
      <c r="J48" s="24">
        <v>3</v>
      </c>
      <c r="K48" s="24">
        <v>391</v>
      </c>
      <c r="L48" s="24">
        <v>2</v>
      </c>
      <c r="M48" s="24">
        <f t="shared" si="0"/>
        <v>393</v>
      </c>
      <c r="N48" s="24">
        <v>0</v>
      </c>
      <c r="O48" s="25">
        <f t="shared" si="1"/>
        <v>0.2544529262086514</v>
      </c>
      <c r="P48" s="25">
        <f t="shared" si="2"/>
        <v>0.23155216284987276</v>
      </c>
      <c r="Q48" s="25">
        <f t="shared" si="3"/>
        <v>0.49872773536895676</v>
      </c>
      <c r="R48" s="26">
        <v>401</v>
      </c>
      <c r="S48" s="26">
        <v>21</v>
      </c>
      <c r="T48" s="26">
        <v>28</v>
      </c>
      <c r="U48" s="26">
        <v>0</v>
      </c>
      <c r="V48" s="26">
        <v>450</v>
      </c>
      <c r="W48" s="27">
        <v>0.89111111111111108</v>
      </c>
      <c r="X48" s="27">
        <v>4.6666666666666669E-2</v>
      </c>
      <c r="Y48" s="27">
        <v>6.222222222222222E-2</v>
      </c>
      <c r="Z48" s="27">
        <v>0</v>
      </c>
      <c r="AA48" s="28">
        <v>58.275555555555556</v>
      </c>
      <c r="AB48" s="25">
        <f t="shared" si="4"/>
        <v>0.87333333333333329</v>
      </c>
    </row>
    <row r="49" spans="1:28" x14ac:dyDescent="0.25">
      <c r="A49" s="24"/>
      <c r="B49" s="24"/>
      <c r="C49" s="24"/>
      <c r="D49" s="24">
        <v>3</v>
      </c>
      <c r="E49" s="24">
        <v>498</v>
      </c>
      <c r="F49" s="24">
        <v>180</v>
      </c>
      <c r="G49" s="24">
        <v>186</v>
      </c>
      <c r="H49" s="24">
        <v>123</v>
      </c>
      <c r="I49" s="24">
        <v>1</v>
      </c>
      <c r="J49" s="24">
        <v>7</v>
      </c>
      <c r="K49" s="24">
        <v>497</v>
      </c>
      <c r="L49" s="24">
        <v>1</v>
      </c>
      <c r="M49" s="24">
        <f t="shared" si="0"/>
        <v>498</v>
      </c>
      <c r="N49" s="24">
        <v>0</v>
      </c>
      <c r="O49" s="25">
        <f t="shared" si="1"/>
        <v>0.24698795180722891</v>
      </c>
      <c r="P49" s="25">
        <f t="shared" si="2"/>
        <v>0.36144578313253012</v>
      </c>
      <c r="Q49" s="25">
        <f t="shared" si="3"/>
        <v>0.37349397590361444</v>
      </c>
      <c r="R49" s="26">
        <v>513</v>
      </c>
      <c r="S49" s="26">
        <v>44</v>
      </c>
      <c r="T49" s="26">
        <v>53</v>
      </c>
      <c r="U49" s="26">
        <v>7</v>
      </c>
      <c r="V49" s="26">
        <v>617</v>
      </c>
      <c r="W49" s="27">
        <v>0.83144246353322526</v>
      </c>
      <c r="X49" s="27">
        <v>7.1312803889789306E-2</v>
      </c>
      <c r="Y49" s="27">
        <v>8.5899513776337116E-2</v>
      </c>
      <c r="Z49" s="27">
        <v>1.1345218800648298E-2</v>
      </c>
      <c r="AA49" s="28">
        <v>47.35008103727715</v>
      </c>
      <c r="AB49" s="25">
        <f t="shared" si="4"/>
        <v>0.80713128038897897</v>
      </c>
    </row>
    <row r="50" spans="1:28" x14ac:dyDescent="0.25">
      <c r="A50" s="24"/>
      <c r="B50" s="24"/>
      <c r="C50" s="24"/>
      <c r="D50" s="24">
        <v>4</v>
      </c>
      <c r="E50" s="24">
        <v>468</v>
      </c>
      <c r="F50" s="24">
        <v>129</v>
      </c>
      <c r="G50" s="24">
        <v>217</v>
      </c>
      <c r="H50" s="24">
        <v>117</v>
      </c>
      <c r="I50" s="24">
        <v>1</v>
      </c>
      <c r="J50" s="24">
        <v>2</v>
      </c>
      <c r="K50" s="24">
        <v>466</v>
      </c>
      <c r="L50" s="24">
        <v>2</v>
      </c>
      <c r="M50" s="24">
        <f t="shared" si="0"/>
        <v>468</v>
      </c>
      <c r="N50" s="24">
        <v>0</v>
      </c>
      <c r="O50" s="25">
        <f t="shared" si="1"/>
        <v>0.25</v>
      </c>
      <c r="P50" s="25">
        <f t="shared" si="2"/>
        <v>0.27564102564102566</v>
      </c>
      <c r="Q50" s="25">
        <f t="shared" si="3"/>
        <v>0.46367521367521369</v>
      </c>
      <c r="R50" s="26">
        <v>546</v>
      </c>
      <c r="S50" s="26">
        <v>27</v>
      </c>
      <c r="T50" s="26">
        <v>41</v>
      </c>
      <c r="U50" s="26">
        <v>3</v>
      </c>
      <c r="V50" s="26">
        <v>617</v>
      </c>
      <c r="W50" s="27">
        <v>0.88492706645056729</v>
      </c>
      <c r="X50" s="27">
        <v>4.3760129659643439E-2</v>
      </c>
      <c r="Y50" s="27">
        <v>6.6450567260940036E-2</v>
      </c>
      <c r="Z50" s="27">
        <v>4.8622366288492711E-3</v>
      </c>
      <c r="AA50" s="28">
        <v>37.771474878444081</v>
      </c>
      <c r="AB50" s="25">
        <f t="shared" si="4"/>
        <v>0.75850891410048626</v>
      </c>
    </row>
    <row r="51" spans="1:28" x14ac:dyDescent="0.25">
      <c r="A51" s="24"/>
      <c r="B51" s="24"/>
      <c r="C51" s="24"/>
      <c r="D51" s="24">
        <v>5</v>
      </c>
      <c r="E51" s="24">
        <v>464</v>
      </c>
      <c r="F51" s="24">
        <v>128</v>
      </c>
      <c r="G51" s="24">
        <v>216</v>
      </c>
      <c r="H51" s="24">
        <v>112</v>
      </c>
      <c r="I51" s="24">
        <v>4</v>
      </c>
      <c r="J51" s="24">
        <v>2</v>
      </c>
      <c r="K51" s="24">
        <v>462</v>
      </c>
      <c r="L51" s="24">
        <v>2</v>
      </c>
      <c r="M51" s="24">
        <f t="shared" si="0"/>
        <v>464</v>
      </c>
      <c r="N51" s="24">
        <v>0</v>
      </c>
      <c r="O51" s="25">
        <f t="shared" si="1"/>
        <v>0.2413793103448276</v>
      </c>
      <c r="P51" s="25">
        <f t="shared" si="2"/>
        <v>0.27586206896551724</v>
      </c>
      <c r="Q51" s="25">
        <f t="shared" si="3"/>
        <v>0.46551724137931033</v>
      </c>
      <c r="R51" s="26">
        <v>577</v>
      </c>
      <c r="S51" s="26">
        <v>14</v>
      </c>
      <c r="T51" s="26">
        <v>25</v>
      </c>
      <c r="U51" s="26">
        <v>1</v>
      </c>
      <c r="V51" s="26">
        <v>617</v>
      </c>
      <c r="W51" s="27">
        <v>0.93517017828200977</v>
      </c>
      <c r="X51" s="27">
        <v>2.2690437601296597E-2</v>
      </c>
      <c r="Y51" s="27">
        <v>4.0518638573743923E-2</v>
      </c>
      <c r="Z51" s="27">
        <v>1.6207455429497568E-3</v>
      </c>
      <c r="AA51" s="28">
        <v>31.852512155591572</v>
      </c>
      <c r="AB51" s="25">
        <f t="shared" si="4"/>
        <v>0.75202593192868716</v>
      </c>
    </row>
    <row r="52" spans="1:28" x14ac:dyDescent="0.25">
      <c r="A52" s="24"/>
      <c r="B52" s="24"/>
      <c r="C52" s="24"/>
      <c r="D52" s="24">
        <v>6</v>
      </c>
      <c r="E52" s="24">
        <v>480</v>
      </c>
      <c r="F52" s="24">
        <v>134</v>
      </c>
      <c r="G52" s="24">
        <v>202</v>
      </c>
      <c r="H52" s="24">
        <v>142</v>
      </c>
      <c r="I52" s="24">
        <v>1</v>
      </c>
      <c r="J52" s="24">
        <v>1</v>
      </c>
      <c r="K52" s="24">
        <v>480</v>
      </c>
      <c r="L52" s="24">
        <v>0</v>
      </c>
      <c r="M52" s="24">
        <f t="shared" si="0"/>
        <v>480</v>
      </c>
      <c r="N52" s="24">
        <v>0</v>
      </c>
      <c r="O52" s="25">
        <f t="shared" si="1"/>
        <v>0.29583333333333334</v>
      </c>
      <c r="P52" s="25">
        <f t="shared" si="2"/>
        <v>0.27916666666666667</v>
      </c>
      <c r="Q52" s="25">
        <f t="shared" si="3"/>
        <v>0.42083333333333334</v>
      </c>
      <c r="R52" s="26">
        <v>560</v>
      </c>
      <c r="S52" s="26">
        <v>35</v>
      </c>
      <c r="T52" s="26">
        <v>21</v>
      </c>
      <c r="U52" s="26">
        <v>1</v>
      </c>
      <c r="V52" s="26">
        <v>617</v>
      </c>
      <c r="W52" s="27">
        <v>0.90761750405186381</v>
      </c>
      <c r="X52" s="27">
        <v>5.6726094003241488E-2</v>
      </c>
      <c r="Y52" s="27">
        <v>3.4035656401944892E-2</v>
      </c>
      <c r="Z52" s="27">
        <v>1.6207455429497568E-3</v>
      </c>
      <c r="AA52" s="28">
        <v>26.698541329011345</v>
      </c>
      <c r="AB52" s="25">
        <f t="shared" si="4"/>
        <v>0.77795786061588335</v>
      </c>
    </row>
    <row r="53" spans="1:28" x14ac:dyDescent="0.25">
      <c r="A53" s="24"/>
      <c r="B53" s="24"/>
      <c r="C53" s="24"/>
      <c r="D53" s="24">
        <v>7</v>
      </c>
      <c r="E53" s="24">
        <v>511</v>
      </c>
      <c r="F53" s="24">
        <v>193</v>
      </c>
      <c r="G53" s="24">
        <v>200</v>
      </c>
      <c r="H53" s="24">
        <v>113</v>
      </c>
      <c r="I53" s="24">
        <v>1</v>
      </c>
      <c r="J53" s="24">
        <v>1</v>
      </c>
      <c r="K53" s="24">
        <v>508</v>
      </c>
      <c r="L53" s="24">
        <v>3</v>
      </c>
      <c r="M53" s="24">
        <f t="shared" si="0"/>
        <v>511</v>
      </c>
      <c r="N53" s="24">
        <v>0</v>
      </c>
      <c r="O53" s="25">
        <f t="shared" si="1"/>
        <v>0.22113502935420742</v>
      </c>
      <c r="P53" s="25">
        <f t="shared" si="2"/>
        <v>0.37769080234833657</v>
      </c>
      <c r="Q53" s="25">
        <f t="shared" si="3"/>
        <v>0.39138943248532287</v>
      </c>
      <c r="R53" s="26">
        <v>564</v>
      </c>
      <c r="S53" s="26">
        <v>24</v>
      </c>
      <c r="T53" s="26">
        <v>29</v>
      </c>
      <c r="U53" s="26">
        <v>1</v>
      </c>
      <c r="V53" s="26">
        <v>618</v>
      </c>
      <c r="W53" s="27">
        <v>0.91262135922330101</v>
      </c>
      <c r="X53" s="27">
        <v>3.8834951456310676E-2</v>
      </c>
      <c r="Y53" s="27">
        <v>4.6925566343042069E-2</v>
      </c>
      <c r="Z53" s="27">
        <v>1.6181229773462784E-3</v>
      </c>
      <c r="AA53" s="28">
        <v>21</v>
      </c>
      <c r="AB53" s="25">
        <f t="shared" si="4"/>
        <v>0.82686084142394822</v>
      </c>
    </row>
    <row r="54" spans="1:28" x14ac:dyDescent="0.25">
      <c r="A54" s="24">
        <v>11</v>
      </c>
      <c r="B54" s="24" t="s">
        <v>187</v>
      </c>
      <c r="C54" s="24" t="s">
        <v>189</v>
      </c>
      <c r="D54" s="24">
        <v>1</v>
      </c>
      <c r="E54" s="24">
        <v>362</v>
      </c>
      <c r="F54" s="24">
        <v>67</v>
      </c>
      <c r="G54" s="24">
        <v>238</v>
      </c>
      <c r="H54" s="24">
        <v>45</v>
      </c>
      <c r="I54" s="24">
        <v>0</v>
      </c>
      <c r="J54" s="24">
        <v>6</v>
      </c>
      <c r="K54" s="24">
        <v>356</v>
      </c>
      <c r="L54" s="24">
        <v>6</v>
      </c>
      <c r="M54" s="24">
        <f t="shared" si="0"/>
        <v>362</v>
      </c>
      <c r="N54" s="24">
        <v>0</v>
      </c>
      <c r="O54" s="25">
        <f t="shared" si="1"/>
        <v>0.12430939226519337</v>
      </c>
      <c r="P54" s="25">
        <f t="shared" si="2"/>
        <v>0.18508287292817679</v>
      </c>
      <c r="Q54" s="25">
        <f t="shared" si="3"/>
        <v>0.65745856353591159</v>
      </c>
      <c r="R54" s="26">
        <v>441</v>
      </c>
      <c r="S54" s="26">
        <v>3</v>
      </c>
      <c r="T54" s="26">
        <v>5</v>
      </c>
      <c r="U54" s="26">
        <v>1</v>
      </c>
      <c r="V54" s="26">
        <v>450</v>
      </c>
      <c r="W54" s="27">
        <v>0.98</v>
      </c>
      <c r="X54" s="27">
        <v>6.6666666666666671E-3</v>
      </c>
      <c r="Y54" s="27">
        <v>1.1111111111111112E-2</v>
      </c>
      <c r="Z54" s="27">
        <v>2.2222222222222222E-3</v>
      </c>
      <c r="AA54" s="28">
        <v>64.168888888888887</v>
      </c>
      <c r="AB54" s="25">
        <f t="shared" si="4"/>
        <v>0.80444444444444441</v>
      </c>
    </row>
    <row r="55" spans="1:28" x14ac:dyDescent="0.25">
      <c r="A55" s="24"/>
      <c r="B55" s="24"/>
      <c r="C55" s="24"/>
      <c r="D55" s="24">
        <v>2</v>
      </c>
      <c r="E55" s="24">
        <v>557</v>
      </c>
      <c r="F55" s="24">
        <v>170</v>
      </c>
      <c r="G55" s="24">
        <v>290</v>
      </c>
      <c r="H55" s="24">
        <v>92</v>
      </c>
      <c r="I55" s="24">
        <v>1</v>
      </c>
      <c r="J55" s="24">
        <v>2</v>
      </c>
      <c r="K55" s="24">
        <v>555</v>
      </c>
      <c r="L55" s="24">
        <v>2</v>
      </c>
      <c r="M55" s="24">
        <f t="shared" si="0"/>
        <v>557</v>
      </c>
      <c r="N55" s="24">
        <v>0</v>
      </c>
      <c r="O55" s="25">
        <f t="shared" si="1"/>
        <v>0.16517055655296231</v>
      </c>
      <c r="P55" s="25">
        <f t="shared" si="2"/>
        <v>0.30520646319569122</v>
      </c>
      <c r="Q55" s="25">
        <f t="shared" si="3"/>
        <v>0.52064631956912033</v>
      </c>
      <c r="R55" s="26">
        <v>673</v>
      </c>
      <c r="S55" s="26">
        <v>2</v>
      </c>
      <c r="T55" s="26">
        <v>7</v>
      </c>
      <c r="U55" s="26">
        <v>7</v>
      </c>
      <c r="V55" s="26">
        <v>689</v>
      </c>
      <c r="W55" s="27">
        <v>0.97677793904208998</v>
      </c>
      <c r="X55" s="27">
        <v>2.9027576197387518E-3</v>
      </c>
      <c r="Y55" s="27">
        <v>1.0159651669085631E-2</v>
      </c>
      <c r="Z55" s="27">
        <v>1.0159651669085631E-2</v>
      </c>
      <c r="AA55" s="28">
        <v>47.850507982583451</v>
      </c>
      <c r="AB55" s="25">
        <f t="shared" si="4"/>
        <v>0.80841799709724238</v>
      </c>
    </row>
    <row r="56" spans="1:28" x14ac:dyDescent="0.25">
      <c r="A56" s="24"/>
      <c r="B56" s="24"/>
      <c r="C56" s="24"/>
      <c r="D56" s="24">
        <v>3</v>
      </c>
      <c r="E56" s="24">
        <v>527</v>
      </c>
      <c r="F56" s="24">
        <v>154</v>
      </c>
      <c r="G56" s="24">
        <v>276</v>
      </c>
      <c r="H56" s="24">
        <v>89</v>
      </c>
      <c r="I56" s="24">
        <v>0</v>
      </c>
      <c r="J56" s="24">
        <v>5</v>
      </c>
      <c r="K56" s="24">
        <v>524</v>
      </c>
      <c r="L56" s="24">
        <v>3</v>
      </c>
      <c r="M56" s="24">
        <f t="shared" si="0"/>
        <v>527</v>
      </c>
      <c r="N56" s="24">
        <v>0</v>
      </c>
      <c r="O56" s="25">
        <f t="shared" si="1"/>
        <v>0.16888045540796964</v>
      </c>
      <c r="P56" s="25">
        <f t="shared" si="2"/>
        <v>0.29222011385199242</v>
      </c>
      <c r="Q56" s="25">
        <f t="shared" si="3"/>
        <v>0.52371916508538896</v>
      </c>
      <c r="R56" s="26">
        <v>677</v>
      </c>
      <c r="S56" s="26">
        <v>1</v>
      </c>
      <c r="T56" s="26">
        <v>10</v>
      </c>
      <c r="U56" s="26">
        <v>1</v>
      </c>
      <c r="V56" s="26">
        <v>689</v>
      </c>
      <c r="W56" s="27">
        <v>0.98258345428156746</v>
      </c>
      <c r="X56" s="27">
        <v>1.4513788098693759E-3</v>
      </c>
      <c r="Y56" s="27">
        <v>1.4513788098693759E-2</v>
      </c>
      <c r="Z56" s="27">
        <v>1.4513788098693759E-3</v>
      </c>
      <c r="AA56" s="28">
        <v>32.925979680696663</v>
      </c>
      <c r="AB56" s="25">
        <f t="shared" si="4"/>
        <v>0.76487663280116114</v>
      </c>
    </row>
    <row r="57" spans="1:28" x14ac:dyDescent="0.25">
      <c r="A57" s="24"/>
      <c r="B57" s="24"/>
      <c r="C57" s="24"/>
      <c r="D57" s="24">
        <v>4</v>
      </c>
      <c r="E57" s="24">
        <v>581</v>
      </c>
      <c r="F57" s="24">
        <v>196</v>
      </c>
      <c r="G57" s="24">
        <v>268</v>
      </c>
      <c r="H57" s="24">
        <v>113</v>
      </c>
      <c r="I57" s="24">
        <v>0</v>
      </c>
      <c r="J57" s="24">
        <v>1</v>
      </c>
      <c r="K57" s="24">
        <v>578</v>
      </c>
      <c r="L57" s="24">
        <v>3</v>
      </c>
      <c r="M57" s="24">
        <f t="shared" si="0"/>
        <v>581</v>
      </c>
      <c r="N57" s="24">
        <v>0</v>
      </c>
      <c r="O57" s="25">
        <f t="shared" si="1"/>
        <v>0.1944922547332186</v>
      </c>
      <c r="P57" s="25">
        <f t="shared" si="2"/>
        <v>0.33734939759036142</v>
      </c>
      <c r="Q57" s="25">
        <f t="shared" si="3"/>
        <v>0.46127366609294318</v>
      </c>
      <c r="R57" s="26">
        <v>683</v>
      </c>
      <c r="S57" s="26">
        <v>1</v>
      </c>
      <c r="T57" s="26">
        <v>5</v>
      </c>
      <c r="U57" s="26">
        <v>0</v>
      </c>
      <c r="V57" s="26">
        <v>689</v>
      </c>
      <c r="W57" s="27">
        <v>0.99129172714078373</v>
      </c>
      <c r="X57" s="27">
        <v>1.4513788098693759E-3</v>
      </c>
      <c r="Y57" s="27">
        <v>7.2568940493468797E-3</v>
      </c>
      <c r="Z57" s="27">
        <v>0</v>
      </c>
      <c r="AA57" s="28">
        <v>23.084179970972425</v>
      </c>
      <c r="AB57" s="25">
        <f t="shared" si="4"/>
        <v>0.84325108853410735</v>
      </c>
    </row>
    <row r="58" spans="1:28" x14ac:dyDescent="0.25">
      <c r="A58" s="24">
        <v>12</v>
      </c>
      <c r="B58" s="24" t="s">
        <v>190</v>
      </c>
      <c r="C58" s="24" t="s">
        <v>191</v>
      </c>
      <c r="D58" s="24">
        <v>1</v>
      </c>
      <c r="E58" s="24">
        <v>348</v>
      </c>
      <c r="F58" s="24">
        <v>55</v>
      </c>
      <c r="G58" s="24">
        <v>143</v>
      </c>
      <c r="H58" s="24">
        <v>121</v>
      </c>
      <c r="I58" s="24">
        <v>4</v>
      </c>
      <c r="J58" s="24">
        <v>10</v>
      </c>
      <c r="K58" s="24">
        <v>333</v>
      </c>
      <c r="L58" s="24">
        <v>15</v>
      </c>
      <c r="M58" s="24">
        <f t="shared" si="0"/>
        <v>348</v>
      </c>
      <c r="N58" s="24">
        <v>0</v>
      </c>
      <c r="O58" s="25">
        <f t="shared" si="1"/>
        <v>0.34770114942528735</v>
      </c>
      <c r="P58" s="25">
        <f t="shared" si="2"/>
        <v>0.15804597701149425</v>
      </c>
      <c r="Q58" s="25">
        <f t="shared" si="3"/>
        <v>0.41091954022988508</v>
      </c>
      <c r="R58" s="26">
        <v>269</v>
      </c>
      <c r="S58" s="26">
        <v>53</v>
      </c>
      <c r="T58" s="26">
        <v>127</v>
      </c>
      <c r="U58" s="26">
        <v>1</v>
      </c>
      <c r="V58" s="26">
        <v>450</v>
      </c>
      <c r="W58" s="27">
        <v>0.59777777777777774</v>
      </c>
      <c r="X58" s="27">
        <v>0.11777777777777777</v>
      </c>
      <c r="Y58" s="27">
        <v>0.28222222222222221</v>
      </c>
      <c r="Z58" s="27">
        <v>2.2222222222222222E-3</v>
      </c>
      <c r="AA58" s="28">
        <v>65.426666666666662</v>
      </c>
      <c r="AB58" s="25">
        <f t="shared" si="4"/>
        <v>0.77333333333333332</v>
      </c>
    </row>
    <row r="59" spans="1:28" x14ac:dyDescent="0.25">
      <c r="A59" s="24"/>
      <c r="B59" s="24"/>
      <c r="C59" s="24"/>
      <c r="D59" s="24">
        <v>2</v>
      </c>
      <c r="E59" s="24">
        <v>400</v>
      </c>
      <c r="F59" s="24">
        <v>79</v>
      </c>
      <c r="G59" s="24">
        <v>164</v>
      </c>
      <c r="H59" s="24">
        <v>145</v>
      </c>
      <c r="I59" s="24">
        <v>6</v>
      </c>
      <c r="J59" s="24">
        <v>2</v>
      </c>
      <c r="K59" s="24">
        <v>396</v>
      </c>
      <c r="L59" s="24">
        <v>4</v>
      </c>
      <c r="M59" s="24">
        <f t="shared" si="0"/>
        <v>400</v>
      </c>
      <c r="N59" s="24">
        <v>0</v>
      </c>
      <c r="O59" s="25">
        <f t="shared" si="1"/>
        <v>0.36249999999999999</v>
      </c>
      <c r="P59" s="25">
        <f t="shared" si="2"/>
        <v>0.19750000000000001</v>
      </c>
      <c r="Q59" s="25">
        <f t="shared" si="3"/>
        <v>0.41</v>
      </c>
      <c r="R59" s="26">
        <v>332</v>
      </c>
      <c r="S59" s="26">
        <v>25</v>
      </c>
      <c r="T59" s="26">
        <v>93</v>
      </c>
      <c r="U59" s="26">
        <v>0</v>
      </c>
      <c r="V59" s="26">
        <v>450</v>
      </c>
      <c r="W59" s="27">
        <v>0.73777777777777775</v>
      </c>
      <c r="X59" s="27">
        <v>5.5555555555555552E-2</v>
      </c>
      <c r="Y59" s="27">
        <v>0.20666666666666667</v>
      </c>
      <c r="Z59" s="27">
        <v>0</v>
      </c>
      <c r="AA59" s="28">
        <v>55.713333333333331</v>
      </c>
      <c r="AB59" s="25">
        <f t="shared" si="4"/>
        <v>0.88888888888888884</v>
      </c>
    </row>
    <row r="60" spans="1:28" x14ac:dyDescent="0.25">
      <c r="A60" s="24"/>
      <c r="B60" s="24"/>
      <c r="C60" s="24"/>
      <c r="D60" s="24">
        <v>3</v>
      </c>
      <c r="E60" s="24">
        <v>567</v>
      </c>
      <c r="F60" s="24">
        <v>157</v>
      </c>
      <c r="G60" s="24">
        <v>217</v>
      </c>
      <c r="H60" s="24">
        <v>182</v>
      </c>
      <c r="I60" s="24">
        <v>6</v>
      </c>
      <c r="J60" s="24">
        <v>3</v>
      </c>
      <c r="K60" s="24">
        <v>565</v>
      </c>
      <c r="L60" s="24">
        <v>1</v>
      </c>
      <c r="M60" s="24">
        <f t="shared" si="0"/>
        <v>566</v>
      </c>
      <c r="N60" s="24">
        <v>1</v>
      </c>
      <c r="O60" s="25">
        <f t="shared" si="1"/>
        <v>0.32155477031802121</v>
      </c>
      <c r="P60" s="25">
        <f t="shared" si="2"/>
        <v>0.27738515901060068</v>
      </c>
      <c r="Q60" s="25">
        <f t="shared" si="3"/>
        <v>0.3833922261484099</v>
      </c>
      <c r="R60" s="26">
        <v>517</v>
      </c>
      <c r="S60" s="26">
        <v>22</v>
      </c>
      <c r="T60" s="26">
        <v>130</v>
      </c>
      <c r="U60" s="26">
        <v>9</v>
      </c>
      <c r="V60" s="26">
        <v>678</v>
      </c>
      <c r="W60" s="27">
        <v>0.76253687315634222</v>
      </c>
      <c r="X60" s="27">
        <v>3.2448377581120944E-2</v>
      </c>
      <c r="Y60" s="27">
        <v>0.19174041297935104</v>
      </c>
      <c r="Z60" s="27">
        <v>1.3274336283185841E-2</v>
      </c>
      <c r="AA60" s="28">
        <v>43.262536873156343</v>
      </c>
      <c r="AB60" s="25">
        <f t="shared" si="4"/>
        <v>0.83480825958702065</v>
      </c>
    </row>
    <row r="61" spans="1:28" x14ac:dyDescent="0.25">
      <c r="A61" s="24"/>
      <c r="B61" s="24"/>
      <c r="C61" s="24"/>
      <c r="D61" s="24">
        <v>4</v>
      </c>
      <c r="E61" s="24">
        <v>544</v>
      </c>
      <c r="F61" s="24">
        <v>111</v>
      </c>
      <c r="G61" s="24">
        <v>248</v>
      </c>
      <c r="H61" s="24">
        <v>179</v>
      </c>
      <c r="I61" s="24">
        <v>3</v>
      </c>
      <c r="J61" s="24">
        <v>1</v>
      </c>
      <c r="K61" s="24">
        <v>542</v>
      </c>
      <c r="L61" s="24">
        <v>2</v>
      </c>
      <c r="M61" s="24">
        <f t="shared" si="0"/>
        <v>544</v>
      </c>
      <c r="N61" s="24">
        <v>0</v>
      </c>
      <c r="O61" s="25">
        <f t="shared" si="1"/>
        <v>0.32904411764705882</v>
      </c>
      <c r="P61" s="25">
        <f t="shared" si="2"/>
        <v>0.20404411764705882</v>
      </c>
      <c r="Q61" s="25">
        <f t="shared" si="3"/>
        <v>0.45588235294117646</v>
      </c>
      <c r="R61" s="26">
        <v>587</v>
      </c>
      <c r="S61" s="26">
        <v>13</v>
      </c>
      <c r="T61" s="26">
        <v>77</v>
      </c>
      <c r="U61" s="26">
        <v>1</v>
      </c>
      <c r="V61" s="26">
        <v>678</v>
      </c>
      <c r="W61" s="27">
        <v>0.86578171091445433</v>
      </c>
      <c r="X61" s="27">
        <v>1.9174041297935103E-2</v>
      </c>
      <c r="Y61" s="27">
        <v>0.11356932153392331</v>
      </c>
      <c r="Z61" s="27">
        <v>1.4749262536873156E-3</v>
      </c>
      <c r="AA61" s="28">
        <v>31.567846607669615</v>
      </c>
      <c r="AB61" s="25">
        <f t="shared" si="4"/>
        <v>0.80235988200589969</v>
      </c>
    </row>
    <row r="62" spans="1:28" x14ac:dyDescent="0.25">
      <c r="A62" s="24"/>
      <c r="B62" s="24"/>
      <c r="C62" s="24"/>
      <c r="D62" s="24">
        <v>5</v>
      </c>
      <c r="E62" s="24">
        <v>580</v>
      </c>
      <c r="F62" s="24">
        <v>115</v>
      </c>
      <c r="G62" s="24">
        <v>244</v>
      </c>
      <c r="H62" s="24">
        <v>207</v>
      </c>
      <c r="I62" s="24">
        <v>9</v>
      </c>
      <c r="J62" s="24">
        <v>5</v>
      </c>
      <c r="K62" s="24">
        <v>580</v>
      </c>
      <c r="L62" s="24">
        <v>0</v>
      </c>
      <c r="M62" s="24">
        <f t="shared" si="0"/>
        <v>580</v>
      </c>
      <c r="N62" s="24">
        <v>0</v>
      </c>
      <c r="O62" s="25">
        <f t="shared" si="1"/>
        <v>0.35689655172413792</v>
      </c>
      <c r="P62" s="25">
        <f t="shared" si="2"/>
        <v>0.19827586206896552</v>
      </c>
      <c r="Q62" s="25">
        <f t="shared" si="3"/>
        <v>0.4206896551724138</v>
      </c>
      <c r="R62" s="26">
        <v>600</v>
      </c>
      <c r="S62" s="26">
        <v>6</v>
      </c>
      <c r="T62" s="26">
        <v>72</v>
      </c>
      <c r="U62" s="26">
        <v>0</v>
      </c>
      <c r="V62" s="26">
        <v>678</v>
      </c>
      <c r="W62" s="27">
        <v>0.88495575221238942</v>
      </c>
      <c r="X62" s="27">
        <v>8.8495575221238937E-3</v>
      </c>
      <c r="Y62" s="27">
        <v>0.10619469026548672</v>
      </c>
      <c r="Z62" s="27">
        <v>0</v>
      </c>
      <c r="AA62" s="28">
        <v>25.547197640117993</v>
      </c>
      <c r="AB62" s="25">
        <f t="shared" si="4"/>
        <v>0.85545722713864303</v>
      </c>
    </row>
    <row r="63" spans="1:28" x14ac:dyDescent="0.25">
      <c r="A63" s="24"/>
      <c r="B63" s="24"/>
      <c r="C63" s="24"/>
      <c r="D63" s="24">
        <v>6</v>
      </c>
      <c r="E63" s="24">
        <v>599</v>
      </c>
      <c r="F63" s="24">
        <v>185</v>
      </c>
      <c r="G63" s="24">
        <v>208</v>
      </c>
      <c r="H63" s="24">
        <v>195</v>
      </c>
      <c r="I63" s="24">
        <v>7</v>
      </c>
      <c r="J63" s="24">
        <v>2</v>
      </c>
      <c r="K63" s="24">
        <v>597</v>
      </c>
      <c r="L63" s="24">
        <v>2</v>
      </c>
      <c r="M63" s="24">
        <f t="shared" si="0"/>
        <v>599</v>
      </c>
      <c r="N63" s="24">
        <v>0</v>
      </c>
      <c r="O63" s="25">
        <f t="shared" si="1"/>
        <v>0.32554257095158595</v>
      </c>
      <c r="P63" s="25">
        <f t="shared" si="2"/>
        <v>0.30884808013355591</v>
      </c>
      <c r="Q63" s="25">
        <f t="shared" si="3"/>
        <v>0.34724540901502504</v>
      </c>
      <c r="R63" s="26">
        <v>597</v>
      </c>
      <c r="S63" s="26">
        <v>6</v>
      </c>
      <c r="T63" s="26">
        <v>76</v>
      </c>
      <c r="U63" s="26">
        <v>0</v>
      </c>
      <c r="V63" s="26">
        <v>679</v>
      </c>
      <c r="W63" s="27">
        <v>0.87923416789396169</v>
      </c>
      <c r="X63" s="27">
        <v>8.836524300441826E-3</v>
      </c>
      <c r="Y63" s="27">
        <v>0.11192930780559647</v>
      </c>
      <c r="Z63" s="27">
        <v>0</v>
      </c>
      <c r="AA63" s="28">
        <v>20.521354933726069</v>
      </c>
      <c r="AB63" s="25">
        <f t="shared" si="4"/>
        <v>0.88217967599410896</v>
      </c>
    </row>
    <row r="64" spans="1:28" x14ac:dyDescent="0.25">
      <c r="A64" s="24"/>
      <c r="B64" s="24"/>
      <c r="C64" s="24" t="s">
        <v>192</v>
      </c>
      <c r="D64" s="24">
        <v>1</v>
      </c>
      <c r="E64" s="24">
        <v>353</v>
      </c>
      <c r="F64" s="24">
        <v>47</v>
      </c>
      <c r="G64" s="24">
        <v>142</v>
      </c>
      <c r="H64" s="24">
        <v>145</v>
      </c>
      <c r="I64" s="24">
        <v>5</v>
      </c>
      <c r="J64" s="24">
        <v>2</v>
      </c>
      <c r="K64" s="24">
        <v>341</v>
      </c>
      <c r="L64" s="24">
        <v>12</v>
      </c>
      <c r="M64" s="24">
        <f t="shared" si="0"/>
        <v>353</v>
      </c>
      <c r="N64" s="24">
        <v>0</v>
      </c>
      <c r="O64" s="25">
        <f t="shared" si="1"/>
        <v>0.41076487252124644</v>
      </c>
      <c r="P64" s="25">
        <f t="shared" si="2"/>
        <v>0.13314447592067988</v>
      </c>
      <c r="Q64" s="25">
        <f t="shared" si="3"/>
        <v>0.40226628895184136</v>
      </c>
      <c r="R64" s="26">
        <v>240</v>
      </c>
      <c r="S64" s="26">
        <v>26</v>
      </c>
      <c r="T64" s="26">
        <v>181</v>
      </c>
      <c r="U64" s="26">
        <v>3</v>
      </c>
      <c r="V64" s="26">
        <v>450</v>
      </c>
      <c r="W64" s="27">
        <v>0.53333333333333333</v>
      </c>
      <c r="X64" s="27">
        <v>5.7777777777777775E-2</v>
      </c>
      <c r="Y64" s="27">
        <v>0.4022222222222222</v>
      </c>
      <c r="Z64" s="27">
        <v>6.6666666666666671E-3</v>
      </c>
      <c r="AA64" s="28">
        <v>58.906666666666666</v>
      </c>
      <c r="AB64" s="25">
        <f t="shared" si="4"/>
        <v>0.7844444444444445</v>
      </c>
    </row>
    <row r="65" spans="1:28" x14ac:dyDescent="0.25">
      <c r="A65" s="24"/>
      <c r="B65" s="24"/>
      <c r="C65" s="24"/>
      <c r="D65" s="24">
        <v>2</v>
      </c>
      <c r="E65" s="24">
        <v>614</v>
      </c>
      <c r="F65" s="24">
        <v>139</v>
      </c>
      <c r="G65" s="24">
        <v>200</v>
      </c>
      <c r="H65" s="24">
        <v>263</v>
      </c>
      <c r="I65" s="24">
        <v>8</v>
      </c>
      <c r="J65" s="24">
        <v>2</v>
      </c>
      <c r="K65" s="24">
        <v>612</v>
      </c>
      <c r="L65" s="24">
        <v>2</v>
      </c>
      <c r="M65" s="24">
        <f t="shared" si="0"/>
        <v>614</v>
      </c>
      <c r="N65" s="24">
        <v>0</v>
      </c>
      <c r="O65" s="25">
        <f t="shared" si="1"/>
        <v>0.42833876221498374</v>
      </c>
      <c r="P65" s="25">
        <f t="shared" si="2"/>
        <v>0.2263843648208469</v>
      </c>
      <c r="Q65" s="25">
        <f t="shared" si="3"/>
        <v>0.32573289902280128</v>
      </c>
      <c r="R65" s="26">
        <v>399</v>
      </c>
      <c r="S65" s="26">
        <v>24</v>
      </c>
      <c r="T65" s="26">
        <v>276</v>
      </c>
      <c r="U65" s="26">
        <v>4</v>
      </c>
      <c r="V65" s="26">
        <v>703</v>
      </c>
      <c r="W65" s="27">
        <v>0.56756756756756754</v>
      </c>
      <c r="X65" s="27">
        <v>3.4139402560455195E-2</v>
      </c>
      <c r="Y65" s="27">
        <v>0.39260312944523473</v>
      </c>
      <c r="Z65" s="27">
        <v>5.6899004267425323E-3</v>
      </c>
      <c r="AA65" s="28">
        <v>51.237553342816504</v>
      </c>
      <c r="AB65" s="25">
        <f t="shared" si="4"/>
        <v>0.87339971550497864</v>
      </c>
    </row>
    <row r="66" spans="1:28" x14ac:dyDescent="0.25">
      <c r="A66" s="24"/>
      <c r="B66" s="24"/>
      <c r="C66" s="24"/>
      <c r="D66" s="24">
        <v>3</v>
      </c>
      <c r="E66" s="24">
        <v>544</v>
      </c>
      <c r="F66" s="24">
        <v>95</v>
      </c>
      <c r="G66" s="24">
        <v>120</v>
      </c>
      <c r="H66" s="24">
        <v>317</v>
      </c>
      <c r="I66" s="24">
        <v>8</v>
      </c>
      <c r="J66" s="24">
        <v>1</v>
      </c>
      <c r="K66" s="24">
        <v>541</v>
      </c>
      <c r="L66" s="24">
        <v>3</v>
      </c>
      <c r="M66" s="24">
        <f t="shared" si="0"/>
        <v>544</v>
      </c>
      <c r="N66" s="24">
        <v>0</v>
      </c>
      <c r="O66" s="25">
        <f t="shared" si="1"/>
        <v>0.58272058823529416</v>
      </c>
      <c r="P66" s="25">
        <f t="shared" si="2"/>
        <v>0.17463235294117646</v>
      </c>
      <c r="Q66" s="25">
        <f t="shared" si="3"/>
        <v>0.22058823529411764</v>
      </c>
      <c r="R66" s="26">
        <v>293</v>
      </c>
      <c r="S66" s="26">
        <v>23</v>
      </c>
      <c r="T66" s="26">
        <v>387</v>
      </c>
      <c r="U66" s="26">
        <v>0</v>
      </c>
      <c r="V66" s="26">
        <v>703</v>
      </c>
      <c r="W66" s="27">
        <v>0.41678520625889048</v>
      </c>
      <c r="X66" s="27">
        <v>3.2716927453769556E-2</v>
      </c>
      <c r="Y66" s="27">
        <v>0.55049786628733999</v>
      </c>
      <c r="Z66" s="27">
        <v>0</v>
      </c>
      <c r="AA66" s="28">
        <v>40.384068278805124</v>
      </c>
      <c r="AB66" s="25">
        <f t="shared" si="4"/>
        <v>0.77382645803698435</v>
      </c>
    </row>
    <row r="67" spans="1:28" x14ac:dyDescent="0.25">
      <c r="A67" s="24"/>
      <c r="B67" s="24"/>
      <c r="C67" s="24"/>
      <c r="D67" s="24">
        <v>4</v>
      </c>
      <c r="E67" s="24">
        <v>530</v>
      </c>
      <c r="F67" s="24">
        <v>108</v>
      </c>
      <c r="G67" s="24">
        <v>162</v>
      </c>
      <c r="H67" s="24">
        <v>254</v>
      </c>
      <c r="I67" s="24">
        <v>4</v>
      </c>
      <c r="J67" s="24">
        <v>2</v>
      </c>
      <c r="K67" s="24">
        <v>530</v>
      </c>
      <c r="L67" s="24">
        <v>0</v>
      </c>
      <c r="M67" s="24">
        <f t="shared" ref="M67:M130" si="5">L67+K67</f>
        <v>530</v>
      </c>
      <c r="N67" s="24">
        <v>0</v>
      </c>
      <c r="O67" s="25">
        <f t="shared" ref="O67:O130" si="6">H67/M67</f>
        <v>0.47924528301886793</v>
      </c>
      <c r="P67" s="25">
        <f t="shared" ref="P67:P130" si="7">F67/M67</f>
        <v>0.20377358490566039</v>
      </c>
      <c r="Q67" s="25">
        <f t="shared" ref="Q67:Q130" si="8">G67/M67</f>
        <v>0.30566037735849055</v>
      </c>
      <c r="R67" s="26">
        <v>421</v>
      </c>
      <c r="S67" s="26">
        <v>19</v>
      </c>
      <c r="T67" s="26">
        <v>259</v>
      </c>
      <c r="U67" s="26">
        <v>4</v>
      </c>
      <c r="V67" s="26">
        <v>703</v>
      </c>
      <c r="W67" s="27">
        <v>0.59886201991465149</v>
      </c>
      <c r="X67" s="27">
        <v>2.7027027027027029E-2</v>
      </c>
      <c r="Y67" s="27">
        <v>0.36842105263157893</v>
      </c>
      <c r="Z67" s="27">
        <v>5.6899004267425323E-3</v>
      </c>
      <c r="AA67" s="28">
        <v>31.568990042674255</v>
      </c>
      <c r="AB67" s="25">
        <f t="shared" ref="AB67:AB130" si="9">M67/V67</f>
        <v>0.75391180654338552</v>
      </c>
    </row>
    <row r="68" spans="1:28" x14ac:dyDescent="0.25">
      <c r="A68" s="24"/>
      <c r="B68" s="24"/>
      <c r="C68" s="24"/>
      <c r="D68" s="24">
        <v>5</v>
      </c>
      <c r="E68" s="24">
        <v>542</v>
      </c>
      <c r="F68" s="24">
        <v>110</v>
      </c>
      <c r="G68" s="24">
        <v>174</v>
      </c>
      <c r="H68" s="24">
        <v>250</v>
      </c>
      <c r="I68" s="24">
        <v>4</v>
      </c>
      <c r="J68" s="24">
        <v>2</v>
      </c>
      <c r="K68" s="24">
        <v>540</v>
      </c>
      <c r="L68" s="24">
        <v>2</v>
      </c>
      <c r="M68" s="24">
        <f t="shared" si="5"/>
        <v>542</v>
      </c>
      <c r="N68" s="24">
        <v>0</v>
      </c>
      <c r="O68" s="25">
        <f t="shared" si="6"/>
        <v>0.46125461254612549</v>
      </c>
      <c r="P68" s="25">
        <f t="shared" si="7"/>
        <v>0.2029520295202952</v>
      </c>
      <c r="Q68" s="25">
        <f t="shared" si="8"/>
        <v>0.3210332103321033</v>
      </c>
      <c r="R68" s="26">
        <v>467</v>
      </c>
      <c r="S68" s="26">
        <v>27</v>
      </c>
      <c r="T68" s="26">
        <v>208</v>
      </c>
      <c r="U68" s="26">
        <v>1</v>
      </c>
      <c r="V68" s="26">
        <v>703</v>
      </c>
      <c r="W68" s="27">
        <v>0.66429587482219066</v>
      </c>
      <c r="X68" s="27">
        <v>3.8406827880512091E-2</v>
      </c>
      <c r="Y68" s="27">
        <v>0.29587482219061167</v>
      </c>
      <c r="Z68" s="27">
        <v>1.4224751066856331E-3</v>
      </c>
      <c r="AA68" s="28">
        <v>26.463726884779515</v>
      </c>
      <c r="AB68" s="25">
        <f t="shared" si="9"/>
        <v>0.77098150782361308</v>
      </c>
    </row>
    <row r="69" spans="1:28" x14ac:dyDescent="0.25">
      <c r="A69" s="24"/>
      <c r="B69" s="24"/>
      <c r="C69" s="24"/>
      <c r="D69" s="24">
        <v>6</v>
      </c>
      <c r="E69" s="24">
        <v>589</v>
      </c>
      <c r="F69" s="24">
        <v>146</v>
      </c>
      <c r="G69" s="24">
        <v>159</v>
      </c>
      <c r="H69" s="24">
        <v>281</v>
      </c>
      <c r="I69" s="24">
        <v>2</v>
      </c>
      <c r="J69" s="24">
        <v>0</v>
      </c>
      <c r="K69" s="24">
        <v>588</v>
      </c>
      <c r="L69" s="24">
        <v>1</v>
      </c>
      <c r="M69" s="24">
        <f t="shared" si="5"/>
        <v>589</v>
      </c>
      <c r="N69" s="24">
        <v>0</v>
      </c>
      <c r="O69" s="25">
        <f t="shared" si="6"/>
        <v>0.47707979626485569</v>
      </c>
      <c r="P69" s="25">
        <f t="shared" si="7"/>
        <v>0.24787775891341257</v>
      </c>
      <c r="Q69" s="25">
        <f t="shared" si="8"/>
        <v>0.2699490662139219</v>
      </c>
      <c r="R69" s="26">
        <v>451</v>
      </c>
      <c r="S69" s="26">
        <v>14</v>
      </c>
      <c r="T69" s="26">
        <v>238</v>
      </c>
      <c r="U69" s="26">
        <v>0</v>
      </c>
      <c r="V69" s="26">
        <v>703</v>
      </c>
      <c r="W69" s="27">
        <v>0.64153627311522043</v>
      </c>
      <c r="X69" s="27">
        <v>1.9914651493598862E-2</v>
      </c>
      <c r="Y69" s="27">
        <v>0.33854907539118068</v>
      </c>
      <c r="Z69" s="27">
        <v>0</v>
      </c>
      <c r="AA69" s="28">
        <v>23.041251778093883</v>
      </c>
      <c r="AB69" s="25">
        <f t="shared" si="9"/>
        <v>0.83783783783783783</v>
      </c>
    </row>
    <row r="70" spans="1:28" x14ac:dyDescent="0.25">
      <c r="A70" s="24"/>
      <c r="B70" s="24"/>
      <c r="C70" s="24"/>
      <c r="D70" s="24">
        <v>7</v>
      </c>
      <c r="E70" s="24">
        <v>593</v>
      </c>
      <c r="F70" s="24">
        <v>168</v>
      </c>
      <c r="G70" s="24">
        <v>160</v>
      </c>
      <c r="H70" s="24">
        <v>258</v>
      </c>
      <c r="I70" s="24">
        <v>2</v>
      </c>
      <c r="J70" s="24">
        <v>1</v>
      </c>
      <c r="K70" s="24">
        <v>589</v>
      </c>
      <c r="L70" s="24">
        <v>4</v>
      </c>
      <c r="M70" s="24">
        <f t="shared" si="5"/>
        <v>593</v>
      </c>
      <c r="N70" s="24">
        <v>0</v>
      </c>
      <c r="O70" s="25">
        <f t="shared" si="6"/>
        <v>0.4350758853288364</v>
      </c>
      <c r="P70" s="25">
        <f t="shared" si="7"/>
        <v>0.28330522765598654</v>
      </c>
      <c r="Q70" s="25">
        <f t="shared" si="8"/>
        <v>0.26981450252951095</v>
      </c>
      <c r="R70" s="26">
        <v>475</v>
      </c>
      <c r="S70" s="26">
        <v>14</v>
      </c>
      <c r="T70" s="26">
        <v>218</v>
      </c>
      <c r="U70" s="26">
        <v>0</v>
      </c>
      <c r="V70" s="26">
        <v>707</v>
      </c>
      <c r="W70" s="27">
        <v>0.67185289957567185</v>
      </c>
      <c r="X70" s="27">
        <v>1.9801980198019802E-2</v>
      </c>
      <c r="Y70" s="27">
        <v>0.30834512022630833</v>
      </c>
      <c r="Z70" s="27">
        <v>0</v>
      </c>
      <c r="AA70" s="28">
        <v>19.644978783592645</v>
      </c>
      <c r="AB70" s="25">
        <f t="shared" si="9"/>
        <v>0.83875530410183874</v>
      </c>
    </row>
    <row r="71" spans="1:28" x14ac:dyDescent="0.25">
      <c r="A71" s="24">
        <v>12</v>
      </c>
      <c r="B71" s="24" t="s">
        <v>190</v>
      </c>
      <c r="C71" s="24" t="s">
        <v>193</v>
      </c>
      <c r="D71" s="24">
        <v>1</v>
      </c>
      <c r="E71" s="24">
        <v>386</v>
      </c>
      <c r="F71" s="24">
        <v>89</v>
      </c>
      <c r="G71" s="24">
        <v>216</v>
      </c>
      <c r="H71" s="24">
        <v>78</v>
      </c>
      <c r="I71" s="24">
        <v>0</v>
      </c>
      <c r="J71" s="24">
        <v>2</v>
      </c>
      <c r="K71" s="24">
        <v>385</v>
      </c>
      <c r="L71" s="24">
        <v>1</v>
      </c>
      <c r="M71" s="24">
        <f t="shared" si="5"/>
        <v>386</v>
      </c>
      <c r="N71" s="24">
        <v>0</v>
      </c>
      <c r="O71" s="25">
        <f t="shared" si="6"/>
        <v>0.20207253886010362</v>
      </c>
      <c r="P71" s="25">
        <f t="shared" si="7"/>
        <v>0.23056994818652848</v>
      </c>
      <c r="Q71" s="25">
        <f t="shared" si="8"/>
        <v>0.55958549222797926</v>
      </c>
      <c r="R71" s="26">
        <v>395</v>
      </c>
      <c r="S71" s="26">
        <v>5</v>
      </c>
      <c r="T71" s="26">
        <v>48</v>
      </c>
      <c r="U71" s="26">
        <v>2</v>
      </c>
      <c r="V71" s="26">
        <v>450</v>
      </c>
      <c r="W71" s="27">
        <v>0.87777777777777777</v>
      </c>
      <c r="X71" s="27">
        <v>1.1111111111111112E-2</v>
      </c>
      <c r="Y71" s="27">
        <v>0.10666666666666667</v>
      </c>
      <c r="Z71" s="27">
        <v>4.4444444444444444E-3</v>
      </c>
      <c r="AA71" s="28">
        <v>58.537777777777777</v>
      </c>
      <c r="AB71" s="25">
        <f t="shared" si="9"/>
        <v>0.85777777777777775</v>
      </c>
    </row>
    <row r="72" spans="1:28" x14ac:dyDescent="0.25">
      <c r="A72" s="24"/>
      <c r="B72" s="24"/>
      <c r="C72" s="24"/>
      <c r="D72" s="24">
        <v>2</v>
      </c>
      <c r="E72" s="24">
        <v>575</v>
      </c>
      <c r="F72" s="24">
        <v>184</v>
      </c>
      <c r="G72" s="24">
        <v>229</v>
      </c>
      <c r="H72" s="24">
        <v>155</v>
      </c>
      <c r="I72" s="24">
        <v>1</v>
      </c>
      <c r="J72" s="24">
        <v>4</v>
      </c>
      <c r="K72" s="24">
        <v>573</v>
      </c>
      <c r="L72" s="24">
        <v>2</v>
      </c>
      <c r="M72" s="24">
        <f t="shared" si="5"/>
        <v>575</v>
      </c>
      <c r="N72" s="24">
        <v>0</v>
      </c>
      <c r="O72" s="25">
        <f t="shared" si="6"/>
        <v>0.26956521739130435</v>
      </c>
      <c r="P72" s="25">
        <f t="shared" si="7"/>
        <v>0.32</v>
      </c>
      <c r="Q72" s="25">
        <f t="shared" si="8"/>
        <v>0.39826086956521739</v>
      </c>
      <c r="R72" s="26">
        <v>588</v>
      </c>
      <c r="S72" s="26">
        <v>19</v>
      </c>
      <c r="T72" s="26">
        <v>73</v>
      </c>
      <c r="U72" s="26">
        <v>2</v>
      </c>
      <c r="V72" s="26">
        <v>682</v>
      </c>
      <c r="W72" s="27">
        <v>0.8621700879765396</v>
      </c>
      <c r="X72" s="27">
        <v>2.7859237536656891E-2</v>
      </c>
      <c r="Y72" s="27">
        <v>0.10703812316715543</v>
      </c>
      <c r="Z72" s="27">
        <v>2.9325513196480938E-3</v>
      </c>
      <c r="AA72" s="28">
        <v>47.004398826979475</v>
      </c>
      <c r="AB72" s="25">
        <f t="shared" si="9"/>
        <v>0.84310850439882701</v>
      </c>
    </row>
    <row r="73" spans="1:28" x14ac:dyDescent="0.25">
      <c r="A73" s="24"/>
      <c r="B73" s="24"/>
      <c r="C73" s="24"/>
      <c r="D73" s="24">
        <v>3</v>
      </c>
      <c r="E73" s="24">
        <v>556</v>
      </c>
      <c r="F73" s="24">
        <v>149</v>
      </c>
      <c r="G73" s="24">
        <v>245</v>
      </c>
      <c r="H73" s="24">
        <v>154</v>
      </c>
      <c r="I73" s="24">
        <v>2</v>
      </c>
      <c r="J73" s="24">
        <v>6</v>
      </c>
      <c r="K73" s="24">
        <v>556</v>
      </c>
      <c r="L73" s="24">
        <v>0</v>
      </c>
      <c r="M73" s="24">
        <f t="shared" si="5"/>
        <v>556</v>
      </c>
      <c r="N73" s="24">
        <v>0</v>
      </c>
      <c r="O73" s="25">
        <f t="shared" si="6"/>
        <v>0.27697841726618705</v>
      </c>
      <c r="P73" s="25">
        <f t="shared" si="7"/>
        <v>0.26798561151079137</v>
      </c>
      <c r="Q73" s="25">
        <f t="shared" si="8"/>
        <v>0.44064748201438847</v>
      </c>
      <c r="R73" s="26">
        <v>610</v>
      </c>
      <c r="S73" s="26">
        <v>12</v>
      </c>
      <c r="T73" s="26">
        <v>60</v>
      </c>
      <c r="U73" s="26">
        <v>0</v>
      </c>
      <c r="V73" s="26">
        <v>682</v>
      </c>
      <c r="W73" s="27">
        <v>0.8944281524926686</v>
      </c>
      <c r="X73" s="27">
        <v>1.7595307917888565E-2</v>
      </c>
      <c r="Y73" s="27">
        <v>8.797653958944282E-2</v>
      </c>
      <c r="Z73" s="27">
        <v>0</v>
      </c>
      <c r="AA73" s="28">
        <v>30.60850439882698</v>
      </c>
      <c r="AB73" s="25">
        <f t="shared" si="9"/>
        <v>0.81524926686217014</v>
      </c>
    </row>
    <row r="74" spans="1:28" x14ac:dyDescent="0.25">
      <c r="A74" s="24"/>
      <c r="B74" s="24"/>
      <c r="C74" s="24"/>
      <c r="D74" s="24">
        <v>4</v>
      </c>
      <c r="E74" s="24">
        <v>569</v>
      </c>
      <c r="F74" s="24">
        <v>155</v>
      </c>
      <c r="G74" s="24">
        <v>224</v>
      </c>
      <c r="H74" s="24">
        <v>181</v>
      </c>
      <c r="I74" s="24">
        <v>2</v>
      </c>
      <c r="J74" s="24">
        <v>5</v>
      </c>
      <c r="K74" s="24">
        <v>567</v>
      </c>
      <c r="L74" s="24">
        <v>2</v>
      </c>
      <c r="M74" s="24">
        <f t="shared" si="5"/>
        <v>569</v>
      </c>
      <c r="N74" s="24">
        <v>0</v>
      </c>
      <c r="O74" s="25">
        <f t="shared" si="6"/>
        <v>0.3181019332161687</v>
      </c>
      <c r="P74" s="25">
        <f t="shared" si="7"/>
        <v>0.27240773286467485</v>
      </c>
      <c r="Q74" s="25">
        <f t="shared" si="8"/>
        <v>0.39367311072056238</v>
      </c>
      <c r="R74" s="26">
        <v>620</v>
      </c>
      <c r="S74" s="26">
        <v>17</v>
      </c>
      <c r="T74" s="26">
        <v>45</v>
      </c>
      <c r="U74" s="26">
        <v>0</v>
      </c>
      <c r="V74" s="26">
        <v>682</v>
      </c>
      <c r="W74" s="27">
        <v>0.90909090909090906</v>
      </c>
      <c r="X74" s="27">
        <v>2.4926686217008796E-2</v>
      </c>
      <c r="Y74" s="27">
        <v>6.5982404692082108E-2</v>
      </c>
      <c r="Z74" s="27">
        <v>0</v>
      </c>
      <c r="AA74" s="28">
        <v>24.296187683284458</v>
      </c>
      <c r="AB74" s="25">
        <f t="shared" si="9"/>
        <v>0.83431085043988273</v>
      </c>
    </row>
    <row r="75" spans="1:28" x14ac:dyDescent="0.25">
      <c r="A75" s="24"/>
      <c r="B75" s="24"/>
      <c r="C75" s="24"/>
      <c r="D75" s="24">
        <v>5</v>
      </c>
      <c r="E75" s="24">
        <v>592</v>
      </c>
      <c r="F75" s="24">
        <v>201</v>
      </c>
      <c r="G75" s="24">
        <v>214</v>
      </c>
      <c r="H75" s="24">
        <v>168</v>
      </c>
      <c r="I75" s="24">
        <v>5</v>
      </c>
      <c r="J75" s="24">
        <v>2</v>
      </c>
      <c r="K75" s="24">
        <v>590</v>
      </c>
      <c r="L75" s="24">
        <v>2</v>
      </c>
      <c r="M75" s="24">
        <f t="shared" si="5"/>
        <v>592</v>
      </c>
      <c r="N75" s="24">
        <v>0</v>
      </c>
      <c r="O75" s="25">
        <f t="shared" si="6"/>
        <v>0.28378378378378377</v>
      </c>
      <c r="P75" s="25">
        <f t="shared" si="7"/>
        <v>0.33952702702702703</v>
      </c>
      <c r="Q75" s="25">
        <f t="shared" si="8"/>
        <v>0.36148648648648651</v>
      </c>
      <c r="R75" s="26">
        <v>601</v>
      </c>
      <c r="S75" s="26">
        <v>18</v>
      </c>
      <c r="T75" s="26">
        <v>64</v>
      </c>
      <c r="U75" s="26">
        <v>0</v>
      </c>
      <c r="V75" s="26">
        <v>683</v>
      </c>
      <c r="W75" s="27">
        <v>0.87994143484626652</v>
      </c>
      <c r="X75" s="27">
        <v>2.6354319180087848E-2</v>
      </c>
      <c r="Y75" s="27">
        <v>9.3704245973645683E-2</v>
      </c>
      <c r="Z75" s="27">
        <v>0</v>
      </c>
      <c r="AA75" s="28">
        <v>20.155197657393849</v>
      </c>
      <c r="AB75" s="25">
        <f t="shared" si="9"/>
        <v>0.86676427525622257</v>
      </c>
    </row>
    <row r="76" spans="1:28" x14ac:dyDescent="0.25">
      <c r="A76" s="24">
        <v>13</v>
      </c>
      <c r="B76" s="24" t="s">
        <v>194</v>
      </c>
      <c r="C76" s="24" t="s">
        <v>195</v>
      </c>
      <c r="D76" s="24">
        <v>1</v>
      </c>
      <c r="E76" s="24">
        <v>354</v>
      </c>
      <c r="F76" s="24">
        <v>48</v>
      </c>
      <c r="G76" s="24">
        <v>206</v>
      </c>
      <c r="H76" s="24">
        <v>83</v>
      </c>
      <c r="I76" s="24">
        <v>4</v>
      </c>
      <c r="J76" s="24">
        <v>8</v>
      </c>
      <c r="K76" s="24">
        <v>349</v>
      </c>
      <c r="L76" s="24">
        <v>5</v>
      </c>
      <c r="M76" s="24">
        <f t="shared" si="5"/>
        <v>354</v>
      </c>
      <c r="N76" s="24">
        <v>0</v>
      </c>
      <c r="O76" s="25">
        <f t="shared" si="6"/>
        <v>0.2344632768361582</v>
      </c>
      <c r="P76" s="25">
        <f t="shared" si="7"/>
        <v>0.13559322033898305</v>
      </c>
      <c r="Q76" s="25">
        <f t="shared" si="8"/>
        <v>0.58192090395480223</v>
      </c>
      <c r="R76" s="26">
        <v>355</v>
      </c>
      <c r="S76" s="26">
        <v>9</v>
      </c>
      <c r="T76" s="26">
        <v>81</v>
      </c>
      <c r="U76" s="26">
        <v>5</v>
      </c>
      <c r="V76" s="26">
        <v>450</v>
      </c>
      <c r="W76" s="27">
        <v>0.78888888888888886</v>
      </c>
      <c r="X76" s="27">
        <v>0.02</v>
      </c>
      <c r="Y76" s="27">
        <v>0.18</v>
      </c>
      <c r="Z76" s="27">
        <v>1.1111111111111112E-2</v>
      </c>
      <c r="AA76" s="28">
        <v>63.397777777777776</v>
      </c>
      <c r="AB76" s="25">
        <f t="shared" si="9"/>
        <v>0.78666666666666663</v>
      </c>
    </row>
    <row r="77" spans="1:28" x14ac:dyDescent="0.25">
      <c r="A77" s="24"/>
      <c r="B77" s="24"/>
      <c r="C77" s="24"/>
      <c r="D77" s="24">
        <v>2</v>
      </c>
      <c r="E77" s="24">
        <v>402</v>
      </c>
      <c r="F77" s="24">
        <v>56</v>
      </c>
      <c r="G77" s="24">
        <v>213</v>
      </c>
      <c r="H77" s="24">
        <v>119</v>
      </c>
      <c r="I77" s="24">
        <v>3</v>
      </c>
      <c r="J77" s="24">
        <v>4</v>
      </c>
      <c r="K77" s="24">
        <v>395</v>
      </c>
      <c r="L77" s="24">
        <v>7</v>
      </c>
      <c r="M77" s="24">
        <f t="shared" si="5"/>
        <v>402</v>
      </c>
      <c r="N77" s="24">
        <v>0</v>
      </c>
      <c r="O77" s="25">
        <f t="shared" si="6"/>
        <v>0.29601990049751242</v>
      </c>
      <c r="P77" s="25">
        <f t="shared" si="7"/>
        <v>0.13930348258706468</v>
      </c>
      <c r="Q77" s="25">
        <f t="shared" si="8"/>
        <v>0.52985074626865669</v>
      </c>
      <c r="R77" s="26">
        <v>373</v>
      </c>
      <c r="S77" s="26">
        <v>8</v>
      </c>
      <c r="T77" s="26">
        <v>68</v>
      </c>
      <c r="U77" s="26">
        <v>1</v>
      </c>
      <c r="V77" s="26">
        <v>450</v>
      </c>
      <c r="W77" s="27">
        <v>0.8288888888888889</v>
      </c>
      <c r="X77" s="27">
        <v>1.7777777777777778E-2</v>
      </c>
      <c r="Y77" s="27">
        <v>0.15111111111111111</v>
      </c>
      <c r="Z77" s="27">
        <v>2.2222222222222222E-3</v>
      </c>
      <c r="AA77" s="28">
        <v>61.308888888888887</v>
      </c>
      <c r="AB77" s="25">
        <f t="shared" si="9"/>
        <v>0.89333333333333331</v>
      </c>
    </row>
    <row r="78" spans="1:28" x14ac:dyDescent="0.25">
      <c r="A78" s="24"/>
      <c r="B78" s="24"/>
      <c r="C78" s="24"/>
      <c r="D78" s="24">
        <v>3</v>
      </c>
      <c r="E78" s="24">
        <v>628</v>
      </c>
      <c r="F78" s="24">
        <v>159</v>
      </c>
      <c r="G78" s="24">
        <v>275</v>
      </c>
      <c r="H78" s="24">
        <v>181</v>
      </c>
      <c r="I78" s="24">
        <v>4</v>
      </c>
      <c r="J78" s="24">
        <v>3</v>
      </c>
      <c r="K78" s="24">
        <v>622</v>
      </c>
      <c r="L78" s="24">
        <v>6</v>
      </c>
      <c r="M78" s="24">
        <f t="shared" si="5"/>
        <v>628</v>
      </c>
      <c r="N78" s="24">
        <v>0</v>
      </c>
      <c r="O78" s="25">
        <f t="shared" si="6"/>
        <v>0.28821656050955413</v>
      </c>
      <c r="P78" s="25">
        <f t="shared" si="7"/>
        <v>0.25318471337579618</v>
      </c>
      <c r="Q78" s="25">
        <f t="shared" si="8"/>
        <v>0.43789808917197454</v>
      </c>
      <c r="R78" s="26">
        <v>610</v>
      </c>
      <c r="S78" s="26">
        <v>19</v>
      </c>
      <c r="T78" s="26">
        <v>106</v>
      </c>
      <c r="U78" s="26">
        <v>3</v>
      </c>
      <c r="V78" s="26">
        <v>738</v>
      </c>
      <c r="W78" s="27">
        <v>0.82655826558265577</v>
      </c>
      <c r="X78" s="27">
        <v>2.5745257452574527E-2</v>
      </c>
      <c r="Y78" s="27">
        <v>0.14363143631436315</v>
      </c>
      <c r="Z78" s="27">
        <v>4.0650406504065045E-3</v>
      </c>
      <c r="AA78" s="28">
        <v>54.192411924119241</v>
      </c>
      <c r="AB78" s="25">
        <f t="shared" si="9"/>
        <v>0.85094850948509482</v>
      </c>
    </row>
    <row r="79" spans="1:28" x14ac:dyDescent="0.25">
      <c r="A79" s="24"/>
      <c r="B79" s="24"/>
      <c r="C79" s="24"/>
      <c r="D79" s="24">
        <v>4</v>
      </c>
      <c r="E79" s="24">
        <v>570</v>
      </c>
      <c r="F79" s="24">
        <v>181</v>
      </c>
      <c r="G79" s="24">
        <v>217</v>
      </c>
      <c r="H79" s="24">
        <v>160</v>
      </c>
      <c r="I79" s="24">
        <v>3</v>
      </c>
      <c r="J79" s="24">
        <v>6</v>
      </c>
      <c r="K79" s="24">
        <v>567</v>
      </c>
      <c r="L79" s="24">
        <v>3</v>
      </c>
      <c r="M79" s="24">
        <f t="shared" si="5"/>
        <v>570</v>
      </c>
      <c r="N79" s="24">
        <v>0</v>
      </c>
      <c r="O79" s="25">
        <f t="shared" si="6"/>
        <v>0.2807017543859649</v>
      </c>
      <c r="P79" s="25">
        <f t="shared" si="7"/>
        <v>0.31754385964912279</v>
      </c>
      <c r="Q79" s="25">
        <f t="shared" si="8"/>
        <v>0.38070175438596493</v>
      </c>
      <c r="R79" s="26">
        <v>568</v>
      </c>
      <c r="S79" s="26">
        <v>21</v>
      </c>
      <c r="T79" s="26">
        <v>143</v>
      </c>
      <c r="U79" s="26">
        <v>7</v>
      </c>
      <c r="V79" s="26">
        <v>739</v>
      </c>
      <c r="W79" s="27">
        <v>0.76860622462787553</v>
      </c>
      <c r="X79" s="27">
        <v>2.8416779431664412E-2</v>
      </c>
      <c r="Y79" s="27">
        <v>0.19350473612990526</v>
      </c>
      <c r="Z79" s="27">
        <v>9.4722598105548041E-3</v>
      </c>
      <c r="AA79" s="28">
        <v>44.362652232746953</v>
      </c>
      <c r="AB79" s="25">
        <f t="shared" si="9"/>
        <v>0.77131258457374829</v>
      </c>
    </row>
    <row r="80" spans="1:28" x14ac:dyDescent="0.25">
      <c r="A80" s="24"/>
      <c r="B80" s="24"/>
      <c r="C80" s="24"/>
      <c r="D80" s="24">
        <v>5</v>
      </c>
      <c r="E80" s="24">
        <v>568</v>
      </c>
      <c r="F80" s="24">
        <v>163</v>
      </c>
      <c r="G80" s="24">
        <v>255</v>
      </c>
      <c r="H80" s="24">
        <v>144</v>
      </c>
      <c r="I80" s="24">
        <v>2</v>
      </c>
      <c r="J80" s="24">
        <v>0</v>
      </c>
      <c r="K80" s="24">
        <v>564</v>
      </c>
      <c r="L80" s="24">
        <v>4</v>
      </c>
      <c r="M80" s="24">
        <f t="shared" si="5"/>
        <v>568</v>
      </c>
      <c r="N80" s="24">
        <v>0</v>
      </c>
      <c r="O80" s="25">
        <f t="shared" si="6"/>
        <v>0.25352112676056338</v>
      </c>
      <c r="P80" s="25">
        <f t="shared" si="7"/>
        <v>0.2869718309859155</v>
      </c>
      <c r="Q80" s="25">
        <f t="shared" si="8"/>
        <v>0.448943661971831</v>
      </c>
      <c r="R80" s="26">
        <v>612</v>
      </c>
      <c r="S80" s="26">
        <v>18</v>
      </c>
      <c r="T80" s="26">
        <v>106</v>
      </c>
      <c r="U80" s="26">
        <v>3</v>
      </c>
      <c r="V80" s="26">
        <v>739</v>
      </c>
      <c r="W80" s="27">
        <v>0.82814614343707715</v>
      </c>
      <c r="X80" s="27">
        <v>2.4357239512855209E-2</v>
      </c>
      <c r="Y80" s="27">
        <v>0.14343707713125844</v>
      </c>
      <c r="Z80" s="27">
        <v>4.0595399188092015E-3</v>
      </c>
      <c r="AA80" s="28">
        <v>36.820027063599461</v>
      </c>
      <c r="AB80" s="25">
        <f t="shared" si="9"/>
        <v>0.76860622462787553</v>
      </c>
    </row>
    <row r="81" spans="1:28" x14ac:dyDescent="0.25">
      <c r="A81" s="24"/>
      <c r="B81" s="24"/>
      <c r="C81" s="24"/>
      <c r="D81" s="24">
        <v>6</v>
      </c>
      <c r="E81" s="24">
        <v>582</v>
      </c>
      <c r="F81" s="24">
        <v>163</v>
      </c>
      <c r="G81" s="24">
        <v>262</v>
      </c>
      <c r="H81" s="24">
        <v>152</v>
      </c>
      <c r="I81" s="24">
        <v>4</v>
      </c>
      <c r="J81" s="24">
        <v>1</v>
      </c>
      <c r="K81" s="24">
        <v>582</v>
      </c>
      <c r="L81" s="24">
        <v>0</v>
      </c>
      <c r="M81" s="24">
        <f t="shared" si="5"/>
        <v>582</v>
      </c>
      <c r="N81" s="24">
        <v>0</v>
      </c>
      <c r="O81" s="25">
        <f t="shared" si="6"/>
        <v>0.2611683848797251</v>
      </c>
      <c r="P81" s="25">
        <f t="shared" si="7"/>
        <v>0.28006872852233677</v>
      </c>
      <c r="Q81" s="25">
        <f t="shared" si="8"/>
        <v>0.45017182130584193</v>
      </c>
      <c r="R81" s="26">
        <v>650</v>
      </c>
      <c r="S81" s="26">
        <v>13</v>
      </c>
      <c r="T81" s="26">
        <v>74</v>
      </c>
      <c r="U81" s="26">
        <v>2</v>
      </c>
      <c r="V81" s="26">
        <v>739</v>
      </c>
      <c r="W81" s="27">
        <v>0.87956698240866038</v>
      </c>
      <c r="X81" s="27">
        <v>1.7591339648173207E-2</v>
      </c>
      <c r="Y81" s="27">
        <v>0.10013531799729364</v>
      </c>
      <c r="Z81" s="27">
        <v>2.7063599458728013E-3</v>
      </c>
      <c r="AA81" s="28">
        <v>31.713125845737483</v>
      </c>
      <c r="AB81" s="25">
        <f t="shared" si="9"/>
        <v>0.78755074424898508</v>
      </c>
    </row>
    <row r="82" spans="1:28" x14ac:dyDescent="0.25">
      <c r="A82" s="24"/>
      <c r="B82" s="24"/>
      <c r="C82" s="24"/>
      <c r="D82" s="24">
        <v>7</v>
      </c>
      <c r="E82" s="24">
        <v>598</v>
      </c>
      <c r="F82" s="24">
        <v>155</v>
      </c>
      <c r="G82" s="24">
        <v>249</v>
      </c>
      <c r="H82" s="24">
        <v>188</v>
      </c>
      <c r="I82" s="24">
        <v>3</v>
      </c>
      <c r="J82" s="24">
        <v>2</v>
      </c>
      <c r="K82" s="24">
        <v>597</v>
      </c>
      <c r="L82" s="24">
        <v>1</v>
      </c>
      <c r="M82" s="24">
        <f t="shared" si="5"/>
        <v>598</v>
      </c>
      <c r="N82" s="24">
        <v>0</v>
      </c>
      <c r="O82" s="25">
        <f t="shared" si="6"/>
        <v>0.31438127090301005</v>
      </c>
      <c r="P82" s="25">
        <f t="shared" si="7"/>
        <v>0.25919732441471571</v>
      </c>
      <c r="Q82" s="25">
        <f t="shared" si="8"/>
        <v>0.41638795986622074</v>
      </c>
      <c r="R82" s="26">
        <v>663</v>
      </c>
      <c r="S82" s="26">
        <v>5</v>
      </c>
      <c r="T82" s="26">
        <v>69</v>
      </c>
      <c r="U82" s="26">
        <v>2</v>
      </c>
      <c r="V82" s="26">
        <v>739</v>
      </c>
      <c r="W82" s="27">
        <v>0.89715832205683355</v>
      </c>
      <c r="X82" s="27">
        <v>6.7658998646820028E-3</v>
      </c>
      <c r="Y82" s="27">
        <v>9.336941813261164E-2</v>
      </c>
      <c r="Z82" s="27">
        <v>2.7063599458728013E-3</v>
      </c>
      <c r="AA82" s="28">
        <v>27.732070365358592</v>
      </c>
      <c r="AB82" s="25">
        <f t="shared" si="9"/>
        <v>0.8092016238159675</v>
      </c>
    </row>
    <row r="83" spans="1:28" x14ac:dyDescent="0.25">
      <c r="A83" s="24"/>
      <c r="B83" s="24"/>
      <c r="C83" s="24"/>
      <c r="D83" s="24">
        <v>8</v>
      </c>
      <c r="E83" s="24">
        <v>614</v>
      </c>
      <c r="F83" s="24">
        <v>173</v>
      </c>
      <c r="G83" s="24">
        <v>252</v>
      </c>
      <c r="H83" s="24">
        <v>184</v>
      </c>
      <c r="I83" s="24">
        <v>0</v>
      </c>
      <c r="J83" s="24">
        <v>3</v>
      </c>
      <c r="K83" s="24">
        <v>612</v>
      </c>
      <c r="L83" s="24">
        <v>2</v>
      </c>
      <c r="M83" s="24">
        <f t="shared" si="5"/>
        <v>614</v>
      </c>
      <c r="N83" s="24">
        <v>0</v>
      </c>
      <c r="O83" s="25">
        <f t="shared" si="6"/>
        <v>0.29967426710097722</v>
      </c>
      <c r="P83" s="25">
        <f t="shared" si="7"/>
        <v>0.28175895765472314</v>
      </c>
      <c r="Q83" s="25">
        <f t="shared" si="8"/>
        <v>0.41042345276872966</v>
      </c>
      <c r="R83" s="26">
        <v>662</v>
      </c>
      <c r="S83" s="26">
        <v>8</v>
      </c>
      <c r="T83" s="26">
        <v>69</v>
      </c>
      <c r="U83" s="26">
        <v>0</v>
      </c>
      <c r="V83" s="26">
        <v>739</v>
      </c>
      <c r="W83" s="27">
        <v>0.89580514208389717</v>
      </c>
      <c r="X83" s="27">
        <v>1.0825439783491205E-2</v>
      </c>
      <c r="Y83" s="27">
        <v>9.336941813261164E-2</v>
      </c>
      <c r="Z83" s="27">
        <v>0</v>
      </c>
      <c r="AA83" s="28">
        <v>23.944519621109606</v>
      </c>
      <c r="AB83" s="25">
        <f t="shared" si="9"/>
        <v>0.83085250338294991</v>
      </c>
    </row>
    <row r="84" spans="1:28" x14ac:dyDescent="0.25">
      <c r="A84" s="24"/>
      <c r="B84" s="24"/>
      <c r="C84" s="24"/>
      <c r="D84" s="24">
        <v>9</v>
      </c>
      <c r="E84" s="24">
        <v>637</v>
      </c>
      <c r="F84" s="24">
        <v>191</v>
      </c>
      <c r="G84" s="24">
        <v>245</v>
      </c>
      <c r="H84" s="24">
        <v>195</v>
      </c>
      <c r="I84" s="24">
        <v>2</v>
      </c>
      <c r="J84" s="24">
        <v>2</v>
      </c>
      <c r="K84" s="24">
        <v>635</v>
      </c>
      <c r="L84" s="24">
        <v>2</v>
      </c>
      <c r="M84" s="24">
        <f t="shared" si="5"/>
        <v>637</v>
      </c>
      <c r="N84" s="24">
        <v>0</v>
      </c>
      <c r="O84" s="25">
        <f t="shared" si="6"/>
        <v>0.30612244897959184</v>
      </c>
      <c r="P84" s="25">
        <f t="shared" si="7"/>
        <v>0.29984301412872844</v>
      </c>
      <c r="Q84" s="25">
        <f t="shared" si="8"/>
        <v>0.38461538461538464</v>
      </c>
      <c r="R84" s="26">
        <v>663</v>
      </c>
      <c r="S84" s="26">
        <v>2</v>
      </c>
      <c r="T84" s="26">
        <v>74</v>
      </c>
      <c r="U84" s="26">
        <v>0</v>
      </c>
      <c r="V84" s="26">
        <v>739</v>
      </c>
      <c r="W84" s="27">
        <v>0.89715832205683355</v>
      </c>
      <c r="X84" s="27">
        <v>2.7063599458728013E-3</v>
      </c>
      <c r="Y84" s="27">
        <v>0.10013531799729364</v>
      </c>
      <c r="Z84" s="27">
        <v>0</v>
      </c>
      <c r="AA84" s="28">
        <v>19.959404600811908</v>
      </c>
      <c r="AB84" s="25">
        <f t="shared" si="9"/>
        <v>0.8619756427604871</v>
      </c>
    </row>
    <row r="85" spans="1:28" x14ac:dyDescent="0.25">
      <c r="A85" s="24">
        <v>14</v>
      </c>
      <c r="B85" s="24" t="s">
        <v>196</v>
      </c>
      <c r="C85" s="24" t="s">
        <v>197</v>
      </c>
      <c r="D85" s="24">
        <v>1</v>
      </c>
      <c r="E85" s="24">
        <v>322</v>
      </c>
      <c r="F85" s="24">
        <v>28</v>
      </c>
      <c r="G85" s="24">
        <v>125</v>
      </c>
      <c r="H85" s="24">
        <v>157</v>
      </c>
      <c r="I85" s="24">
        <v>4</v>
      </c>
      <c r="J85" s="24">
        <v>2</v>
      </c>
      <c r="K85" s="24">
        <v>316</v>
      </c>
      <c r="L85" s="24">
        <v>6</v>
      </c>
      <c r="M85" s="24">
        <f t="shared" si="5"/>
        <v>322</v>
      </c>
      <c r="N85" s="24">
        <v>0</v>
      </c>
      <c r="O85" s="25">
        <f t="shared" si="6"/>
        <v>0.48757763975155277</v>
      </c>
      <c r="P85" s="25">
        <f t="shared" si="7"/>
        <v>8.6956521739130432E-2</v>
      </c>
      <c r="Q85" s="25">
        <f t="shared" si="8"/>
        <v>0.38819875776397517</v>
      </c>
      <c r="R85" s="26">
        <v>241</v>
      </c>
      <c r="S85" s="26">
        <v>110</v>
      </c>
      <c r="T85" s="26">
        <v>96</v>
      </c>
      <c r="U85" s="26">
        <v>3</v>
      </c>
      <c r="V85" s="26">
        <v>450</v>
      </c>
      <c r="W85" s="27">
        <v>0.53555555555555556</v>
      </c>
      <c r="X85" s="27">
        <v>0.24444444444444444</v>
      </c>
      <c r="Y85" s="27">
        <v>0.21333333333333335</v>
      </c>
      <c r="Z85" s="27">
        <v>6.6666666666666671E-3</v>
      </c>
      <c r="AA85" s="28">
        <v>66.34</v>
      </c>
      <c r="AB85" s="25">
        <f t="shared" si="9"/>
        <v>0.7155555555555555</v>
      </c>
    </row>
    <row r="86" spans="1:28" x14ac:dyDescent="0.25">
      <c r="A86" s="24"/>
      <c r="B86" s="24"/>
      <c r="C86" s="24"/>
      <c r="D86" s="24">
        <v>2</v>
      </c>
      <c r="E86" s="24">
        <v>368</v>
      </c>
      <c r="F86" s="24">
        <v>46</v>
      </c>
      <c r="G86" s="24">
        <v>141</v>
      </c>
      <c r="H86" s="24">
        <v>165</v>
      </c>
      <c r="I86" s="24">
        <v>7</v>
      </c>
      <c r="J86" s="24">
        <v>0</v>
      </c>
      <c r="K86" s="24">
        <v>359</v>
      </c>
      <c r="L86" s="24">
        <v>9</v>
      </c>
      <c r="M86" s="24">
        <f t="shared" si="5"/>
        <v>368</v>
      </c>
      <c r="N86" s="24">
        <v>0</v>
      </c>
      <c r="O86" s="25">
        <f t="shared" si="6"/>
        <v>0.4483695652173913</v>
      </c>
      <c r="P86" s="25">
        <f t="shared" si="7"/>
        <v>0.125</v>
      </c>
      <c r="Q86" s="25">
        <f t="shared" si="8"/>
        <v>0.38315217391304346</v>
      </c>
      <c r="R86" s="26">
        <v>245</v>
      </c>
      <c r="S86" s="26">
        <v>101</v>
      </c>
      <c r="T86" s="26">
        <v>103</v>
      </c>
      <c r="U86" s="26">
        <v>1</v>
      </c>
      <c r="V86" s="26">
        <v>450</v>
      </c>
      <c r="W86" s="27">
        <v>0.5444444444444444</v>
      </c>
      <c r="X86" s="27">
        <v>0.22444444444444445</v>
      </c>
      <c r="Y86" s="27">
        <v>0.22888888888888889</v>
      </c>
      <c r="Z86" s="27">
        <v>2.2222222222222222E-3</v>
      </c>
      <c r="AA86" s="28">
        <v>61.784444444444446</v>
      </c>
      <c r="AB86" s="25">
        <f t="shared" si="9"/>
        <v>0.81777777777777783</v>
      </c>
    </row>
    <row r="87" spans="1:28" x14ac:dyDescent="0.25">
      <c r="A87" s="24"/>
      <c r="B87" s="24"/>
      <c r="C87" s="24"/>
      <c r="D87" s="24">
        <v>3</v>
      </c>
      <c r="E87" s="24">
        <v>634</v>
      </c>
      <c r="F87" s="24">
        <v>112</v>
      </c>
      <c r="G87" s="24">
        <v>247</v>
      </c>
      <c r="H87" s="24">
        <v>257</v>
      </c>
      <c r="I87" s="24">
        <v>4</v>
      </c>
      <c r="J87" s="24">
        <v>6</v>
      </c>
      <c r="K87" s="24">
        <v>626</v>
      </c>
      <c r="L87" s="24">
        <v>8</v>
      </c>
      <c r="M87" s="24">
        <f t="shared" si="5"/>
        <v>634</v>
      </c>
      <c r="N87" s="24">
        <v>0</v>
      </c>
      <c r="O87" s="25">
        <f t="shared" si="6"/>
        <v>0.40536277602523657</v>
      </c>
      <c r="P87" s="25">
        <f t="shared" si="7"/>
        <v>0.17665615141955837</v>
      </c>
      <c r="Q87" s="25">
        <f t="shared" si="8"/>
        <v>0.38958990536277605</v>
      </c>
      <c r="R87" s="26">
        <v>487</v>
      </c>
      <c r="S87" s="26">
        <v>128</v>
      </c>
      <c r="T87" s="26">
        <v>130</v>
      </c>
      <c r="U87" s="26">
        <v>2</v>
      </c>
      <c r="V87" s="26">
        <v>747</v>
      </c>
      <c r="W87" s="27">
        <v>0.65194109772423026</v>
      </c>
      <c r="X87" s="27">
        <v>0.17135207496653279</v>
      </c>
      <c r="Y87" s="27">
        <v>0.17402945113788487</v>
      </c>
      <c r="Z87" s="27">
        <v>2.6773761713520749E-3</v>
      </c>
      <c r="AA87" s="28">
        <v>52.402945113788491</v>
      </c>
      <c r="AB87" s="25">
        <f t="shared" si="9"/>
        <v>0.84872824631860777</v>
      </c>
    </row>
    <row r="88" spans="1:28" x14ac:dyDescent="0.25">
      <c r="A88" s="24"/>
      <c r="B88" s="24"/>
      <c r="C88" s="24"/>
      <c r="D88" s="24">
        <v>4</v>
      </c>
      <c r="E88" s="24">
        <v>594</v>
      </c>
      <c r="F88" s="24">
        <v>118</v>
      </c>
      <c r="G88" s="24">
        <v>223</v>
      </c>
      <c r="H88" s="24">
        <v>245</v>
      </c>
      <c r="I88" s="24">
        <v>5</v>
      </c>
      <c r="J88" s="24">
        <v>1</v>
      </c>
      <c r="K88" s="24">
        <v>592</v>
      </c>
      <c r="L88" s="24">
        <v>2</v>
      </c>
      <c r="M88" s="24">
        <f t="shared" si="5"/>
        <v>594</v>
      </c>
      <c r="N88" s="24">
        <v>0</v>
      </c>
      <c r="O88" s="25">
        <f t="shared" si="6"/>
        <v>0.41245791245791247</v>
      </c>
      <c r="P88" s="25">
        <f t="shared" si="7"/>
        <v>0.19865319865319866</v>
      </c>
      <c r="Q88" s="25">
        <f t="shared" si="8"/>
        <v>0.37542087542087543</v>
      </c>
      <c r="R88" s="26">
        <v>460</v>
      </c>
      <c r="S88" s="26">
        <v>148</v>
      </c>
      <c r="T88" s="26">
        <v>134</v>
      </c>
      <c r="U88" s="26">
        <v>6</v>
      </c>
      <c r="V88" s="26">
        <v>748</v>
      </c>
      <c r="W88" s="27">
        <v>0.61497326203208558</v>
      </c>
      <c r="X88" s="27">
        <v>0.19786096256684493</v>
      </c>
      <c r="Y88" s="27">
        <v>0.17914438502673796</v>
      </c>
      <c r="Z88" s="27">
        <v>8.0213903743315516E-3</v>
      </c>
      <c r="AA88" s="28">
        <v>42.915775401069517</v>
      </c>
      <c r="AB88" s="25">
        <f t="shared" si="9"/>
        <v>0.79411764705882348</v>
      </c>
    </row>
    <row r="89" spans="1:28" x14ac:dyDescent="0.25">
      <c r="A89" s="24"/>
      <c r="B89" s="24"/>
      <c r="C89" s="24"/>
      <c r="D89" s="24">
        <v>5</v>
      </c>
      <c r="E89" s="24">
        <v>555</v>
      </c>
      <c r="F89" s="24">
        <v>112</v>
      </c>
      <c r="G89" s="24">
        <v>202</v>
      </c>
      <c r="H89" s="24">
        <v>235</v>
      </c>
      <c r="I89" s="24">
        <v>4</v>
      </c>
      <c r="J89" s="24">
        <v>0</v>
      </c>
      <c r="K89" s="24">
        <v>553</v>
      </c>
      <c r="L89" s="24">
        <v>2</v>
      </c>
      <c r="M89" s="24">
        <f t="shared" si="5"/>
        <v>555</v>
      </c>
      <c r="N89" s="24">
        <v>0</v>
      </c>
      <c r="O89" s="25">
        <f t="shared" si="6"/>
        <v>0.42342342342342343</v>
      </c>
      <c r="P89" s="25">
        <f t="shared" si="7"/>
        <v>0.20180180180180179</v>
      </c>
      <c r="Q89" s="25">
        <f t="shared" si="8"/>
        <v>0.36396396396396397</v>
      </c>
      <c r="R89" s="26">
        <v>477</v>
      </c>
      <c r="S89" s="26">
        <v>103</v>
      </c>
      <c r="T89" s="26">
        <v>167</v>
      </c>
      <c r="U89" s="26">
        <v>1</v>
      </c>
      <c r="V89" s="26">
        <v>748</v>
      </c>
      <c r="W89" s="27">
        <v>0.63770053475935828</v>
      </c>
      <c r="X89" s="27">
        <v>0.13770053475935828</v>
      </c>
      <c r="Y89" s="27">
        <v>0.2232620320855615</v>
      </c>
      <c r="Z89" s="27">
        <v>1.3368983957219251E-3</v>
      </c>
      <c r="AA89" s="28">
        <v>33.790106951871657</v>
      </c>
      <c r="AB89" s="25">
        <f t="shared" si="9"/>
        <v>0.74197860962566842</v>
      </c>
    </row>
    <row r="90" spans="1:28" x14ac:dyDescent="0.25">
      <c r="A90" s="24"/>
      <c r="B90" s="24"/>
      <c r="C90" s="24"/>
      <c r="D90" s="24">
        <v>6</v>
      </c>
      <c r="E90" s="24">
        <v>573</v>
      </c>
      <c r="F90" s="24">
        <v>133</v>
      </c>
      <c r="G90" s="24">
        <v>270</v>
      </c>
      <c r="H90" s="24">
        <v>163</v>
      </c>
      <c r="I90" s="24">
        <v>2</v>
      </c>
      <c r="J90" s="24">
        <v>3</v>
      </c>
      <c r="K90" s="24">
        <v>571</v>
      </c>
      <c r="L90" s="24">
        <v>2</v>
      </c>
      <c r="M90" s="24">
        <f t="shared" si="5"/>
        <v>573</v>
      </c>
      <c r="N90" s="24">
        <v>0</v>
      </c>
      <c r="O90" s="25">
        <f t="shared" si="6"/>
        <v>0.28446771378708552</v>
      </c>
      <c r="P90" s="25">
        <f t="shared" si="7"/>
        <v>0.23211169284467714</v>
      </c>
      <c r="Q90" s="25">
        <f t="shared" si="8"/>
        <v>0.47120418848167539</v>
      </c>
      <c r="R90" s="26">
        <v>587</v>
      </c>
      <c r="S90" s="26">
        <v>58</v>
      </c>
      <c r="T90" s="26">
        <v>102</v>
      </c>
      <c r="U90" s="26">
        <v>1</v>
      </c>
      <c r="V90" s="26">
        <v>748</v>
      </c>
      <c r="W90" s="27">
        <v>0.78475935828877008</v>
      </c>
      <c r="X90" s="27">
        <v>7.7540106951871662E-2</v>
      </c>
      <c r="Y90" s="27">
        <v>0.13636363636363635</v>
      </c>
      <c r="Z90" s="27">
        <v>1.3368983957219251E-3</v>
      </c>
      <c r="AA90" s="28">
        <v>25.657754010695186</v>
      </c>
      <c r="AB90" s="25">
        <f t="shared" si="9"/>
        <v>0.76604278074866305</v>
      </c>
    </row>
    <row r="91" spans="1:28" x14ac:dyDescent="0.25">
      <c r="A91" s="24"/>
      <c r="B91" s="24"/>
      <c r="C91" s="24"/>
      <c r="D91" s="24">
        <v>7</v>
      </c>
      <c r="E91" s="24">
        <v>621</v>
      </c>
      <c r="F91" s="24">
        <v>201</v>
      </c>
      <c r="G91" s="24">
        <v>268</v>
      </c>
      <c r="H91" s="24">
        <v>147</v>
      </c>
      <c r="I91" s="24">
        <v>2</v>
      </c>
      <c r="J91" s="24">
        <v>2</v>
      </c>
      <c r="K91" s="24">
        <v>620</v>
      </c>
      <c r="L91" s="24">
        <v>1</v>
      </c>
      <c r="M91" s="24">
        <f t="shared" si="5"/>
        <v>621</v>
      </c>
      <c r="N91" s="24">
        <v>0</v>
      </c>
      <c r="O91" s="25">
        <f t="shared" si="6"/>
        <v>0.23671497584541062</v>
      </c>
      <c r="P91" s="25">
        <f t="shared" si="7"/>
        <v>0.32367149758454106</v>
      </c>
      <c r="Q91" s="25">
        <f t="shared" si="8"/>
        <v>0.43156199677938806</v>
      </c>
      <c r="R91" s="26">
        <v>648</v>
      </c>
      <c r="S91" s="26">
        <v>29</v>
      </c>
      <c r="T91" s="26">
        <v>71</v>
      </c>
      <c r="U91" s="26">
        <v>0</v>
      </c>
      <c r="V91" s="26">
        <v>748</v>
      </c>
      <c r="W91" s="27">
        <v>0.86631016042780751</v>
      </c>
      <c r="X91" s="27">
        <v>3.8770053475935831E-2</v>
      </c>
      <c r="Y91" s="27">
        <v>9.4919786096256689E-2</v>
      </c>
      <c r="Z91" s="27">
        <v>0</v>
      </c>
      <c r="AA91" s="28">
        <v>20.080213903743317</v>
      </c>
      <c r="AB91" s="25">
        <f t="shared" si="9"/>
        <v>0.8302139037433155</v>
      </c>
    </row>
    <row r="92" spans="1:28" x14ac:dyDescent="0.25">
      <c r="A92" s="24">
        <v>14</v>
      </c>
      <c r="B92" s="24" t="s">
        <v>196</v>
      </c>
      <c r="C92" s="24" t="s">
        <v>198</v>
      </c>
      <c r="D92" s="24">
        <v>1</v>
      </c>
      <c r="E92" s="24">
        <v>359</v>
      </c>
      <c r="F92" s="24">
        <v>70</v>
      </c>
      <c r="G92" s="24">
        <v>196</v>
      </c>
      <c r="H92" s="24">
        <v>76</v>
      </c>
      <c r="I92" s="24">
        <v>3</v>
      </c>
      <c r="J92" s="24">
        <v>7</v>
      </c>
      <c r="K92" s="24">
        <v>352</v>
      </c>
      <c r="L92" s="24">
        <v>7</v>
      </c>
      <c r="M92" s="24">
        <f t="shared" si="5"/>
        <v>359</v>
      </c>
      <c r="N92" s="24">
        <v>0</v>
      </c>
      <c r="O92" s="25">
        <f t="shared" si="6"/>
        <v>0.2116991643454039</v>
      </c>
      <c r="P92" s="25">
        <f t="shared" si="7"/>
        <v>0.19498607242339833</v>
      </c>
      <c r="Q92" s="25">
        <f t="shared" si="8"/>
        <v>0.54596100278551529</v>
      </c>
      <c r="R92" s="26">
        <v>376</v>
      </c>
      <c r="S92" s="26">
        <v>23</v>
      </c>
      <c r="T92" s="26">
        <v>50</v>
      </c>
      <c r="U92" s="26">
        <v>1</v>
      </c>
      <c r="V92" s="26">
        <v>450</v>
      </c>
      <c r="W92" s="27">
        <v>0.83555555555555561</v>
      </c>
      <c r="X92" s="27">
        <v>5.1111111111111114E-2</v>
      </c>
      <c r="Y92" s="27">
        <v>0.1111111111111111</v>
      </c>
      <c r="Z92" s="27">
        <v>2.2222222222222222E-3</v>
      </c>
      <c r="AA92" s="28">
        <v>62.651111111111113</v>
      </c>
      <c r="AB92" s="25">
        <f t="shared" si="9"/>
        <v>0.79777777777777781</v>
      </c>
    </row>
    <row r="93" spans="1:28" x14ac:dyDescent="0.25">
      <c r="A93" s="24"/>
      <c r="B93" s="24"/>
      <c r="C93" s="24"/>
      <c r="D93" s="24">
        <v>2</v>
      </c>
      <c r="E93" s="24">
        <v>609</v>
      </c>
      <c r="F93" s="24">
        <v>162</v>
      </c>
      <c r="G93" s="24">
        <v>270</v>
      </c>
      <c r="H93" s="24">
        <v>170</v>
      </c>
      <c r="I93" s="24">
        <v>2</v>
      </c>
      <c r="J93" s="24">
        <v>2</v>
      </c>
      <c r="K93" s="24">
        <v>606</v>
      </c>
      <c r="L93" s="24">
        <v>3</v>
      </c>
      <c r="M93" s="24">
        <f t="shared" si="5"/>
        <v>609</v>
      </c>
      <c r="N93" s="24">
        <v>0</v>
      </c>
      <c r="O93" s="25">
        <f t="shared" si="6"/>
        <v>0.27914614121510672</v>
      </c>
      <c r="P93" s="25">
        <f t="shared" si="7"/>
        <v>0.26600985221674878</v>
      </c>
      <c r="Q93" s="25">
        <f t="shared" si="8"/>
        <v>0.44334975369458129</v>
      </c>
      <c r="R93" s="26">
        <v>589</v>
      </c>
      <c r="S93" s="26">
        <v>43</v>
      </c>
      <c r="T93" s="26">
        <v>85</v>
      </c>
      <c r="U93" s="26">
        <v>2</v>
      </c>
      <c r="V93" s="26">
        <v>719</v>
      </c>
      <c r="W93" s="27">
        <v>0.81919332406119616</v>
      </c>
      <c r="X93" s="27">
        <v>5.9805285118219746E-2</v>
      </c>
      <c r="Y93" s="27">
        <v>0.11821974965229486</v>
      </c>
      <c r="Z93" s="27">
        <v>2.7816411682892906E-3</v>
      </c>
      <c r="AA93" s="28">
        <v>51.089012517385257</v>
      </c>
      <c r="AB93" s="25">
        <f t="shared" si="9"/>
        <v>0.847009735744089</v>
      </c>
    </row>
    <row r="94" spans="1:28" x14ac:dyDescent="0.25">
      <c r="A94" s="24"/>
      <c r="B94" s="24"/>
      <c r="C94" s="24"/>
      <c r="D94" s="24">
        <v>3</v>
      </c>
      <c r="E94" s="24">
        <v>582</v>
      </c>
      <c r="F94" s="24">
        <v>200</v>
      </c>
      <c r="G94" s="24">
        <v>226</v>
      </c>
      <c r="H94" s="24">
        <v>146</v>
      </c>
      <c r="I94" s="24">
        <v>3</v>
      </c>
      <c r="J94" s="24">
        <v>2</v>
      </c>
      <c r="K94" s="24">
        <v>577</v>
      </c>
      <c r="L94" s="24">
        <v>5</v>
      </c>
      <c r="M94" s="24">
        <f t="shared" si="5"/>
        <v>582</v>
      </c>
      <c r="N94" s="24">
        <v>0</v>
      </c>
      <c r="O94" s="25">
        <f t="shared" si="6"/>
        <v>0.25085910652920962</v>
      </c>
      <c r="P94" s="25">
        <f t="shared" si="7"/>
        <v>0.3436426116838488</v>
      </c>
      <c r="Q94" s="25">
        <f t="shared" si="8"/>
        <v>0.38831615120274915</v>
      </c>
      <c r="R94" s="26">
        <v>617</v>
      </c>
      <c r="S94" s="26">
        <v>33</v>
      </c>
      <c r="T94" s="26">
        <v>66</v>
      </c>
      <c r="U94" s="26">
        <v>4</v>
      </c>
      <c r="V94" s="26">
        <v>720</v>
      </c>
      <c r="W94" s="27">
        <v>0.8569444444444444</v>
      </c>
      <c r="X94" s="27">
        <v>4.583333333333333E-2</v>
      </c>
      <c r="Y94" s="27">
        <v>9.166666666666666E-2</v>
      </c>
      <c r="Z94" s="27">
        <v>5.5555555555555558E-3</v>
      </c>
      <c r="AA94" s="28">
        <v>40.475000000000001</v>
      </c>
      <c r="AB94" s="25">
        <f t="shared" si="9"/>
        <v>0.80833333333333335</v>
      </c>
    </row>
    <row r="95" spans="1:28" x14ac:dyDescent="0.25">
      <c r="A95" s="24"/>
      <c r="B95" s="24"/>
      <c r="C95" s="24"/>
      <c r="D95" s="24">
        <v>4</v>
      </c>
      <c r="E95" s="24">
        <v>567</v>
      </c>
      <c r="F95" s="24">
        <v>156</v>
      </c>
      <c r="G95" s="24">
        <v>239</v>
      </c>
      <c r="H95" s="24">
        <v>166</v>
      </c>
      <c r="I95" s="24">
        <v>2</v>
      </c>
      <c r="J95" s="24">
        <v>4</v>
      </c>
      <c r="K95" s="24">
        <v>567</v>
      </c>
      <c r="L95" s="24">
        <v>0</v>
      </c>
      <c r="M95" s="24">
        <f t="shared" si="5"/>
        <v>567</v>
      </c>
      <c r="N95" s="24">
        <v>0</v>
      </c>
      <c r="O95" s="25">
        <f t="shared" si="6"/>
        <v>0.29276895943562609</v>
      </c>
      <c r="P95" s="25">
        <f t="shared" si="7"/>
        <v>0.27513227513227512</v>
      </c>
      <c r="Q95" s="25">
        <f t="shared" si="8"/>
        <v>0.42151675485008816</v>
      </c>
      <c r="R95" s="26">
        <v>606</v>
      </c>
      <c r="S95" s="26">
        <v>42</v>
      </c>
      <c r="T95" s="26">
        <v>70</v>
      </c>
      <c r="U95" s="26">
        <v>2</v>
      </c>
      <c r="V95" s="26">
        <v>720</v>
      </c>
      <c r="W95" s="27">
        <v>0.84166666666666667</v>
      </c>
      <c r="X95" s="27">
        <v>5.8333333333333334E-2</v>
      </c>
      <c r="Y95" s="27">
        <v>9.7222222222222224E-2</v>
      </c>
      <c r="Z95" s="27">
        <v>2.7777777777777779E-3</v>
      </c>
      <c r="AA95" s="28">
        <v>31.402777777777779</v>
      </c>
      <c r="AB95" s="25">
        <f t="shared" si="9"/>
        <v>0.78749999999999998</v>
      </c>
    </row>
    <row r="96" spans="1:28" x14ac:dyDescent="0.25">
      <c r="A96" s="24"/>
      <c r="B96" s="24"/>
      <c r="C96" s="24"/>
      <c r="D96" s="24">
        <v>5</v>
      </c>
      <c r="E96" s="24">
        <v>591</v>
      </c>
      <c r="F96" s="24">
        <v>171</v>
      </c>
      <c r="G96" s="24">
        <v>241</v>
      </c>
      <c r="H96" s="24">
        <v>175</v>
      </c>
      <c r="I96" s="24">
        <v>1</v>
      </c>
      <c r="J96" s="24">
        <v>3</v>
      </c>
      <c r="K96" s="24">
        <v>591</v>
      </c>
      <c r="L96" s="24">
        <v>0</v>
      </c>
      <c r="M96" s="24">
        <f t="shared" si="5"/>
        <v>591</v>
      </c>
      <c r="N96" s="24">
        <v>0</v>
      </c>
      <c r="O96" s="25">
        <f t="shared" si="6"/>
        <v>0.29610829103214892</v>
      </c>
      <c r="P96" s="25">
        <f t="shared" si="7"/>
        <v>0.28934010152284262</v>
      </c>
      <c r="Q96" s="25">
        <f t="shared" si="8"/>
        <v>0.40778341793570222</v>
      </c>
      <c r="R96" s="26">
        <v>635</v>
      </c>
      <c r="S96" s="26">
        <v>26</v>
      </c>
      <c r="T96" s="26">
        <v>59</v>
      </c>
      <c r="U96" s="26">
        <v>0</v>
      </c>
      <c r="V96" s="26">
        <v>720</v>
      </c>
      <c r="W96" s="27">
        <v>0.88194444444444442</v>
      </c>
      <c r="X96" s="27">
        <v>3.6111111111111108E-2</v>
      </c>
      <c r="Y96" s="27">
        <v>8.1944444444444445E-2</v>
      </c>
      <c r="Z96" s="27">
        <v>0</v>
      </c>
      <c r="AA96" s="28">
        <v>24.881944444444443</v>
      </c>
      <c r="AB96" s="25">
        <f t="shared" si="9"/>
        <v>0.8208333333333333</v>
      </c>
    </row>
    <row r="97" spans="1:28" x14ac:dyDescent="0.25">
      <c r="A97" s="24"/>
      <c r="B97" s="24"/>
      <c r="C97" s="24"/>
      <c r="D97" s="24">
        <v>6</v>
      </c>
      <c r="E97" s="24">
        <v>592</v>
      </c>
      <c r="F97" s="24">
        <v>191</v>
      </c>
      <c r="G97" s="24">
        <v>242</v>
      </c>
      <c r="H97" s="24">
        <v>153</v>
      </c>
      <c r="I97" s="24">
        <v>2</v>
      </c>
      <c r="J97" s="24">
        <v>4</v>
      </c>
      <c r="K97" s="24">
        <v>592</v>
      </c>
      <c r="L97" s="24">
        <v>0</v>
      </c>
      <c r="M97" s="24">
        <f t="shared" si="5"/>
        <v>592</v>
      </c>
      <c r="N97" s="24">
        <v>0</v>
      </c>
      <c r="O97" s="25">
        <f t="shared" si="6"/>
        <v>0.25844594594594594</v>
      </c>
      <c r="P97" s="25">
        <f t="shared" si="7"/>
        <v>0.32263513513513514</v>
      </c>
      <c r="Q97" s="25">
        <f t="shared" si="8"/>
        <v>0.40878378378378377</v>
      </c>
      <c r="R97" s="26">
        <v>649</v>
      </c>
      <c r="S97" s="26">
        <v>22</v>
      </c>
      <c r="T97" s="26">
        <v>49</v>
      </c>
      <c r="U97" s="26">
        <v>0</v>
      </c>
      <c r="V97" s="26">
        <v>720</v>
      </c>
      <c r="W97" s="27">
        <v>0.90138888888888891</v>
      </c>
      <c r="X97" s="27">
        <v>3.0555555555555555E-2</v>
      </c>
      <c r="Y97" s="27">
        <v>6.805555555555555E-2</v>
      </c>
      <c r="Z97" s="27">
        <v>0</v>
      </c>
      <c r="AA97" s="28">
        <v>20.022222222222222</v>
      </c>
      <c r="AB97" s="25">
        <f t="shared" si="9"/>
        <v>0.82222222222222219</v>
      </c>
    </row>
    <row r="98" spans="1:28" x14ac:dyDescent="0.25">
      <c r="A98" s="24">
        <v>15</v>
      </c>
      <c r="B98" s="24" t="s">
        <v>199</v>
      </c>
      <c r="C98" s="24" t="s">
        <v>200</v>
      </c>
      <c r="D98" s="24">
        <v>1</v>
      </c>
      <c r="E98" s="24">
        <v>301</v>
      </c>
      <c r="F98" s="24">
        <v>32</v>
      </c>
      <c r="G98" s="24">
        <v>139</v>
      </c>
      <c r="H98" s="24">
        <v>125</v>
      </c>
      <c r="I98" s="24">
        <v>1</v>
      </c>
      <c r="J98" s="24">
        <v>0</v>
      </c>
      <c r="K98" s="24">
        <v>297</v>
      </c>
      <c r="L98" s="24">
        <v>4</v>
      </c>
      <c r="M98" s="24">
        <f t="shared" si="5"/>
        <v>301</v>
      </c>
      <c r="N98" s="24">
        <v>0</v>
      </c>
      <c r="O98" s="25">
        <f t="shared" si="6"/>
        <v>0.41528239202657807</v>
      </c>
      <c r="P98" s="25">
        <f t="shared" si="7"/>
        <v>0.10631229235880399</v>
      </c>
      <c r="Q98" s="25">
        <f t="shared" si="8"/>
        <v>0.46179401993355484</v>
      </c>
      <c r="R98" s="26">
        <v>270</v>
      </c>
      <c r="S98" s="26">
        <v>140</v>
      </c>
      <c r="T98" s="26">
        <v>38</v>
      </c>
      <c r="U98" s="26">
        <v>2</v>
      </c>
      <c r="V98" s="26">
        <v>450</v>
      </c>
      <c r="W98" s="27">
        <v>0.6</v>
      </c>
      <c r="X98" s="27">
        <v>0.31111111111111112</v>
      </c>
      <c r="Y98" s="27">
        <v>8.4444444444444447E-2</v>
      </c>
      <c r="Z98" s="27">
        <v>4.4444444444444444E-3</v>
      </c>
      <c r="AA98" s="28">
        <v>68.737777777777779</v>
      </c>
      <c r="AB98" s="25">
        <f t="shared" si="9"/>
        <v>0.66888888888888887</v>
      </c>
    </row>
    <row r="99" spans="1:28" x14ac:dyDescent="0.25">
      <c r="A99" s="24"/>
      <c r="B99" s="24"/>
      <c r="C99" s="24"/>
      <c r="D99" s="24">
        <v>2</v>
      </c>
      <c r="E99" s="24">
        <v>384</v>
      </c>
      <c r="F99" s="24">
        <v>51</v>
      </c>
      <c r="G99" s="24">
        <v>155</v>
      </c>
      <c r="H99" s="24">
        <v>174</v>
      </c>
      <c r="I99" s="24">
        <v>1</v>
      </c>
      <c r="J99" s="24">
        <v>0</v>
      </c>
      <c r="K99" s="24">
        <v>381</v>
      </c>
      <c r="L99" s="24">
        <v>3</v>
      </c>
      <c r="M99" s="24">
        <f t="shared" si="5"/>
        <v>384</v>
      </c>
      <c r="N99" s="24">
        <v>0</v>
      </c>
      <c r="O99" s="25">
        <f t="shared" si="6"/>
        <v>0.453125</v>
      </c>
      <c r="P99" s="25">
        <f t="shared" si="7"/>
        <v>0.1328125</v>
      </c>
      <c r="Q99" s="25">
        <f t="shared" si="8"/>
        <v>0.40364583333333331</v>
      </c>
      <c r="R99" s="26">
        <v>248</v>
      </c>
      <c r="S99" s="26">
        <v>143</v>
      </c>
      <c r="T99" s="26">
        <v>54</v>
      </c>
      <c r="U99" s="26">
        <v>5</v>
      </c>
      <c r="V99" s="26">
        <v>450</v>
      </c>
      <c r="W99" s="27">
        <v>0.55111111111111111</v>
      </c>
      <c r="X99" s="27">
        <v>0.31777777777777777</v>
      </c>
      <c r="Y99" s="27">
        <v>0.12</v>
      </c>
      <c r="Z99" s="27">
        <v>1.1111111111111112E-2</v>
      </c>
      <c r="AA99" s="28">
        <v>66.364444444444445</v>
      </c>
      <c r="AB99" s="25">
        <f t="shared" si="9"/>
        <v>0.85333333333333339</v>
      </c>
    </row>
    <row r="100" spans="1:28" x14ac:dyDescent="0.25">
      <c r="A100" s="24"/>
      <c r="B100" s="24"/>
      <c r="C100" s="24"/>
      <c r="D100" s="24">
        <v>3</v>
      </c>
      <c r="E100" s="24">
        <v>388</v>
      </c>
      <c r="F100" s="24">
        <v>48</v>
      </c>
      <c r="G100" s="24">
        <v>127</v>
      </c>
      <c r="H100" s="24">
        <v>205</v>
      </c>
      <c r="I100" s="24">
        <v>2</v>
      </c>
      <c r="J100" s="24">
        <v>2</v>
      </c>
      <c r="K100" s="24">
        <v>384</v>
      </c>
      <c r="L100" s="24">
        <v>4</v>
      </c>
      <c r="M100" s="24">
        <f t="shared" si="5"/>
        <v>388</v>
      </c>
      <c r="N100" s="24">
        <v>0</v>
      </c>
      <c r="O100" s="25">
        <f t="shared" si="6"/>
        <v>0.52835051546391754</v>
      </c>
      <c r="P100" s="25">
        <f t="shared" si="7"/>
        <v>0.12371134020618557</v>
      </c>
      <c r="Q100" s="25">
        <f t="shared" si="8"/>
        <v>0.32731958762886598</v>
      </c>
      <c r="R100" s="26">
        <v>242</v>
      </c>
      <c r="S100" s="26">
        <v>138</v>
      </c>
      <c r="T100" s="26">
        <v>67</v>
      </c>
      <c r="U100" s="26">
        <v>3</v>
      </c>
      <c r="V100" s="26">
        <v>450</v>
      </c>
      <c r="W100" s="27">
        <v>0.5377777777777778</v>
      </c>
      <c r="X100" s="27">
        <v>0.30666666666666664</v>
      </c>
      <c r="Y100" s="27">
        <v>0.14888888888888888</v>
      </c>
      <c r="Z100" s="27">
        <v>6.6666666666666671E-3</v>
      </c>
      <c r="AA100" s="28">
        <v>59.835555555555558</v>
      </c>
      <c r="AB100" s="25">
        <f t="shared" si="9"/>
        <v>0.86222222222222222</v>
      </c>
    </row>
    <row r="101" spans="1:28" x14ac:dyDescent="0.25">
      <c r="A101" s="24"/>
      <c r="B101" s="24"/>
      <c r="C101" s="24"/>
      <c r="D101" s="24">
        <v>4</v>
      </c>
      <c r="E101" s="24">
        <v>611</v>
      </c>
      <c r="F101" s="24">
        <v>121</v>
      </c>
      <c r="G101" s="24">
        <v>184</v>
      </c>
      <c r="H101" s="24">
        <v>295</v>
      </c>
      <c r="I101" s="24">
        <v>1</v>
      </c>
      <c r="J101" s="24">
        <v>8</v>
      </c>
      <c r="K101" s="24">
        <v>609</v>
      </c>
      <c r="L101" s="24">
        <v>2</v>
      </c>
      <c r="M101" s="24">
        <f t="shared" si="5"/>
        <v>611</v>
      </c>
      <c r="N101" s="24">
        <v>0</v>
      </c>
      <c r="O101" s="25">
        <f t="shared" si="6"/>
        <v>0.48281505728314239</v>
      </c>
      <c r="P101" s="25">
        <f t="shared" si="7"/>
        <v>0.19803600654664485</v>
      </c>
      <c r="Q101" s="25">
        <f t="shared" si="8"/>
        <v>0.30114566284779049</v>
      </c>
      <c r="R101" s="26">
        <v>439</v>
      </c>
      <c r="S101" s="26">
        <v>191</v>
      </c>
      <c r="T101" s="26">
        <v>104</v>
      </c>
      <c r="U101" s="26">
        <v>7</v>
      </c>
      <c r="V101" s="26">
        <v>741</v>
      </c>
      <c r="W101" s="27">
        <v>0.59244264507422406</v>
      </c>
      <c r="X101" s="27">
        <v>0.25775978407557354</v>
      </c>
      <c r="Y101" s="27">
        <v>0.14035087719298245</v>
      </c>
      <c r="Z101" s="27">
        <v>9.4466936572199737E-3</v>
      </c>
      <c r="AA101" s="28">
        <v>52.032388663967609</v>
      </c>
      <c r="AB101" s="25">
        <f t="shared" si="9"/>
        <v>0.82456140350877194</v>
      </c>
    </row>
    <row r="102" spans="1:28" x14ac:dyDescent="0.25">
      <c r="A102" s="24"/>
      <c r="B102" s="24"/>
      <c r="C102" s="24"/>
      <c r="D102" s="24">
        <v>5</v>
      </c>
      <c r="E102" s="24">
        <v>585</v>
      </c>
      <c r="F102" s="24">
        <v>136</v>
      </c>
      <c r="G102" s="24">
        <v>177</v>
      </c>
      <c r="H102" s="24">
        <v>256</v>
      </c>
      <c r="I102" s="24">
        <v>2</v>
      </c>
      <c r="J102" s="24">
        <v>6</v>
      </c>
      <c r="K102" s="24">
        <v>577</v>
      </c>
      <c r="L102" s="24">
        <v>8</v>
      </c>
      <c r="M102" s="24">
        <f t="shared" si="5"/>
        <v>585</v>
      </c>
      <c r="N102" s="24">
        <v>0</v>
      </c>
      <c r="O102" s="25">
        <f t="shared" si="6"/>
        <v>0.43760683760683761</v>
      </c>
      <c r="P102" s="25">
        <f t="shared" si="7"/>
        <v>0.23247863247863249</v>
      </c>
      <c r="Q102" s="25">
        <f t="shared" si="8"/>
        <v>0.30256410256410254</v>
      </c>
      <c r="R102" s="26">
        <v>486</v>
      </c>
      <c r="S102" s="26">
        <v>170</v>
      </c>
      <c r="T102" s="26">
        <v>83</v>
      </c>
      <c r="U102" s="26">
        <v>2</v>
      </c>
      <c r="V102" s="26">
        <v>741</v>
      </c>
      <c r="W102" s="27">
        <v>0.65587044534412953</v>
      </c>
      <c r="X102" s="27">
        <v>0.22941970310391363</v>
      </c>
      <c r="Y102" s="27">
        <v>0.11201079622132254</v>
      </c>
      <c r="Z102" s="27">
        <v>2.6990553306342779E-3</v>
      </c>
      <c r="AA102" s="28">
        <v>44.429149797570851</v>
      </c>
      <c r="AB102" s="25">
        <f t="shared" si="9"/>
        <v>0.78947368421052633</v>
      </c>
    </row>
    <row r="103" spans="1:28" x14ac:dyDescent="0.25">
      <c r="A103" s="24"/>
      <c r="B103" s="24"/>
      <c r="C103" s="24"/>
      <c r="D103" s="24">
        <v>6</v>
      </c>
      <c r="E103" s="24">
        <v>573</v>
      </c>
      <c r="F103" s="24">
        <v>133</v>
      </c>
      <c r="G103" s="24">
        <v>218</v>
      </c>
      <c r="H103" s="24">
        <v>216</v>
      </c>
      <c r="I103" s="24">
        <v>1</v>
      </c>
      <c r="J103" s="24">
        <v>4</v>
      </c>
      <c r="K103" s="24">
        <v>572</v>
      </c>
      <c r="L103" s="24">
        <v>1</v>
      </c>
      <c r="M103" s="24">
        <f t="shared" si="5"/>
        <v>573</v>
      </c>
      <c r="N103" s="24">
        <v>0</v>
      </c>
      <c r="O103" s="25">
        <f t="shared" si="6"/>
        <v>0.37696335078534032</v>
      </c>
      <c r="P103" s="25">
        <f t="shared" si="7"/>
        <v>0.23211169284467714</v>
      </c>
      <c r="Q103" s="25">
        <f t="shared" si="8"/>
        <v>0.38045375218150085</v>
      </c>
      <c r="R103" s="26">
        <v>520</v>
      </c>
      <c r="S103" s="26">
        <v>139</v>
      </c>
      <c r="T103" s="26">
        <v>76</v>
      </c>
      <c r="U103" s="26">
        <v>6</v>
      </c>
      <c r="V103" s="26">
        <v>741</v>
      </c>
      <c r="W103" s="27">
        <v>0.70175438596491224</v>
      </c>
      <c r="X103" s="27">
        <v>0.18758434547908232</v>
      </c>
      <c r="Y103" s="27">
        <v>0.10256410256410256</v>
      </c>
      <c r="Z103" s="27">
        <v>8.0971659919028341E-3</v>
      </c>
      <c r="AA103" s="28">
        <v>38.442645074224025</v>
      </c>
      <c r="AB103" s="25">
        <f t="shared" si="9"/>
        <v>0.77327935222672062</v>
      </c>
    </row>
    <row r="104" spans="1:28" x14ac:dyDescent="0.25">
      <c r="A104" s="24"/>
      <c r="B104" s="24"/>
      <c r="C104" s="24"/>
      <c r="D104" s="24">
        <v>7</v>
      </c>
      <c r="E104" s="24">
        <v>568</v>
      </c>
      <c r="F104" s="24">
        <v>133</v>
      </c>
      <c r="G104" s="24">
        <v>212</v>
      </c>
      <c r="H104" s="24">
        <v>218</v>
      </c>
      <c r="I104" s="24">
        <v>1</v>
      </c>
      <c r="J104" s="24">
        <v>3</v>
      </c>
      <c r="K104" s="24">
        <v>567</v>
      </c>
      <c r="L104" s="24">
        <v>1</v>
      </c>
      <c r="M104" s="24">
        <f t="shared" si="5"/>
        <v>568</v>
      </c>
      <c r="N104" s="24">
        <v>0</v>
      </c>
      <c r="O104" s="25">
        <f t="shared" si="6"/>
        <v>0.38380281690140844</v>
      </c>
      <c r="P104" s="25">
        <f t="shared" si="7"/>
        <v>0.23415492957746478</v>
      </c>
      <c r="Q104" s="25">
        <f t="shared" si="8"/>
        <v>0.37323943661971831</v>
      </c>
      <c r="R104" s="26">
        <v>563</v>
      </c>
      <c r="S104" s="26">
        <v>106</v>
      </c>
      <c r="T104" s="26">
        <v>71</v>
      </c>
      <c r="U104" s="26">
        <v>1</v>
      </c>
      <c r="V104" s="26">
        <v>741</v>
      </c>
      <c r="W104" s="27">
        <v>0.75978407557354921</v>
      </c>
      <c r="X104" s="27">
        <v>0.14304993252361672</v>
      </c>
      <c r="Y104" s="27">
        <v>9.5816464237516871E-2</v>
      </c>
      <c r="Z104" s="27">
        <v>1.3495276653171389E-3</v>
      </c>
      <c r="AA104" s="28">
        <v>32.709851551956817</v>
      </c>
      <c r="AB104" s="25">
        <f t="shared" si="9"/>
        <v>0.76653171390013497</v>
      </c>
    </row>
    <row r="105" spans="1:28" x14ac:dyDescent="0.25">
      <c r="A105" s="24"/>
      <c r="B105" s="24"/>
      <c r="C105" s="24"/>
      <c r="D105" s="24">
        <v>8</v>
      </c>
      <c r="E105" s="24">
        <v>574</v>
      </c>
      <c r="F105" s="24">
        <v>136</v>
      </c>
      <c r="G105" s="24">
        <v>204</v>
      </c>
      <c r="H105" s="24">
        <v>228</v>
      </c>
      <c r="I105" s="24">
        <v>2</v>
      </c>
      <c r="J105" s="24">
        <v>2</v>
      </c>
      <c r="K105" s="24">
        <v>572</v>
      </c>
      <c r="L105" s="24">
        <v>2</v>
      </c>
      <c r="M105" s="24">
        <f t="shared" si="5"/>
        <v>574</v>
      </c>
      <c r="N105" s="24">
        <v>0</v>
      </c>
      <c r="O105" s="25">
        <f t="shared" si="6"/>
        <v>0.39721254355400698</v>
      </c>
      <c r="P105" s="25">
        <f t="shared" si="7"/>
        <v>0.23693379790940766</v>
      </c>
      <c r="Q105" s="25">
        <f t="shared" si="8"/>
        <v>0.35540069686411152</v>
      </c>
      <c r="R105" s="26">
        <v>600</v>
      </c>
      <c r="S105" s="26">
        <v>69</v>
      </c>
      <c r="T105" s="26">
        <v>72</v>
      </c>
      <c r="U105" s="26">
        <v>0</v>
      </c>
      <c r="V105" s="26">
        <v>741</v>
      </c>
      <c r="W105" s="27">
        <v>0.80971659919028338</v>
      </c>
      <c r="X105" s="27">
        <v>9.3117408906882596E-2</v>
      </c>
      <c r="Y105" s="27">
        <v>9.7165991902834009E-2</v>
      </c>
      <c r="Z105" s="27">
        <v>0</v>
      </c>
      <c r="AA105" s="28">
        <v>26.642375168690958</v>
      </c>
      <c r="AB105" s="25">
        <f t="shared" si="9"/>
        <v>0.77462887989203777</v>
      </c>
    </row>
    <row r="106" spans="1:28" x14ac:dyDescent="0.25">
      <c r="A106" s="24"/>
      <c r="B106" s="24"/>
      <c r="C106" s="24"/>
      <c r="D106" s="24">
        <v>9</v>
      </c>
      <c r="E106" s="24">
        <v>614</v>
      </c>
      <c r="F106" s="24">
        <v>173</v>
      </c>
      <c r="G106" s="24">
        <v>207</v>
      </c>
      <c r="H106" s="24">
        <v>227</v>
      </c>
      <c r="I106" s="24">
        <v>3</v>
      </c>
      <c r="J106" s="24">
        <v>1</v>
      </c>
      <c r="K106" s="24">
        <v>611</v>
      </c>
      <c r="L106" s="24">
        <v>3</v>
      </c>
      <c r="M106" s="24">
        <f t="shared" si="5"/>
        <v>614</v>
      </c>
      <c r="N106" s="24">
        <v>0</v>
      </c>
      <c r="O106" s="25">
        <f t="shared" si="6"/>
        <v>0.36970684039087948</v>
      </c>
      <c r="P106" s="25">
        <f t="shared" si="7"/>
        <v>0.28175895765472314</v>
      </c>
      <c r="Q106" s="25">
        <f t="shared" si="8"/>
        <v>0.33713355048859933</v>
      </c>
      <c r="R106" s="26">
        <v>604</v>
      </c>
      <c r="S106" s="26">
        <v>57</v>
      </c>
      <c r="T106" s="26">
        <v>80</v>
      </c>
      <c r="U106" s="26">
        <v>0</v>
      </c>
      <c r="V106" s="26">
        <v>741</v>
      </c>
      <c r="W106" s="27">
        <v>0.81511470985155199</v>
      </c>
      <c r="X106" s="27">
        <v>7.6923076923076927E-2</v>
      </c>
      <c r="Y106" s="27">
        <v>0.10796221322537113</v>
      </c>
      <c r="Z106" s="27">
        <v>0</v>
      </c>
      <c r="AA106" s="28">
        <v>20.720647773279353</v>
      </c>
      <c r="AB106" s="25">
        <f t="shared" si="9"/>
        <v>0.82860998650472339</v>
      </c>
    </row>
    <row r="107" spans="1:28" x14ac:dyDescent="0.25">
      <c r="A107" s="24">
        <v>16</v>
      </c>
      <c r="B107" s="24" t="s">
        <v>201</v>
      </c>
      <c r="C107" s="24" t="s">
        <v>202</v>
      </c>
      <c r="D107" s="24">
        <v>1</v>
      </c>
      <c r="E107" s="24">
        <v>262</v>
      </c>
      <c r="F107" s="24">
        <v>10</v>
      </c>
      <c r="G107" s="24">
        <v>110</v>
      </c>
      <c r="H107" s="24">
        <v>111</v>
      </c>
      <c r="I107" s="24">
        <v>16</v>
      </c>
      <c r="J107" s="24">
        <v>3</v>
      </c>
      <c r="K107" s="24">
        <v>250</v>
      </c>
      <c r="L107" s="24">
        <v>12</v>
      </c>
      <c r="M107" s="24">
        <f t="shared" si="5"/>
        <v>262</v>
      </c>
      <c r="N107" s="24">
        <v>0</v>
      </c>
      <c r="O107" s="25">
        <f t="shared" si="6"/>
        <v>0.42366412213740456</v>
      </c>
      <c r="P107" s="25">
        <f t="shared" si="7"/>
        <v>3.8167938931297711E-2</v>
      </c>
      <c r="Q107" s="25">
        <f t="shared" si="8"/>
        <v>0.41984732824427479</v>
      </c>
      <c r="R107" s="26">
        <v>41</v>
      </c>
      <c r="S107" s="26">
        <v>93</v>
      </c>
      <c r="T107" s="26">
        <v>216</v>
      </c>
      <c r="U107" s="26">
        <v>0</v>
      </c>
      <c r="V107" s="26">
        <v>350</v>
      </c>
      <c r="W107" s="27">
        <v>0.11714285714285715</v>
      </c>
      <c r="X107" s="27">
        <v>0.26571428571428574</v>
      </c>
      <c r="Y107" s="27">
        <v>0.6171428571428571</v>
      </c>
      <c r="Z107" s="27">
        <v>0</v>
      </c>
      <c r="AA107" s="28">
        <v>65.931428571428569</v>
      </c>
      <c r="AB107" s="25">
        <f t="shared" si="9"/>
        <v>0.74857142857142855</v>
      </c>
    </row>
    <row r="108" spans="1:28" x14ac:dyDescent="0.25">
      <c r="A108" s="24"/>
      <c r="B108" s="24"/>
      <c r="C108" s="24"/>
      <c r="D108" s="24">
        <v>2</v>
      </c>
      <c r="E108" s="24">
        <v>287</v>
      </c>
      <c r="F108" s="24">
        <v>32</v>
      </c>
      <c r="G108" s="24">
        <v>100</v>
      </c>
      <c r="H108" s="24">
        <v>142</v>
      </c>
      <c r="I108" s="24">
        <v>9</v>
      </c>
      <c r="J108" s="24">
        <v>0</v>
      </c>
      <c r="K108" s="24">
        <v>283</v>
      </c>
      <c r="L108" s="24">
        <v>4</v>
      </c>
      <c r="M108" s="24">
        <f t="shared" si="5"/>
        <v>287</v>
      </c>
      <c r="N108" s="24">
        <v>0</v>
      </c>
      <c r="O108" s="25">
        <f t="shared" si="6"/>
        <v>0.49477351916376305</v>
      </c>
      <c r="P108" s="25">
        <f t="shared" si="7"/>
        <v>0.11149825783972125</v>
      </c>
      <c r="Q108" s="25">
        <f t="shared" si="8"/>
        <v>0.34843205574912894</v>
      </c>
      <c r="R108" s="26">
        <v>114</v>
      </c>
      <c r="S108" s="26">
        <v>74</v>
      </c>
      <c r="T108" s="26">
        <v>167</v>
      </c>
      <c r="U108" s="26">
        <v>0</v>
      </c>
      <c r="V108" s="26">
        <v>355</v>
      </c>
      <c r="W108" s="27">
        <v>0.3211267605633803</v>
      </c>
      <c r="X108" s="27">
        <v>0.20845070422535211</v>
      </c>
      <c r="Y108" s="27">
        <v>0.47042253521126759</v>
      </c>
      <c r="Z108" s="27">
        <v>0</v>
      </c>
      <c r="AA108" s="28">
        <v>35.44507042253521</v>
      </c>
      <c r="AB108" s="25">
        <f t="shared" si="9"/>
        <v>0.80845070422535215</v>
      </c>
    </row>
    <row r="109" spans="1:28" x14ac:dyDescent="0.25">
      <c r="A109" s="24">
        <v>17</v>
      </c>
      <c r="B109" s="24" t="s">
        <v>203</v>
      </c>
      <c r="C109" s="24" t="s">
        <v>204</v>
      </c>
      <c r="D109" s="24">
        <v>1</v>
      </c>
      <c r="E109" s="24">
        <v>354</v>
      </c>
      <c r="F109" s="24">
        <v>50</v>
      </c>
      <c r="G109" s="24">
        <v>259</v>
      </c>
      <c r="H109" s="24">
        <v>40</v>
      </c>
      <c r="I109" s="24">
        <v>1</v>
      </c>
      <c r="J109" s="24">
        <v>1</v>
      </c>
      <c r="K109" s="24">
        <v>351</v>
      </c>
      <c r="L109" s="24">
        <v>3</v>
      </c>
      <c r="M109" s="24">
        <f t="shared" si="5"/>
        <v>354</v>
      </c>
      <c r="N109" s="24">
        <v>0</v>
      </c>
      <c r="O109" s="25">
        <f t="shared" si="6"/>
        <v>0.11299435028248588</v>
      </c>
      <c r="P109" s="25">
        <f t="shared" si="7"/>
        <v>0.14124293785310735</v>
      </c>
      <c r="Q109" s="25">
        <f t="shared" si="8"/>
        <v>0.73163841807909602</v>
      </c>
      <c r="R109" s="26">
        <v>446</v>
      </c>
      <c r="S109" s="26">
        <v>0</v>
      </c>
      <c r="T109" s="26">
        <v>1</v>
      </c>
      <c r="U109" s="26">
        <v>3</v>
      </c>
      <c r="V109" s="26">
        <v>450</v>
      </c>
      <c r="W109" s="27">
        <v>0.99111111111111116</v>
      </c>
      <c r="X109" s="27">
        <v>0</v>
      </c>
      <c r="Y109" s="27">
        <v>2.2222222222222222E-3</v>
      </c>
      <c r="Z109" s="27">
        <v>6.6666666666666671E-3</v>
      </c>
      <c r="AA109" s="28">
        <v>63.082222222222221</v>
      </c>
      <c r="AB109" s="25">
        <f t="shared" si="9"/>
        <v>0.78666666666666663</v>
      </c>
    </row>
    <row r="110" spans="1:28" x14ac:dyDescent="0.25">
      <c r="A110" s="24"/>
      <c r="B110" s="24"/>
      <c r="C110" s="24"/>
      <c r="D110" s="24">
        <v>2</v>
      </c>
      <c r="E110" s="24">
        <v>469</v>
      </c>
      <c r="F110" s="24">
        <v>141</v>
      </c>
      <c r="G110" s="24">
        <v>281</v>
      </c>
      <c r="H110" s="24">
        <v>44</v>
      </c>
      <c r="I110" s="24">
        <v>0</v>
      </c>
      <c r="J110" s="24">
        <v>1</v>
      </c>
      <c r="K110" s="24">
        <v>467</v>
      </c>
      <c r="L110" s="24">
        <v>2</v>
      </c>
      <c r="M110" s="24">
        <f t="shared" si="5"/>
        <v>469</v>
      </c>
      <c r="N110" s="24">
        <v>0</v>
      </c>
      <c r="O110" s="25">
        <f t="shared" si="6"/>
        <v>9.3816631130063971E-2</v>
      </c>
      <c r="P110" s="25">
        <f t="shared" si="7"/>
        <v>0.3006396588486141</v>
      </c>
      <c r="Q110" s="25">
        <f t="shared" si="8"/>
        <v>0.59914712153518124</v>
      </c>
      <c r="R110" s="26">
        <v>615</v>
      </c>
      <c r="S110" s="26">
        <v>3</v>
      </c>
      <c r="T110" s="26">
        <v>5</v>
      </c>
      <c r="U110" s="26">
        <v>5</v>
      </c>
      <c r="V110" s="26">
        <v>628</v>
      </c>
      <c r="W110" s="27">
        <v>0.97929936305732479</v>
      </c>
      <c r="X110" s="27">
        <v>4.7770700636942673E-3</v>
      </c>
      <c r="Y110" s="27">
        <v>7.9617834394904458E-3</v>
      </c>
      <c r="Z110" s="27">
        <v>7.9617834394904458E-3</v>
      </c>
      <c r="AA110" s="28">
        <v>32.305732484076437</v>
      </c>
      <c r="AB110" s="25">
        <f t="shared" si="9"/>
        <v>0.74681528662420382</v>
      </c>
    </row>
    <row r="111" spans="1:28" x14ac:dyDescent="0.25">
      <c r="A111" s="24">
        <v>18</v>
      </c>
      <c r="B111" s="24" t="s">
        <v>205</v>
      </c>
      <c r="C111" s="24" t="s">
        <v>206</v>
      </c>
      <c r="D111" s="24">
        <v>1</v>
      </c>
      <c r="E111" s="24">
        <v>343</v>
      </c>
      <c r="F111" s="24">
        <v>52</v>
      </c>
      <c r="G111" s="24">
        <v>241</v>
      </c>
      <c r="H111" s="24">
        <v>45</v>
      </c>
      <c r="I111" s="24">
        <v>2</v>
      </c>
      <c r="J111" s="24">
        <v>2</v>
      </c>
      <c r="K111" s="24">
        <v>342</v>
      </c>
      <c r="L111" s="24">
        <v>1</v>
      </c>
      <c r="M111" s="24">
        <f t="shared" si="5"/>
        <v>343</v>
      </c>
      <c r="N111" s="24">
        <v>0</v>
      </c>
      <c r="O111" s="25">
        <f t="shared" si="6"/>
        <v>0.13119533527696792</v>
      </c>
      <c r="P111" s="25">
        <f t="shared" si="7"/>
        <v>0.15160349854227406</v>
      </c>
      <c r="Q111" s="25">
        <f t="shared" si="8"/>
        <v>0.70262390670553931</v>
      </c>
      <c r="R111" s="26">
        <v>413</v>
      </c>
      <c r="S111" s="26">
        <v>1</v>
      </c>
      <c r="T111" s="26">
        <v>3</v>
      </c>
      <c r="U111" s="26">
        <v>33</v>
      </c>
      <c r="V111" s="26">
        <v>450</v>
      </c>
      <c r="W111" s="27">
        <v>0.9177777777777778</v>
      </c>
      <c r="X111" s="27">
        <v>2.2222222222222222E-3</v>
      </c>
      <c r="Y111" s="27">
        <v>6.6666666666666671E-3</v>
      </c>
      <c r="Z111" s="27">
        <v>7.3333333333333334E-2</v>
      </c>
      <c r="AA111" s="28">
        <v>66.031111111111116</v>
      </c>
      <c r="AB111" s="25">
        <f t="shared" si="9"/>
        <v>0.76222222222222225</v>
      </c>
    </row>
    <row r="112" spans="1:28" x14ac:dyDescent="0.25">
      <c r="A112" s="24"/>
      <c r="B112" s="24"/>
      <c r="C112" s="24"/>
      <c r="D112" s="24">
        <v>2</v>
      </c>
      <c r="E112" s="24">
        <v>379</v>
      </c>
      <c r="F112" s="24">
        <v>80</v>
      </c>
      <c r="G112" s="24">
        <v>248</v>
      </c>
      <c r="H112" s="24">
        <v>45</v>
      </c>
      <c r="I112" s="24">
        <v>0</v>
      </c>
      <c r="J112" s="24">
        <v>1</v>
      </c>
      <c r="K112" s="24">
        <v>374</v>
      </c>
      <c r="L112" s="24">
        <v>5</v>
      </c>
      <c r="M112" s="24">
        <f t="shared" si="5"/>
        <v>379</v>
      </c>
      <c r="N112" s="24">
        <v>0</v>
      </c>
      <c r="O112" s="25">
        <f t="shared" si="6"/>
        <v>0.11873350923482849</v>
      </c>
      <c r="P112" s="25">
        <f t="shared" si="7"/>
        <v>0.21108179419525067</v>
      </c>
      <c r="Q112" s="25">
        <f t="shared" si="8"/>
        <v>0.65435356200527706</v>
      </c>
      <c r="R112" s="26">
        <v>373</v>
      </c>
      <c r="S112" s="26">
        <v>2</v>
      </c>
      <c r="T112" s="26">
        <v>2</v>
      </c>
      <c r="U112" s="26">
        <v>95</v>
      </c>
      <c r="V112" s="26">
        <v>472</v>
      </c>
      <c r="W112" s="27">
        <v>0.7902542372881356</v>
      </c>
      <c r="X112" s="27">
        <v>4.2372881355932203E-3</v>
      </c>
      <c r="Y112" s="27">
        <v>4.2372881355932203E-3</v>
      </c>
      <c r="Z112" s="27">
        <v>0.20127118644067796</v>
      </c>
      <c r="AA112" s="28">
        <v>47.04449152542373</v>
      </c>
      <c r="AB112" s="25">
        <f t="shared" si="9"/>
        <v>0.80296610169491522</v>
      </c>
    </row>
    <row r="113" spans="1:28" x14ac:dyDescent="0.25">
      <c r="A113" s="24"/>
      <c r="B113" s="24"/>
      <c r="C113" s="24"/>
      <c r="D113" s="24">
        <v>3</v>
      </c>
      <c r="E113" s="24">
        <v>338</v>
      </c>
      <c r="F113" s="24">
        <v>87</v>
      </c>
      <c r="G113" s="24">
        <v>195</v>
      </c>
      <c r="H113" s="24">
        <v>53</v>
      </c>
      <c r="I113" s="24">
        <v>0</v>
      </c>
      <c r="J113" s="24">
        <v>1</v>
      </c>
      <c r="K113" s="24">
        <v>336</v>
      </c>
      <c r="L113" s="24">
        <v>2</v>
      </c>
      <c r="M113" s="24">
        <f t="shared" si="5"/>
        <v>338</v>
      </c>
      <c r="N113" s="24">
        <v>0</v>
      </c>
      <c r="O113" s="25">
        <f t="shared" si="6"/>
        <v>0.15680473372781065</v>
      </c>
      <c r="P113" s="25">
        <f t="shared" si="7"/>
        <v>0.25739644970414199</v>
      </c>
      <c r="Q113" s="25">
        <f t="shared" si="8"/>
        <v>0.57692307692307687</v>
      </c>
      <c r="R113" s="26">
        <v>405</v>
      </c>
      <c r="S113" s="26">
        <v>0</v>
      </c>
      <c r="T113" s="26">
        <v>2</v>
      </c>
      <c r="U113" s="26">
        <v>65</v>
      </c>
      <c r="V113" s="26">
        <v>472</v>
      </c>
      <c r="W113" s="27">
        <v>0.85805084745762716</v>
      </c>
      <c r="X113" s="27">
        <v>0</v>
      </c>
      <c r="Y113" s="27">
        <v>4.2372881355932203E-3</v>
      </c>
      <c r="Z113" s="27">
        <v>0.13771186440677965</v>
      </c>
      <c r="AA113" s="28">
        <v>28.70550847457627</v>
      </c>
      <c r="AB113" s="25">
        <f t="shared" si="9"/>
        <v>0.71610169491525422</v>
      </c>
    </row>
    <row r="114" spans="1:28" x14ac:dyDescent="0.25">
      <c r="A114" s="24">
        <v>19</v>
      </c>
      <c r="B114" s="24" t="s">
        <v>207</v>
      </c>
      <c r="C114" s="24" t="s">
        <v>208</v>
      </c>
      <c r="D114" s="24">
        <v>1</v>
      </c>
      <c r="E114" s="24">
        <v>361</v>
      </c>
      <c r="F114" s="24">
        <v>52</v>
      </c>
      <c r="G114" s="24">
        <v>256</v>
      </c>
      <c r="H114" s="24">
        <v>49</v>
      </c>
      <c r="I114" s="24">
        <v>1</v>
      </c>
      <c r="J114" s="24">
        <v>1</v>
      </c>
      <c r="K114" s="24">
        <v>359</v>
      </c>
      <c r="L114" s="24">
        <v>2</v>
      </c>
      <c r="M114" s="24">
        <f t="shared" si="5"/>
        <v>361</v>
      </c>
      <c r="N114" s="24">
        <v>0</v>
      </c>
      <c r="O114" s="25">
        <f t="shared" si="6"/>
        <v>0.13573407202216067</v>
      </c>
      <c r="P114" s="25">
        <f t="shared" si="7"/>
        <v>0.1440443213296399</v>
      </c>
      <c r="Q114" s="25">
        <f t="shared" si="8"/>
        <v>0.70914127423822715</v>
      </c>
      <c r="R114" s="26">
        <v>436</v>
      </c>
      <c r="S114" s="26">
        <v>9</v>
      </c>
      <c r="T114" s="26">
        <v>4</v>
      </c>
      <c r="U114" s="26">
        <v>1</v>
      </c>
      <c r="V114" s="26">
        <v>450</v>
      </c>
      <c r="W114" s="27">
        <v>0.96888888888888891</v>
      </c>
      <c r="X114" s="27">
        <v>0.02</v>
      </c>
      <c r="Y114" s="27">
        <v>8.8888888888888889E-3</v>
      </c>
      <c r="Z114" s="27">
        <v>2.2222222222222222E-3</v>
      </c>
      <c r="AA114" s="28">
        <v>62.144444444444446</v>
      </c>
      <c r="AB114" s="25">
        <f t="shared" si="9"/>
        <v>0.80222222222222217</v>
      </c>
    </row>
    <row r="115" spans="1:28" x14ac:dyDescent="0.25">
      <c r="A115" s="24"/>
      <c r="B115" s="24"/>
      <c r="C115" s="24"/>
      <c r="D115" s="24">
        <v>2</v>
      </c>
      <c r="E115" s="24">
        <v>480</v>
      </c>
      <c r="F115" s="24">
        <v>117</v>
      </c>
      <c r="G115" s="24">
        <v>277</v>
      </c>
      <c r="H115" s="24">
        <v>84</v>
      </c>
      <c r="I115" s="24">
        <v>0</v>
      </c>
      <c r="J115" s="24">
        <v>2</v>
      </c>
      <c r="K115" s="24">
        <v>480</v>
      </c>
      <c r="L115" s="24">
        <v>0</v>
      </c>
      <c r="M115" s="24">
        <f t="shared" si="5"/>
        <v>480</v>
      </c>
      <c r="N115" s="24">
        <v>0</v>
      </c>
      <c r="O115" s="25">
        <f t="shared" si="6"/>
        <v>0.17499999999999999</v>
      </c>
      <c r="P115" s="25">
        <f t="shared" si="7"/>
        <v>0.24374999999999999</v>
      </c>
      <c r="Q115" s="25">
        <f t="shared" si="8"/>
        <v>0.57708333333333328</v>
      </c>
      <c r="R115" s="26">
        <v>573</v>
      </c>
      <c r="S115" s="26">
        <v>2</v>
      </c>
      <c r="T115" s="26">
        <v>8</v>
      </c>
      <c r="U115" s="26">
        <v>1</v>
      </c>
      <c r="V115" s="26">
        <v>584</v>
      </c>
      <c r="W115" s="27">
        <v>0.98116438356164382</v>
      </c>
      <c r="X115" s="27">
        <v>3.4246575342465752E-3</v>
      </c>
      <c r="Y115" s="27">
        <v>1.3698630136986301E-2</v>
      </c>
      <c r="Z115" s="27">
        <v>1.7123287671232876E-3</v>
      </c>
      <c r="AA115" s="28">
        <v>33.351027397260275</v>
      </c>
      <c r="AB115" s="25">
        <f t="shared" si="9"/>
        <v>0.82191780821917804</v>
      </c>
    </row>
    <row r="116" spans="1:28" x14ac:dyDescent="0.25">
      <c r="A116" s="24">
        <v>20</v>
      </c>
      <c r="B116" s="24" t="s">
        <v>209</v>
      </c>
      <c r="C116" s="24" t="s">
        <v>210</v>
      </c>
      <c r="D116" s="24">
        <v>1</v>
      </c>
      <c r="E116" s="24">
        <v>334</v>
      </c>
      <c r="F116" s="24">
        <v>38</v>
      </c>
      <c r="G116" s="24">
        <v>206</v>
      </c>
      <c r="H116" s="24">
        <v>76</v>
      </c>
      <c r="I116" s="24">
        <v>5</v>
      </c>
      <c r="J116" s="24">
        <v>0</v>
      </c>
      <c r="K116" s="24">
        <v>325</v>
      </c>
      <c r="L116" s="24">
        <v>9</v>
      </c>
      <c r="M116" s="24">
        <f t="shared" si="5"/>
        <v>334</v>
      </c>
      <c r="N116" s="24">
        <v>0</v>
      </c>
      <c r="O116" s="25">
        <f t="shared" si="6"/>
        <v>0.22754491017964071</v>
      </c>
      <c r="P116" s="25">
        <f t="shared" si="7"/>
        <v>0.11377245508982035</v>
      </c>
      <c r="Q116" s="25">
        <f t="shared" si="8"/>
        <v>0.61676646706586824</v>
      </c>
      <c r="R116" s="26">
        <v>338</v>
      </c>
      <c r="S116" s="26">
        <v>25</v>
      </c>
      <c r="T116" s="26">
        <v>83</v>
      </c>
      <c r="U116" s="26">
        <v>4</v>
      </c>
      <c r="V116" s="26">
        <v>450</v>
      </c>
      <c r="W116" s="27">
        <v>0.75111111111111106</v>
      </c>
      <c r="X116" s="27">
        <v>5.5555555555555552E-2</v>
      </c>
      <c r="Y116" s="27">
        <v>0.18444444444444444</v>
      </c>
      <c r="Z116" s="27">
        <v>8.8888888888888889E-3</v>
      </c>
      <c r="AA116" s="28">
        <v>65.706666666666663</v>
      </c>
      <c r="AB116" s="25">
        <f t="shared" si="9"/>
        <v>0.74222222222222223</v>
      </c>
    </row>
    <row r="117" spans="1:28" x14ac:dyDescent="0.25">
      <c r="A117" s="24"/>
      <c r="B117" s="24"/>
      <c r="C117" s="24"/>
      <c r="D117" s="24">
        <v>2</v>
      </c>
      <c r="E117" s="24">
        <v>390</v>
      </c>
      <c r="F117" s="24">
        <v>64</v>
      </c>
      <c r="G117" s="24">
        <v>220</v>
      </c>
      <c r="H117" s="24">
        <v>90</v>
      </c>
      <c r="I117" s="24">
        <v>4</v>
      </c>
      <c r="J117" s="24">
        <v>7</v>
      </c>
      <c r="K117" s="24">
        <v>385</v>
      </c>
      <c r="L117" s="24">
        <v>4</v>
      </c>
      <c r="M117" s="24">
        <f t="shared" si="5"/>
        <v>389</v>
      </c>
      <c r="N117" s="24">
        <v>1</v>
      </c>
      <c r="O117" s="25">
        <f t="shared" si="6"/>
        <v>0.23136246786632392</v>
      </c>
      <c r="P117" s="25">
        <f t="shared" si="7"/>
        <v>0.16452442159383032</v>
      </c>
      <c r="Q117" s="25">
        <f t="shared" si="8"/>
        <v>0.56555269922879181</v>
      </c>
      <c r="R117" s="26">
        <v>344</v>
      </c>
      <c r="S117" s="26">
        <v>37</v>
      </c>
      <c r="T117" s="26">
        <v>68</v>
      </c>
      <c r="U117" s="26">
        <v>1</v>
      </c>
      <c r="V117" s="26">
        <v>450</v>
      </c>
      <c r="W117" s="27">
        <v>0.76444444444444448</v>
      </c>
      <c r="X117" s="27">
        <v>8.2222222222222224E-2</v>
      </c>
      <c r="Y117" s="27">
        <v>0.15111111111111111</v>
      </c>
      <c r="Z117" s="27">
        <v>2.2222222222222222E-3</v>
      </c>
      <c r="AA117" s="28">
        <v>58.82</v>
      </c>
      <c r="AB117" s="25">
        <f t="shared" si="9"/>
        <v>0.86444444444444446</v>
      </c>
    </row>
    <row r="118" spans="1:28" x14ac:dyDescent="0.25">
      <c r="A118" s="24"/>
      <c r="B118" s="24"/>
      <c r="C118" s="24"/>
      <c r="D118" s="24">
        <v>3</v>
      </c>
      <c r="E118" s="24">
        <v>542</v>
      </c>
      <c r="F118" s="24">
        <v>111</v>
      </c>
      <c r="G118" s="24">
        <v>281</v>
      </c>
      <c r="H118" s="24">
        <v>140</v>
      </c>
      <c r="I118" s="24">
        <v>3</v>
      </c>
      <c r="J118" s="24">
        <v>2</v>
      </c>
      <c r="K118" s="24">
        <v>537</v>
      </c>
      <c r="L118" s="24">
        <v>5</v>
      </c>
      <c r="M118" s="24">
        <f t="shared" si="5"/>
        <v>542</v>
      </c>
      <c r="N118" s="24">
        <v>0</v>
      </c>
      <c r="O118" s="25">
        <f t="shared" si="6"/>
        <v>0.25830258302583026</v>
      </c>
      <c r="P118" s="25">
        <f t="shared" si="7"/>
        <v>0.20479704797047971</v>
      </c>
      <c r="Q118" s="25">
        <f t="shared" si="8"/>
        <v>0.51845018450184499</v>
      </c>
      <c r="R118" s="26">
        <v>480</v>
      </c>
      <c r="S118" s="26">
        <v>50</v>
      </c>
      <c r="T118" s="26">
        <v>103</v>
      </c>
      <c r="U118" s="26">
        <v>2</v>
      </c>
      <c r="V118" s="26">
        <v>635</v>
      </c>
      <c r="W118" s="27">
        <v>0.75590551181102361</v>
      </c>
      <c r="X118" s="27">
        <v>7.874015748031496E-2</v>
      </c>
      <c r="Y118" s="27">
        <v>0.16220472440944883</v>
      </c>
      <c r="Z118" s="27">
        <v>3.1496062992125984E-3</v>
      </c>
      <c r="AA118" s="28">
        <v>47.845669291338581</v>
      </c>
      <c r="AB118" s="25">
        <f t="shared" si="9"/>
        <v>0.85354330708661419</v>
      </c>
    </row>
    <row r="119" spans="1:28" x14ac:dyDescent="0.25">
      <c r="A119" s="24"/>
      <c r="B119" s="24"/>
      <c r="C119" s="24"/>
      <c r="D119" s="24">
        <v>4</v>
      </c>
      <c r="E119" s="24">
        <v>464</v>
      </c>
      <c r="F119" s="24">
        <v>108</v>
      </c>
      <c r="G119" s="24">
        <v>219</v>
      </c>
      <c r="H119" s="24">
        <v>124</v>
      </c>
      <c r="I119" s="24">
        <v>10</v>
      </c>
      <c r="J119" s="24">
        <v>1</v>
      </c>
      <c r="K119" s="24">
        <v>462</v>
      </c>
      <c r="L119" s="24">
        <v>2</v>
      </c>
      <c r="M119" s="24">
        <f t="shared" si="5"/>
        <v>464</v>
      </c>
      <c r="N119" s="24">
        <v>0</v>
      </c>
      <c r="O119" s="25">
        <f t="shared" si="6"/>
        <v>0.26724137931034481</v>
      </c>
      <c r="P119" s="25">
        <f t="shared" si="7"/>
        <v>0.23275862068965517</v>
      </c>
      <c r="Q119" s="25">
        <f t="shared" si="8"/>
        <v>0.47198275862068967</v>
      </c>
      <c r="R119" s="26">
        <v>467</v>
      </c>
      <c r="S119" s="26">
        <v>59</v>
      </c>
      <c r="T119" s="26">
        <v>108</v>
      </c>
      <c r="U119" s="26">
        <v>1</v>
      </c>
      <c r="V119" s="26">
        <v>635</v>
      </c>
      <c r="W119" s="27">
        <v>0.73543307086614174</v>
      </c>
      <c r="X119" s="27">
        <v>9.2913385826771652E-2</v>
      </c>
      <c r="Y119" s="27">
        <v>0.17007874015748031</v>
      </c>
      <c r="Z119" s="27">
        <v>1.5748031496062992E-3</v>
      </c>
      <c r="AA119" s="28">
        <v>38.020472440944879</v>
      </c>
      <c r="AB119" s="25">
        <f t="shared" si="9"/>
        <v>0.73070866141732282</v>
      </c>
    </row>
    <row r="120" spans="1:28" x14ac:dyDescent="0.25">
      <c r="A120" s="24"/>
      <c r="B120" s="24"/>
      <c r="C120" s="24"/>
      <c r="D120" s="24">
        <v>5</v>
      </c>
      <c r="E120" s="24">
        <v>485</v>
      </c>
      <c r="F120" s="24">
        <v>101</v>
      </c>
      <c r="G120" s="24">
        <v>256</v>
      </c>
      <c r="H120" s="24">
        <v>121</v>
      </c>
      <c r="I120" s="24">
        <v>6</v>
      </c>
      <c r="J120" s="24">
        <v>1</v>
      </c>
      <c r="K120" s="24">
        <v>485</v>
      </c>
      <c r="L120" s="24">
        <v>0</v>
      </c>
      <c r="M120" s="24">
        <f t="shared" si="5"/>
        <v>485</v>
      </c>
      <c r="N120" s="24">
        <v>0</v>
      </c>
      <c r="O120" s="25">
        <f t="shared" si="6"/>
        <v>0.24948453608247423</v>
      </c>
      <c r="P120" s="25">
        <f t="shared" si="7"/>
        <v>0.20824742268041238</v>
      </c>
      <c r="Q120" s="25">
        <f t="shared" si="8"/>
        <v>0.52783505154639176</v>
      </c>
      <c r="R120" s="26">
        <v>497</v>
      </c>
      <c r="S120" s="26">
        <v>51</v>
      </c>
      <c r="T120" s="26">
        <v>87</v>
      </c>
      <c r="U120" s="26">
        <v>0</v>
      </c>
      <c r="V120" s="26">
        <v>635</v>
      </c>
      <c r="W120" s="27">
        <v>0.78267716535433074</v>
      </c>
      <c r="X120" s="27">
        <v>8.0314960629921259E-2</v>
      </c>
      <c r="Y120" s="27">
        <v>0.13700787401574804</v>
      </c>
      <c r="Z120" s="27">
        <v>0</v>
      </c>
      <c r="AA120" s="28">
        <v>31.269291338582676</v>
      </c>
      <c r="AB120" s="25">
        <f t="shared" si="9"/>
        <v>0.76377952755905509</v>
      </c>
    </row>
    <row r="121" spans="1:28" x14ac:dyDescent="0.25">
      <c r="A121" s="24"/>
      <c r="B121" s="24"/>
      <c r="C121" s="24"/>
      <c r="D121" s="24">
        <v>6</v>
      </c>
      <c r="E121" s="24">
        <v>522</v>
      </c>
      <c r="F121" s="24">
        <v>108</v>
      </c>
      <c r="G121" s="24">
        <v>260</v>
      </c>
      <c r="H121" s="24">
        <v>147</v>
      </c>
      <c r="I121" s="24">
        <v>6</v>
      </c>
      <c r="J121" s="24">
        <v>0</v>
      </c>
      <c r="K121" s="24">
        <v>521</v>
      </c>
      <c r="L121" s="24">
        <v>1</v>
      </c>
      <c r="M121" s="24">
        <f t="shared" si="5"/>
        <v>522</v>
      </c>
      <c r="N121" s="24">
        <v>0</v>
      </c>
      <c r="O121" s="25">
        <f t="shared" si="6"/>
        <v>0.28160919540229884</v>
      </c>
      <c r="P121" s="25">
        <f t="shared" si="7"/>
        <v>0.20689655172413793</v>
      </c>
      <c r="Q121" s="25">
        <f t="shared" si="8"/>
        <v>0.49808429118773945</v>
      </c>
      <c r="R121" s="26">
        <v>501</v>
      </c>
      <c r="S121" s="26">
        <v>35</v>
      </c>
      <c r="T121" s="26">
        <v>99</v>
      </c>
      <c r="U121" s="26">
        <v>0</v>
      </c>
      <c r="V121" s="26">
        <v>635</v>
      </c>
      <c r="W121" s="27">
        <v>0.78897637795275588</v>
      </c>
      <c r="X121" s="27">
        <v>5.5118110236220472E-2</v>
      </c>
      <c r="Y121" s="27">
        <v>0.15590551181102363</v>
      </c>
      <c r="Z121" s="27">
        <v>0</v>
      </c>
      <c r="AA121" s="28">
        <v>25.875590551181102</v>
      </c>
      <c r="AB121" s="25">
        <f t="shared" si="9"/>
        <v>0.82204724409448815</v>
      </c>
    </row>
    <row r="122" spans="1:28" x14ac:dyDescent="0.25">
      <c r="A122" s="24"/>
      <c r="B122" s="24"/>
      <c r="C122" s="24"/>
      <c r="D122" s="24">
        <v>7</v>
      </c>
      <c r="E122" s="24">
        <v>538</v>
      </c>
      <c r="F122" s="24">
        <v>105</v>
      </c>
      <c r="G122" s="24">
        <v>287</v>
      </c>
      <c r="H122" s="24">
        <v>131</v>
      </c>
      <c r="I122" s="24">
        <v>5</v>
      </c>
      <c r="J122" s="24">
        <v>4</v>
      </c>
      <c r="K122" s="24">
        <v>532</v>
      </c>
      <c r="L122" s="24">
        <v>6</v>
      </c>
      <c r="M122" s="24">
        <f t="shared" si="5"/>
        <v>538</v>
      </c>
      <c r="N122" s="24">
        <v>0</v>
      </c>
      <c r="O122" s="25">
        <f t="shared" si="6"/>
        <v>0.24349442379182157</v>
      </c>
      <c r="P122" s="25">
        <f t="shared" si="7"/>
        <v>0.19516728624535315</v>
      </c>
      <c r="Q122" s="25">
        <f t="shared" si="8"/>
        <v>0.53345724907063197</v>
      </c>
      <c r="R122" s="26">
        <v>504</v>
      </c>
      <c r="S122" s="26">
        <v>24</v>
      </c>
      <c r="T122" s="26">
        <v>108</v>
      </c>
      <c r="U122" s="26">
        <v>0</v>
      </c>
      <c r="V122" s="26">
        <v>636</v>
      </c>
      <c r="W122" s="27">
        <v>0.79245283018867929</v>
      </c>
      <c r="X122" s="27">
        <v>3.7735849056603772E-2</v>
      </c>
      <c r="Y122" s="27">
        <v>0.16981132075471697</v>
      </c>
      <c r="Z122" s="27">
        <v>0</v>
      </c>
      <c r="AA122" s="28">
        <v>20.79245283018868</v>
      </c>
      <c r="AB122" s="25">
        <f t="shared" si="9"/>
        <v>0.84591194968553463</v>
      </c>
    </row>
    <row r="123" spans="1:28" x14ac:dyDescent="0.25">
      <c r="A123" s="24">
        <v>21</v>
      </c>
      <c r="B123" s="24" t="s">
        <v>211</v>
      </c>
      <c r="C123" s="24" t="s">
        <v>212</v>
      </c>
      <c r="D123" s="24">
        <v>1</v>
      </c>
      <c r="E123" s="24">
        <v>337</v>
      </c>
      <c r="F123" s="24">
        <v>19</v>
      </c>
      <c r="G123" s="24">
        <v>192</v>
      </c>
      <c r="H123" s="24">
        <v>111</v>
      </c>
      <c r="I123" s="24">
        <v>11</v>
      </c>
      <c r="J123" s="24">
        <v>1</v>
      </c>
      <c r="K123" s="24">
        <v>334</v>
      </c>
      <c r="L123" s="24">
        <v>3</v>
      </c>
      <c r="M123" s="24">
        <f t="shared" si="5"/>
        <v>337</v>
      </c>
      <c r="N123" s="24">
        <v>0</v>
      </c>
      <c r="O123" s="25">
        <f t="shared" si="6"/>
        <v>0.32937685459940652</v>
      </c>
      <c r="P123" s="25">
        <f t="shared" si="7"/>
        <v>5.637982195845697E-2</v>
      </c>
      <c r="Q123" s="25">
        <f t="shared" si="8"/>
        <v>0.56973293768545996</v>
      </c>
      <c r="R123" s="26">
        <v>231</v>
      </c>
      <c r="S123" s="26">
        <v>135</v>
      </c>
      <c r="T123" s="26">
        <v>84</v>
      </c>
      <c r="U123" s="26">
        <v>0</v>
      </c>
      <c r="V123" s="26">
        <v>450</v>
      </c>
      <c r="W123" s="27">
        <v>0.51333333333333331</v>
      </c>
      <c r="X123" s="27">
        <v>0.3</v>
      </c>
      <c r="Y123" s="27">
        <v>0.18666666666666668</v>
      </c>
      <c r="Z123" s="27">
        <v>0</v>
      </c>
      <c r="AA123" s="28">
        <v>68.646666666666661</v>
      </c>
      <c r="AB123" s="25">
        <f t="shared" si="9"/>
        <v>0.74888888888888894</v>
      </c>
    </row>
    <row r="124" spans="1:28" x14ac:dyDescent="0.25">
      <c r="A124" s="24"/>
      <c r="B124" s="24"/>
      <c r="C124" s="24"/>
      <c r="D124" s="24">
        <v>2</v>
      </c>
      <c r="E124" s="24">
        <v>378</v>
      </c>
      <c r="F124" s="24">
        <v>35</v>
      </c>
      <c r="G124" s="24">
        <v>176</v>
      </c>
      <c r="H124" s="24">
        <v>144</v>
      </c>
      <c r="I124" s="24">
        <v>12</v>
      </c>
      <c r="J124" s="24">
        <v>3</v>
      </c>
      <c r="K124" s="24">
        <v>370</v>
      </c>
      <c r="L124" s="24">
        <v>8</v>
      </c>
      <c r="M124" s="24">
        <f t="shared" si="5"/>
        <v>378</v>
      </c>
      <c r="N124" s="24">
        <v>0</v>
      </c>
      <c r="O124" s="25">
        <f t="shared" si="6"/>
        <v>0.38095238095238093</v>
      </c>
      <c r="P124" s="25">
        <f t="shared" si="7"/>
        <v>9.2592592592592587E-2</v>
      </c>
      <c r="Q124" s="25">
        <f t="shared" si="8"/>
        <v>0.46560846560846558</v>
      </c>
      <c r="R124" s="26">
        <v>246</v>
      </c>
      <c r="S124" s="26">
        <v>88</v>
      </c>
      <c r="T124" s="26">
        <v>115</v>
      </c>
      <c r="U124" s="26">
        <v>1</v>
      </c>
      <c r="V124" s="26">
        <v>450</v>
      </c>
      <c r="W124" s="27">
        <v>0.54666666666666663</v>
      </c>
      <c r="X124" s="27">
        <v>0.19555555555555557</v>
      </c>
      <c r="Y124" s="27">
        <v>0.25555555555555554</v>
      </c>
      <c r="Z124" s="27">
        <v>2.2222222222222222E-3</v>
      </c>
      <c r="AA124" s="28">
        <v>59.7</v>
      </c>
      <c r="AB124" s="25">
        <f t="shared" si="9"/>
        <v>0.84</v>
      </c>
    </row>
    <row r="125" spans="1:28" x14ac:dyDescent="0.25">
      <c r="A125" s="24"/>
      <c r="B125" s="24"/>
      <c r="C125" s="24"/>
      <c r="D125" s="24">
        <v>3</v>
      </c>
      <c r="E125" s="24">
        <v>538</v>
      </c>
      <c r="F125" s="24">
        <v>68</v>
      </c>
      <c r="G125" s="24">
        <v>206</v>
      </c>
      <c r="H125" s="24">
        <v>241</v>
      </c>
      <c r="I125" s="24">
        <v>18</v>
      </c>
      <c r="J125" s="24">
        <v>1</v>
      </c>
      <c r="K125" s="24">
        <v>534</v>
      </c>
      <c r="L125" s="24">
        <v>4</v>
      </c>
      <c r="M125" s="24">
        <f t="shared" si="5"/>
        <v>538</v>
      </c>
      <c r="N125" s="24">
        <v>0</v>
      </c>
      <c r="O125" s="25">
        <f t="shared" si="6"/>
        <v>0.44795539033457249</v>
      </c>
      <c r="P125" s="25">
        <f t="shared" si="7"/>
        <v>0.12639405204460966</v>
      </c>
      <c r="Q125" s="25">
        <f t="shared" si="8"/>
        <v>0.38289962825278812</v>
      </c>
      <c r="R125" s="26">
        <v>292</v>
      </c>
      <c r="S125" s="26">
        <v>129</v>
      </c>
      <c r="T125" s="26">
        <v>234</v>
      </c>
      <c r="U125" s="26">
        <v>3</v>
      </c>
      <c r="V125" s="26">
        <v>658</v>
      </c>
      <c r="W125" s="27">
        <v>0.44376899696048633</v>
      </c>
      <c r="X125" s="27">
        <v>0.196048632218845</v>
      </c>
      <c r="Y125" s="27">
        <v>0.35562310030395139</v>
      </c>
      <c r="Z125" s="27">
        <v>4.559270516717325E-3</v>
      </c>
      <c r="AA125" s="28">
        <v>46.788753799392097</v>
      </c>
      <c r="AB125" s="25">
        <f t="shared" si="9"/>
        <v>0.81762917933130697</v>
      </c>
    </row>
    <row r="126" spans="1:28" x14ac:dyDescent="0.25">
      <c r="A126" s="24"/>
      <c r="B126" s="24"/>
      <c r="C126" s="24"/>
      <c r="D126" s="24">
        <v>4</v>
      </c>
      <c r="E126" s="24">
        <v>507</v>
      </c>
      <c r="F126" s="24">
        <v>71</v>
      </c>
      <c r="G126" s="24">
        <v>202</v>
      </c>
      <c r="H126" s="24">
        <v>212</v>
      </c>
      <c r="I126" s="24">
        <v>19</v>
      </c>
      <c r="J126" s="24">
        <v>0</v>
      </c>
      <c r="K126" s="24">
        <v>504</v>
      </c>
      <c r="L126" s="24">
        <v>3</v>
      </c>
      <c r="M126" s="24">
        <f t="shared" si="5"/>
        <v>507</v>
      </c>
      <c r="N126" s="24">
        <v>0</v>
      </c>
      <c r="O126" s="25">
        <f t="shared" si="6"/>
        <v>0.4181459566074951</v>
      </c>
      <c r="P126" s="25">
        <f t="shared" si="7"/>
        <v>0.14003944773175542</v>
      </c>
      <c r="Q126" s="25">
        <f t="shared" si="8"/>
        <v>0.39842209072978302</v>
      </c>
      <c r="R126" s="26">
        <v>341</v>
      </c>
      <c r="S126" s="26">
        <v>68</v>
      </c>
      <c r="T126" s="26">
        <v>247</v>
      </c>
      <c r="U126" s="26">
        <v>3</v>
      </c>
      <c r="V126" s="26">
        <v>659</v>
      </c>
      <c r="W126" s="27">
        <v>0.51745068285280726</v>
      </c>
      <c r="X126" s="27">
        <v>0.10318664643399089</v>
      </c>
      <c r="Y126" s="27">
        <v>0.37481031866464337</v>
      </c>
      <c r="Z126" s="27">
        <v>4.552352048558422E-3</v>
      </c>
      <c r="AA126" s="28">
        <v>36.21244309559939</v>
      </c>
      <c r="AB126" s="25">
        <f t="shared" si="9"/>
        <v>0.76934749620637333</v>
      </c>
    </row>
    <row r="127" spans="1:28" x14ac:dyDescent="0.25">
      <c r="A127" s="24"/>
      <c r="B127" s="24"/>
      <c r="C127" s="24"/>
      <c r="D127" s="24">
        <v>5</v>
      </c>
      <c r="E127" s="24">
        <v>498</v>
      </c>
      <c r="F127" s="24">
        <v>79</v>
      </c>
      <c r="G127" s="24">
        <v>204</v>
      </c>
      <c r="H127" s="24">
        <v>200</v>
      </c>
      <c r="I127" s="24">
        <v>12</v>
      </c>
      <c r="J127" s="24">
        <v>2</v>
      </c>
      <c r="K127" s="24">
        <v>497</v>
      </c>
      <c r="L127" s="24">
        <v>1</v>
      </c>
      <c r="M127" s="24">
        <f t="shared" si="5"/>
        <v>498</v>
      </c>
      <c r="N127" s="24">
        <v>0</v>
      </c>
      <c r="O127" s="25">
        <f t="shared" si="6"/>
        <v>0.40160642570281124</v>
      </c>
      <c r="P127" s="25">
        <f t="shared" si="7"/>
        <v>0.15863453815261044</v>
      </c>
      <c r="Q127" s="25">
        <f t="shared" si="8"/>
        <v>0.40963855421686746</v>
      </c>
      <c r="R127" s="26">
        <v>350</v>
      </c>
      <c r="S127" s="26">
        <v>65</v>
      </c>
      <c r="T127" s="26">
        <v>244</v>
      </c>
      <c r="U127" s="26">
        <v>0</v>
      </c>
      <c r="V127" s="26">
        <v>659</v>
      </c>
      <c r="W127" s="27">
        <v>0.53110773899848251</v>
      </c>
      <c r="X127" s="27">
        <v>9.8634294385432475E-2</v>
      </c>
      <c r="Y127" s="27">
        <v>0.37025796661608495</v>
      </c>
      <c r="Z127" s="27">
        <v>0</v>
      </c>
      <c r="AA127" s="28">
        <v>25.701062215477997</v>
      </c>
      <c r="AB127" s="25">
        <f t="shared" si="9"/>
        <v>0.75569044006069808</v>
      </c>
    </row>
    <row r="128" spans="1:28" x14ac:dyDescent="0.25">
      <c r="A128" s="24">
        <v>22</v>
      </c>
      <c r="B128" s="24" t="s">
        <v>213</v>
      </c>
      <c r="C128" s="24" t="s">
        <v>214</v>
      </c>
      <c r="D128" s="24">
        <v>1</v>
      </c>
      <c r="E128" s="24">
        <v>345</v>
      </c>
      <c r="F128" s="24">
        <v>22</v>
      </c>
      <c r="G128" s="24">
        <v>238</v>
      </c>
      <c r="H128" s="24">
        <v>72</v>
      </c>
      <c r="I128" s="24">
        <v>3</v>
      </c>
      <c r="J128" s="24">
        <v>2</v>
      </c>
      <c r="K128" s="24">
        <v>337</v>
      </c>
      <c r="L128" s="24">
        <v>8</v>
      </c>
      <c r="M128" s="24">
        <f t="shared" si="5"/>
        <v>345</v>
      </c>
      <c r="N128" s="24">
        <v>0</v>
      </c>
      <c r="O128" s="25">
        <f t="shared" si="6"/>
        <v>0.20869565217391303</v>
      </c>
      <c r="P128" s="25">
        <f t="shared" si="7"/>
        <v>6.3768115942028983E-2</v>
      </c>
      <c r="Q128" s="25">
        <f t="shared" si="8"/>
        <v>0.68985507246376809</v>
      </c>
      <c r="R128" s="26">
        <v>366</v>
      </c>
      <c r="S128" s="26">
        <v>38</v>
      </c>
      <c r="T128" s="26">
        <v>46</v>
      </c>
      <c r="U128" s="26">
        <v>0</v>
      </c>
      <c r="V128" s="26">
        <v>450</v>
      </c>
      <c r="W128" s="27">
        <v>0.81333333333333335</v>
      </c>
      <c r="X128" s="27">
        <v>8.4444444444444447E-2</v>
      </c>
      <c r="Y128" s="27">
        <v>0.10222222222222223</v>
      </c>
      <c r="Z128" s="27">
        <v>0</v>
      </c>
      <c r="AA128" s="28">
        <v>66.031111111111116</v>
      </c>
      <c r="AB128" s="25">
        <f t="shared" si="9"/>
        <v>0.76666666666666672</v>
      </c>
    </row>
    <row r="129" spans="1:28" x14ac:dyDescent="0.25">
      <c r="A129" s="24"/>
      <c r="B129" s="24"/>
      <c r="C129" s="24"/>
      <c r="D129" s="24">
        <v>2</v>
      </c>
      <c r="E129" s="24">
        <v>399</v>
      </c>
      <c r="F129" s="24">
        <v>66</v>
      </c>
      <c r="G129" s="24">
        <v>270</v>
      </c>
      <c r="H129" s="24">
        <v>55</v>
      </c>
      <c r="I129" s="24">
        <v>1</v>
      </c>
      <c r="J129" s="24">
        <v>4</v>
      </c>
      <c r="K129" s="24">
        <v>396</v>
      </c>
      <c r="L129" s="24">
        <v>3</v>
      </c>
      <c r="M129" s="24">
        <f t="shared" si="5"/>
        <v>399</v>
      </c>
      <c r="N129" s="24">
        <v>0</v>
      </c>
      <c r="O129" s="25">
        <f t="shared" si="6"/>
        <v>0.13784461152882205</v>
      </c>
      <c r="P129" s="25">
        <f t="shared" si="7"/>
        <v>0.16541353383458646</v>
      </c>
      <c r="Q129" s="25">
        <f t="shared" si="8"/>
        <v>0.67669172932330823</v>
      </c>
      <c r="R129" s="26">
        <v>418</v>
      </c>
      <c r="S129" s="26">
        <v>8</v>
      </c>
      <c r="T129" s="26">
        <v>22</v>
      </c>
      <c r="U129" s="26">
        <v>2</v>
      </c>
      <c r="V129" s="26">
        <v>450</v>
      </c>
      <c r="W129" s="27">
        <v>0.92888888888888888</v>
      </c>
      <c r="X129" s="27">
        <v>1.7777777777777778E-2</v>
      </c>
      <c r="Y129" s="27">
        <v>4.8888888888888891E-2</v>
      </c>
      <c r="Z129" s="27">
        <v>4.4444444444444444E-3</v>
      </c>
      <c r="AA129" s="28">
        <v>57.162222222222219</v>
      </c>
      <c r="AB129" s="25">
        <f t="shared" si="9"/>
        <v>0.88666666666666671</v>
      </c>
    </row>
    <row r="130" spans="1:28" x14ac:dyDescent="0.25">
      <c r="A130" s="24"/>
      <c r="B130" s="24"/>
      <c r="C130" s="24"/>
      <c r="D130" s="24">
        <v>3</v>
      </c>
      <c r="E130" s="24">
        <v>558</v>
      </c>
      <c r="F130" s="24">
        <v>133</v>
      </c>
      <c r="G130" s="24">
        <v>324</v>
      </c>
      <c r="H130" s="24">
        <v>84</v>
      </c>
      <c r="I130" s="24">
        <v>1</v>
      </c>
      <c r="J130" s="24">
        <v>6</v>
      </c>
      <c r="K130" s="24">
        <v>548</v>
      </c>
      <c r="L130" s="24">
        <v>10</v>
      </c>
      <c r="M130" s="24">
        <f t="shared" si="5"/>
        <v>558</v>
      </c>
      <c r="N130" s="24">
        <v>0</v>
      </c>
      <c r="O130" s="25">
        <f t="shared" si="6"/>
        <v>0.15053763440860216</v>
      </c>
      <c r="P130" s="25">
        <f t="shared" si="7"/>
        <v>0.23835125448028674</v>
      </c>
      <c r="Q130" s="25">
        <f t="shared" si="8"/>
        <v>0.58064516129032262</v>
      </c>
      <c r="R130" s="26">
        <v>631</v>
      </c>
      <c r="S130" s="26">
        <v>7</v>
      </c>
      <c r="T130" s="26">
        <v>35</v>
      </c>
      <c r="U130" s="26">
        <v>6</v>
      </c>
      <c r="V130" s="26">
        <v>679</v>
      </c>
      <c r="W130" s="27">
        <v>0.92930780559646542</v>
      </c>
      <c r="X130" s="27">
        <v>1.0309278350515464E-2</v>
      </c>
      <c r="Y130" s="27">
        <v>5.1546391752577317E-2</v>
      </c>
      <c r="Z130" s="27">
        <v>8.836524300441826E-3</v>
      </c>
      <c r="AA130" s="28">
        <v>43.982326951399116</v>
      </c>
      <c r="AB130" s="25">
        <f t="shared" si="9"/>
        <v>0.8217967599410898</v>
      </c>
    </row>
    <row r="131" spans="1:28" x14ac:dyDescent="0.25">
      <c r="A131" s="24"/>
      <c r="B131" s="24"/>
      <c r="C131" s="24"/>
      <c r="D131" s="24">
        <v>4</v>
      </c>
      <c r="E131" s="24">
        <v>523</v>
      </c>
      <c r="F131" s="24">
        <v>140</v>
      </c>
      <c r="G131" s="24">
        <v>318</v>
      </c>
      <c r="H131" s="24">
        <v>61</v>
      </c>
      <c r="I131" s="24">
        <v>2</v>
      </c>
      <c r="J131" s="24">
        <v>2</v>
      </c>
      <c r="K131" s="24">
        <v>523</v>
      </c>
      <c r="L131" s="24">
        <v>0</v>
      </c>
      <c r="M131" s="24">
        <f t="shared" ref="M131:M194" si="10">L131+K131</f>
        <v>523</v>
      </c>
      <c r="N131" s="24">
        <v>0</v>
      </c>
      <c r="O131" s="25">
        <f t="shared" ref="O131:O194" si="11">H131/M131</f>
        <v>0.11663479923518165</v>
      </c>
      <c r="P131" s="25">
        <f t="shared" ref="P131:P194" si="12">F131/M131</f>
        <v>0.26768642447418739</v>
      </c>
      <c r="Q131" s="25">
        <f t="shared" ref="Q131:Q194" si="13">G131/M131</f>
        <v>0.60803059273422566</v>
      </c>
      <c r="R131" s="26">
        <v>655</v>
      </c>
      <c r="S131" s="26">
        <v>6</v>
      </c>
      <c r="T131" s="26">
        <v>17</v>
      </c>
      <c r="U131" s="26">
        <v>1</v>
      </c>
      <c r="V131" s="26">
        <v>679</v>
      </c>
      <c r="W131" s="27">
        <v>0.96465390279823271</v>
      </c>
      <c r="X131" s="27">
        <v>8.836524300441826E-3</v>
      </c>
      <c r="Y131" s="27">
        <v>2.5036818851251842E-2</v>
      </c>
      <c r="Z131" s="27">
        <v>1.4727540500736377E-3</v>
      </c>
      <c r="AA131" s="28">
        <v>30.117820324005891</v>
      </c>
      <c r="AB131" s="25">
        <f t="shared" ref="AB131:AB194" si="14">M131/V131</f>
        <v>0.77025036818851256</v>
      </c>
    </row>
    <row r="132" spans="1:28" x14ac:dyDescent="0.25">
      <c r="A132" s="24"/>
      <c r="B132" s="24"/>
      <c r="C132" s="24"/>
      <c r="D132" s="24">
        <v>5</v>
      </c>
      <c r="E132" s="24">
        <v>559</v>
      </c>
      <c r="F132" s="24">
        <v>159</v>
      </c>
      <c r="G132" s="24">
        <v>299</v>
      </c>
      <c r="H132" s="24">
        <v>96</v>
      </c>
      <c r="I132" s="24">
        <v>1</v>
      </c>
      <c r="J132" s="24">
        <v>3</v>
      </c>
      <c r="K132" s="24">
        <v>558</v>
      </c>
      <c r="L132" s="24">
        <v>1</v>
      </c>
      <c r="M132" s="24">
        <f t="shared" si="10"/>
        <v>559</v>
      </c>
      <c r="N132" s="24">
        <v>0</v>
      </c>
      <c r="O132" s="25">
        <f t="shared" si="11"/>
        <v>0.17173524150268335</v>
      </c>
      <c r="P132" s="25">
        <f t="shared" si="12"/>
        <v>0.2844364937388193</v>
      </c>
      <c r="Q132" s="25">
        <f t="shared" si="13"/>
        <v>0.53488372093023251</v>
      </c>
      <c r="R132" s="26">
        <v>652</v>
      </c>
      <c r="S132" s="26">
        <v>1</v>
      </c>
      <c r="T132" s="26">
        <v>27</v>
      </c>
      <c r="U132" s="26">
        <v>0</v>
      </c>
      <c r="V132" s="26">
        <v>680</v>
      </c>
      <c r="W132" s="27">
        <v>0.95882352941176474</v>
      </c>
      <c r="X132" s="27">
        <v>1.4705882352941176E-3</v>
      </c>
      <c r="Y132" s="27">
        <v>3.9705882352941174E-2</v>
      </c>
      <c r="Z132" s="27">
        <v>0</v>
      </c>
      <c r="AA132" s="28">
        <v>21.548529411764704</v>
      </c>
      <c r="AB132" s="25">
        <f t="shared" si="14"/>
        <v>0.82205882352941173</v>
      </c>
    </row>
    <row r="133" spans="1:28" x14ac:dyDescent="0.25">
      <c r="A133" s="24">
        <v>23</v>
      </c>
      <c r="B133" s="24" t="s">
        <v>215</v>
      </c>
      <c r="C133" s="24" t="s">
        <v>216</v>
      </c>
      <c r="D133" s="24">
        <v>1</v>
      </c>
      <c r="E133" s="24">
        <v>380</v>
      </c>
      <c r="F133" s="24">
        <v>77</v>
      </c>
      <c r="G133" s="24">
        <v>238</v>
      </c>
      <c r="H133" s="24">
        <v>62</v>
      </c>
      <c r="I133" s="24">
        <v>0</v>
      </c>
      <c r="J133" s="24">
        <v>1</v>
      </c>
      <c r="K133" s="24">
        <v>378</v>
      </c>
      <c r="L133" s="24">
        <v>2</v>
      </c>
      <c r="M133" s="24">
        <f t="shared" si="10"/>
        <v>380</v>
      </c>
      <c r="N133" s="24">
        <v>0</v>
      </c>
      <c r="O133" s="25">
        <f t="shared" si="11"/>
        <v>0.16315789473684211</v>
      </c>
      <c r="P133" s="25">
        <f t="shared" si="12"/>
        <v>0.20263157894736841</v>
      </c>
      <c r="Q133" s="25">
        <f t="shared" si="13"/>
        <v>0.62631578947368416</v>
      </c>
      <c r="R133" s="26">
        <v>427</v>
      </c>
      <c r="S133" s="26">
        <v>5</v>
      </c>
      <c r="T133" s="26">
        <v>16</v>
      </c>
      <c r="U133" s="26">
        <v>2</v>
      </c>
      <c r="V133" s="26">
        <v>450</v>
      </c>
      <c r="W133" s="27">
        <v>0.94888888888888889</v>
      </c>
      <c r="X133" s="27">
        <v>1.1111111111111112E-2</v>
      </c>
      <c r="Y133" s="27">
        <v>3.5555555555555556E-2</v>
      </c>
      <c r="Z133" s="27">
        <v>4.4444444444444444E-3</v>
      </c>
      <c r="AA133" s="28">
        <v>61.362222222222222</v>
      </c>
      <c r="AB133" s="25">
        <f t="shared" si="14"/>
        <v>0.84444444444444444</v>
      </c>
    </row>
    <row r="134" spans="1:28" x14ac:dyDescent="0.25">
      <c r="A134" s="24"/>
      <c r="B134" s="24"/>
      <c r="C134" s="24"/>
      <c r="D134" s="24">
        <v>2</v>
      </c>
      <c r="E134" s="24">
        <v>595</v>
      </c>
      <c r="F134" s="24">
        <v>149</v>
      </c>
      <c r="G134" s="24">
        <v>325</v>
      </c>
      <c r="H134" s="24">
        <v>114</v>
      </c>
      <c r="I134" s="24">
        <v>0</v>
      </c>
      <c r="J134" s="24">
        <v>6</v>
      </c>
      <c r="K134" s="24">
        <v>594</v>
      </c>
      <c r="L134" s="24">
        <v>1</v>
      </c>
      <c r="M134" s="24">
        <f t="shared" si="10"/>
        <v>595</v>
      </c>
      <c r="N134" s="24">
        <v>0</v>
      </c>
      <c r="O134" s="25">
        <f t="shared" si="11"/>
        <v>0.1915966386554622</v>
      </c>
      <c r="P134" s="25">
        <f t="shared" si="12"/>
        <v>0.25042016806722689</v>
      </c>
      <c r="Q134" s="25">
        <f t="shared" si="13"/>
        <v>0.54621848739495793</v>
      </c>
      <c r="R134" s="26">
        <v>647</v>
      </c>
      <c r="S134" s="26">
        <v>22</v>
      </c>
      <c r="T134" s="26">
        <v>32</v>
      </c>
      <c r="U134" s="26">
        <v>4</v>
      </c>
      <c r="V134" s="26">
        <v>705</v>
      </c>
      <c r="W134" s="27">
        <v>0.9177304964539007</v>
      </c>
      <c r="X134" s="27">
        <v>3.1205673758865248E-2</v>
      </c>
      <c r="Y134" s="27">
        <v>4.5390070921985819E-2</v>
      </c>
      <c r="Z134" s="27">
        <v>5.6737588652482273E-3</v>
      </c>
      <c r="AA134" s="28">
        <v>47.94609929078014</v>
      </c>
      <c r="AB134" s="25">
        <f t="shared" si="14"/>
        <v>0.84397163120567376</v>
      </c>
    </row>
    <row r="135" spans="1:28" x14ac:dyDescent="0.25">
      <c r="A135" s="24"/>
      <c r="B135" s="24"/>
      <c r="C135" s="24"/>
      <c r="D135" s="24">
        <v>3</v>
      </c>
      <c r="E135" s="24">
        <v>560</v>
      </c>
      <c r="F135" s="24">
        <v>144</v>
      </c>
      <c r="G135" s="24">
        <v>257</v>
      </c>
      <c r="H135" s="24">
        <v>159</v>
      </c>
      <c r="I135" s="24">
        <v>0</v>
      </c>
      <c r="J135" s="24">
        <v>0</v>
      </c>
      <c r="K135" s="24">
        <v>560</v>
      </c>
      <c r="L135" s="24">
        <v>0</v>
      </c>
      <c r="M135" s="24">
        <f t="shared" si="10"/>
        <v>560</v>
      </c>
      <c r="N135" s="24">
        <v>0</v>
      </c>
      <c r="O135" s="25">
        <f t="shared" si="11"/>
        <v>0.28392857142857142</v>
      </c>
      <c r="P135" s="25">
        <f t="shared" si="12"/>
        <v>0.25714285714285712</v>
      </c>
      <c r="Q135" s="25">
        <f t="shared" si="13"/>
        <v>0.45892857142857141</v>
      </c>
      <c r="R135" s="26">
        <v>664</v>
      </c>
      <c r="S135" s="26">
        <v>16</v>
      </c>
      <c r="T135" s="26">
        <v>23</v>
      </c>
      <c r="U135" s="26">
        <v>2</v>
      </c>
      <c r="V135" s="26">
        <v>705</v>
      </c>
      <c r="W135" s="27">
        <v>0.9418439716312057</v>
      </c>
      <c r="X135" s="27">
        <v>2.2695035460992909E-2</v>
      </c>
      <c r="Y135" s="27">
        <v>3.2624113475177303E-2</v>
      </c>
      <c r="Z135" s="27">
        <v>2.8368794326241137E-3</v>
      </c>
      <c r="AA135" s="28">
        <v>32.699290780141844</v>
      </c>
      <c r="AB135" s="25">
        <f t="shared" si="14"/>
        <v>0.79432624113475181</v>
      </c>
    </row>
    <row r="136" spans="1:28" x14ac:dyDescent="0.25">
      <c r="A136" s="24"/>
      <c r="B136" s="24"/>
      <c r="C136" s="24"/>
      <c r="D136" s="24">
        <v>4</v>
      </c>
      <c r="E136" s="24">
        <v>580</v>
      </c>
      <c r="F136" s="24">
        <v>154</v>
      </c>
      <c r="G136" s="24">
        <v>237</v>
      </c>
      <c r="H136" s="24">
        <v>184</v>
      </c>
      <c r="I136" s="24">
        <v>3</v>
      </c>
      <c r="J136" s="24">
        <v>0</v>
      </c>
      <c r="K136" s="24">
        <v>578</v>
      </c>
      <c r="L136" s="24">
        <v>2</v>
      </c>
      <c r="M136" s="24">
        <f t="shared" si="10"/>
        <v>580</v>
      </c>
      <c r="N136" s="24">
        <v>0</v>
      </c>
      <c r="O136" s="25">
        <f t="shared" si="11"/>
        <v>0.31724137931034485</v>
      </c>
      <c r="P136" s="25">
        <f t="shared" si="12"/>
        <v>0.26551724137931032</v>
      </c>
      <c r="Q136" s="25">
        <f t="shared" si="13"/>
        <v>0.4086206896551724</v>
      </c>
      <c r="R136" s="26">
        <v>673</v>
      </c>
      <c r="S136" s="26">
        <v>19</v>
      </c>
      <c r="T136" s="26">
        <v>12</v>
      </c>
      <c r="U136" s="26">
        <v>1</v>
      </c>
      <c r="V136" s="26">
        <v>705</v>
      </c>
      <c r="W136" s="27">
        <v>0.95460992907801423</v>
      </c>
      <c r="X136" s="27">
        <v>2.6950354609929079E-2</v>
      </c>
      <c r="Y136" s="27">
        <v>1.7021276595744681E-2</v>
      </c>
      <c r="Z136" s="27">
        <v>1.4184397163120568E-3</v>
      </c>
      <c r="AA136" s="28">
        <v>25.8</v>
      </c>
      <c r="AB136" s="25">
        <f t="shared" si="14"/>
        <v>0.82269503546099287</v>
      </c>
    </row>
    <row r="137" spans="1:28" x14ac:dyDescent="0.25">
      <c r="A137" s="24"/>
      <c r="B137" s="24"/>
      <c r="C137" s="24"/>
      <c r="D137" s="24">
        <v>5</v>
      </c>
      <c r="E137" s="24">
        <v>615</v>
      </c>
      <c r="F137" s="24">
        <v>222</v>
      </c>
      <c r="G137" s="24">
        <v>247</v>
      </c>
      <c r="H137" s="24">
        <v>144</v>
      </c>
      <c r="I137" s="24">
        <v>0</v>
      </c>
      <c r="J137" s="24">
        <v>1</v>
      </c>
      <c r="K137" s="24">
        <v>614</v>
      </c>
      <c r="L137" s="24">
        <v>1</v>
      </c>
      <c r="M137" s="24">
        <f t="shared" si="10"/>
        <v>615</v>
      </c>
      <c r="N137" s="24">
        <v>0</v>
      </c>
      <c r="O137" s="25">
        <f t="shared" si="11"/>
        <v>0.23414634146341465</v>
      </c>
      <c r="P137" s="25">
        <f t="shared" si="12"/>
        <v>0.36097560975609755</v>
      </c>
      <c r="Q137" s="25">
        <f t="shared" si="13"/>
        <v>0.40162601626016259</v>
      </c>
      <c r="R137" s="26">
        <v>680</v>
      </c>
      <c r="S137" s="26">
        <v>13</v>
      </c>
      <c r="T137" s="26">
        <v>12</v>
      </c>
      <c r="U137" s="26">
        <v>0</v>
      </c>
      <c r="V137" s="26">
        <v>705</v>
      </c>
      <c r="W137" s="27">
        <v>0.96453900709219853</v>
      </c>
      <c r="X137" s="27">
        <v>1.8439716312056736E-2</v>
      </c>
      <c r="Y137" s="27">
        <v>1.7021276595744681E-2</v>
      </c>
      <c r="Z137" s="27">
        <v>0</v>
      </c>
      <c r="AA137" s="28">
        <v>20.595744680851062</v>
      </c>
      <c r="AB137" s="25">
        <f t="shared" si="14"/>
        <v>0.87234042553191493</v>
      </c>
    </row>
    <row r="138" spans="1:28" x14ac:dyDescent="0.25">
      <c r="A138" s="24"/>
      <c r="B138" s="24"/>
      <c r="C138" s="24" t="s">
        <v>217</v>
      </c>
      <c r="D138" s="24">
        <v>1</v>
      </c>
      <c r="E138" s="24">
        <v>304</v>
      </c>
      <c r="F138" s="24">
        <v>23</v>
      </c>
      <c r="G138" s="24">
        <v>175</v>
      </c>
      <c r="H138" s="24">
        <v>95</v>
      </c>
      <c r="I138" s="24">
        <v>2</v>
      </c>
      <c r="J138" s="24">
        <v>0</v>
      </c>
      <c r="K138" s="24">
        <v>295</v>
      </c>
      <c r="L138" s="24">
        <v>9</v>
      </c>
      <c r="M138" s="24">
        <f t="shared" si="10"/>
        <v>304</v>
      </c>
      <c r="N138" s="24">
        <v>0</v>
      </c>
      <c r="O138" s="25">
        <f t="shared" si="11"/>
        <v>0.3125</v>
      </c>
      <c r="P138" s="25">
        <f t="shared" si="12"/>
        <v>7.5657894736842105E-2</v>
      </c>
      <c r="Q138" s="25">
        <f t="shared" si="13"/>
        <v>0.57565789473684215</v>
      </c>
      <c r="R138" s="26">
        <v>288</v>
      </c>
      <c r="S138" s="26">
        <v>134</v>
      </c>
      <c r="T138" s="26">
        <v>28</v>
      </c>
      <c r="U138" s="26">
        <v>0</v>
      </c>
      <c r="V138" s="26">
        <v>450</v>
      </c>
      <c r="W138" s="27">
        <v>0.64</v>
      </c>
      <c r="X138" s="27">
        <v>0.29777777777777775</v>
      </c>
      <c r="Y138" s="27">
        <v>6.222222222222222E-2</v>
      </c>
      <c r="Z138" s="27">
        <v>0</v>
      </c>
      <c r="AA138" s="28">
        <v>68.862222222222229</v>
      </c>
      <c r="AB138" s="25">
        <f t="shared" si="14"/>
        <v>0.67555555555555558</v>
      </c>
    </row>
    <row r="139" spans="1:28" x14ac:dyDescent="0.25">
      <c r="A139" s="24"/>
      <c r="B139" s="24"/>
      <c r="C139" s="24"/>
      <c r="D139" s="24">
        <v>2</v>
      </c>
      <c r="E139" s="24">
        <v>369</v>
      </c>
      <c r="F139" s="24">
        <v>46</v>
      </c>
      <c r="G139" s="24">
        <v>204</v>
      </c>
      <c r="H139" s="24">
        <v>113</v>
      </c>
      <c r="I139" s="24">
        <v>2</v>
      </c>
      <c r="J139" s="24">
        <v>3</v>
      </c>
      <c r="K139" s="24">
        <v>368</v>
      </c>
      <c r="L139" s="24">
        <v>1</v>
      </c>
      <c r="M139" s="24">
        <f t="shared" si="10"/>
        <v>369</v>
      </c>
      <c r="N139" s="24">
        <v>0</v>
      </c>
      <c r="O139" s="25">
        <f t="shared" si="11"/>
        <v>0.30623306233062331</v>
      </c>
      <c r="P139" s="25">
        <f t="shared" si="12"/>
        <v>0.12466124661246612</v>
      </c>
      <c r="Q139" s="25">
        <f t="shared" si="13"/>
        <v>0.55284552845528456</v>
      </c>
      <c r="R139" s="26">
        <v>328</v>
      </c>
      <c r="S139" s="26">
        <v>99</v>
      </c>
      <c r="T139" s="26">
        <v>23</v>
      </c>
      <c r="U139" s="26">
        <v>0</v>
      </c>
      <c r="V139" s="26">
        <v>450</v>
      </c>
      <c r="W139" s="27">
        <v>0.72888888888888892</v>
      </c>
      <c r="X139" s="27">
        <v>0.22</v>
      </c>
      <c r="Y139" s="27">
        <v>5.1111111111111114E-2</v>
      </c>
      <c r="Z139" s="27">
        <v>0</v>
      </c>
      <c r="AA139" s="28">
        <v>55.086666666666666</v>
      </c>
      <c r="AB139" s="25">
        <f t="shared" si="14"/>
        <v>0.82</v>
      </c>
    </row>
    <row r="140" spans="1:28" x14ac:dyDescent="0.25">
      <c r="A140" s="24"/>
      <c r="B140" s="24"/>
      <c r="C140" s="24"/>
      <c r="D140" s="24">
        <v>3</v>
      </c>
      <c r="E140" s="24">
        <v>492</v>
      </c>
      <c r="F140" s="24">
        <v>90</v>
      </c>
      <c r="G140" s="24">
        <v>208</v>
      </c>
      <c r="H140" s="24">
        <v>179</v>
      </c>
      <c r="I140" s="24">
        <v>9</v>
      </c>
      <c r="J140" s="24">
        <v>3</v>
      </c>
      <c r="K140" s="24">
        <v>489</v>
      </c>
      <c r="L140" s="24">
        <v>3</v>
      </c>
      <c r="M140" s="24">
        <f t="shared" si="10"/>
        <v>492</v>
      </c>
      <c r="N140" s="24">
        <v>0</v>
      </c>
      <c r="O140" s="25">
        <f t="shared" si="11"/>
        <v>0.36382113821138212</v>
      </c>
      <c r="P140" s="25">
        <f t="shared" si="12"/>
        <v>0.18292682926829268</v>
      </c>
      <c r="Q140" s="25">
        <f t="shared" si="13"/>
        <v>0.42276422764227645</v>
      </c>
      <c r="R140" s="26">
        <v>443</v>
      </c>
      <c r="S140" s="26">
        <v>134</v>
      </c>
      <c r="T140" s="26">
        <v>65</v>
      </c>
      <c r="U140" s="26">
        <v>3</v>
      </c>
      <c r="V140" s="26">
        <v>645</v>
      </c>
      <c r="W140" s="27">
        <v>0.68682170542635657</v>
      </c>
      <c r="X140" s="27">
        <v>0.20775193798449612</v>
      </c>
      <c r="Y140" s="27">
        <v>0.10077519379844961</v>
      </c>
      <c r="Z140" s="27">
        <v>4.6511627906976744E-3</v>
      </c>
      <c r="AA140" s="28">
        <v>40.013953488372096</v>
      </c>
      <c r="AB140" s="25">
        <f t="shared" si="14"/>
        <v>0.76279069767441865</v>
      </c>
    </row>
    <row r="141" spans="1:28" x14ac:dyDescent="0.25">
      <c r="A141" s="24"/>
      <c r="B141" s="24"/>
      <c r="C141" s="24"/>
      <c r="D141" s="24">
        <v>4</v>
      </c>
      <c r="E141" s="24">
        <v>493</v>
      </c>
      <c r="F141" s="24">
        <v>97</v>
      </c>
      <c r="G141" s="24">
        <v>223</v>
      </c>
      <c r="H141" s="24">
        <v>164</v>
      </c>
      <c r="I141" s="24">
        <v>3</v>
      </c>
      <c r="J141" s="24">
        <v>3</v>
      </c>
      <c r="K141" s="24">
        <v>490</v>
      </c>
      <c r="L141" s="24">
        <v>3</v>
      </c>
      <c r="M141" s="24">
        <f t="shared" si="10"/>
        <v>493</v>
      </c>
      <c r="N141" s="24">
        <v>0</v>
      </c>
      <c r="O141" s="25">
        <f t="shared" si="11"/>
        <v>0.33265720081135902</v>
      </c>
      <c r="P141" s="25">
        <f t="shared" si="12"/>
        <v>0.19675456389452334</v>
      </c>
      <c r="Q141" s="25">
        <f t="shared" si="13"/>
        <v>0.45233265720081134</v>
      </c>
      <c r="R141" s="26">
        <v>481</v>
      </c>
      <c r="S141" s="26">
        <v>90</v>
      </c>
      <c r="T141" s="26">
        <v>72</v>
      </c>
      <c r="U141" s="26">
        <v>2</v>
      </c>
      <c r="V141" s="26">
        <v>645</v>
      </c>
      <c r="W141" s="27">
        <v>0.74573643410852708</v>
      </c>
      <c r="X141" s="27">
        <v>0.13953488372093023</v>
      </c>
      <c r="Y141" s="27">
        <v>0.11162790697674418</v>
      </c>
      <c r="Z141" s="27">
        <v>3.1007751937984496E-3</v>
      </c>
      <c r="AA141" s="28">
        <v>24.913178294573644</v>
      </c>
      <c r="AB141" s="25">
        <f t="shared" si="14"/>
        <v>0.76434108527131783</v>
      </c>
    </row>
    <row r="142" spans="1:28" x14ac:dyDescent="0.25">
      <c r="A142" s="24">
        <v>24</v>
      </c>
      <c r="B142" s="24" t="s">
        <v>218</v>
      </c>
      <c r="C142" s="24" t="s">
        <v>219</v>
      </c>
      <c r="D142" s="24">
        <v>1</v>
      </c>
      <c r="E142" s="24">
        <v>256</v>
      </c>
      <c r="F142" s="24">
        <v>20</v>
      </c>
      <c r="G142" s="24">
        <v>167</v>
      </c>
      <c r="H142" s="24">
        <v>66</v>
      </c>
      <c r="I142" s="24">
        <v>0</v>
      </c>
      <c r="J142" s="24">
        <v>2</v>
      </c>
      <c r="K142" s="24">
        <v>255</v>
      </c>
      <c r="L142" s="24">
        <v>1</v>
      </c>
      <c r="M142" s="24">
        <f t="shared" si="10"/>
        <v>256</v>
      </c>
      <c r="N142" s="24">
        <v>0</v>
      </c>
      <c r="O142" s="25">
        <f t="shared" si="11"/>
        <v>0.2578125</v>
      </c>
      <c r="P142" s="25">
        <f t="shared" si="12"/>
        <v>7.8125E-2</v>
      </c>
      <c r="Q142" s="25">
        <f t="shared" si="13"/>
        <v>0.65234375</v>
      </c>
      <c r="R142" s="26">
        <v>265</v>
      </c>
      <c r="S142" s="26">
        <v>65</v>
      </c>
      <c r="T142" s="26">
        <v>18</v>
      </c>
      <c r="U142" s="26">
        <v>2</v>
      </c>
      <c r="V142" s="26">
        <v>350</v>
      </c>
      <c r="W142" s="27">
        <v>0.75714285714285712</v>
      </c>
      <c r="X142" s="27">
        <v>0.18571428571428572</v>
      </c>
      <c r="Y142" s="27">
        <v>5.1428571428571428E-2</v>
      </c>
      <c r="Z142" s="27">
        <v>5.7142857142857143E-3</v>
      </c>
      <c r="AA142" s="28">
        <v>68.342857142857142</v>
      </c>
      <c r="AB142" s="25">
        <f t="shared" si="14"/>
        <v>0.73142857142857143</v>
      </c>
    </row>
    <row r="143" spans="1:28" x14ac:dyDescent="0.25">
      <c r="A143" s="24"/>
      <c r="B143" s="24"/>
      <c r="C143" s="24"/>
      <c r="D143" s="24">
        <v>2</v>
      </c>
      <c r="E143" s="24">
        <v>363</v>
      </c>
      <c r="F143" s="24">
        <v>85</v>
      </c>
      <c r="G143" s="24">
        <v>205</v>
      </c>
      <c r="H143" s="24">
        <v>67</v>
      </c>
      <c r="I143" s="24">
        <v>0</v>
      </c>
      <c r="J143" s="24">
        <v>4</v>
      </c>
      <c r="K143" s="24">
        <v>361</v>
      </c>
      <c r="L143" s="24">
        <v>2</v>
      </c>
      <c r="M143" s="24">
        <f t="shared" si="10"/>
        <v>363</v>
      </c>
      <c r="N143" s="24">
        <v>0</v>
      </c>
      <c r="O143" s="25">
        <f t="shared" si="11"/>
        <v>0.18457300275482094</v>
      </c>
      <c r="P143" s="25">
        <f t="shared" si="12"/>
        <v>0.23415977961432508</v>
      </c>
      <c r="Q143" s="25">
        <f t="shared" si="13"/>
        <v>0.56473829201101933</v>
      </c>
      <c r="R143" s="26">
        <v>415</v>
      </c>
      <c r="S143" s="26">
        <v>18</v>
      </c>
      <c r="T143" s="26">
        <v>16</v>
      </c>
      <c r="U143" s="26">
        <v>1</v>
      </c>
      <c r="V143" s="26">
        <v>450</v>
      </c>
      <c r="W143" s="27">
        <v>0.92222222222222228</v>
      </c>
      <c r="X143" s="27">
        <v>0.04</v>
      </c>
      <c r="Y143" s="27">
        <v>3.5555555555555556E-2</v>
      </c>
      <c r="Z143" s="27">
        <v>2.2222222222222222E-3</v>
      </c>
      <c r="AA143" s="28">
        <v>38.142222222222223</v>
      </c>
      <c r="AB143" s="25">
        <f t="shared" si="14"/>
        <v>0.80666666666666664</v>
      </c>
    </row>
    <row r="144" spans="1:28" x14ac:dyDescent="0.25">
      <c r="A144" s="24">
        <v>25</v>
      </c>
      <c r="B144" s="24" t="s">
        <v>220</v>
      </c>
      <c r="C144" s="24" t="s">
        <v>221</v>
      </c>
      <c r="D144" s="24">
        <v>1</v>
      </c>
      <c r="E144" s="24">
        <v>353</v>
      </c>
      <c r="F144" s="24">
        <v>51</v>
      </c>
      <c r="G144" s="24">
        <v>255</v>
      </c>
      <c r="H144" s="24">
        <v>42</v>
      </c>
      <c r="I144" s="24">
        <v>0</v>
      </c>
      <c r="J144" s="24">
        <v>2</v>
      </c>
      <c r="K144" s="24">
        <v>350</v>
      </c>
      <c r="L144" s="24">
        <v>3</v>
      </c>
      <c r="M144" s="24">
        <f t="shared" si="10"/>
        <v>353</v>
      </c>
      <c r="N144" s="24">
        <v>0</v>
      </c>
      <c r="O144" s="25">
        <f t="shared" si="11"/>
        <v>0.11898016997167139</v>
      </c>
      <c r="P144" s="25">
        <f t="shared" si="12"/>
        <v>0.14447592067988668</v>
      </c>
      <c r="Q144" s="25">
        <f t="shared" si="13"/>
        <v>0.72237960339943341</v>
      </c>
      <c r="R144" s="26">
        <v>448</v>
      </c>
      <c r="S144" s="26">
        <v>0</v>
      </c>
      <c r="T144" s="26">
        <v>2</v>
      </c>
      <c r="U144" s="26">
        <v>0</v>
      </c>
      <c r="V144" s="26">
        <v>450</v>
      </c>
      <c r="W144" s="27">
        <v>0.99555555555555553</v>
      </c>
      <c r="X144" s="27">
        <v>0</v>
      </c>
      <c r="Y144" s="27">
        <v>4.4444444444444444E-3</v>
      </c>
      <c r="Z144" s="27">
        <v>0</v>
      </c>
      <c r="AA144" s="28">
        <v>62.12222222222222</v>
      </c>
      <c r="AB144" s="25">
        <f t="shared" si="14"/>
        <v>0.7844444444444445</v>
      </c>
    </row>
    <row r="145" spans="1:28" x14ac:dyDescent="0.25">
      <c r="A145" s="24"/>
      <c r="B145" s="24"/>
      <c r="C145" s="24"/>
      <c r="D145" s="24">
        <v>2</v>
      </c>
      <c r="E145" s="24">
        <v>509</v>
      </c>
      <c r="F145" s="24">
        <v>131</v>
      </c>
      <c r="G145" s="24">
        <v>300</v>
      </c>
      <c r="H145" s="24">
        <v>77</v>
      </c>
      <c r="I145" s="24">
        <v>0</v>
      </c>
      <c r="J145" s="24">
        <v>1</v>
      </c>
      <c r="K145" s="24">
        <v>509</v>
      </c>
      <c r="L145" s="24">
        <v>0</v>
      </c>
      <c r="M145" s="24">
        <f t="shared" si="10"/>
        <v>509</v>
      </c>
      <c r="N145" s="24">
        <v>0</v>
      </c>
      <c r="O145" s="25">
        <f t="shared" si="11"/>
        <v>0.15127701375245581</v>
      </c>
      <c r="P145" s="25">
        <f t="shared" si="12"/>
        <v>0.25736738703339884</v>
      </c>
      <c r="Q145" s="25">
        <f t="shared" si="13"/>
        <v>0.58939096267190572</v>
      </c>
      <c r="R145" s="26">
        <v>634</v>
      </c>
      <c r="S145" s="26">
        <v>0</v>
      </c>
      <c r="T145" s="26">
        <v>2</v>
      </c>
      <c r="U145" s="26">
        <v>0</v>
      </c>
      <c r="V145" s="26">
        <v>636</v>
      </c>
      <c r="W145" s="27">
        <v>0.99685534591194969</v>
      </c>
      <c r="X145" s="27">
        <v>0</v>
      </c>
      <c r="Y145" s="27">
        <v>3.1446540880503146E-3</v>
      </c>
      <c r="Z145" s="27">
        <v>0</v>
      </c>
      <c r="AA145" s="28">
        <v>31.429245283018869</v>
      </c>
      <c r="AB145" s="25">
        <f t="shared" si="14"/>
        <v>0.80031446540880502</v>
      </c>
    </row>
    <row r="146" spans="1:28" x14ac:dyDescent="0.25">
      <c r="A146" s="24">
        <v>26</v>
      </c>
      <c r="B146" s="24" t="s">
        <v>222</v>
      </c>
      <c r="C146" s="24" t="s">
        <v>223</v>
      </c>
      <c r="D146" s="24">
        <v>1</v>
      </c>
      <c r="E146" s="24">
        <v>381</v>
      </c>
      <c r="F146" s="24">
        <v>41</v>
      </c>
      <c r="G146" s="24">
        <v>274</v>
      </c>
      <c r="H146" s="24">
        <v>50</v>
      </c>
      <c r="I146" s="24">
        <v>1</v>
      </c>
      <c r="J146" s="24">
        <v>10</v>
      </c>
      <c r="K146" s="24">
        <v>376</v>
      </c>
      <c r="L146" s="24">
        <v>5</v>
      </c>
      <c r="M146" s="24">
        <f t="shared" si="10"/>
        <v>381</v>
      </c>
      <c r="N146" s="24">
        <v>0</v>
      </c>
      <c r="O146" s="25">
        <f t="shared" si="11"/>
        <v>0.13123359580052493</v>
      </c>
      <c r="P146" s="25">
        <f t="shared" si="12"/>
        <v>0.10761154855643044</v>
      </c>
      <c r="Q146" s="25">
        <f t="shared" si="13"/>
        <v>0.71916010498687666</v>
      </c>
      <c r="R146" s="26">
        <v>443</v>
      </c>
      <c r="S146" s="26">
        <v>1</v>
      </c>
      <c r="T146" s="26">
        <v>6</v>
      </c>
      <c r="U146" s="26">
        <v>0</v>
      </c>
      <c r="V146" s="26">
        <v>450</v>
      </c>
      <c r="W146" s="27">
        <v>0.98444444444444446</v>
      </c>
      <c r="X146" s="27">
        <v>2.2222222222222222E-3</v>
      </c>
      <c r="Y146" s="27">
        <v>1.3333333333333334E-2</v>
      </c>
      <c r="Z146" s="27">
        <v>0</v>
      </c>
      <c r="AA146" s="28">
        <v>62.906666666666666</v>
      </c>
      <c r="AB146" s="25">
        <f t="shared" si="14"/>
        <v>0.84666666666666668</v>
      </c>
    </row>
    <row r="147" spans="1:28" x14ac:dyDescent="0.25">
      <c r="A147" s="24"/>
      <c r="B147" s="24"/>
      <c r="C147" s="24"/>
      <c r="D147" s="24">
        <v>2</v>
      </c>
      <c r="E147" s="24">
        <v>589</v>
      </c>
      <c r="F147" s="24">
        <v>157</v>
      </c>
      <c r="G147" s="24">
        <v>329</v>
      </c>
      <c r="H147" s="24">
        <v>95</v>
      </c>
      <c r="I147" s="24">
        <v>0</v>
      </c>
      <c r="J147" s="24">
        <v>4</v>
      </c>
      <c r="K147" s="24">
        <v>585</v>
      </c>
      <c r="L147" s="24">
        <v>4</v>
      </c>
      <c r="M147" s="24">
        <f t="shared" si="10"/>
        <v>589</v>
      </c>
      <c r="N147" s="24">
        <v>0</v>
      </c>
      <c r="O147" s="25">
        <f t="shared" si="11"/>
        <v>0.16129032258064516</v>
      </c>
      <c r="P147" s="25">
        <f t="shared" si="12"/>
        <v>0.26655348047538202</v>
      </c>
      <c r="Q147" s="25">
        <f t="shared" si="13"/>
        <v>0.5585738539898133</v>
      </c>
      <c r="R147" s="26">
        <v>704</v>
      </c>
      <c r="S147" s="26">
        <v>0</v>
      </c>
      <c r="T147" s="26">
        <v>12</v>
      </c>
      <c r="U147" s="26">
        <v>0</v>
      </c>
      <c r="V147" s="26">
        <v>716</v>
      </c>
      <c r="W147" s="27">
        <v>0.98324022346368711</v>
      </c>
      <c r="X147" s="27">
        <v>0</v>
      </c>
      <c r="Y147" s="27">
        <v>1.6759776536312849E-2</v>
      </c>
      <c r="Z147" s="27">
        <v>0</v>
      </c>
      <c r="AA147" s="28">
        <v>33.581005586592177</v>
      </c>
      <c r="AB147" s="25">
        <f t="shared" si="14"/>
        <v>0.82262569832402233</v>
      </c>
    </row>
    <row r="148" spans="1:28" x14ac:dyDescent="0.25">
      <c r="A148" s="24">
        <v>27</v>
      </c>
      <c r="B148" s="24" t="s">
        <v>224</v>
      </c>
      <c r="C148" s="24" t="s">
        <v>225</v>
      </c>
      <c r="D148" s="24">
        <v>1</v>
      </c>
      <c r="E148" s="24">
        <v>364</v>
      </c>
      <c r="F148" s="24">
        <v>32</v>
      </c>
      <c r="G148" s="24">
        <v>266</v>
      </c>
      <c r="H148" s="24">
        <v>49</v>
      </c>
      <c r="I148" s="24">
        <v>1</v>
      </c>
      <c r="J148" s="24">
        <v>3</v>
      </c>
      <c r="K148" s="24">
        <v>351</v>
      </c>
      <c r="L148" s="24">
        <v>13</v>
      </c>
      <c r="M148" s="24">
        <f t="shared" si="10"/>
        <v>364</v>
      </c>
      <c r="N148" s="24">
        <v>0</v>
      </c>
      <c r="O148" s="25">
        <f t="shared" si="11"/>
        <v>0.13461538461538461</v>
      </c>
      <c r="P148" s="25">
        <f t="shared" si="12"/>
        <v>8.7912087912087919E-2</v>
      </c>
      <c r="Q148" s="25">
        <f t="shared" si="13"/>
        <v>0.73076923076923073</v>
      </c>
      <c r="R148" s="26">
        <v>441</v>
      </c>
      <c r="S148" s="26">
        <v>6</v>
      </c>
      <c r="T148" s="26">
        <v>3</v>
      </c>
      <c r="U148" s="26">
        <v>0</v>
      </c>
      <c r="V148" s="26">
        <v>450</v>
      </c>
      <c r="W148" s="27">
        <v>0.98</v>
      </c>
      <c r="X148" s="27">
        <v>1.3333333333333334E-2</v>
      </c>
      <c r="Y148" s="27">
        <v>6.6666666666666671E-3</v>
      </c>
      <c r="Z148" s="27">
        <v>0</v>
      </c>
      <c r="AA148" s="28">
        <v>65.742222222222225</v>
      </c>
      <c r="AB148" s="25">
        <f t="shared" si="14"/>
        <v>0.80888888888888888</v>
      </c>
    </row>
    <row r="149" spans="1:28" x14ac:dyDescent="0.25">
      <c r="A149" s="24"/>
      <c r="B149" s="24"/>
      <c r="C149" s="24"/>
      <c r="D149" s="24">
        <v>2</v>
      </c>
      <c r="E149" s="24">
        <v>391</v>
      </c>
      <c r="F149" s="24">
        <v>59</v>
      </c>
      <c r="G149" s="24">
        <v>293</v>
      </c>
      <c r="H149" s="24">
        <v>37</v>
      </c>
      <c r="I149" s="24">
        <v>1</v>
      </c>
      <c r="J149" s="24">
        <v>1</v>
      </c>
      <c r="K149" s="24">
        <v>391</v>
      </c>
      <c r="L149" s="24">
        <v>0</v>
      </c>
      <c r="M149" s="24">
        <f t="shared" si="10"/>
        <v>391</v>
      </c>
      <c r="N149" s="24">
        <v>0</v>
      </c>
      <c r="O149" s="25">
        <f t="shared" si="11"/>
        <v>9.4629156010230184E-2</v>
      </c>
      <c r="P149" s="25">
        <f t="shared" si="12"/>
        <v>0.15089514066496162</v>
      </c>
      <c r="Q149" s="25">
        <f t="shared" si="13"/>
        <v>0.7493606138107417</v>
      </c>
      <c r="R149" s="26">
        <v>441</v>
      </c>
      <c r="S149" s="26">
        <v>1</v>
      </c>
      <c r="T149" s="26">
        <v>7</v>
      </c>
      <c r="U149" s="26">
        <v>1</v>
      </c>
      <c r="V149" s="26">
        <v>450</v>
      </c>
      <c r="W149" s="27">
        <v>0.98</v>
      </c>
      <c r="X149" s="27">
        <v>2.2222222222222222E-3</v>
      </c>
      <c r="Y149" s="27">
        <v>1.5555555555555555E-2</v>
      </c>
      <c r="Z149" s="27">
        <v>2.2222222222222222E-3</v>
      </c>
      <c r="AA149" s="28">
        <v>55.055555555555557</v>
      </c>
      <c r="AB149" s="25">
        <f t="shared" si="14"/>
        <v>0.86888888888888893</v>
      </c>
    </row>
    <row r="150" spans="1:28" x14ac:dyDescent="0.25">
      <c r="A150" s="24"/>
      <c r="B150" s="24"/>
      <c r="C150" s="24"/>
      <c r="D150" s="24">
        <v>3</v>
      </c>
      <c r="E150" s="24">
        <v>404</v>
      </c>
      <c r="F150" s="24">
        <v>91</v>
      </c>
      <c r="G150" s="24">
        <v>256</v>
      </c>
      <c r="H150" s="24">
        <v>51</v>
      </c>
      <c r="I150" s="24">
        <v>0</v>
      </c>
      <c r="J150" s="24">
        <v>1</v>
      </c>
      <c r="K150" s="24">
        <v>399</v>
      </c>
      <c r="L150" s="24">
        <v>5</v>
      </c>
      <c r="M150" s="24">
        <f t="shared" si="10"/>
        <v>404</v>
      </c>
      <c r="N150" s="24">
        <v>0</v>
      </c>
      <c r="O150" s="25">
        <f t="shared" si="11"/>
        <v>0.12623762376237624</v>
      </c>
      <c r="P150" s="25">
        <f t="shared" si="12"/>
        <v>0.22524752475247525</v>
      </c>
      <c r="Q150" s="25">
        <f t="shared" si="13"/>
        <v>0.63366336633663367</v>
      </c>
      <c r="R150" s="26">
        <v>503</v>
      </c>
      <c r="S150" s="26">
        <v>4</v>
      </c>
      <c r="T150" s="26">
        <v>2</v>
      </c>
      <c r="U150" s="26">
        <v>1</v>
      </c>
      <c r="V150" s="26">
        <v>510</v>
      </c>
      <c r="W150" s="27">
        <v>0.98627450980392162</v>
      </c>
      <c r="X150" s="27">
        <v>7.8431372549019607E-3</v>
      </c>
      <c r="Y150" s="27">
        <v>3.9215686274509803E-3</v>
      </c>
      <c r="Z150" s="27">
        <v>1.9607843137254902E-3</v>
      </c>
      <c r="AA150" s="28">
        <v>41.492156862745098</v>
      </c>
      <c r="AB150" s="25">
        <f t="shared" si="14"/>
        <v>0.792156862745098</v>
      </c>
    </row>
    <row r="151" spans="1:28" x14ac:dyDescent="0.25">
      <c r="A151" s="24"/>
      <c r="B151" s="24"/>
      <c r="C151" s="24"/>
      <c r="D151" s="24">
        <v>4</v>
      </c>
      <c r="E151" s="24">
        <v>399</v>
      </c>
      <c r="F151" s="24">
        <v>108</v>
      </c>
      <c r="G151" s="24">
        <v>234</v>
      </c>
      <c r="H151" s="24">
        <v>56</v>
      </c>
      <c r="I151" s="24">
        <v>0</v>
      </c>
      <c r="J151" s="24">
        <v>0</v>
      </c>
      <c r="K151" s="24">
        <v>398</v>
      </c>
      <c r="L151" s="24">
        <v>1</v>
      </c>
      <c r="M151" s="24">
        <f t="shared" si="10"/>
        <v>399</v>
      </c>
      <c r="N151" s="24">
        <v>0</v>
      </c>
      <c r="O151" s="25">
        <f t="shared" si="11"/>
        <v>0.14035087719298245</v>
      </c>
      <c r="P151" s="25">
        <f t="shared" si="12"/>
        <v>0.27067669172932329</v>
      </c>
      <c r="Q151" s="25">
        <f t="shared" si="13"/>
        <v>0.5864661654135338</v>
      </c>
      <c r="R151" s="26">
        <v>508</v>
      </c>
      <c r="S151" s="26">
        <v>0</v>
      </c>
      <c r="T151" s="26">
        <v>2</v>
      </c>
      <c r="U151" s="26">
        <v>0</v>
      </c>
      <c r="V151" s="26">
        <v>510</v>
      </c>
      <c r="W151" s="27">
        <v>0.99607843137254903</v>
      </c>
      <c r="X151" s="27">
        <v>0</v>
      </c>
      <c r="Y151" s="27">
        <v>3.9215686274509803E-3</v>
      </c>
      <c r="Z151" s="27">
        <v>0</v>
      </c>
      <c r="AA151" s="28">
        <v>29.594117647058823</v>
      </c>
      <c r="AB151" s="25">
        <f t="shared" si="14"/>
        <v>0.78235294117647058</v>
      </c>
    </row>
    <row r="152" spans="1:28" x14ac:dyDescent="0.25">
      <c r="A152" s="24"/>
      <c r="B152" s="24"/>
      <c r="C152" s="24"/>
      <c r="D152" s="24">
        <v>5</v>
      </c>
      <c r="E152" s="24">
        <v>434</v>
      </c>
      <c r="F152" s="24">
        <v>103</v>
      </c>
      <c r="G152" s="24">
        <v>274</v>
      </c>
      <c r="H152" s="24">
        <v>56</v>
      </c>
      <c r="I152" s="24">
        <v>0</v>
      </c>
      <c r="J152" s="24">
        <v>0</v>
      </c>
      <c r="K152" s="24">
        <v>433</v>
      </c>
      <c r="L152" s="24">
        <v>1</v>
      </c>
      <c r="M152" s="24">
        <f t="shared" si="10"/>
        <v>434</v>
      </c>
      <c r="N152" s="24">
        <v>0</v>
      </c>
      <c r="O152" s="25">
        <f t="shared" si="11"/>
        <v>0.12903225806451613</v>
      </c>
      <c r="P152" s="25">
        <f t="shared" si="12"/>
        <v>0.23732718894009217</v>
      </c>
      <c r="Q152" s="25">
        <f t="shared" si="13"/>
        <v>0.63133640552995396</v>
      </c>
      <c r="R152" s="26">
        <v>510</v>
      </c>
      <c r="S152" s="26">
        <v>0</v>
      </c>
      <c r="T152" s="26">
        <v>0</v>
      </c>
      <c r="U152" s="26">
        <v>0</v>
      </c>
      <c r="V152" s="26">
        <v>510</v>
      </c>
      <c r="W152" s="27">
        <v>1</v>
      </c>
      <c r="X152" s="27">
        <v>0</v>
      </c>
      <c r="Y152" s="27">
        <v>0</v>
      </c>
      <c r="Z152" s="27">
        <v>0</v>
      </c>
      <c r="AA152" s="28">
        <v>21.658823529411766</v>
      </c>
      <c r="AB152" s="25">
        <f t="shared" si="14"/>
        <v>0.85098039215686272</v>
      </c>
    </row>
    <row r="153" spans="1:28" x14ac:dyDescent="0.25">
      <c r="A153" s="24">
        <v>28</v>
      </c>
      <c r="B153" s="24" t="s">
        <v>226</v>
      </c>
      <c r="C153" s="24" t="s">
        <v>227</v>
      </c>
      <c r="D153" s="24">
        <v>1</v>
      </c>
      <c r="E153" s="24">
        <v>380</v>
      </c>
      <c r="F153" s="24">
        <v>71</v>
      </c>
      <c r="G153" s="24">
        <v>198</v>
      </c>
      <c r="H153" s="24">
        <v>102</v>
      </c>
      <c r="I153" s="24">
        <v>0</v>
      </c>
      <c r="J153" s="24">
        <v>5</v>
      </c>
      <c r="K153" s="24">
        <v>376</v>
      </c>
      <c r="L153" s="24">
        <v>4</v>
      </c>
      <c r="M153" s="24">
        <f t="shared" si="10"/>
        <v>380</v>
      </c>
      <c r="N153" s="24">
        <v>0</v>
      </c>
      <c r="O153" s="25">
        <f t="shared" si="11"/>
        <v>0.26842105263157895</v>
      </c>
      <c r="P153" s="25">
        <f t="shared" si="12"/>
        <v>0.18684210526315789</v>
      </c>
      <c r="Q153" s="25">
        <f t="shared" si="13"/>
        <v>0.52105263157894732</v>
      </c>
      <c r="R153" s="26">
        <v>342</v>
      </c>
      <c r="S153" s="26">
        <v>38</v>
      </c>
      <c r="T153" s="26">
        <v>62</v>
      </c>
      <c r="U153" s="26">
        <v>8</v>
      </c>
      <c r="V153" s="26">
        <v>450</v>
      </c>
      <c r="W153" s="27">
        <v>0.76</v>
      </c>
      <c r="X153" s="27">
        <v>8.4444444444444447E-2</v>
      </c>
      <c r="Y153" s="27">
        <v>0.13777777777777778</v>
      </c>
      <c r="Z153" s="27">
        <v>1.7777777777777778E-2</v>
      </c>
      <c r="AA153" s="28">
        <v>56.888888888888886</v>
      </c>
      <c r="AB153" s="25">
        <f t="shared" si="14"/>
        <v>0.84444444444444444</v>
      </c>
    </row>
    <row r="154" spans="1:28" x14ac:dyDescent="0.25">
      <c r="A154" s="24"/>
      <c r="B154" s="24"/>
      <c r="C154" s="24"/>
      <c r="D154" s="24">
        <v>2</v>
      </c>
      <c r="E154" s="24">
        <v>488</v>
      </c>
      <c r="F154" s="24">
        <v>116</v>
      </c>
      <c r="G154" s="24">
        <v>252</v>
      </c>
      <c r="H154" s="24">
        <v>114</v>
      </c>
      <c r="I154" s="24">
        <v>3</v>
      </c>
      <c r="J154" s="24">
        <v>2</v>
      </c>
      <c r="K154" s="24">
        <v>487</v>
      </c>
      <c r="L154" s="24">
        <v>1</v>
      </c>
      <c r="M154" s="24">
        <f t="shared" si="10"/>
        <v>488</v>
      </c>
      <c r="N154" s="24">
        <v>0</v>
      </c>
      <c r="O154" s="25">
        <f t="shared" si="11"/>
        <v>0.23360655737704919</v>
      </c>
      <c r="P154" s="25">
        <f t="shared" si="12"/>
        <v>0.23770491803278687</v>
      </c>
      <c r="Q154" s="25">
        <f t="shared" si="13"/>
        <v>0.51639344262295084</v>
      </c>
      <c r="R154" s="26">
        <v>470</v>
      </c>
      <c r="S154" s="26">
        <v>31</v>
      </c>
      <c r="T154" s="26">
        <v>73</v>
      </c>
      <c r="U154" s="26">
        <v>5</v>
      </c>
      <c r="V154" s="26">
        <v>579</v>
      </c>
      <c r="W154" s="27">
        <v>0.81174438687392059</v>
      </c>
      <c r="X154" s="27">
        <v>5.3540587219343697E-2</v>
      </c>
      <c r="Y154" s="27">
        <v>0.12607944732297063</v>
      </c>
      <c r="Z154" s="27">
        <v>8.6355785837651123E-3</v>
      </c>
      <c r="AA154" s="28">
        <v>44.360967184801382</v>
      </c>
      <c r="AB154" s="25">
        <f t="shared" si="14"/>
        <v>0.84283246977547499</v>
      </c>
    </row>
    <row r="155" spans="1:28" x14ac:dyDescent="0.25">
      <c r="A155" s="24"/>
      <c r="B155" s="24"/>
      <c r="C155" s="24"/>
      <c r="D155" s="24">
        <v>3</v>
      </c>
      <c r="E155" s="24">
        <v>450</v>
      </c>
      <c r="F155" s="24">
        <v>86</v>
      </c>
      <c r="G155" s="24">
        <v>214</v>
      </c>
      <c r="H155" s="24">
        <v>143</v>
      </c>
      <c r="I155" s="24">
        <v>3</v>
      </c>
      <c r="J155" s="24">
        <v>1</v>
      </c>
      <c r="K155" s="24">
        <v>447</v>
      </c>
      <c r="L155" s="24">
        <v>3</v>
      </c>
      <c r="M155" s="24">
        <f t="shared" si="10"/>
        <v>450</v>
      </c>
      <c r="N155" s="24">
        <v>0</v>
      </c>
      <c r="O155" s="25">
        <f t="shared" si="11"/>
        <v>0.31777777777777777</v>
      </c>
      <c r="P155" s="25">
        <f t="shared" si="12"/>
        <v>0.19111111111111112</v>
      </c>
      <c r="Q155" s="25">
        <f t="shared" si="13"/>
        <v>0.47555555555555556</v>
      </c>
      <c r="R155" s="26">
        <v>449</v>
      </c>
      <c r="S155" s="26">
        <v>51</v>
      </c>
      <c r="T155" s="26">
        <v>74</v>
      </c>
      <c r="U155" s="26">
        <v>5</v>
      </c>
      <c r="V155" s="26">
        <v>579</v>
      </c>
      <c r="W155" s="27">
        <v>0.7754749568221071</v>
      </c>
      <c r="X155" s="27">
        <v>8.8082901554404139E-2</v>
      </c>
      <c r="Y155" s="27">
        <v>0.12780656303972365</v>
      </c>
      <c r="Z155" s="27">
        <v>8.6355785837651123E-3</v>
      </c>
      <c r="AA155" s="28">
        <v>36.354058721934372</v>
      </c>
      <c r="AB155" s="25">
        <f t="shared" si="14"/>
        <v>0.77720207253886009</v>
      </c>
    </row>
    <row r="156" spans="1:28" x14ac:dyDescent="0.25">
      <c r="A156" s="24"/>
      <c r="B156" s="24"/>
      <c r="C156" s="24"/>
      <c r="D156" s="24">
        <v>4</v>
      </c>
      <c r="E156" s="24">
        <v>438</v>
      </c>
      <c r="F156" s="24">
        <v>108</v>
      </c>
      <c r="G156" s="24">
        <v>183</v>
      </c>
      <c r="H156" s="24">
        <v>145</v>
      </c>
      <c r="I156" s="24">
        <v>1</v>
      </c>
      <c r="J156" s="24">
        <v>1</v>
      </c>
      <c r="K156" s="24">
        <v>438</v>
      </c>
      <c r="L156" s="24">
        <v>0</v>
      </c>
      <c r="M156" s="24">
        <f t="shared" si="10"/>
        <v>438</v>
      </c>
      <c r="N156" s="24">
        <v>0</v>
      </c>
      <c r="O156" s="25">
        <f t="shared" si="11"/>
        <v>0.33105022831050229</v>
      </c>
      <c r="P156" s="25">
        <f t="shared" si="12"/>
        <v>0.24657534246575341</v>
      </c>
      <c r="Q156" s="25">
        <f t="shared" si="13"/>
        <v>0.4178082191780822</v>
      </c>
      <c r="R156" s="26">
        <v>467</v>
      </c>
      <c r="S156" s="26">
        <v>46</v>
      </c>
      <c r="T156" s="26">
        <v>61</v>
      </c>
      <c r="U156" s="26">
        <v>5</v>
      </c>
      <c r="V156" s="26">
        <v>579</v>
      </c>
      <c r="W156" s="27">
        <v>0.8065630397236615</v>
      </c>
      <c r="X156" s="27">
        <v>7.9447322970639028E-2</v>
      </c>
      <c r="Y156" s="27">
        <v>0.10535405872193437</v>
      </c>
      <c r="Z156" s="27">
        <v>8.6355785837651123E-3</v>
      </c>
      <c r="AA156" s="28">
        <v>27.008635578583764</v>
      </c>
      <c r="AB156" s="25">
        <f t="shared" si="14"/>
        <v>0.75647668393782386</v>
      </c>
    </row>
    <row r="157" spans="1:28" x14ac:dyDescent="0.25">
      <c r="A157" s="24"/>
      <c r="B157" s="24"/>
      <c r="C157" s="24"/>
      <c r="D157" s="24">
        <v>5</v>
      </c>
      <c r="E157" s="24">
        <v>420</v>
      </c>
      <c r="F157" s="24">
        <v>118</v>
      </c>
      <c r="G157" s="24">
        <v>183</v>
      </c>
      <c r="H157" s="24">
        <v>113</v>
      </c>
      <c r="I157" s="24">
        <v>1</v>
      </c>
      <c r="J157" s="24">
        <v>4</v>
      </c>
      <c r="K157" s="24">
        <v>419</v>
      </c>
      <c r="L157" s="24">
        <v>1</v>
      </c>
      <c r="M157" s="24">
        <f t="shared" si="10"/>
        <v>420</v>
      </c>
      <c r="N157" s="24">
        <v>0</v>
      </c>
      <c r="O157" s="25">
        <f t="shared" si="11"/>
        <v>0.26904761904761904</v>
      </c>
      <c r="P157" s="25">
        <f t="shared" si="12"/>
        <v>0.28095238095238095</v>
      </c>
      <c r="Q157" s="25">
        <f t="shared" si="13"/>
        <v>0.43571428571428572</v>
      </c>
      <c r="R157" s="26">
        <v>485</v>
      </c>
      <c r="S157" s="26">
        <v>45</v>
      </c>
      <c r="T157" s="26">
        <v>51</v>
      </c>
      <c r="U157" s="26">
        <v>0</v>
      </c>
      <c r="V157" s="26">
        <v>581</v>
      </c>
      <c r="W157" s="27">
        <v>0.83476764199655762</v>
      </c>
      <c r="X157" s="27">
        <v>7.7452667814113599E-2</v>
      </c>
      <c r="Y157" s="27">
        <v>8.7779690189328741E-2</v>
      </c>
      <c r="Z157" s="27">
        <v>0</v>
      </c>
      <c r="AA157" s="28">
        <v>20.204819277108435</v>
      </c>
      <c r="AB157" s="25">
        <f t="shared" si="14"/>
        <v>0.72289156626506024</v>
      </c>
    </row>
    <row r="158" spans="1:28" x14ac:dyDescent="0.25">
      <c r="A158" s="24">
        <v>29</v>
      </c>
      <c r="B158" s="24" t="s">
        <v>228</v>
      </c>
      <c r="C158" s="24" t="s">
        <v>229</v>
      </c>
      <c r="D158" s="24">
        <v>1</v>
      </c>
      <c r="E158" s="24">
        <v>345</v>
      </c>
      <c r="F158" s="24">
        <v>29</v>
      </c>
      <c r="G158" s="24">
        <v>229</v>
      </c>
      <c r="H158" s="24">
        <v>74</v>
      </c>
      <c r="I158" s="24">
        <v>2</v>
      </c>
      <c r="J158" s="24">
        <v>3</v>
      </c>
      <c r="K158" s="24">
        <v>337</v>
      </c>
      <c r="L158" s="24">
        <v>8</v>
      </c>
      <c r="M158" s="24">
        <f t="shared" si="10"/>
        <v>345</v>
      </c>
      <c r="N158" s="24">
        <v>0</v>
      </c>
      <c r="O158" s="25">
        <f t="shared" si="11"/>
        <v>0.2144927536231884</v>
      </c>
      <c r="P158" s="25">
        <f t="shared" si="12"/>
        <v>8.4057971014492749E-2</v>
      </c>
      <c r="Q158" s="25">
        <f t="shared" si="13"/>
        <v>0.663768115942029</v>
      </c>
      <c r="R158" s="26">
        <v>324</v>
      </c>
      <c r="S158" s="26">
        <v>52</v>
      </c>
      <c r="T158" s="26">
        <v>73</v>
      </c>
      <c r="U158" s="26">
        <v>1</v>
      </c>
      <c r="V158" s="26">
        <v>450</v>
      </c>
      <c r="W158" s="27">
        <v>0.72</v>
      </c>
      <c r="X158" s="27">
        <v>0.11555555555555555</v>
      </c>
      <c r="Y158" s="27">
        <v>0.16222222222222221</v>
      </c>
      <c r="Z158" s="27">
        <v>2.2222222222222222E-3</v>
      </c>
      <c r="AA158" s="28">
        <v>68.22</v>
      </c>
      <c r="AB158" s="25">
        <f t="shared" si="14"/>
        <v>0.76666666666666672</v>
      </c>
    </row>
    <row r="159" spans="1:28" x14ac:dyDescent="0.25">
      <c r="A159" s="24"/>
      <c r="B159" s="24"/>
      <c r="C159" s="24"/>
      <c r="D159" s="24">
        <v>2</v>
      </c>
      <c r="E159" s="24">
        <v>382</v>
      </c>
      <c r="F159" s="24">
        <v>39</v>
      </c>
      <c r="G159" s="24">
        <v>230</v>
      </c>
      <c r="H159" s="24">
        <v>105</v>
      </c>
      <c r="I159" s="24">
        <v>0</v>
      </c>
      <c r="J159" s="24">
        <v>3</v>
      </c>
      <c r="K159" s="24">
        <v>377</v>
      </c>
      <c r="L159" s="24">
        <v>5</v>
      </c>
      <c r="M159" s="24">
        <f t="shared" si="10"/>
        <v>382</v>
      </c>
      <c r="N159" s="24">
        <v>0</v>
      </c>
      <c r="O159" s="25">
        <f t="shared" si="11"/>
        <v>0.27486910994764396</v>
      </c>
      <c r="P159" s="25">
        <f t="shared" si="12"/>
        <v>0.10209424083769633</v>
      </c>
      <c r="Q159" s="25">
        <f t="shared" si="13"/>
        <v>0.60209424083769636</v>
      </c>
      <c r="R159" s="26">
        <v>340</v>
      </c>
      <c r="S159" s="26">
        <v>40</v>
      </c>
      <c r="T159" s="26">
        <v>66</v>
      </c>
      <c r="U159" s="26">
        <v>4</v>
      </c>
      <c r="V159" s="26">
        <v>450</v>
      </c>
      <c r="W159" s="27">
        <v>0.75555555555555554</v>
      </c>
      <c r="X159" s="27">
        <v>8.8888888888888892E-2</v>
      </c>
      <c r="Y159" s="27">
        <v>0.14666666666666667</v>
      </c>
      <c r="Z159" s="27">
        <v>8.8888888888888889E-3</v>
      </c>
      <c r="AA159" s="28">
        <v>61</v>
      </c>
      <c r="AB159" s="25">
        <f t="shared" si="14"/>
        <v>0.84888888888888892</v>
      </c>
    </row>
    <row r="160" spans="1:28" x14ac:dyDescent="0.25">
      <c r="A160" s="24"/>
      <c r="B160" s="24"/>
      <c r="C160" s="24"/>
      <c r="D160" s="24">
        <v>3</v>
      </c>
      <c r="E160" s="24">
        <v>579</v>
      </c>
      <c r="F160" s="24">
        <v>99</v>
      </c>
      <c r="G160" s="24">
        <v>349</v>
      </c>
      <c r="H160" s="24">
        <v>125</v>
      </c>
      <c r="I160" s="24">
        <v>0</v>
      </c>
      <c r="J160" s="24">
        <v>4</v>
      </c>
      <c r="K160" s="24">
        <v>577</v>
      </c>
      <c r="L160" s="24">
        <v>2</v>
      </c>
      <c r="M160" s="24">
        <f t="shared" si="10"/>
        <v>579</v>
      </c>
      <c r="N160" s="24">
        <v>0</v>
      </c>
      <c r="O160" s="25">
        <f t="shared" si="11"/>
        <v>0.21588946459412781</v>
      </c>
      <c r="P160" s="25">
        <f t="shared" si="12"/>
        <v>0.17098445595854922</v>
      </c>
      <c r="Q160" s="25">
        <f t="shared" si="13"/>
        <v>0.60276338514680483</v>
      </c>
      <c r="R160" s="26">
        <v>552</v>
      </c>
      <c r="S160" s="26">
        <v>38</v>
      </c>
      <c r="T160" s="26">
        <v>82</v>
      </c>
      <c r="U160" s="26">
        <v>7</v>
      </c>
      <c r="V160" s="26">
        <v>679</v>
      </c>
      <c r="W160" s="27">
        <v>0.81296023564064801</v>
      </c>
      <c r="X160" s="27">
        <v>5.5964653902798235E-2</v>
      </c>
      <c r="Y160" s="27">
        <v>0.12076583210603829</v>
      </c>
      <c r="Z160" s="27">
        <v>1.0309278350515464E-2</v>
      </c>
      <c r="AA160" s="28">
        <v>52.706921944035344</v>
      </c>
      <c r="AB160" s="25">
        <f t="shared" si="14"/>
        <v>0.8527245949926362</v>
      </c>
    </row>
    <row r="161" spans="1:28" x14ac:dyDescent="0.25">
      <c r="A161" s="24"/>
      <c r="B161" s="24"/>
      <c r="C161" s="24"/>
      <c r="D161" s="24">
        <v>4</v>
      </c>
      <c r="E161" s="24">
        <v>538</v>
      </c>
      <c r="F161" s="24">
        <v>102</v>
      </c>
      <c r="G161" s="24">
        <v>267</v>
      </c>
      <c r="H161" s="24">
        <v>167</v>
      </c>
      <c r="I161" s="24">
        <v>0</v>
      </c>
      <c r="J161" s="24">
        <v>1</v>
      </c>
      <c r="K161" s="24">
        <v>537</v>
      </c>
      <c r="L161" s="24">
        <v>1</v>
      </c>
      <c r="M161" s="24">
        <f t="shared" si="10"/>
        <v>538</v>
      </c>
      <c r="N161" s="24">
        <v>0</v>
      </c>
      <c r="O161" s="25">
        <f t="shared" si="11"/>
        <v>0.3104089219330855</v>
      </c>
      <c r="P161" s="25">
        <f t="shared" si="12"/>
        <v>0.1895910780669145</v>
      </c>
      <c r="Q161" s="25">
        <f t="shared" si="13"/>
        <v>0.49628252788104088</v>
      </c>
      <c r="R161" s="26">
        <v>511</v>
      </c>
      <c r="S161" s="26">
        <v>53</v>
      </c>
      <c r="T161" s="26">
        <v>114</v>
      </c>
      <c r="U161" s="26">
        <v>1</v>
      </c>
      <c r="V161" s="26">
        <v>679</v>
      </c>
      <c r="W161" s="27">
        <v>0.75257731958762886</v>
      </c>
      <c r="X161" s="27">
        <v>7.8055964653902798E-2</v>
      </c>
      <c r="Y161" s="27">
        <v>0.16789396170839468</v>
      </c>
      <c r="Z161" s="27">
        <v>1.4727540500736377E-3</v>
      </c>
      <c r="AA161" s="28">
        <v>42.266568483063331</v>
      </c>
      <c r="AB161" s="25">
        <f t="shared" si="14"/>
        <v>0.79234167893961704</v>
      </c>
    </row>
    <row r="162" spans="1:28" x14ac:dyDescent="0.25">
      <c r="A162" s="24"/>
      <c r="B162" s="24"/>
      <c r="C162" s="24"/>
      <c r="D162" s="24">
        <v>5</v>
      </c>
      <c r="E162" s="24">
        <v>529</v>
      </c>
      <c r="F162" s="24">
        <v>83</v>
      </c>
      <c r="G162" s="24">
        <v>278</v>
      </c>
      <c r="H162" s="24">
        <v>164</v>
      </c>
      <c r="I162" s="24">
        <v>0</v>
      </c>
      <c r="J162" s="24">
        <v>4</v>
      </c>
      <c r="K162" s="24">
        <v>529</v>
      </c>
      <c r="L162" s="24">
        <v>0</v>
      </c>
      <c r="M162" s="24">
        <f t="shared" si="10"/>
        <v>529</v>
      </c>
      <c r="N162" s="24">
        <v>0</v>
      </c>
      <c r="O162" s="25">
        <f t="shared" si="11"/>
        <v>0.31001890359168244</v>
      </c>
      <c r="P162" s="25">
        <f t="shared" si="12"/>
        <v>0.15689981096408318</v>
      </c>
      <c r="Q162" s="25">
        <f t="shared" si="13"/>
        <v>0.52551984877126656</v>
      </c>
      <c r="R162" s="26">
        <v>497</v>
      </c>
      <c r="S162" s="26">
        <v>65</v>
      </c>
      <c r="T162" s="26">
        <v>113</v>
      </c>
      <c r="U162" s="26">
        <v>4</v>
      </c>
      <c r="V162" s="26">
        <v>679</v>
      </c>
      <c r="W162" s="27">
        <v>0.73195876288659789</v>
      </c>
      <c r="X162" s="27">
        <v>9.5729013254786458E-2</v>
      </c>
      <c r="Y162" s="27">
        <v>0.16642120765832105</v>
      </c>
      <c r="Z162" s="27">
        <v>5.8910162002945507E-3</v>
      </c>
      <c r="AA162" s="28">
        <v>34.681885125184095</v>
      </c>
      <c r="AB162" s="25">
        <f t="shared" si="14"/>
        <v>0.77908689248895435</v>
      </c>
    </row>
    <row r="163" spans="1:28" x14ac:dyDescent="0.25">
      <c r="A163" s="24"/>
      <c r="B163" s="24"/>
      <c r="C163" s="24"/>
      <c r="D163" s="24">
        <v>6</v>
      </c>
      <c r="E163" s="24">
        <v>528</v>
      </c>
      <c r="F163" s="24">
        <v>103</v>
      </c>
      <c r="G163" s="24">
        <v>258</v>
      </c>
      <c r="H163" s="24">
        <v>161</v>
      </c>
      <c r="I163" s="24">
        <v>1</v>
      </c>
      <c r="J163" s="24">
        <v>1</v>
      </c>
      <c r="K163" s="24">
        <v>524</v>
      </c>
      <c r="L163" s="24">
        <v>4</v>
      </c>
      <c r="M163" s="24">
        <f t="shared" si="10"/>
        <v>528</v>
      </c>
      <c r="N163" s="24">
        <v>0</v>
      </c>
      <c r="O163" s="25">
        <f t="shared" si="11"/>
        <v>0.30492424242424243</v>
      </c>
      <c r="P163" s="25">
        <f t="shared" si="12"/>
        <v>0.19507575757575757</v>
      </c>
      <c r="Q163" s="25">
        <f t="shared" si="13"/>
        <v>0.48863636363636365</v>
      </c>
      <c r="R163" s="26">
        <v>537</v>
      </c>
      <c r="S163" s="26">
        <v>48</v>
      </c>
      <c r="T163" s="26">
        <v>93</v>
      </c>
      <c r="U163" s="26">
        <v>1</v>
      </c>
      <c r="V163" s="26">
        <v>679</v>
      </c>
      <c r="W163" s="27">
        <v>0.79086892488954341</v>
      </c>
      <c r="X163" s="27">
        <v>7.0692194403534608E-2</v>
      </c>
      <c r="Y163" s="27">
        <v>0.13696612665684832</v>
      </c>
      <c r="Z163" s="27">
        <v>1.4727540500736377E-3</v>
      </c>
      <c r="AA163" s="28">
        <v>27.544918998527248</v>
      </c>
      <c r="AB163" s="25">
        <f t="shared" si="14"/>
        <v>0.77761413843888072</v>
      </c>
    </row>
    <row r="164" spans="1:28" x14ac:dyDescent="0.25">
      <c r="A164" s="24"/>
      <c r="B164" s="24"/>
      <c r="C164" s="24"/>
      <c r="D164" s="24">
        <v>7</v>
      </c>
      <c r="E164" s="24">
        <v>558</v>
      </c>
      <c r="F164" s="24">
        <v>117</v>
      </c>
      <c r="G164" s="24">
        <v>272</v>
      </c>
      <c r="H164" s="24">
        <v>160</v>
      </c>
      <c r="I164" s="24">
        <v>0</v>
      </c>
      <c r="J164" s="24">
        <v>8</v>
      </c>
      <c r="K164" s="24">
        <v>557</v>
      </c>
      <c r="L164" s="24">
        <v>1</v>
      </c>
      <c r="M164" s="24">
        <f t="shared" si="10"/>
        <v>558</v>
      </c>
      <c r="N164" s="24">
        <v>0</v>
      </c>
      <c r="O164" s="25">
        <f t="shared" si="11"/>
        <v>0.28673835125448027</v>
      </c>
      <c r="P164" s="25">
        <f t="shared" si="12"/>
        <v>0.20967741935483872</v>
      </c>
      <c r="Q164" s="25">
        <f t="shared" si="13"/>
        <v>0.48745519713261648</v>
      </c>
      <c r="R164" s="26">
        <v>528</v>
      </c>
      <c r="S164" s="26">
        <v>55</v>
      </c>
      <c r="T164" s="26">
        <v>97</v>
      </c>
      <c r="U164" s="26">
        <v>0</v>
      </c>
      <c r="V164" s="26">
        <v>680</v>
      </c>
      <c r="W164" s="27">
        <v>0.77647058823529413</v>
      </c>
      <c r="X164" s="27">
        <v>8.0882352941176475E-2</v>
      </c>
      <c r="Y164" s="27">
        <v>0.1426470588235294</v>
      </c>
      <c r="Z164" s="27">
        <v>0</v>
      </c>
      <c r="AA164" s="28">
        <v>21.44705882352941</v>
      </c>
      <c r="AB164" s="25">
        <f t="shared" si="14"/>
        <v>0.82058823529411762</v>
      </c>
    </row>
    <row r="165" spans="1:28" x14ac:dyDescent="0.25">
      <c r="A165" s="24">
        <v>30</v>
      </c>
      <c r="B165" s="24" t="s">
        <v>230</v>
      </c>
      <c r="C165" s="24" t="s">
        <v>231</v>
      </c>
      <c r="D165" s="24">
        <v>1</v>
      </c>
      <c r="E165" s="24">
        <v>394</v>
      </c>
      <c r="F165" s="24">
        <v>28</v>
      </c>
      <c r="G165" s="24">
        <v>255</v>
      </c>
      <c r="H165" s="24">
        <v>99</v>
      </c>
      <c r="I165" s="24">
        <v>1</v>
      </c>
      <c r="J165" s="24">
        <v>1</v>
      </c>
      <c r="K165" s="24">
        <v>384</v>
      </c>
      <c r="L165" s="24">
        <v>10</v>
      </c>
      <c r="M165" s="24">
        <f t="shared" si="10"/>
        <v>394</v>
      </c>
      <c r="N165" s="24">
        <v>0</v>
      </c>
      <c r="O165" s="25">
        <f t="shared" si="11"/>
        <v>0.2512690355329949</v>
      </c>
      <c r="P165" s="25">
        <f t="shared" si="12"/>
        <v>7.1065989847715741E-2</v>
      </c>
      <c r="Q165" s="25">
        <f t="shared" si="13"/>
        <v>0.64720812182741116</v>
      </c>
      <c r="R165" s="26">
        <v>247</v>
      </c>
      <c r="S165" s="26">
        <v>10</v>
      </c>
      <c r="T165" s="26">
        <v>190</v>
      </c>
      <c r="U165" s="26">
        <v>3</v>
      </c>
      <c r="V165" s="26">
        <v>450</v>
      </c>
      <c r="W165" s="27">
        <v>0.54888888888888887</v>
      </c>
      <c r="X165" s="27">
        <v>2.2222222222222223E-2</v>
      </c>
      <c r="Y165" s="27">
        <v>0.42222222222222222</v>
      </c>
      <c r="Z165" s="27">
        <v>6.6666666666666671E-3</v>
      </c>
      <c r="AA165" s="28">
        <v>60.271111111111111</v>
      </c>
      <c r="AB165" s="25">
        <f t="shared" si="14"/>
        <v>0.87555555555555553</v>
      </c>
    </row>
    <row r="166" spans="1:28" x14ac:dyDescent="0.25">
      <c r="A166" s="24"/>
      <c r="B166" s="24"/>
      <c r="C166" s="24"/>
      <c r="D166" s="24">
        <v>2</v>
      </c>
      <c r="E166" s="24">
        <v>637</v>
      </c>
      <c r="F166" s="24">
        <v>73</v>
      </c>
      <c r="G166" s="24">
        <v>300</v>
      </c>
      <c r="H166" s="24">
        <v>250</v>
      </c>
      <c r="I166" s="24">
        <v>8</v>
      </c>
      <c r="J166" s="24">
        <v>3</v>
      </c>
      <c r="K166" s="24">
        <v>634</v>
      </c>
      <c r="L166" s="24">
        <v>3</v>
      </c>
      <c r="M166" s="24">
        <f t="shared" si="10"/>
        <v>637</v>
      </c>
      <c r="N166" s="24">
        <v>0</v>
      </c>
      <c r="O166" s="25">
        <f t="shared" si="11"/>
        <v>0.39246467817896391</v>
      </c>
      <c r="P166" s="25">
        <f t="shared" si="12"/>
        <v>0.11459968602825746</v>
      </c>
      <c r="Q166" s="25">
        <f t="shared" si="13"/>
        <v>0.47095761381475665</v>
      </c>
      <c r="R166" s="26">
        <v>373</v>
      </c>
      <c r="S166" s="26">
        <v>11</v>
      </c>
      <c r="T166" s="26">
        <v>333</v>
      </c>
      <c r="U166" s="26">
        <v>5</v>
      </c>
      <c r="V166" s="26">
        <v>722</v>
      </c>
      <c r="W166" s="27">
        <v>0.5166204986149584</v>
      </c>
      <c r="X166" s="27">
        <v>1.5235457063711912E-2</v>
      </c>
      <c r="Y166" s="27">
        <v>0.46121883656509693</v>
      </c>
      <c r="Z166" s="27">
        <v>6.9252077562326868E-3</v>
      </c>
      <c r="AA166" s="28">
        <v>46.29639889196676</v>
      </c>
      <c r="AB166" s="25">
        <f t="shared" si="14"/>
        <v>0.88227146814404434</v>
      </c>
    </row>
    <row r="167" spans="1:28" x14ac:dyDescent="0.25">
      <c r="A167" s="24"/>
      <c r="B167" s="24"/>
      <c r="C167" s="24"/>
      <c r="D167" s="24">
        <v>3</v>
      </c>
      <c r="E167" s="24">
        <v>591</v>
      </c>
      <c r="F167" s="24">
        <v>65</v>
      </c>
      <c r="G167" s="24">
        <v>310</v>
      </c>
      <c r="H167" s="24">
        <v>209</v>
      </c>
      <c r="I167" s="24">
        <v>1</v>
      </c>
      <c r="J167" s="24">
        <v>1</v>
      </c>
      <c r="K167" s="24">
        <v>586</v>
      </c>
      <c r="L167" s="24">
        <v>5</v>
      </c>
      <c r="M167" s="24">
        <f t="shared" si="10"/>
        <v>591</v>
      </c>
      <c r="N167" s="24">
        <v>0</v>
      </c>
      <c r="O167" s="25">
        <f t="shared" si="11"/>
        <v>0.3536379018612521</v>
      </c>
      <c r="P167" s="25">
        <f t="shared" si="12"/>
        <v>0.10998307952622674</v>
      </c>
      <c r="Q167" s="25">
        <f t="shared" si="13"/>
        <v>0.52453468697123518</v>
      </c>
      <c r="R167" s="26">
        <v>441</v>
      </c>
      <c r="S167" s="26">
        <v>15</v>
      </c>
      <c r="T167" s="26">
        <v>266</v>
      </c>
      <c r="U167" s="26">
        <v>0</v>
      </c>
      <c r="V167" s="26">
        <v>722</v>
      </c>
      <c r="W167" s="27">
        <v>0.61080332409972304</v>
      </c>
      <c r="X167" s="27">
        <v>2.077562326869806E-2</v>
      </c>
      <c r="Y167" s="27">
        <v>0.36842105263157893</v>
      </c>
      <c r="Z167" s="27">
        <v>0</v>
      </c>
      <c r="AA167" s="28">
        <v>32.292243767313018</v>
      </c>
      <c r="AB167" s="25">
        <f t="shared" si="14"/>
        <v>0.81855955678670356</v>
      </c>
    </row>
    <row r="168" spans="1:28" x14ac:dyDescent="0.25">
      <c r="A168" s="24"/>
      <c r="B168" s="24"/>
      <c r="C168" s="24"/>
      <c r="D168" s="24">
        <v>4</v>
      </c>
      <c r="E168" s="24">
        <v>611</v>
      </c>
      <c r="F168" s="24">
        <v>97</v>
      </c>
      <c r="G168" s="24">
        <v>310</v>
      </c>
      <c r="H168" s="24">
        <v>201</v>
      </c>
      <c r="I168" s="24">
        <v>2</v>
      </c>
      <c r="J168" s="24">
        <v>1</v>
      </c>
      <c r="K168" s="24">
        <v>611</v>
      </c>
      <c r="L168" s="24">
        <v>0</v>
      </c>
      <c r="M168" s="24">
        <f t="shared" si="10"/>
        <v>611</v>
      </c>
      <c r="N168" s="24">
        <v>0</v>
      </c>
      <c r="O168" s="25">
        <f t="shared" si="11"/>
        <v>0.32896890343698854</v>
      </c>
      <c r="P168" s="25">
        <f t="shared" si="12"/>
        <v>0.15875613747954173</v>
      </c>
      <c r="Q168" s="25">
        <f t="shared" si="13"/>
        <v>0.50736497545008186</v>
      </c>
      <c r="R168" s="26">
        <v>457</v>
      </c>
      <c r="S168" s="26">
        <v>17</v>
      </c>
      <c r="T168" s="26">
        <v>247</v>
      </c>
      <c r="U168" s="26">
        <v>1</v>
      </c>
      <c r="V168" s="26">
        <v>722</v>
      </c>
      <c r="W168" s="27">
        <v>0.63296398891966754</v>
      </c>
      <c r="X168" s="27">
        <v>2.3545706371191136E-2</v>
      </c>
      <c r="Y168" s="27">
        <v>0.34210526315789475</v>
      </c>
      <c r="Z168" s="27">
        <v>1.3850415512465374E-3</v>
      </c>
      <c r="AA168" s="28">
        <v>22.991689750692522</v>
      </c>
      <c r="AB168" s="25">
        <f t="shared" si="14"/>
        <v>0.84626038781163437</v>
      </c>
    </row>
    <row r="169" spans="1:28" x14ac:dyDescent="0.25">
      <c r="A169" s="24">
        <v>31</v>
      </c>
      <c r="B169" s="24" t="s">
        <v>232</v>
      </c>
      <c r="C169" s="24" t="s">
        <v>233</v>
      </c>
      <c r="D169" s="24">
        <v>1</v>
      </c>
      <c r="E169" s="24">
        <v>284</v>
      </c>
      <c r="F169" s="24">
        <v>20</v>
      </c>
      <c r="G169" s="24">
        <v>143</v>
      </c>
      <c r="H169" s="24">
        <v>115</v>
      </c>
      <c r="I169" s="24">
        <v>2</v>
      </c>
      <c r="J169" s="24">
        <v>0</v>
      </c>
      <c r="K169" s="24">
        <v>280</v>
      </c>
      <c r="L169" s="24">
        <v>4</v>
      </c>
      <c r="M169" s="24">
        <f t="shared" si="10"/>
        <v>284</v>
      </c>
      <c r="N169" s="24">
        <v>0</v>
      </c>
      <c r="O169" s="25">
        <f t="shared" si="11"/>
        <v>0.40492957746478875</v>
      </c>
      <c r="P169" s="25">
        <f t="shared" si="12"/>
        <v>7.0422535211267609E-2</v>
      </c>
      <c r="Q169" s="25">
        <f t="shared" si="13"/>
        <v>0.50352112676056338</v>
      </c>
      <c r="R169" s="26">
        <v>193</v>
      </c>
      <c r="S169" s="26">
        <v>51</v>
      </c>
      <c r="T169" s="26">
        <v>96</v>
      </c>
      <c r="U169" s="26">
        <v>4</v>
      </c>
      <c r="V169" s="26">
        <v>344</v>
      </c>
      <c r="W169" s="27">
        <v>0.56104651162790697</v>
      </c>
      <c r="X169" s="27">
        <v>0.14825581395348839</v>
      </c>
      <c r="Y169" s="27">
        <v>0.27906976744186046</v>
      </c>
      <c r="Z169" s="27">
        <v>1.1627906976744186E-2</v>
      </c>
      <c r="AA169" s="28">
        <v>63.543604651162788</v>
      </c>
      <c r="AB169" s="25">
        <f t="shared" si="14"/>
        <v>0.82558139534883723</v>
      </c>
    </row>
    <row r="170" spans="1:28" x14ac:dyDescent="0.25">
      <c r="A170" s="24"/>
      <c r="B170" s="24"/>
      <c r="C170" s="24"/>
      <c r="D170" s="24">
        <v>2</v>
      </c>
      <c r="E170" s="24">
        <v>282</v>
      </c>
      <c r="F170" s="24">
        <v>32</v>
      </c>
      <c r="G170" s="24">
        <v>111</v>
      </c>
      <c r="H170" s="24">
        <v>137</v>
      </c>
      <c r="I170" s="24">
        <v>1</v>
      </c>
      <c r="J170" s="24">
        <v>0</v>
      </c>
      <c r="K170" s="24">
        <v>281</v>
      </c>
      <c r="L170" s="24">
        <v>1</v>
      </c>
      <c r="M170" s="24">
        <f t="shared" si="10"/>
        <v>282</v>
      </c>
      <c r="N170" s="24">
        <v>0</v>
      </c>
      <c r="O170" s="25">
        <f t="shared" si="11"/>
        <v>0.48581560283687941</v>
      </c>
      <c r="P170" s="25">
        <f t="shared" si="12"/>
        <v>0.11347517730496454</v>
      </c>
      <c r="Q170" s="25">
        <f t="shared" si="13"/>
        <v>0.39361702127659576</v>
      </c>
      <c r="R170" s="26">
        <v>186</v>
      </c>
      <c r="S170" s="26">
        <v>73</v>
      </c>
      <c r="T170" s="26">
        <v>80</v>
      </c>
      <c r="U170" s="26">
        <v>6</v>
      </c>
      <c r="V170" s="26">
        <v>345</v>
      </c>
      <c r="W170" s="27">
        <v>0.53913043478260869</v>
      </c>
      <c r="X170" s="27">
        <v>0.21159420289855072</v>
      </c>
      <c r="Y170" s="27">
        <v>0.2318840579710145</v>
      </c>
      <c r="Z170" s="27">
        <v>1.7391304347826087E-2</v>
      </c>
      <c r="AA170" s="28">
        <v>33.217391304347828</v>
      </c>
      <c r="AB170" s="25">
        <f t="shared" si="14"/>
        <v>0.81739130434782614</v>
      </c>
    </row>
    <row r="171" spans="1:28" x14ac:dyDescent="0.25">
      <c r="A171" s="24">
        <v>32</v>
      </c>
      <c r="B171" s="24" t="s">
        <v>234</v>
      </c>
      <c r="C171" s="24" t="s">
        <v>235</v>
      </c>
      <c r="D171" s="24">
        <v>1</v>
      </c>
      <c r="E171" s="24">
        <v>241</v>
      </c>
      <c r="F171" s="24">
        <v>26</v>
      </c>
      <c r="G171" s="24">
        <v>155</v>
      </c>
      <c r="H171" s="24">
        <v>57</v>
      </c>
      <c r="I171" s="24">
        <v>0</v>
      </c>
      <c r="J171" s="24">
        <v>1</v>
      </c>
      <c r="K171" s="24">
        <v>239</v>
      </c>
      <c r="L171" s="24">
        <v>2</v>
      </c>
      <c r="M171" s="24">
        <f t="shared" si="10"/>
        <v>241</v>
      </c>
      <c r="N171" s="24">
        <v>0</v>
      </c>
      <c r="O171" s="25">
        <f t="shared" si="11"/>
        <v>0.23651452282157676</v>
      </c>
      <c r="P171" s="25">
        <f t="shared" si="12"/>
        <v>0.1078838174273859</v>
      </c>
      <c r="Q171" s="25">
        <f t="shared" si="13"/>
        <v>0.6431535269709544</v>
      </c>
      <c r="R171" s="26">
        <v>260</v>
      </c>
      <c r="S171" s="26">
        <v>9</v>
      </c>
      <c r="T171" s="26">
        <v>30</v>
      </c>
      <c r="U171" s="26">
        <v>0</v>
      </c>
      <c r="V171" s="26">
        <v>299</v>
      </c>
      <c r="W171" s="27">
        <v>0.86956521739130432</v>
      </c>
      <c r="X171" s="27">
        <v>3.0100334448160536E-2</v>
      </c>
      <c r="Y171" s="27">
        <v>0.10033444816053512</v>
      </c>
      <c r="Z171" s="27">
        <v>0</v>
      </c>
      <c r="AA171" s="28">
        <v>66.240802675585286</v>
      </c>
      <c r="AB171" s="25">
        <f t="shared" si="14"/>
        <v>0.80602006688963213</v>
      </c>
    </row>
    <row r="172" spans="1:28" x14ac:dyDescent="0.25">
      <c r="A172" s="24"/>
      <c r="B172" s="24"/>
      <c r="C172" s="24"/>
      <c r="D172" s="24">
        <v>2</v>
      </c>
      <c r="E172" s="24">
        <v>249</v>
      </c>
      <c r="F172" s="24">
        <v>34</v>
      </c>
      <c r="G172" s="24">
        <v>183</v>
      </c>
      <c r="H172" s="24">
        <v>31</v>
      </c>
      <c r="I172" s="24">
        <v>0</v>
      </c>
      <c r="J172" s="24">
        <v>1</v>
      </c>
      <c r="K172" s="24">
        <v>249</v>
      </c>
      <c r="L172" s="24">
        <v>0</v>
      </c>
      <c r="M172" s="24">
        <f t="shared" si="10"/>
        <v>249</v>
      </c>
      <c r="N172" s="24">
        <v>0</v>
      </c>
      <c r="O172" s="25">
        <f t="shared" si="11"/>
        <v>0.12449799196787148</v>
      </c>
      <c r="P172" s="25">
        <f t="shared" si="12"/>
        <v>0.13654618473895583</v>
      </c>
      <c r="Q172" s="25">
        <f t="shared" si="13"/>
        <v>0.73493975903614461</v>
      </c>
      <c r="R172" s="26">
        <v>291</v>
      </c>
      <c r="S172" s="26">
        <v>0</v>
      </c>
      <c r="T172" s="26">
        <v>8</v>
      </c>
      <c r="U172" s="26">
        <v>0</v>
      </c>
      <c r="V172" s="26">
        <v>299</v>
      </c>
      <c r="W172" s="27">
        <v>0.97324414715719065</v>
      </c>
      <c r="X172" s="27">
        <v>0</v>
      </c>
      <c r="Y172" s="27">
        <v>2.6755852842809364E-2</v>
      </c>
      <c r="Z172" s="27">
        <v>0</v>
      </c>
      <c r="AA172" s="28">
        <v>37.816053511705682</v>
      </c>
      <c r="AB172" s="25">
        <f t="shared" si="14"/>
        <v>0.83277591973244147</v>
      </c>
    </row>
    <row r="173" spans="1:28" x14ac:dyDescent="0.25">
      <c r="A173" s="24">
        <v>33</v>
      </c>
      <c r="B173" s="24" t="s">
        <v>236</v>
      </c>
      <c r="C173" s="24" t="s">
        <v>237</v>
      </c>
      <c r="D173" s="24">
        <v>1</v>
      </c>
      <c r="E173" s="24">
        <v>324</v>
      </c>
      <c r="F173" s="24">
        <v>9</v>
      </c>
      <c r="G173" s="24">
        <v>165</v>
      </c>
      <c r="H173" s="24">
        <v>134</v>
      </c>
      <c r="I173" s="24">
        <v>5</v>
      </c>
      <c r="J173" s="24">
        <v>0</v>
      </c>
      <c r="K173" s="24">
        <v>313</v>
      </c>
      <c r="L173" s="24">
        <v>11</v>
      </c>
      <c r="M173" s="24">
        <f t="shared" si="10"/>
        <v>324</v>
      </c>
      <c r="N173" s="24">
        <v>0</v>
      </c>
      <c r="O173" s="25">
        <f t="shared" si="11"/>
        <v>0.41358024691358025</v>
      </c>
      <c r="P173" s="25">
        <f t="shared" si="12"/>
        <v>2.7777777777777776E-2</v>
      </c>
      <c r="Q173" s="25">
        <f t="shared" si="13"/>
        <v>0.5092592592592593</v>
      </c>
      <c r="R173" s="26">
        <v>171</v>
      </c>
      <c r="S173" s="26">
        <v>185</v>
      </c>
      <c r="T173" s="26">
        <v>94</v>
      </c>
      <c r="U173" s="26">
        <v>0</v>
      </c>
      <c r="V173" s="26">
        <v>450</v>
      </c>
      <c r="W173" s="27">
        <v>0.38</v>
      </c>
      <c r="X173" s="27">
        <v>0.41111111111111109</v>
      </c>
      <c r="Y173" s="27">
        <v>0.2088888888888889</v>
      </c>
      <c r="Z173" s="27">
        <v>0</v>
      </c>
      <c r="AA173" s="28">
        <v>70.533333333333331</v>
      </c>
      <c r="AB173" s="25">
        <f t="shared" si="14"/>
        <v>0.72</v>
      </c>
    </row>
    <row r="174" spans="1:28" x14ac:dyDescent="0.25">
      <c r="A174" s="24"/>
      <c r="B174" s="24"/>
      <c r="C174" s="24"/>
      <c r="D174" s="24">
        <v>2</v>
      </c>
      <c r="E174" s="24">
        <v>370</v>
      </c>
      <c r="F174" s="24">
        <v>19</v>
      </c>
      <c r="G174" s="24">
        <v>171</v>
      </c>
      <c r="H174" s="24">
        <v>171</v>
      </c>
      <c r="I174" s="24">
        <v>3</v>
      </c>
      <c r="J174" s="24">
        <v>1</v>
      </c>
      <c r="K174" s="24">
        <v>365</v>
      </c>
      <c r="L174" s="24">
        <v>5</v>
      </c>
      <c r="M174" s="24">
        <f t="shared" si="10"/>
        <v>370</v>
      </c>
      <c r="N174" s="24">
        <v>0</v>
      </c>
      <c r="O174" s="25">
        <f t="shared" si="11"/>
        <v>0.46216216216216216</v>
      </c>
      <c r="P174" s="25">
        <f t="shared" si="12"/>
        <v>5.1351351351351354E-2</v>
      </c>
      <c r="Q174" s="25">
        <f t="shared" si="13"/>
        <v>0.46216216216216216</v>
      </c>
      <c r="R174" s="26">
        <v>193</v>
      </c>
      <c r="S174" s="26">
        <v>154</v>
      </c>
      <c r="T174" s="26">
        <v>100</v>
      </c>
      <c r="U174" s="26">
        <v>3</v>
      </c>
      <c r="V174" s="26">
        <v>450</v>
      </c>
      <c r="W174" s="27">
        <v>0.42888888888888888</v>
      </c>
      <c r="X174" s="27">
        <v>0.34222222222222221</v>
      </c>
      <c r="Y174" s="27">
        <v>0.22222222222222221</v>
      </c>
      <c r="Z174" s="27">
        <v>6.6666666666666671E-3</v>
      </c>
      <c r="AA174" s="28">
        <v>61.642222222222223</v>
      </c>
      <c r="AB174" s="25">
        <f t="shared" si="14"/>
        <v>0.82222222222222219</v>
      </c>
    </row>
    <row r="175" spans="1:28" x14ac:dyDescent="0.25">
      <c r="A175" s="24"/>
      <c r="B175" s="24"/>
      <c r="C175" s="24"/>
      <c r="D175" s="24">
        <v>3</v>
      </c>
      <c r="E175" s="24">
        <v>523</v>
      </c>
      <c r="F175" s="24">
        <v>37</v>
      </c>
      <c r="G175" s="24">
        <v>211</v>
      </c>
      <c r="H175" s="24">
        <v>264</v>
      </c>
      <c r="I175" s="24">
        <v>6</v>
      </c>
      <c r="J175" s="24">
        <v>2</v>
      </c>
      <c r="K175" s="24">
        <v>520</v>
      </c>
      <c r="L175" s="24">
        <v>3</v>
      </c>
      <c r="M175" s="24">
        <f t="shared" si="10"/>
        <v>523</v>
      </c>
      <c r="N175" s="24">
        <v>0</v>
      </c>
      <c r="O175" s="25">
        <f t="shared" si="11"/>
        <v>0.5047801147227533</v>
      </c>
      <c r="P175" s="25">
        <f t="shared" si="12"/>
        <v>7.0745697896749518E-2</v>
      </c>
      <c r="Q175" s="25">
        <f t="shared" si="13"/>
        <v>0.40344168260038243</v>
      </c>
      <c r="R175" s="26">
        <v>259</v>
      </c>
      <c r="S175" s="26">
        <v>217</v>
      </c>
      <c r="T175" s="26">
        <v>151</v>
      </c>
      <c r="U175" s="26">
        <v>3</v>
      </c>
      <c r="V175" s="26">
        <v>630</v>
      </c>
      <c r="W175" s="27">
        <v>0.41111111111111109</v>
      </c>
      <c r="X175" s="27">
        <v>0.34444444444444444</v>
      </c>
      <c r="Y175" s="27">
        <v>0.23968253968253969</v>
      </c>
      <c r="Z175" s="27">
        <v>4.7619047619047623E-3</v>
      </c>
      <c r="AA175" s="28">
        <v>50.831746031746029</v>
      </c>
      <c r="AB175" s="25">
        <f t="shared" si="14"/>
        <v>0.83015873015873021</v>
      </c>
    </row>
    <row r="176" spans="1:28" x14ac:dyDescent="0.25">
      <c r="A176" s="24"/>
      <c r="B176" s="24"/>
      <c r="C176" s="24"/>
      <c r="D176" s="24">
        <v>4</v>
      </c>
      <c r="E176" s="24">
        <v>496</v>
      </c>
      <c r="F176" s="24">
        <v>29</v>
      </c>
      <c r="G176" s="24">
        <v>188</v>
      </c>
      <c r="H176" s="24">
        <v>270</v>
      </c>
      <c r="I176" s="24">
        <v>7</v>
      </c>
      <c r="J176" s="24">
        <v>0</v>
      </c>
      <c r="K176" s="24">
        <v>494</v>
      </c>
      <c r="L176" s="24">
        <v>2</v>
      </c>
      <c r="M176" s="24">
        <f t="shared" si="10"/>
        <v>496</v>
      </c>
      <c r="N176" s="24">
        <v>0</v>
      </c>
      <c r="O176" s="25">
        <f t="shared" si="11"/>
        <v>0.54435483870967738</v>
      </c>
      <c r="P176" s="25">
        <f t="shared" si="12"/>
        <v>5.8467741935483868E-2</v>
      </c>
      <c r="Q176" s="25">
        <f t="shared" si="13"/>
        <v>0.37903225806451613</v>
      </c>
      <c r="R176" s="26">
        <v>244</v>
      </c>
      <c r="S176" s="26">
        <v>203</v>
      </c>
      <c r="T176" s="26">
        <v>182</v>
      </c>
      <c r="U176" s="26">
        <v>2</v>
      </c>
      <c r="V176" s="26">
        <v>631</v>
      </c>
      <c r="W176" s="27">
        <v>0.3866877971473851</v>
      </c>
      <c r="X176" s="27">
        <v>0.32171156893819336</v>
      </c>
      <c r="Y176" s="27">
        <v>0.28843106180665612</v>
      </c>
      <c r="Z176" s="27">
        <v>3.1695721077654518E-3</v>
      </c>
      <c r="AA176" s="28">
        <v>41.299524564183834</v>
      </c>
      <c r="AB176" s="25">
        <f t="shared" si="14"/>
        <v>0.78605388272583199</v>
      </c>
    </row>
    <row r="177" spans="1:28" x14ac:dyDescent="0.25">
      <c r="A177" s="24"/>
      <c r="B177" s="24"/>
      <c r="C177" s="24"/>
      <c r="D177" s="24">
        <v>5</v>
      </c>
      <c r="E177" s="24">
        <v>507</v>
      </c>
      <c r="F177" s="24">
        <v>29</v>
      </c>
      <c r="G177" s="24">
        <v>173</v>
      </c>
      <c r="H177" s="24">
        <v>296</v>
      </c>
      <c r="I177" s="24">
        <v>5</v>
      </c>
      <c r="J177" s="24">
        <v>2</v>
      </c>
      <c r="K177" s="24">
        <v>505</v>
      </c>
      <c r="L177" s="24">
        <v>2</v>
      </c>
      <c r="M177" s="24">
        <f t="shared" si="10"/>
        <v>507</v>
      </c>
      <c r="N177" s="24">
        <v>0</v>
      </c>
      <c r="O177" s="25">
        <f t="shared" si="11"/>
        <v>0.58382642998027612</v>
      </c>
      <c r="P177" s="25">
        <f t="shared" si="12"/>
        <v>5.7199211045364892E-2</v>
      </c>
      <c r="Q177" s="25">
        <f t="shared" si="13"/>
        <v>0.34122287968441817</v>
      </c>
      <c r="R177" s="26">
        <v>237</v>
      </c>
      <c r="S177" s="26">
        <v>201</v>
      </c>
      <c r="T177" s="26">
        <v>192</v>
      </c>
      <c r="U177" s="26">
        <v>1</v>
      </c>
      <c r="V177" s="26">
        <v>631</v>
      </c>
      <c r="W177" s="27">
        <v>0.37559429477020601</v>
      </c>
      <c r="X177" s="27">
        <v>0.31854199683042789</v>
      </c>
      <c r="Y177" s="27">
        <v>0.30427892234548337</v>
      </c>
      <c r="Z177" s="27">
        <v>1.5847860538827259E-3</v>
      </c>
      <c r="AA177" s="28">
        <v>32.042789223454832</v>
      </c>
      <c r="AB177" s="25">
        <f t="shared" si="14"/>
        <v>0.80348652931854203</v>
      </c>
    </row>
    <row r="178" spans="1:28" x14ac:dyDescent="0.25">
      <c r="A178" s="24"/>
      <c r="B178" s="24"/>
      <c r="C178" s="24"/>
      <c r="D178" s="24">
        <v>6</v>
      </c>
      <c r="E178" s="24">
        <v>529</v>
      </c>
      <c r="F178" s="24">
        <v>50</v>
      </c>
      <c r="G178" s="24">
        <v>202</v>
      </c>
      <c r="H178" s="24">
        <v>270</v>
      </c>
      <c r="I178" s="24">
        <v>5</v>
      </c>
      <c r="J178" s="24">
        <v>0</v>
      </c>
      <c r="K178" s="24">
        <v>527</v>
      </c>
      <c r="L178" s="24">
        <v>1</v>
      </c>
      <c r="M178" s="24">
        <f t="shared" si="10"/>
        <v>528</v>
      </c>
      <c r="N178" s="24">
        <v>1</v>
      </c>
      <c r="O178" s="25">
        <f t="shared" si="11"/>
        <v>0.51136363636363635</v>
      </c>
      <c r="P178" s="25">
        <f t="shared" si="12"/>
        <v>9.4696969696969696E-2</v>
      </c>
      <c r="Q178" s="25">
        <f t="shared" si="13"/>
        <v>0.38257575757575757</v>
      </c>
      <c r="R178" s="26">
        <v>281</v>
      </c>
      <c r="S178" s="26">
        <v>158</v>
      </c>
      <c r="T178" s="26">
        <v>191</v>
      </c>
      <c r="U178" s="26">
        <v>1</v>
      </c>
      <c r="V178" s="26">
        <v>631</v>
      </c>
      <c r="W178" s="27">
        <v>0.44532488114104596</v>
      </c>
      <c r="X178" s="27">
        <v>0.25039619651347067</v>
      </c>
      <c r="Y178" s="27">
        <v>0.30269413629160064</v>
      </c>
      <c r="Z178" s="27">
        <v>1.5847860538827259E-3</v>
      </c>
      <c r="AA178" s="28">
        <v>22.649762282091917</v>
      </c>
      <c r="AB178" s="25">
        <f t="shared" si="14"/>
        <v>0.83676703645007922</v>
      </c>
    </row>
    <row r="179" spans="1:28" x14ac:dyDescent="0.25">
      <c r="A179" s="24">
        <v>34</v>
      </c>
      <c r="B179" s="24" t="s">
        <v>238</v>
      </c>
      <c r="C179" s="24" t="s">
        <v>239</v>
      </c>
      <c r="D179" s="24">
        <v>1</v>
      </c>
      <c r="E179" s="24">
        <v>349</v>
      </c>
      <c r="F179" s="24">
        <v>18</v>
      </c>
      <c r="G179" s="24">
        <v>217</v>
      </c>
      <c r="H179" s="24">
        <v>105</v>
      </c>
      <c r="I179" s="24">
        <v>4</v>
      </c>
      <c r="J179" s="24">
        <v>1</v>
      </c>
      <c r="K179" s="24">
        <v>345</v>
      </c>
      <c r="L179" s="24">
        <v>4</v>
      </c>
      <c r="M179" s="24">
        <f t="shared" si="10"/>
        <v>349</v>
      </c>
      <c r="N179" s="24">
        <v>0</v>
      </c>
      <c r="O179" s="25">
        <f t="shared" si="11"/>
        <v>0.3008595988538682</v>
      </c>
      <c r="P179" s="25">
        <f t="shared" si="12"/>
        <v>5.1575931232091692E-2</v>
      </c>
      <c r="Q179" s="25">
        <f t="shared" si="13"/>
        <v>0.62177650429799425</v>
      </c>
      <c r="R179" s="26">
        <v>288</v>
      </c>
      <c r="S179" s="26">
        <v>91</v>
      </c>
      <c r="T179" s="26">
        <v>70</v>
      </c>
      <c r="U179" s="26">
        <v>1</v>
      </c>
      <c r="V179" s="26">
        <v>450</v>
      </c>
      <c r="W179" s="27">
        <v>0.64</v>
      </c>
      <c r="X179" s="27">
        <v>0.20222222222222222</v>
      </c>
      <c r="Y179" s="27">
        <v>0.15555555555555556</v>
      </c>
      <c r="Z179" s="27">
        <v>2.2222222222222222E-3</v>
      </c>
      <c r="AA179" s="28">
        <v>66.61333333333333</v>
      </c>
      <c r="AB179" s="25">
        <f t="shared" si="14"/>
        <v>0.77555555555555555</v>
      </c>
    </row>
    <row r="180" spans="1:28" x14ac:dyDescent="0.25">
      <c r="A180" s="24"/>
      <c r="B180" s="24"/>
      <c r="C180" s="24"/>
      <c r="D180" s="24">
        <v>2</v>
      </c>
      <c r="E180" s="24">
        <v>510</v>
      </c>
      <c r="F180" s="24">
        <v>45</v>
      </c>
      <c r="G180" s="24">
        <v>317</v>
      </c>
      <c r="H180" s="24">
        <v>141</v>
      </c>
      <c r="I180" s="24">
        <v>4</v>
      </c>
      <c r="J180" s="24">
        <v>2</v>
      </c>
      <c r="K180" s="24">
        <v>509</v>
      </c>
      <c r="L180" s="24">
        <v>1</v>
      </c>
      <c r="M180" s="24">
        <f t="shared" si="10"/>
        <v>510</v>
      </c>
      <c r="N180" s="24">
        <v>0</v>
      </c>
      <c r="O180" s="25">
        <f t="shared" si="11"/>
        <v>0.27647058823529413</v>
      </c>
      <c r="P180" s="25">
        <f t="shared" si="12"/>
        <v>8.8235294117647065E-2</v>
      </c>
      <c r="Q180" s="25">
        <f t="shared" si="13"/>
        <v>0.6215686274509804</v>
      </c>
      <c r="R180" s="26">
        <v>421</v>
      </c>
      <c r="S180" s="26">
        <v>101</v>
      </c>
      <c r="T180" s="26">
        <v>102</v>
      </c>
      <c r="U180" s="26">
        <v>1</v>
      </c>
      <c r="V180" s="26">
        <v>625</v>
      </c>
      <c r="W180" s="27">
        <v>0.67359999999999998</v>
      </c>
      <c r="X180" s="27">
        <v>0.16159999999999999</v>
      </c>
      <c r="Y180" s="27">
        <v>0.16320000000000001</v>
      </c>
      <c r="Z180" s="27">
        <v>1.6000000000000001E-3</v>
      </c>
      <c r="AA180" s="28">
        <v>47.753599999999999</v>
      </c>
      <c r="AB180" s="25">
        <f t="shared" si="14"/>
        <v>0.81599999999999995</v>
      </c>
    </row>
    <row r="181" spans="1:28" x14ac:dyDescent="0.25">
      <c r="A181" s="24"/>
      <c r="B181" s="24"/>
      <c r="C181" s="24"/>
      <c r="D181" s="24">
        <v>3</v>
      </c>
      <c r="E181" s="24">
        <v>503</v>
      </c>
      <c r="F181" s="24">
        <v>52</v>
      </c>
      <c r="G181" s="24">
        <v>277</v>
      </c>
      <c r="H181" s="24">
        <v>165</v>
      </c>
      <c r="I181" s="24">
        <v>7</v>
      </c>
      <c r="J181" s="24">
        <v>0</v>
      </c>
      <c r="K181" s="24">
        <v>501</v>
      </c>
      <c r="L181" s="24">
        <v>2</v>
      </c>
      <c r="M181" s="24">
        <f t="shared" si="10"/>
        <v>503</v>
      </c>
      <c r="N181" s="24">
        <v>0</v>
      </c>
      <c r="O181" s="25">
        <f t="shared" si="11"/>
        <v>0.32803180914512925</v>
      </c>
      <c r="P181" s="25">
        <f t="shared" si="12"/>
        <v>0.10337972166998012</v>
      </c>
      <c r="Q181" s="25">
        <f t="shared" si="13"/>
        <v>0.55069582504970183</v>
      </c>
      <c r="R181" s="26">
        <v>417</v>
      </c>
      <c r="S181" s="26">
        <v>49</v>
      </c>
      <c r="T181" s="26">
        <v>160</v>
      </c>
      <c r="U181" s="26">
        <v>0</v>
      </c>
      <c r="V181" s="26">
        <v>626</v>
      </c>
      <c r="W181" s="27">
        <v>0.66613418530351443</v>
      </c>
      <c r="X181" s="27">
        <v>7.8274760383386585E-2</v>
      </c>
      <c r="Y181" s="27">
        <v>0.25559105431309903</v>
      </c>
      <c r="Z181" s="27">
        <v>0</v>
      </c>
      <c r="AA181" s="28">
        <v>28.156549520766774</v>
      </c>
      <c r="AB181" s="25">
        <f t="shared" si="14"/>
        <v>0.80351437699680506</v>
      </c>
    </row>
    <row r="182" spans="1:28" x14ac:dyDescent="0.25">
      <c r="A182" s="24">
        <v>35</v>
      </c>
      <c r="B182" s="24" t="s">
        <v>240</v>
      </c>
      <c r="C182" s="24" t="s">
        <v>241</v>
      </c>
      <c r="D182" s="24">
        <v>1</v>
      </c>
      <c r="E182" s="24">
        <v>355</v>
      </c>
      <c r="F182" s="24">
        <v>18</v>
      </c>
      <c r="G182" s="24">
        <v>271</v>
      </c>
      <c r="H182" s="24">
        <v>62</v>
      </c>
      <c r="I182" s="24">
        <v>3</v>
      </c>
      <c r="J182" s="24">
        <v>0</v>
      </c>
      <c r="K182" s="24">
        <v>354</v>
      </c>
      <c r="L182" s="24">
        <v>1</v>
      </c>
      <c r="M182" s="24">
        <f t="shared" si="10"/>
        <v>355</v>
      </c>
      <c r="N182" s="24">
        <v>0</v>
      </c>
      <c r="O182" s="25">
        <f t="shared" si="11"/>
        <v>0.17464788732394365</v>
      </c>
      <c r="P182" s="25">
        <f t="shared" si="12"/>
        <v>5.0704225352112678E-2</v>
      </c>
      <c r="Q182" s="25">
        <f t="shared" si="13"/>
        <v>0.76338028169014083</v>
      </c>
      <c r="R182" s="26">
        <v>372</v>
      </c>
      <c r="S182" s="26">
        <v>61</v>
      </c>
      <c r="T182" s="26">
        <v>15</v>
      </c>
      <c r="U182" s="26">
        <v>2</v>
      </c>
      <c r="V182" s="26">
        <v>450</v>
      </c>
      <c r="W182" s="27">
        <v>0.82666666666666666</v>
      </c>
      <c r="X182" s="27">
        <v>0.13555555555555557</v>
      </c>
      <c r="Y182" s="27">
        <v>3.3333333333333333E-2</v>
      </c>
      <c r="Z182" s="27">
        <v>4.4444444444444444E-3</v>
      </c>
      <c r="AA182" s="28">
        <v>68.348888888888894</v>
      </c>
      <c r="AB182" s="25">
        <f t="shared" si="14"/>
        <v>0.78888888888888886</v>
      </c>
    </row>
    <row r="183" spans="1:28" x14ac:dyDescent="0.25">
      <c r="A183" s="24"/>
      <c r="B183" s="24"/>
      <c r="C183" s="24"/>
      <c r="D183" s="24">
        <v>2</v>
      </c>
      <c r="E183" s="24">
        <v>377</v>
      </c>
      <c r="F183" s="24">
        <v>32</v>
      </c>
      <c r="G183" s="24">
        <v>276</v>
      </c>
      <c r="H183" s="24">
        <v>67</v>
      </c>
      <c r="I183" s="24">
        <v>1</v>
      </c>
      <c r="J183" s="24">
        <v>1</v>
      </c>
      <c r="K183" s="24">
        <v>377</v>
      </c>
      <c r="L183" s="24">
        <v>0</v>
      </c>
      <c r="M183" s="24">
        <f t="shared" si="10"/>
        <v>377</v>
      </c>
      <c r="N183" s="24">
        <v>0</v>
      </c>
      <c r="O183" s="25">
        <f t="shared" si="11"/>
        <v>0.17771883289124668</v>
      </c>
      <c r="P183" s="25">
        <f t="shared" si="12"/>
        <v>8.4880636604774531E-2</v>
      </c>
      <c r="Q183" s="25">
        <f t="shared" si="13"/>
        <v>0.73209549071618041</v>
      </c>
      <c r="R183" s="26">
        <v>398</v>
      </c>
      <c r="S183" s="26">
        <v>35</v>
      </c>
      <c r="T183" s="26">
        <v>15</v>
      </c>
      <c r="U183" s="26">
        <v>2</v>
      </c>
      <c r="V183" s="26">
        <v>450</v>
      </c>
      <c r="W183" s="27">
        <v>0.88444444444444448</v>
      </c>
      <c r="X183" s="27">
        <v>7.7777777777777779E-2</v>
      </c>
      <c r="Y183" s="27">
        <v>3.3333333333333333E-2</v>
      </c>
      <c r="Z183" s="27">
        <v>4.4444444444444444E-3</v>
      </c>
      <c r="AA183" s="28">
        <v>48.955555555555556</v>
      </c>
      <c r="AB183" s="25">
        <f t="shared" si="14"/>
        <v>0.83777777777777773</v>
      </c>
    </row>
    <row r="184" spans="1:28" x14ac:dyDescent="0.25">
      <c r="A184" s="24"/>
      <c r="B184" s="24"/>
      <c r="C184" s="24"/>
      <c r="D184" s="24">
        <v>3</v>
      </c>
      <c r="E184" s="24">
        <v>376</v>
      </c>
      <c r="F184" s="24">
        <v>51</v>
      </c>
      <c r="G184" s="24">
        <v>274</v>
      </c>
      <c r="H184" s="24">
        <v>50</v>
      </c>
      <c r="I184" s="24">
        <v>0</v>
      </c>
      <c r="J184" s="24">
        <v>1</v>
      </c>
      <c r="K184" s="24">
        <v>376</v>
      </c>
      <c r="L184" s="24">
        <v>0</v>
      </c>
      <c r="M184" s="24">
        <f t="shared" si="10"/>
        <v>376</v>
      </c>
      <c r="N184" s="24">
        <v>0</v>
      </c>
      <c r="O184" s="25">
        <f t="shared" si="11"/>
        <v>0.13297872340425532</v>
      </c>
      <c r="P184" s="25">
        <f t="shared" si="12"/>
        <v>0.13563829787234041</v>
      </c>
      <c r="Q184" s="25">
        <f t="shared" si="13"/>
        <v>0.72872340425531912</v>
      </c>
      <c r="R184" s="26">
        <v>421</v>
      </c>
      <c r="S184" s="26">
        <v>4</v>
      </c>
      <c r="T184" s="26">
        <v>26</v>
      </c>
      <c r="U184" s="26">
        <v>0</v>
      </c>
      <c r="V184" s="26">
        <v>451</v>
      </c>
      <c r="W184" s="27">
        <v>0.93348115299334811</v>
      </c>
      <c r="X184" s="27">
        <v>8.869179600886918E-3</v>
      </c>
      <c r="Y184" s="27">
        <v>5.7649667405764965E-2</v>
      </c>
      <c r="Z184" s="27">
        <v>0</v>
      </c>
      <c r="AA184" s="28">
        <v>28.552106430155209</v>
      </c>
      <c r="AB184" s="25">
        <f t="shared" si="14"/>
        <v>0.83370288248337032</v>
      </c>
    </row>
    <row r="185" spans="1:28" x14ac:dyDescent="0.25">
      <c r="A185" s="24">
        <v>36</v>
      </c>
      <c r="B185" s="24" t="s">
        <v>242</v>
      </c>
      <c r="C185" s="24" t="s">
        <v>243</v>
      </c>
      <c r="D185" s="24">
        <v>1</v>
      </c>
      <c r="E185" s="24">
        <v>250</v>
      </c>
      <c r="F185" s="24">
        <v>4</v>
      </c>
      <c r="G185" s="24">
        <v>110</v>
      </c>
      <c r="H185" s="24">
        <v>122</v>
      </c>
      <c r="I185" s="24">
        <v>6</v>
      </c>
      <c r="J185" s="24">
        <v>2</v>
      </c>
      <c r="K185" s="24">
        <v>244</v>
      </c>
      <c r="L185" s="24">
        <v>6</v>
      </c>
      <c r="M185" s="24">
        <f t="shared" si="10"/>
        <v>250</v>
      </c>
      <c r="N185" s="24">
        <v>0</v>
      </c>
      <c r="O185" s="25">
        <f t="shared" si="11"/>
        <v>0.48799999999999999</v>
      </c>
      <c r="P185" s="25">
        <f t="shared" si="12"/>
        <v>1.6E-2</v>
      </c>
      <c r="Q185" s="25">
        <f t="shared" si="13"/>
        <v>0.44</v>
      </c>
      <c r="R185" s="26">
        <v>35</v>
      </c>
      <c r="S185" s="26">
        <v>83</v>
      </c>
      <c r="T185" s="26">
        <v>205</v>
      </c>
      <c r="U185" s="26">
        <v>0</v>
      </c>
      <c r="V185" s="26">
        <v>323</v>
      </c>
      <c r="W185" s="27">
        <v>0.10835913312693499</v>
      </c>
      <c r="X185" s="27">
        <v>0.25696594427244585</v>
      </c>
      <c r="Y185" s="27">
        <v>0.6346749226006192</v>
      </c>
      <c r="Z185" s="27">
        <v>0</v>
      </c>
      <c r="AA185" s="28">
        <v>67.250773993808053</v>
      </c>
      <c r="AB185" s="25">
        <f t="shared" si="14"/>
        <v>0.77399380804953566</v>
      </c>
    </row>
    <row r="186" spans="1:28" x14ac:dyDescent="0.25">
      <c r="A186" s="24"/>
      <c r="B186" s="24"/>
      <c r="C186" s="24"/>
      <c r="D186" s="24">
        <v>2</v>
      </c>
      <c r="E186" s="24">
        <v>384</v>
      </c>
      <c r="F186" s="24">
        <v>16</v>
      </c>
      <c r="G186" s="24">
        <v>175</v>
      </c>
      <c r="H186" s="24">
        <v>177</v>
      </c>
      <c r="I186" s="24">
        <v>15</v>
      </c>
      <c r="J186" s="24">
        <v>0</v>
      </c>
      <c r="K186" s="24">
        <v>383</v>
      </c>
      <c r="L186" s="24">
        <v>1</v>
      </c>
      <c r="M186" s="24">
        <f t="shared" si="10"/>
        <v>384</v>
      </c>
      <c r="N186" s="24">
        <v>0</v>
      </c>
      <c r="O186" s="25">
        <f t="shared" si="11"/>
        <v>0.4609375</v>
      </c>
      <c r="P186" s="25">
        <f t="shared" si="12"/>
        <v>4.1666666666666664E-2</v>
      </c>
      <c r="Q186" s="25">
        <f t="shared" si="13"/>
        <v>0.45572916666666669</v>
      </c>
      <c r="R186" s="26">
        <v>103</v>
      </c>
      <c r="S186" s="26">
        <v>27</v>
      </c>
      <c r="T186" s="26">
        <v>320</v>
      </c>
      <c r="U186" s="26">
        <v>0</v>
      </c>
      <c r="V186" s="26">
        <v>450</v>
      </c>
      <c r="W186" s="27">
        <v>0.22888888888888889</v>
      </c>
      <c r="X186" s="27">
        <v>0.06</v>
      </c>
      <c r="Y186" s="27">
        <v>0.71111111111111114</v>
      </c>
      <c r="Z186" s="27">
        <v>0</v>
      </c>
      <c r="AA186" s="28">
        <v>37.595555555555556</v>
      </c>
      <c r="AB186" s="25">
        <f t="shared" si="14"/>
        <v>0.85333333333333339</v>
      </c>
    </row>
    <row r="187" spans="1:28" x14ac:dyDescent="0.25">
      <c r="A187" s="24">
        <v>37</v>
      </c>
      <c r="B187" s="24" t="s">
        <v>244</v>
      </c>
      <c r="C187" s="24" t="s">
        <v>245</v>
      </c>
      <c r="D187" s="24">
        <v>1</v>
      </c>
      <c r="E187" s="24">
        <v>319</v>
      </c>
      <c r="F187" s="24">
        <v>10</v>
      </c>
      <c r="G187" s="24">
        <v>177</v>
      </c>
      <c r="H187" s="24">
        <v>122</v>
      </c>
      <c r="I187" s="24">
        <v>3</v>
      </c>
      <c r="J187" s="24">
        <v>3</v>
      </c>
      <c r="K187" s="24">
        <v>315</v>
      </c>
      <c r="L187" s="24">
        <v>4</v>
      </c>
      <c r="M187" s="24">
        <f t="shared" si="10"/>
        <v>319</v>
      </c>
      <c r="N187" s="24">
        <v>0</v>
      </c>
      <c r="O187" s="25">
        <f t="shared" si="11"/>
        <v>0.38244514106583072</v>
      </c>
      <c r="P187" s="25">
        <f t="shared" si="12"/>
        <v>3.1347962382445138E-2</v>
      </c>
      <c r="Q187" s="25">
        <f t="shared" si="13"/>
        <v>0.55485893416927901</v>
      </c>
      <c r="R187" s="26">
        <v>169</v>
      </c>
      <c r="S187" s="26">
        <v>188</v>
      </c>
      <c r="T187" s="26">
        <v>91</v>
      </c>
      <c r="U187" s="26">
        <v>2</v>
      </c>
      <c r="V187" s="26">
        <v>450</v>
      </c>
      <c r="W187" s="27">
        <v>0.37555555555555553</v>
      </c>
      <c r="X187" s="27">
        <v>0.4177777777777778</v>
      </c>
      <c r="Y187" s="27">
        <v>0.20222222222222222</v>
      </c>
      <c r="Z187" s="27">
        <v>4.4444444444444444E-3</v>
      </c>
      <c r="AA187" s="28">
        <v>73.362222222222229</v>
      </c>
      <c r="AB187" s="25">
        <f t="shared" si="14"/>
        <v>0.7088888888888889</v>
      </c>
    </row>
    <row r="188" spans="1:28" x14ac:dyDescent="0.25">
      <c r="A188" s="24"/>
      <c r="B188" s="24"/>
      <c r="C188" s="24"/>
      <c r="D188" s="24">
        <v>2</v>
      </c>
      <c r="E188" s="24">
        <v>358</v>
      </c>
      <c r="F188" s="24">
        <v>10</v>
      </c>
      <c r="G188" s="24">
        <v>177</v>
      </c>
      <c r="H188" s="24">
        <v>163</v>
      </c>
      <c r="I188" s="24">
        <v>1</v>
      </c>
      <c r="J188" s="24">
        <v>1</v>
      </c>
      <c r="K188" s="24">
        <v>352</v>
      </c>
      <c r="L188" s="24">
        <v>6</v>
      </c>
      <c r="M188" s="24">
        <f t="shared" si="10"/>
        <v>358</v>
      </c>
      <c r="N188" s="24">
        <v>0</v>
      </c>
      <c r="O188" s="25">
        <f t="shared" si="11"/>
        <v>0.45530726256983239</v>
      </c>
      <c r="P188" s="25">
        <f t="shared" si="12"/>
        <v>2.7932960893854747E-2</v>
      </c>
      <c r="Q188" s="25">
        <f t="shared" si="13"/>
        <v>0.49441340782122906</v>
      </c>
      <c r="R188" s="26">
        <v>175</v>
      </c>
      <c r="S188" s="26">
        <v>187</v>
      </c>
      <c r="T188" s="26">
        <v>86</v>
      </c>
      <c r="U188" s="26">
        <v>2</v>
      </c>
      <c r="V188" s="26">
        <v>450</v>
      </c>
      <c r="W188" s="27">
        <v>0.3888888888888889</v>
      </c>
      <c r="X188" s="27">
        <v>0.41555555555555557</v>
      </c>
      <c r="Y188" s="27">
        <v>0.19111111111111112</v>
      </c>
      <c r="Z188" s="27">
        <v>4.4444444444444444E-3</v>
      </c>
      <c r="AA188" s="28">
        <v>65.086666666666673</v>
      </c>
      <c r="AB188" s="25">
        <f t="shared" si="14"/>
        <v>0.79555555555555557</v>
      </c>
    </row>
    <row r="189" spans="1:28" x14ac:dyDescent="0.25">
      <c r="A189" s="24"/>
      <c r="B189" s="24"/>
      <c r="C189" s="24"/>
      <c r="D189" s="24">
        <v>3</v>
      </c>
      <c r="E189" s="24">
        <v>375</v>
      </c>
      <c r="F189" s="24">
        <v>9</v>
      </c>
      <c r="G189" s="24">
        <v>166</v>
      </c>
      <c r="H189" s="24">
        <v>189</v>
      </c>
      <c r="I189" s="24">
        <v>7</v>
      </c>
      <c r="J189" s="24">
        <v>0</v>
      </c>
      <c r="K189" s="24">
        <v>371</v>
      </c>
      <c r="L189" s="24">
        <v>4</v>
      </c>
      <c r="M189" s="24">
        <f t="shared" si="10"/>
        <v>375</v>
      </c>
      <c r="N189" s="24">
        <v>0</v>
      </c>
      <c r="O189" s="25">
        <f t="shared" si="11"/>
        <v>0.504</v>
      </c>
      <c r="P189" s="25">
        <f t="shared" si="12"/>
        <v>2.4E-2</v>
      </c>
      <c r="Q189" s="25">
        <f t="shared" si="13"/>
        <v>0.44266666666666665</v>
      </c>
      <c r="R189" s="26">
        <v>184</v>
      </c>
      <c r="S189" s="26">
        <v>141</v>
      </c>
      <c r="T189" s="26">
        <v>124</v>
      </c>
      <c r="U189" s="26">
        <v>1</v>
      </c>
      <c r="V189" s="26">
        <v>450</v>
      </c>
      <c r="W189" s="27">
        <v>0.40888888888888891</v>
      </c>
      <c r="X189" s="27">
        <v>0.31333333333333335</v>
      </c>
      <c r="Y189" s="27">
        <v>0.27555555555555555</v>
      </c>
      <c r="Z189" s="27">
        <v>2.2222222222222222E-3</v>
      </c>
      <c r="AA189" s="28">
        <v>56.282222222222224</v>
      </c>
      <c r="AB189" s="25">
        <f t="shared" si="14"/>
        <v>0.83333333333333337</v>
      </c>
    </row>
    <row r="190" spans="1:28" x14ac:dyDescent="0.25">
      <c r="A190" s="24"/>
      <c r="B190" s="24"/>
      <c r="C190" s="24"/>
      <c r="D190" s="24">
        <v>4</v>
      </c>
      <c r="E190" s="24">
        <v>475</v>
      </c>
      <c r="F190" s="24">
        <v>24</v>
      </c>
      <c r="G190" s="24">
        <v>213</v>
      </c>
      <c r="H190" s="24">
        <v>224</v>
      </c>
      <c r="I190" s="24">
        <v>11</v>
      </c>
      <c r="J190" s="24">
        <v>0</v>
      </c>
      <c r="K190" s="24">
        <v>472</v>
      </c>
      <c r="L190" s="24">
        <v>3</v>
      </c>
      <c r="M190" s="24">
        <f t="shared" si="10"/>
        <v>475</v>
      </c>
      <c r="N190" s="24">
        <v>0</v>
      </c>
      <c r="O190" s="25">
        <f t="shared" si="11"/>
        <v>0.47157894736842104</v>
      </c>
      <c r="P190" s="25">
        <f t="shared" si="12"/>
        <v>5.0526315789473683E-2</v>
      </c>
      <c r="Q190" s="25">
        <f t="shared" si="13"/>
        <v>0.44842105263157894</v>
      </c>
      <c r="R190" s="26">
        <v>246</v>
      </c>
      <c r="S190" s="26">
        <v>184</v>
      </c>
      <c r="T190" s="26">
        <v>143</v>
      </c>
      <c r="U190" s="26">
        <v>1</v>
      </c>
      <c r="V190" s="26">
        <v>574</v>
      </c>
      <c r="W190" s="27">
        <v>0.42857142857142855</v>
      </c>
      <c r="X190" s="27">
        <v>0.32055749128919858</v>
      </c>
      <c r="Y190" s="27">
        <v>0.24912891986062718</v>
      </c>
      <c r="Z190" s="27">
        <v>1.7421602787456446E-3</v>
      </c>
      <c r="AA190" s="28">
        <v>46.554006968641112</v>
      </c>
      <c r="AB190" s="25">
        <f t="shared" si="14"/>
        <v>0.82752613240418116</v>
      </c>
    </row>
    <row r="191" spans="1:28" x14ac:dyDescent="0.25">
      <c r="A191" s="24"/>
      <c r="B191" s="24"/>
      <c r="C191" s="24"/>
      <c r="D191" s="24">
        <v>5</v>
      </c>
      <c r="E191" s="24">
        <v>437</v>
      </c>
      <c r="F191" s="24">
        <v>17</v>
      </c>
      <c r="G191" s="24">
        <v>189</v>
      </c>
      <c r="H191" s="24">
        <v>222</v>
      </c>
      <c r="I191" s="24">
        <v>6</v>
      </c>
      <c r="J191" s="24">
        <v>2</v>
      </c>
      <c r="K191" s="24">
        <v>436</v>
      </c>
      <c r="L191" s="24">
        <v>1</v>
      </c>
      <c r="M191" s="24">
        <f t="shared" si="10"/>
        <v>437</v>
      </c>
      <c r="N191" s="24">
        <v>0</v>
      </c>
      <c r="O191" s="25">
        <f t="shared" si="11"/>
        <v>0.50800915331807783</v>
      </c>
      <c r="P191" s="25">
        <f t="shared" si="12"/>
        <v>3.8901601830663615E-2</v>
      </c>
      <c r="Q191" s="25">
        <f t="shared" si="13"/>
        <v>0.43249427917620137</v>
      </c>
      <c r="R191" s="26">
        <v>231</v>
      </c>
      <c r="S191" s="26">
        <v>161</v>
      </c>
      <c r="T191" s="26">
        <v>178</v>
      </c>
      <c r="U191" s="26">
        <v>4</v>
      </c>
      <c r="V191" s="26">
        <v>574</v>
      </c>
      <c r="W191" s="27">
        <v>0.40243902439024393</v>
      </c>
      <c r="X191" s="27">
        <v>0.28048780487804881</v>
      </c>
      <c r="Y191" s="27">
        <v>0.31010452961672474</v>
      </c>
      <c r="Z191" s="27">
        <v>6.9686411149825784E-3</v>
      </c>
      <c r="AA191" s="28">
        <v>36.264808362369337</v>
      </c>
      <c r="AB191" s="25">
        <f t="shared" si="14"/>
        <v>0.76132404181184665</v>
      </c>
    </row>
    <row r="192" spans="1:28" x14ac:dyDescent="0.25">
      <c r="A192" s="24"/>
      <c r="B192" s="24"/>
      <c r="C192" s="24"/>
      <c r="D192" s="24">
        <v>6</v>
      </c>
      <c r="E192" s="24">
        <v>451</v>
      </c>
      <c r="F192" s="24">
        <v>28</v>
      </c>
      <c r="G192" s="24">
        <v>210</v>
      </c>
      <c r="H192" s="24">
        <v>198</v>
      </c>
      <c r="I192" s="24">
        <v>13</v>
      </c>
      <c r="J192" s="24">
        <v>0</v>
      </c>
      <c r="K192" s="24">
        <v>449</v>
      </c>
      <c r="L192" s="24">
        <v>2</v>
      </c>
      <c r="M192" s="24">
        <f t="shared" si="10"/>
        <v>451</v>
      </c>
      <c r="N192" s="24">
        <v>0</v>
      </c>
      <c r="O192" s="25">
        <f t="shared" si="11"/>
        <v>0.43902439024390244</v>
      </c>
      <c r="P192" s="25">
        <f t="shared" si="12"/>
        <v>6.2084257206208429E-2</v>
      </c>
      <c r="Q192" s="25">
        <f t="shared" si="13"/>
        <v>0.4656319290465632</v>
      </c>
      <c r="R192" s="26">
        <v>253</v>
      </c>
      <c r="S192" s="26">
        <v>102</v>
      </c>
      <c r="T192" s="26">
        <v>219</v>
      </c>
      <c r="U192" s="26">
        <v>0</v>
      </c>
      <c r="V192" s="26">
        <v>574</v>
      </c>
      <c r="W192" s="27">
        <v>0.44076655052264807</v>
      </c>
      <c r="X192" s="27">
        <v>0.17770034843205576</v>
      </c>
      <c r="Y192" s="27">
        <v>0.38153310104529614</v>
      </c>
      <c r="Z192" s="27">
        <v>0</v>
      </c>
      <c r="AA192" s="28">
        <v>24.778745644599304</v>
      </c>
      <c r="AB192" s="25">
        <f t="shared" si="14"/>
        <v>0.7857142857142857</v>
      </c>
    </row>
    <row r="193" spans="1:28" x14ac:dyDescent="0.25">
      <c r="A193" s="24">
        <v>38</v>
      </c>
      <c r="B193" s="24" t="s">
        <v>246</v>
      </c>
      <c r="C193" s="24" t="s">
        <v>247</v>
      </c>
      <c r="D193" s="24">
        <v>1</v>
      </c>
      <c r="E193" s="24">
        <v>333</v>
      </c>
      <c r="F193" s="24">
        <v>10</v>
      </c>
      <c r="G193" s="24">
        <v>155</v>
      </c>
      <c r="H193" s="24">
        <v>155</v>
      </c>
      <c r="I193" s="24">
        <v>5</v>
      </c>
      <c r="J193" s="24">
        <v>3</v>
      </c>
      <c r="K193" s="24">
        <v>328</v>
      </c>
      <c r="L193" s="24">
        <v>5</v>
      </c>
      <c r="M193" s="24">
        <f t="shared" si="10"/>
        <v>333</v>
      </c>
      <c r="N193" s="24">
        <v>0</v>
      </c>
      <c r="O193" s="25">
        <f t="shared" si="11"/>
        <v>0.46546546546546547</v>
      </c>
      <c r="P193" s="25">
        <f t="shared" si="12"/>
        <v>3.003003003003003E-2</v>
      </c>
      <c r="Q193" s="25">
        <f t="shared" si="13"/>
        <v>0.46546546546546547</v>
      </c>
      <c r="R193" s="26">
        <v>154</v>
      </c>
      <c r="S193" s="26">
        <v>55</v>
      </c>
      <c r="T193" s="26">
        <v>239</v>
      </c>
      <c r="U193" s="26">
        <v>2</v>
      </c>
      <c r="V193" s="26">
        <v>450</v>
      </c>
      <c r="W193" s="27">
        <v>0.34222222222222221</v>
      </c>
      <c r="X193" s="27">
        <v>0.12222222222222222</v>
      </c>
      <c r="Y193" s="27">
        <v>0.53111111111111109</v>
      </c>
      <c r="Z193" s="27">
        <v>4.4444444444444444E-3</v>
      </c>
      <c r="AA193" s="28">
        <v>67.63333333333334</v>
      </c>
      <c r="AB193" s="25">
        <f t="shared" si="14"/>
        <v>0.74</v>
      </c>
    </row>
    <row r="194" spans="1:28" x14ac:dyDescent="0.25">
      <c r="A194" s="24"/>
      <c r="B194" s="24"/>
      <c r="C194" s="24"/>
      <c r="D194" s="24">
        <v>2</v>
      </c>
      <c r="E194" s="24">
        <v>508</v>
      </c>
      <c r="F194" s="24">
        <v>42</v>
      </c>
      <c r="G194" s="24">
        <v>253</v>
      </c>
      <c r="H194" s="24">
        <v>199</v>
      </c>
      <c r="I194" s="24">
        <v>9</v>
      </c>
      <c r="J194" s="24">
        <v>0</v>
      </c>
      <c r="K194" s="24">
        <v>503</v>
      </c>
      <c r="L194" s="24">
        <v>5</v>
      </c>
      <c r="M194" s="24">
        <f t="shared" si="10"/>
        <v>508</v>
      </c>
      <c r="N194" s="24">
        <v>0</v>
      </c>
      <c r="O194" s="25">
        <f t="shared" si="11"/>
        <v>0.39173228346456695</v>
      </c>
      <c r="P194" s="25">
        <f t="shared" si="12"/>
        <v>8.2677165354330714E-2</v>
      </c>
      <c r="Q194" s="25">
        <f t="shared" si="13"/>
        <v>0.49803149606299213</v>
      </c>
      <c r="R194" s="26">
        <v>276</v>
      </c>
      <c r="S194" s="26">
        <v>30</v>
      </c>
      <c r="T194" s="26">
        <v>304</v>
      </c>
      <c r="U194" s="26">
        <v>5</v>
      </c>
      <c r="V194" s="26">
        <v>615</v>
      </c>
      <c r="W194" s="27">
        <v>0.44878048780487806</v>
      </c>
      <c r="X194" s="27">
        <v>4.878048780487805E-2</v>
      </c>
      <c r="Y194" s="27">
        <v>0.49430894308943091</v>
      </c>
      <c r="Z194" s="27">
        <v>8.130081300813009E-3</v>
      </c>
      <c r="AA194" s="28">
        <v>48.346341463414632</v>
      </c>
      <c r="AB194" s="25">
        <f t="shared" si="14"/>
        <v>0.82601626016260166</v>
      </c>
    </row>
    <row r="195" spans="1:28" x14ac:dyDescent="0.25">
      <c r="A195" s="24"/>
      <c r="B195" s="24"/>
      <c r="C195" s="24"/>
      <c r="D195" s="24">
        <v>3</v>
      </c>
      <c r="E195" s="24">
        <v>493</v>
      </c>
      <c r="F195" s="24">
        <v>39</v>
      </c>
      <c r="G195" s="24">
        <v>208</v>
      </c>
      <c r="H195" s="24">
        <v>229</v>
      </c>
      <c r="I195" s="24">
        <v>13</v>
      </c>
      <c r="J195" s="24">
        <v>0</v>
      </c>
      <c r="K195" s="24">
        <v>489</v>
      </c>
      <c r="L195" s="24">
        <v>4</v>
      </c>
      <c r="M195" s="24">
        <f t="shared" ref="M195:M243" si="15">L195+K195</f>
        <v>493</v>
      </c>
      <c r="N195" s="24">
        <v>0</v>
      </c>
      <c r="O195" s="25">
        <f t="shared" ref="O195:O243" si="16">H195/M195</f>
        <v>0.46450304259634889</v>
      </c>
      <c r="P195" s="25">
        <f t="shared" ref="P195:P243" si="17">F195/M195</f>
        <v>7.9107505070993914E-2</v>
      </c>
      <c r="Q195" s="25">
        <f t="shared" ref="Q195:Q243" si="18">G195/M195</f>
        <v>0.42190669371196754</v>
      </c>
      <c r="R195" s="26">
        <v>293</v>
      </c>
      <c r="S195" s="26">
        <v>15</v>
      </c>
      <c r="T195" s="26">
        <v>307</v>
      </c>
      <c r="U195" s="26">
        <v>1</v>
      </c>
      <c r="V195" s="26">
        <v>616</v>
      </c>
      <c r="W195" s="27">
        <v>0.47564935064935066</v>
      </c>
      <c r="X195" s="27">
        <v>2.4350649350649352E-2</v>
      </c>
      <c r="Y195" s="27">
        <v>0.49837662337662336</v>
      </c>
      <c r="Z195" s="27">
        <v>1.6233766233766235E-3</v>
      </c>
      <c r="AA195" s="28">
        <v>28.801948051948052</v>
      </c>
      <c r="AB195" s="25">
        <f t="shared" ref="AB195:AB243" si="19">M195/V195</f>
        <v>0.80032467532467533</v>
      </c>
    </row>
    <row r="196" spans="1:28" x14ac:dyDescent="0.25">
      <c r="A196" s="24">
        <v>39</v>
      </c>
      <c r="B196" s="24" t="s">
        <v>248</v>
      </c>
      <c r="C196" s="24" t="s">
        <v>249</v>
      </c>
      <c r="D196" s="24">
        <v>1</v>
      </c>
      <c r="E196" s="24">
        <v>384</v>
      </c>
      <c r="F196" s="24">
        <v>15</v>
      </c>
      <c r="G196" s="24">
        <v>269</v>
      </c>
      <c r="H196" s="24">
        <v>87</v>
      </c>
      <c r="I196" s="24">
        <v>5</v>
      </c>
      <c r="J196" s="24">
        <v>2</v>
      </c>
      <c r="K196" s="24">
        <v>378</v>
      </c>
      <c r="L196" s="24">
        <v>6</v>
      </c>
      <c r="M196" s="24">
        <f t="shared" si="15"/>
        <v>384</v>
      </c>
      <c r="N196" s="24">
        <v>0</v>
      </c>
      <c r="O196" s="25">
        <f t="shared" si="16"/>
        <v>0.2265625</v>
      </c>
      <c r="P196" s="25">
        <f t="shared" si="17"/>
        <v>3.90625E-2</v>
      </c>
      <c r="Q196" s="25">
        <f t="shared" si="18"/>
        <v>0.70052083333333337</v>
      </c>
      <c r="R196" s="26">
        <v>313</v>
      </c>
      <c r="S196" s="26">
        <v>21</v>
      </c>
      <c r="T196" s="26">
        <v>114</v>
      </c>
      <c r="U196" s="26">
        <v>2</v>
      </c>
      <c r="V196" s="26">
        <v>450</v>
      </c>
      <c r="W196" s="27">
        <v>0.69555555555555559</v>
      </c>
      <c r="X196" s="27">
        <v>4.6666666666666669E-2</v>
      </c>
      <c r="Y196" s="27">
        <v>0.25333333333333335</v>
      </c>
      <c r="Z196" s="27">
        <v>4.4444444444444444E-3</v>
      </c>
      <c r="AA196" s="28">
        <v>63.866666666666667</v>
      </c>
      <c r="AB196" s="25">
        <f t="shared" si="19"/>
        <v>0.85333333333333339</v>
      </c>
    </row>
    <row r="197" spans="1:28" x14ac:dyDescent="0.25">
      <c r="A197" s="24"/>
      <c r="B197" s="24"/>
      <c r="C197" s="24"/>
      <c r="D197" s="24">
        <v>2</v>
      </c>
      <c r="E197" s="24">
        <v>484</v>
      </c>
      <c r="F197" s="24">
        <v>30</v>
      </c>
      <c r="G197" s="24">
        <v>239</v>
      </c>
      <c r="H197" s="24">
        <v>193</v>
      </c>
      <c r="I197" s="24">
        <v>20</v>
      </c>
      <c r="J197" s="24">
        <v>1</v>
      </c>
      <c r="K197" s="24">
        <v>483</v>
      </c>
      <c r="L197" s="24">
        <v>1</v>
      </c>
      <c r="M197" s="24">
        <f t="shared" si="15"/>
        <v>484</v>
      </c>
      <c r="N197" s="24">
        <v>0</v>
      </c>
      <c r="O197" s="25">
        <f t="shared" si="16"/>
        <v>0.3987603305785124</v>
      </c>
      <c r="P197" s="25">
        <f t="shared" si="17"/>
        <v>6.1983471074380167E-2</v>
      </c>
      <c r="Q197" s="25">
        <f t="shared" si="18"/>
        <v>0.493801652892562</v>
      </c>
      <c r="R197" s="26">
        <v>293</v>
      </c>
      <c r="S197" s="26">
        <v>52</v>
      </c>
      <c r="T197" s="26">
        <v>252</v>
      </c>
      <c r="U197" s="26">
        <v>5</v>
      </c>
      <c r="V197" s="26">
        <v>602</v>
      </c>
      <c r="W197" s="27">
        <v>0.48671096345514953</v>
      </c>
      <c r="X197" s="27">
        <v>8.6378737541528236E-2</v>
      </c>
      <c r="Y197" s="27">
        <v>0.41860465116279072</v>
      </c>
      <c r="Z197" s="27">
        <v>8.3056478405315621E-3</v>
      </c>
      <c r="AA197" s="28">
        <v>43.519933554817278</v>
      </c>
      <c r="AB197" s="25">
        <f t="shared" si="19"/>
        <v>0.8039867109634552</v>
      </c>
    </row>
    <row r="198" spans="1:28" x14ac:dyDescent="0.25">
      <c r="A198" s="24"/>
      <c r="B198" s="24"/>
      <c r="C198" s="24"/>
      <c r="D198" s="24">
        <v>3</v>
      </c>
      <c r="E198" s="24">
        <v>499</v>
      </c>
      <c r="F198" s="24">
        <v>14</v>
      </c>
      <c r="G198" s="24">
        <v>247</v>
      </c>
      <c r="H198" s="24">
        <v>208</v>
      </c>
      <c r="I198" s="24">
        <v>28</v>
      </c>
      <c r="J198" s="24">
        <v>0</v>
      </c>
      <c r="K198" s="24">
        <v>497</v>
      </c>
      <c r="L198" s="24">
        <v>2</v>
      </c>
      <c r="M198" s="24">
        <f t="shared" si="15"/>
        <v>499</v>
      </c>
      <c r="N198" s="24">
        <v>0</v>
      </c>
      <c r="O198" s="25">
        <f t="shared" si="16"/>
        <v>0.41683366733466931</v>
      </c>
      <c r="P198" s="25">
        <f t="shared" si="17"/>
        <v>2.8056112224448898E-2</v>
      </c>
      <c r="Q198" s="25">
        <f t="shared" si="18"/>
        <v>0.49498997995991983</v>
      </c>
      <c r="R198" s="26">
        <v>262</v>
      </c>
      <c r="S198" s="26">
        <v>46</v>
      </c>
      <c r="T198" s="26">
        <v>295</v>
      </c>
      <c r="U198" s="26">
        <v>0</v>
      </c>
      <c r="V198" s="26">
        <v>603</v>
      </c>
      <c r="W198" s="27">
        <v>0.43449419568822556</v>
      </c>
      <c r="X198" s="27">
        <v>7.6285240464344942E-2</v>
      </c>
      <c r="Y198" s="27">
        <v>0.48922056384742951</v>
      </c>
      <c r="Z198" s="27">
        <v>0</v>
      </c>
      <c r="AA198" s="28">
        <v>25.802653399668326</v>
      </c>
      <c r="AB198" s="25">
        <f t="shared" si="19"/>
        <v>0.82752902155887231</v>
      </c>
    </row>
    <row r="199" spans="1:28" x14ac:dyDescent="0.25">
      <c r="A199" s="24">
        <v>40</v>
      </c>
      <c r="B199" s="24" t="s">
        <v>250</v>
      </c>
      <c r="C199" s="24" t="s">
        <v>251</v>
      </c>
      <c r="D199" s="24">
        <v>1</v>
      </c>
      <c r="E199" s="24">
        <v>396</v>
      </c>
      <c r="F199" s="24">
        <v>23</v>
      </c>
      <c r="G199" s="24">
        <v>238</v>
      </c>
      <c r="H199" s="24">
        <v>122</v>
      </c>
      <c r="I199" s="24">
        <v>2</v>
      </c>
      <c r="J199" s="24">
        <v>0</v>
      </c>
      <c r="K199" s="24">
        <v>385</v>
      </c>
      <c r="L199" s="24">
        <v>11</v>
      </c>
      <c r="M199" s="24">
        <f t="shared" si="15"/>
        <v>396</v>
      </c>
      <c r="N199" s="24">
        <v>0</v>
      </c>
      <c r="O199" s="25">
        <f t="shared" si="16"/>
        <v>0.30808080808080807</v>
      </c>
      <c r="P199" s="25">
        <f t="shared" si="17"/>
        <v>5.808080808080808E-2</v>
      </c>
      <c r="Q199" s="25">
        <f t="shared" si="18"/>
        <v>0.60101010101010099</v>
      </c>
      <c r="R199" s="26">
        <v>256</v>
      </c>
      <c r="S199" s="26">
        <v>54</v>
      </c>
      <c r="T199" s="26">
        <v>136</v>
      </c>
      <c r="U199" s="26">
        <v>4</v>
      </c>
      <c r="V199" s="26">
        <v>450</v>
      </c>
      <c r="W199" s="27">
        <v>0.56888888888888889</v>
      </c>
      <c r="X199" s="27">
        <v>0.12</v>
      </c>
      <c r="Y199" s="27">
        <v>0.30222222222222223</v>
      </c>
      <c r="Z199" s="27">
        <v>8.8888888888888889E-3</v>
      </c>
      <c r="AA199" s="28">
        <v>59.726666666666667</v>
      </c>
      <c r="AB199" s="25">
        <f t="shared" si="19"/>
        <v>0.88</v>
      </c>
    </row>
    <row r="200" spans="1:28" x14ac:dyDescent="0.25">
      <c r="A200" s="24"/>
      <c r="B200" s="24"/>
      <c r="C200" s="24"/>
      <c r="D200" s="24">
        <v>2</v>
      </c>
      <c r="E200" s="24">
        <v>554</v>
      </c>
      <c r="F200" s="24">
        <v>59</v>
      </c>
      <c r="G200" s="24">
        <v>263</v>
      </c>
      <c r="H200" s="24">
        <v>215</v>
      </c>
      <c r="I200" s="24">
        <v>1</v>
      </c>
      <c r="J200" s="24">
        <v>1</v>
      </c>
      <c r="K200" s="24">
        <v>539</v>
      </c>
      <c r="L200" s="24">
        <v>15</v>
      </c>
      <c r="M200" s="24">
        <f t="shared" si="15"/>
        <v>554</v>
      </c>
      <c r="N200" s="24">
        <v>0</v>
      </c>
      <c r="O200" s="25">
        <f t="shared" si="16"/>
        <v>0.388086642599278</v>
      </c>
      <c r="P200" s="25">
        <f t="shared" si="17"/>
        <v>0.10649819494584838</v>
      </c>
      <c r="Q200" s="25">
        <f t="shared" si="18"/>
        <v>0.47472924187725629</v>
      </c>
      <c r="R200" s="26">
        <v>351</v>
      </c>
      <c r="S200" s="26">
        <v>85</v>
      </c>
      <c r="T200" s="26">
        <v>198</v>
      </c>
      <c r="U200" s="26">
        <v>5</v>
      </c>
      <c r="V200" s="26">
        <v>639</v>
      </c>
      <c r="W200" s="27">
        <v>0.54929577464788737</v>
      </c>
      <c r="X200" s="27">
        <v>0.13302034428794993</v>
      </c>
      <c r="Y200" s="27">
        <v>0.30985915492957744</v>
      </c>
      <c r="Z200" s="27">
        <v>7.8247261345852897E-3</v>
      </c>
      <c r="AA200" s="28">
        <v>47.591549295774648</v>
      </c>
      <c r="AB200" s="25">
        <f t="shared" si="19"/>
        <v>0.86697965571205005</v>
      </c>
    </row>
    <row r="201" spans="1:28" x14ac:dyDescent="0.25">
      <c r="A201" s="24"/>
      <c r="B201" s="24"/>
      <c r="C201" s="24"/>
      <c r="D201" s="24">
        <v>3</v>
      </c>
      <c r="E201" s="24">
        <v>506</v>
      </c>
      <c r="F201" s="24">
        <v>42</v>
      </c>
      <c r="G201" s="24">
        <v>237</v>
      </c>
      <c r="H201" s="24">
        <v>224</v>
      </c>
      <c r="I201" s="24">
        <v>1</v>
      </c>
      <c r="J201" s="24">
        <v>0</v>
      </c>
      <c r="K201" s="24">
        <v>504</v>
      </c>
      <c r="L201" s="24">
        <v>2</v>
      </c>
      <c r="M201" s="24">
        <f t="shared" si="15"/>
        <v>506</v>
      </c>
      <c r="N201" s="24">
        <v>0</v>
      </c>
      <c r="O201" s="25">
        <f t="shared" si="16"/>
        <v>0.44268774703557312</v>
      </c>
      <c r="P201" s="25">
        <f t="shared" si="17"/>
        <v>8.3003952569169967E-2</v>
      </c>
      <c r="Q201" s="25">
        <f t="shared" si="18"/>
        <v>0.46837944664031622</v>
      </c>
      <c r="R201" s="26">
        <v>314</v>
      </c>
      <c r="S201" s="26">
        <v>100</v>
      </c>
      <c r="T201" s="26">
        <v>221</v>
      </c>
      <c r="U201" s="26">
        <v>4</v>
      </c>
      <c r="V201" s="26">
        <v>639</v>
      </c>
      <c r="W201" s="27">
        <v>0.49139280125195617</v>
      </c>
      <c r="X201" s="27">
        <v>0.1564945226917058</v>
      </c>
      <c r="Y201" s="27">
        <v>0.34585289514866979</v>
      </c>
      <c r="Z201" s="27">
        <v>6.2597809076682318E-3</v>
      </c>
      <c r="AA201" s="28">
        <v>35.721439749608763</v>
      </c>
      <c r="AB201" s="25">
        <f t="shared" si="19"/>
        <v>0.79186228482003129</v>
      </c>
    </row>
    <row r="202" spans="1:28" x14ac:dyDescent="0.25">
      <c r="A202" s="24"/>
      <c r="B202" s="24"/>
      <c r="C202" s="24"/>
      <c r="D202" s="24">
        <v>4</v>
      </c>
      <c r="E202" s="24">
        <v>500</v>
      </c>
      <c r="F202" s="24">
        <v>67</v>
      </c>
      <c r="G202" s="24">
        <v>245</v>
      </c>
      <c r="H202" s="24">
        <v>184</v>
      </c>
      <c r="I202" s="24">
        <v>2</v>
      </c>
      <c r="J202" s="24">
        <v>2</v>
      </c>
      <c r="K202" s="24">
        <v>500</v>
      </c>
      <c r="L202" s="24">
        <v>0</v>
      </c>
      <c r="M202" s="24">
        <f t="shared" si="15"/>
        <v>500</v>
      </c>
      <c r="N202" s="24">
        <v>0</v>
      </c>
      <c r="O202" s="25">
        <f t="shared" si="16"/>
        <v>0.36799999999999999</v>
      </c>
      <c r="P202" s="25">
        <f t="shared" si="17"/>
        <v>0.13400000000000001</v>
      </c>
      <c r="Q202" s="25">
        <f t="shared" si="18"/>
        <v>0.49</v>
      </c>
      <c r="R202" s="26">
        <v>400</v>
      </c>
      <c r="S202" s="26">
        <v>70</v>
      </c>
      <c r="T202" s="26">
        <v>169</v>
      </c>
      <c r="U202" s="26">
        <v>0</v>
      </c>
      <c r="V202" s="26">
        <v>639</v>
      </c>
      <c r="W202" s="27">
        <v>0.6259780907668232</v>
      </c>
      <c r="X202" s="27">
        <v>0.10954616588419405</v>
      </c>
      <c r="Y202" s="27">
        <v>0.26447574334898277</v>
      </c>
      <c r="Z202" s="27">
        <v>0</v>
      </c>
      <c r="AA202" s="28">
        <v>27.679186228482003</v>
      </c>
      <c r="AB202" s="25">
        <f t="shared" si="19"/>
        <v>0.78247261345852892</v>
      </c>
    </row>
    <row r="203" spans="1:28" x14ac:dyDescent="0.25">
      <c r="A203" s="24"/>
      <c r="B203" s="24"/>
      <c r="C203" s="24"/>
      <c r="D203" s="24">
        <v>5</v>
      </c>
      <c r="E203" s="24">
        <v>551</v>
      </c>
      <c r="F203" s="24">
        <v>78</v>
      </c>
      <c r="G203" s="24">
        <v>263</v>
      </c>
      <c r="H203" s="24">
        <v>210</v>
      </c>
      <c r="I203" s="24">
        <v>0</v>
      </c>
      <c r="J203" s="24">
        <v>0</v>
      </c>
      <c r="K203" s="24">
        <v>551</v>
      </c>
      <c r="L203" s="24">
        <v>0</v>
      </c>
      <c r="M203" s="24">
        <f t="shared" si="15"/>
        <v>551</v>
      </c>
      <c r="N203" s="24">
        <v>0</v>
      </c>
      <c r="O203" s="25">
        <f t="shared" si="16"/>
        <v>0.38112522686025407</v>
      </c>
      <c r="P203" s="25">
        <f t="shared" si="17"/>
        <v>0.14156079854809436</v>
      </c>
      <c r="Q203" s="25">
        <f t="shared" si="18"/>
        <v>0.47731397459165154</v>
      </c>
      <c r="R203" s="26">
        <v>436</v>
      </c>
      <c r="S203" s="26">
        <v>56</v>
      </c>
      <c r="T203" s="26">
        <v>147</v>
      </c>
      <c r="U203" s="26">
        <v>0</v>
      </c>
      <c r="V203" s="26">
        <v>639</v>
      </c>
      <c r="W203" s="27">
        <v>0.68231611893583721</v>
      </c>
      <c r="X203" s="27">
        <v>8.7636932707355245E-2</v>
      </c>
      <c r="Y203" s="27">
        <v>0.2300469483568075</v>
      </c>
      <c r="Z203" s="27">
        <v>0</v>
      </c>
      <c r="AA203" s="28">
        <v>21.103286384976524</v>
      </c>
      <c r="AB203" s="25">
        <f t="shared" si="19"/>
        <v>0.86228482003129892</v>
      </c>
    </row>
    <row r="204" spans="1:28" x14ac:dyDescent="0.25">
      <c r="A204" s="24">
        <v>41</v>
      </c>
      <c r="B204" s="24" t="s">
        <v>252</v>
      </c>
      <c r="C204" s="24" t="s">
        <v>253</v>
      </c>
      <c r="D204" s="24">
        <v>1</v>
      </c>
      <c r="E204" s="24">
        <v>368</v>
      </c>
      <c r="F204" s="24">
        <v>7</v>
      </c>
      <c r="G204" s="24">
        <v>148</v>
      </c>
      <c r="H204" s="24">
        <v>191</v>
      </c>
      <c r="I204" s="24">
        <v>12</v>
      </c>
      <c r="J204" s="24">
        <v>0</v>
      </c>
      <c r="K204" s="24">
        <v>358</v>
      </c>
      <c r="L204" s="24">
        <v>10</v>
      </c>
      <c r="M204" s="24">
        <f t="shared" si="15"/>
        <v>368</v>
      </c>
      <c r="N204" s="24">
        <v>0</v>
      </c>
      <c r="O204" s="25">
        <f t="shared" si="16"/>
        <v>0.51902173913043481</v>
      </c>
      <c r="P204" s="25">
        <f t="shared" si="17"/>
        <v>1.9021739130434784E-2</v>
      </c>
      <c r="Q204" s="25">
        <f t="shared" si="18"/>
        <v>0.40217391304347827</v>
      </c>
      <c r="R204" s="26">
        <v>75</v>
      </c>
      <c r="S204" s="26">
        <v>181</v>
      </c>
      <c r="T204" s="26">
        <v>192</v>
      </c>
      <c r="U204" s="26">
        <v>2</v>
      </c>
      <c r="V204" s="26">
        <v>450</v>
      </c>
      <c r="W204" s="27">
        <v>0.16666666666666666</v>
      </c>
      <c r="X204" s="27">
        <v>0.4022222222222222</v>
      </c>
      <c r="Y204" s="27">
        <v>0.42666666666666669</v>
      </c>
      <c r="Z204" s="27">
        <v>4.4444444444444444E-3</v>
      </c>
      <c r="AA204" s="28">
        <v>63.346666666666664</v>
      </c>
      <c r="AB204" s="25">
        <f t="shared" si="19"/>
        <v>0.81777777777777783</v>
      </c>
    </row>
    <row r="205" spans="1:28" x14ac:dyDescent="0.25">
      <c r="A205" s="24"/>
      <c r="B205" s="24"/>
      <c r="C205" s="24"/>
      <c r="D205" s="24">
        <v>2</v>
      </c>
      <c r="E205" s="24">
        <v>525</v>
      </c>
      <c r="F205" s="24">
        <v>16</v>
      </c>
      <c r="G205" s="24">
        <v>197</v>
      </c>
      <c r="H205" s="24">
        <v>303</v>
      </c>
      <c r="I205" s="24">
        <v>4</v>
      </c>
      <c r="J205" s="24">
        <v>2</v>
      </c>
      <c r="K205" s="24">
        <v>522</v>
      </c>
      <c r="L205" s="24">
        <v>3</v>
      </c>
      <c r="M205" s="24">
        <f t="shared" si="15"/>
        <v>525</v>
      </c>
      <c r="N205" s="24">
        <v>0</v>
      </c>
      <c r="O205" s="25">
        <f t="shared" si="16"/>
        <v>0.57714285714285718</v>
      </c>
      <c r="P205" s="25">
        <f t="shared" si="17"/>
        <v>3.0476190476190476E-2</v>
      </c>
      <c r="Q205" s="25">
        <f t="shared" si="18"/>
        <v>0.37523809523809526</v>
      </c>
      <c r="R205" s="26">
        <v>150</v>
      </c>
      <c r="S205" s="26">
        <v>257</v>
      </c>
      <c r="T205" s="26">
        <v>199</v>
      </c>
      <c r="U205" s="26">
        <v>5</v>
      </c>
      <c r="V205" s="26">
        <v>611</v>
      </c>
      <c r="W205" s="27">
        <v>0.24549918166939444</v>
      </c>
      <c r="X205" s="27">
        <v>0.42062193126022912</v>
      </c>
      <c r="Y205" s="27">
        <v>0.32569558101472995</v>
      </c>
      <c r="Z205" s="27">
        <v>8.1833060556464818E-3</v>
      </c>
      <c r="AA205" s="28">
        <v>51.040916530278231</v>
      </c>
      <c r="AB205" s="25">
        <f t="shared" si="19"/>
        <v>0.85924713584288048</v>
      </c>
    </row>
    <row r="206" spans="1:28" x14ac:dyDescent="0.25">
      <c r="A206" s="24"/>
      <c r="B206" s="24"/>
      <c r="C206" s="24"/>
      <c r="D206" s="24">
        <v>3</v>
      </c>
      <c r="E206" s="24">
        <v>499</v>
      </c>
      <c r="F206" s="24">
        <v>16</v>
      </c>
      <c r="G206" s="24">
        <v>137</v>
      </c>
      <c r="H206" s="24">
        <v>337</v>
      </c>
      <c r="I206" s="24">
        <v>4</v>
      </c>
      <c r="J206" s="24">
        <v>1</v>
      </c>
      <c r="K206" s="24">
        <v>495</v>
      </c>
      <c r="L206" s="24">
        <v>4</v>
      </c>
      <c r="M206" s="24">
        <f t="shared" si="15"/>
        <v>499</v>
      </c>
      <c r="N206" s="24">
        <v>0</v>
      </c>
      <c r="O206" s="25">
        <f t="shared" si="16"/>
        <v>0.67535070140280562</v>
      </c>
      <c r="P206" s="25">
        <f t="shared" si="17"/>
        <v>3.2064128256513023E-2</v>
      </c>
      <c r="Q206" s="25">
        <f t="shared" si="18"/>
        <v>0.27454909819639278</v>
      </c>
      <c r="R206" s="26">
        <v>98</v>
      </c>
      <c r="S206" s="26">
        <v>251</v>
      </c>
      <c r="T206" s="26">
        <v>259</v>
      </c>
      <c r="U206" s="26">
        <v>3</v>
      </c>
      <c r="V206" s="26">
        <v>611</v>
      </c>
      <c r="W206" s="27">
        <v>0.16039279869067102</v>
      </c>
      <c r="X206" s="27">
        <v>0.41080196399345337</v>
      </c>
      <c r="Y206" s="27">
        <v>0.4238952536824877</v>
      </c>
      <c r="Z206" s="27">
        <v>4.9099836333878887E-3</v>
      </c>
      <c r="AA206" s="28">
        <v>41.173486088379704</v>
      </c>
      <c r="AB206" s="25">
        <f t="shared" si="19"/>
        <v>0.81669394435351883</v>
      </c>
    </row>
    <row r="207" spans="1:28" x14ac:dyDescent="0.25">
      <c r="A207" s="24"/>
      <c r="B207" s="24"/>
      <c r="C207" s="24"/>
      <c r="D207" s="24">
        <v>4</v>
      </c>
      <c r="E207" s="24">
        <v>489</v>
      </c>
      <c r="F207" s="24">
        <v>23</v>
      </c>
      <c r="G207" s="24">
        <v>150</v>
      </c>
      <c r="H207" s="24">
        <v>303</v>
      </c>
      <c r="I207" s="24">
        <v>10</v>
      </c>
      <c r="J207" s="24">
        <v>0</v>
      </c>
      <c r="K207" s="24">
        <v>486</v>
      </c>
      <c r="L207" s="24">
        <v>3</v>
      </c>
      <c r="M207" s="24">
        <f t="shared" si="15"/>
        <v>489</v>
      </c>
      <c r="N207" s="24">
        <v>0</v>
      </c>
      <c r="O207" s="25">
        <f t="shared" si="16"/>
        <v>0.61963190184049077</v>
      </c>
      <c r="P207" s="25">
        <f t="shared" si="17"/>
        <v>4.7034764826175871E-2</v>
      </c>
      <c r="Q207" s="25">
        <f t="shared" si="18"/>
        <v>0.30674846625766872</v>
      </c>
      <c r="R207" s="26">
        <v>153</v>
      </c>
      <c r="S207" s="26">
        <v>203</v>
      </c>
      <c r="T207" s="26">
        <v>252</v>
      </c>
      <c r="U207" s="26">
        <v>3</v>
      </c>
      <c r="V207" s="26">
        <v>611</v>
      </c>
      <c r="W207" s="27">
        <v>0.25040916530278234</v>
      </c>
      <c r="X207" s="27">
        <v>0.33224222585924712</v>
      </c>
      <c r="Y207" s="27">
        <v>0.41243862520458263</v>
      </c>
      <c r="Z207" s="27">
        <v>4.9099836333878887E-3</v>
      </c>
      <c r="AA207" s="28">
        <v>33.779050736497545</v>
      </c>
      <c r="AB207" s="25">
        <f t="shared" si="19"/>
        <v>0.80032733224222585</v>
      </c>
    </row>
    <row r="208" spans="1:28" x14ac:dyDescent="0.25">
      <c r="A208" s="24"/>
      <c r="B208" s="24"/>
      <c r="C208" s="24"/>
      <c r="D208" s="24">
        <v>5</v>
      </c>
      <c r="E208" s="24">
        <v>445</v>
      </c>
      <c r="F208" s="24">
        <v>24</v>
      </c>
      <c r="G208" s="24">
        <v>114</v>
      </c>
      <c r="H208" s="24">
        <v>292</v>
      </c>
      <c r="I208" s="24">
        <v>13</v>
      </c>
      <c r="J208" s="24">
        <v>0</v>
      </c>
      <c r="K208" s="24">
        <v>443</v>
      </c>
      <c r="L208" s="24">
        <v>2</v>
      </c>
      <c r="M208" s="24">
        <f t="shared" si="15"/>
        <v>445</v>
      </c>
      <c r="N208" s="24">
        <v>0</v>
      </c>
      <c r="O208" s="25">
        <f t="shared" si="16"/>
        <v>0.65617977528089888</v>
      </c>
      <c r="P208" s="25">
        <f t="shared" si="17"/>
        <v>5.3932584269662923E-2</v>
      </c>
      <c r="Q208" s="25">
        <f t="shared" si="18"/>
        <v>0.25617977528089886</v>
      </c>
      <c r="R208" s="26">
        <v>159</v>
      </c>
      <c r="S208" s="26">
        <v>204</v>
      </c>
      <c r="T208" s="26">
        <v>248</v>
      </c>
      <c r="U208" s="26">
        <v>0</v>
      </c>
      <c r="V208" s="26">
        <v>611</v>
      </c>
      <c r="W208" s="27">
        <v>0.2602291325695581</v>
      </c>
      <c r="X208" s="27">
        <v>0.33387888707037644</v>
      </c>
      <c r="Y208" s="27">
        <v>0.40589198036006546</v>
      </c>
      <c r="Z208" s="27">
        <v>0</v>
      </c>
      <c r="AA208" s="28">
        <v>27.135842880523732</v>
      </c>
      <c r="AB208" s="25">
        <f t="shared" si="19"/>
        <v>0.72831423895253677</v>
      </c>
    </row>
    <row r="209" spans="1:28" x14ac:dyDescent="0.25">
      <c r="A209" s="24"/>
      <c r="B209" s="24"/>
      <c r="C209" s="24"/>
      <c r="D209" s="24">
        <v>6</v>
      </c>
      <c r="E209" s="24">
        <v>507</v>
      </c>
      <c r="F209" s="24">
        <v>21</v>
      </c>
      <c r="G209" s="24">
        <v>155</v>
      </c>
      <c r="H209" s="24">
        <v>314</v>
      </c>
      <c r="I209" s="24">
        <v>15</v>
      </c>
      <c r="J209" s="24">
        <v>0</v>
      </c>
      <c r="K209" s="24">
        <v>505</v>
      </c>
      <c r="L209" s="24">
        <v>2</v>
      </c>
      <c r="M209" s="24">
        <f t="shared" si="15"/>
        <v>507</v>
      </c>
      <c r="N209" s="24">
        <v>0</v>
      </c>
      <c r="O209" s="25">
        <f t="shared" si="16"/>
        <v>0.61932938856015785</v>
      </c>
      <c r="P209" s="25">
        <f t="shared" si="17"/>
        <v>4.142011834319527E-2</v>
      </c>
      <c r="Q209" s="25">
        <f t="shared" si="18"/>
        <v>0.3057199211045365</v>
      </c>
      <c r="R209" s="26">
        <v>185</v>
      </c>
      <c r="S209" s="26">
        <v>173</v>
      </c>
      <c r="T209" s="26">
        <v>257</v>
      </c>
      <c r="U209" s="26">
        <v>0</v>
      </c>
      <c r="V209" s="26">
        <v>615</v>
      </c>
      <c r="W209" s="27">
        <v>0.30081300813008133</v>
      </c>
      <c r="X209" s="27">
        <v>0.28130081300813009</v>
      </c>
      <c r="Y209" s="27">
        <v>0.41788617886178864</v>
      </c>
      <c r="Z209" s="27">
        <v>0</v>
      </c>
      <c r="AA209" s="28">
        <v>21.040650406504064</v>
      </c>
      <c r="AB209" s="25">
        <f t="shared" si="19"/>
        <v>0.82439024390243898</v>
      </c>
    </row>
    <row r="210" spans="1:28" x14ac:dyDescent="0.25">
      <c r="A210" s="24">
        <v>42</v>
      </c>
      <c r="B210" s="24" t="s">
        <v>254</v>
      </c>
      <c r="C210" s="24" t="s">
        <v>255</v>
      </c>
      <c r="D210" s="24">
        <v>1</v>
      </c>
      <c r="E210" s="24">
        <v>346</v>
      </c>
      <c r="F210" s="24">
        <v>38</v>
      </c>
      <c r="G210" s="24">
        <v>228</v>
      </c>
      <c r="H210" s="24">
        <v>74</v>
      </c>
      <c r="I210" s="24">
        <v>1</v>
      </c>
      <c r="J210" s="24">
        <v>2</v>
      </c>
      <c r="K210" s="24">
        <v>343</v>
      </c>
      <c r="L210" s="24">
        <v>3</v>
      </c>
      <c r="M210" s="24">
        <f t="shared" si="15"/>
        <v>346</v>
      </c>
      <c r="N210" s="24">
        <v>0</v>
      </c>
      <c r="O210" s="25">
        <f t="shared" si="16"/>
        <v>0.2138728323699422</v>
      </c>
      <c r="P210" s="25">
        <f t="shared" si="17"/>
        <v>0.10982658959537572</v>
      </c>
      <c r="Q210" s="25">
        <f t="shared" si="18"/>
        <v>0.65895953757225434</v>
      </c>
      <c r="R210" s="26">
        <v>426</v>
      </c>
      <c r="S210" s="26">
        <v>12</v>
      </c>
      <c r="T210" s="26">
        <v>0</v>
      </c>
      <c r="U210" s="26">
        <v>12</v>
      </c>
      <c r="V210" s="26">
        <v>450</v>
      </c>
      <c r="W210" s="27">
        <v>0.94666666666666666</v>
      </c>
      <c r="X210" s="27">
        <v>2.6666666666666668E-2</v>
      </c>
      <c r="Y210" s="27">
        <v>0</v>
      </c>
      <c r="Z210" s="27">
        <v>2.6666666666666668E-2</v>
      </c>
      <c r="AA210" s="28">
        <v>65.864444444444445</v>
      </c>
      <c r="AB210" s="25">
        <f t="shared" si="19"/>
        <v>0.76888888888888884</v>
      </c>
    </row>
    <row r="211" spans="1:28" x14ac:dyDescent="0.25">
      <c r="A211" s="24"/>
      <c r="B211" s="24"/>
      <c r="C211" s="24"/>
      <c r="D211" s="24">
        <v>2</v>
      </c>
      <c r="E211" s="24">
        <v>577</v>
      </c>
      <c r="F211" s="24">
        <v>100</v>
      </c>
      <c r="G211" s="24">
        <v>344</v>
      </c>
      <c r="H211" s="24">
        <v>126</v>
      </c>
      <c r="I211" s="24">
        <v>1</v>
      </c>
      <c r="J211" s="24">
        <v>2</v>
      </c>
      <c r="K211" s="24">
        <v>573</v>
      </c>
      <c r="L211" s="24">
        <v>4</v>
      </c>
      <c r="M211" s="24">
        <f t="shared" si="15"/>
        <v>577</v>
      </c>
      <c r="N211" s="24">
        <v>0</v>
      </c>
      <c r="O211" s="25">
        <f t="shared" si="16"/>
        <v>0.21837088388214904</v>
      </c>
      <c r="P211" s="25">
        <f t="shared" si="17"/>
        <v>0.1733102253032929</v>
      </c>
      <c r="Q211" s="25">
        <f t="shared" si="18"/>
        <v>0.59618717504332752</v>
      </c>
      <c r="R211" s="26">
        <v>637</v>
      </c>
      <c r="S211" s="26">
        <v>6</v>
      </c>
      <c r="T211" s="26">
        <v>5</v>
      </c>
      <c r="U211" s="26">
        <v>60</v>
      </c>
      <c r="V211" s="26">
        <v>708</v>
      </c>
      <c r="W211" s="27">
        <v>0.89971751412429379</v>
      </c>
      <c r="X211" s="27">
        <v>8.4745762711864406E-3</v>
      </c>
      <c r="Y211" s="27">
        <v>7.0621468926553672E-3</v>
      </c>
      <c r="Z211" s="27">
        <v>8.4745762711864403E-2</v>
      </c>
      <c r="AA211" s="28">
        <v>35.426553672316388</v>
      </c>
      <c r="AB211" s="25">
        <f t="shared" si="19"/>
        <v>0.81497175141242939</v>
      </c>
    </row>
    <row r="212" spans="1:28" x14ac:dyDescent="0.25">
      <c r="A212" s="24">
        <v>43</v>
      </c>
      <c r="B212" s="24" t="s">
        <v>256</v>
      </c>
      <c r="C212" s="24" t="s">
        <v>257</v>
      </c>
      <c r="D212" s="24">
        <v>1</v>
      </c>
      <c r="E212" s="24">
        <v>327</v>
      </c>
      <c r="F212" s="24">
        <v>35</v>
      </c>
      <c r="G212" s="24">
        <v>237</v>
      </c>
      <c r="H212" s="24">
        <v>42</v>
      </c>
      <c r="I212" s="24">
        <v>0</v>
      </c>
      <c r="J212" s="24">
        <v>3</v>
      </c>
      <c r="K212" s="24">
        <v>317</v>
      </c>
      <c r="L212" s="24">
        <v>10</v>
      </c>
      <c r="M212" s="24">
        <f t="shared" si="15"/>
        <v>327</v>
      </c>
      <c r="N212" s="24">
        <v>0</v>
      </c>
      <c r="O212" s="25">
        <f t="shared" si="16"/>
        <v>0.12844036697247707</v>
      </c>
      <c r="P212" s="25">
        <f t="shared" si="17"/>
        <v>0.10703363914373089</v>
      </c>
      <c r="Q212" s="25">
        <f t="shared" si="18"/>
        <v>0.72477064220183485</v>
      </c>
      <c r="R212" s="26">
        <v>423</v>
      </c>
      <c r="S212" s="26">
        <v>17</v>
      </c>
      <c r="T212" s="26">
        <v>7</v>
      </c>
      <c r="U212" s="26">
        <v>3</v>
      </c>
      <c r="V212" s="26">
        <v>450</v>
      </c>
      <c r="W212" s="27">
        <v>0.94</v>
      </c>
      <c r="X212" s="27">
        <v>3.7777777777777778E-2</v>
      </c>
      <c r="Y212" s="27">
        <v>1.5555555555555555E-2</v>
      </c>
      <c r="Z212" s="27">
        <v>6.6666666666666671E-3</v>
      </c>
      <c r="AA212" s="28">
        <v>68.12222222222222</v>
      </c>
      <c r="AB212" s="25">
        <f t="shared" si="19"/>
        <v>0.72666666666666668</v>
      </c>
    </row>
    <row r="213" spans="1:28" x14ac:dyDescent="0.25">
      <c r="A213" s="24"/>
      <c r="B213" s="24"/>
      <c r="C213" s="24"/>
      <c r="D213" s="24">
        <v>2</v>
      </c>
      <c r="E213" s="24">
        <v>520</v>
      </c>
      <c r="F213" s="24">
        <v>115</v>
      </c>
      <c r="G213" s="24">
        <v>293</v>
      </c>
      <c r="H213" s="24">
        <v>106</v>
      </c>
      <c r="I213" s="24">
        <v>2</v>
      </c>
      <c r="J213" s="24">
        <v>2</v>
      </c>
      <c r="K213" s="24">
        <v>518</v>
      </c>
      <c r="L213" s="24">
        <v>2</v>
      </c>
      <c r="M213" s="24">
        <f t="shared" si="15"/>
        <v>520</v>
      </c>
      <c r="N213" s="24">
        <v>0</v>
      </c>
      <c r="O213" s="25">
        <f t="shared" si="16"/>
        <v>0.20384615384615384</v>
      </c>
      <c r="P213" s="25">
        <f t="shared" si="17"/>
        <v>0.22115384615384615</v>
      </c>
      <c r="Q213" s="25">
        <f t="shared" si="18"/>
        <v>0.56346153846153846</v>
      </c>
      <c r="R213" s="26">
        <v>600</v>
      </c>
      <c r="S213" s="26">
        <v>28</v>
      </c>
      <c r="T213" s="26">
        <v>27</v>
      </c>
      <c r="U213" s="26">
        <v>0</v>
      </c>
      <c r="V213" s="26">
        <v>655</v>
      </c>
      <c r="W213" s="27">
        <v>0.91603053435114501</v>
      </c>
      <c r="X213" s="27">
        <v>4.2748091603053436E-2</v>
      </c>
      <c r="Y213" s="27">
        <v>4.1221374045801527E-2</v>
      </c>
      <c r="Z213" s="27">
        <v>0</v>
      </c>
      <c r="AA213" s="28">
        <v>48.558778625954197</v>
      </c>
      <c r="AB213" s="25">
        <f t="shared" si="19"/>
        <v>0.79389312977099236</v>
      </c>
    </row>
    <row r="214" spans="1:28" x14ac:dyDescent="0.25">
      <c r="A214" s="24"/>
      <c r="B214" s="24"/>
      <c r="C214" s="24"/>
      <c r="D214" s="24">
        <v>3</v>
      </c>
      <c r="E214" s="24">
        <v>516</v>
      </c>
      <c r="F214" s="24">
        <v>118</v>
      </c>
      <c r="G214" s="24">
        <v>286</v>
      </c>
      <c r="H214" s="24">
        <v>105</v>
      </c>
      <c r="I214" s="24">
        <v>0</v>
      </c>
      <c r="J214" s="24">
        <v>7</v>
      </c>
      <c r="K214" s="24">
        <v>516</v>
      </c>
      <c r="L214" s="24">
        <v>0</v>
      </c>
      <c r="M214" s="24">
        <f t="shared" si="15"/>
        <v>516</v>
      </c>
      <c r="N214" s="24">
        <v>0</v>
      </c>
      <c r="O214" s="25">
        <f t="shared" si="16"/>
        <v>0.20348837209302326</v>
      </c>
      <c r="P214" s="25">
        <f t="shared" si="17"/>
        <v>0.22868217054263565</v>
      </c>
      <c r="Q214" s="25">
        <f t="shared" si="18"/>
        <v>0.55426356589147285</v>
      </c>
      <c r="R214" s="26">
        <v>614</v>
      </c>
      <c r="S214" s="26">
        <v>17</v>
      </c>
      <c r="T214" s="26">
        <v>22</v>
      </c>
      <c r="U214" s="26">
        <v>2</v>
      </c>
      <c r="V214" s="26">
        <v>655</v>
      </c>
      <c r="W214" s="27">
        <v>0.93740458015267181</v>
      </c>
      <c r="X214" s="27">
        <v>2.5954198473282442E-2</v>
      </c>
      <c r="Y214" s="27">
        <v>3.3587786259541987E-2</v>
      </c>
      <c r="Z214" s="27">
        <v>3.0534351145038168E-3</v>
      </c>
      <c r="AA214" s="28">
        <v>29.076335877862597</v>
      </c>
      <c r="AB214" s="25">
        <f t="shared" si="19"/>
        <v>0.78778625954198478</v>
      </c>
    </row>
    <row r="215" spans="1:28" x14ac:dyDescent="0.25">
      <c r="A215" s="24">
        <v>44</v>
      </c>
      <c r="B215" s="24" t="s">
        <v>258</v>
      </c>
      <c r="C215" s="24" t="s">
        <v>259</v>
      </c>
      <c r="D215" s="24">
        <v>1</v>
      </c>
      <c r="E215" s="24">
        <v>321</v>
      </c>
      <c r="F215" s="24">
        <v>57</v>
      </c>
      <c r="G215" s="24">
        <v>217</v>
      </c>
      <c r="H215" s="24">
        <v>44</v>
      </c>
      <c r="I215" s="24">
        <v>0</v>
      </c>
      <c r="J215" s="24">
        <v>1</v>
      </c>
      <c r="K215" s="24">
        <v>319</v>
      </c>
      <c r="L215" s="24">
        <v>2</v>
      </c>
      <c r="M215" s="24">
        <f t="shared" si="15"/>
        <v>321</v>
      </c>
      <c r="N215" s="24">
        <v>0</v>
      </c>
      <c r="O215" s="25">
        <f t="shared" si="16"/>
        <v>0.13707165109034267</v>
      </c>
      <c r="P215" s="25">
        <f t="shared" si="17"/>
        <v>0.17757009345794392</v>
      </c>
      <c r="Q215" s="25">
        <f t="shared" si="18"/>
        <v>0.67601246105919</v>
      </c>
      <c r="R215" s="26">
        <v>385</v>
      </c>
      <c r="S215" s="26">
        <v>9</v>
      </c>
      <c r="T215" s="26">
        <v>6</v>
      </c>
      <c r="U215" s="26">
        <v>0</v>
      </c>
      <c r="V215" s="26">
        <v>400</v>
      </c>
      <c r="W215" s="27">
        <v>0.96250000000000002</v>
      </c>
      <c r="X215" s="27">
        <v>2.2499999999999999E-2</v>
      </c>
      <c r="Y215" s="27">
        <v>1.4999999999999999E-2</v>
      </c>
      <c r="Z215" s="27">
        <v>0</v>
      </c>
      <c r="AA215" s="28">
        <v>62.842500000000001</v>
      </c>
      <c r="AB215" s="25">
        <f t="shared" si="19"/>
        <v>0.80249999999999999</v>
      </c>
    </row>
    <row r="216" spans="1:28" x14ac:dyDescent="0.25">
      <c r="A216" s="24"/>
      <c r="B216" s="24"/>
      <c r="C216" s="24"/>
      <c r="D216" s="24">
        <v>2</v>
      </c>
      <c r="E216" s="24">
        <v>385</v>
      </c>
      <c r="F216" s="24">
        <v>103</v>
      </c>
      <c r="G216" s="24">
        <v>222</v>
      </c>
      <c r="H216" s="24">
        <v>59</v>
      </c>
      <c r="I216" s="24">
        <v>0</v>
      </c>
      <c r="J216" s="24">
        <v>1</v>
      </c>
      <c r="K216" s="24">
        <v>385</v>
      </c>
      <c r="L216" s="24">
        <v>0</v>
      </c>
      <c r="M216" s="24">
        <f t="shared" si="15"/>
        <v>385</v>
      </c>
      <c r="N216" s="24">
        <v>0</v>
      </c>
      <c r="O216" s="25">
        <f t="shared" si="16"/>
        <v>0.15324675324675324</v>
      </c>
      <c r="P216" s="25">
        <f t="shared" si="17"/>
        <v>0.26753246753246751</v>
      </c>
      <c r="Q216" s="25">
        <f t="shared" si="18"/>
        <v>0.57662337662337659</v>
      </c>
      <c r="R216" s="26">
        <v>467</v>
      </c>
      <c r="S216" s="26">
        <v>5</v>
      </c>
      <c r="T216" s="26">
        <v>15</v>
      </c>
      <c r="U216" s="26">
        <v>0</v>
      </c>
      <c r="V216" s="26">
        <v>487</v>
      </c>
      <c r="W216" s="27">
        <v>0.95893223819301843</v>
      </c>
      <c r="X216" s="27">
        <v>1.0266940451745379E-2</v>
      </c>
      <c r="Y216" s="27">
        <v>3.0800821355236138E-2</v>
      </c>
      <c r="Z216" s="27">
        <v>0</v>
      </c>
      <c r="AA216" s="28">
        <v>33.447638603696099</v>
      </c>
      <c r="AB216" s="25">
        <f t="shared" si="19"/>
        <v>0.79055441478439425</v>
      </c>
    </row>
    <row r="217" spans="1:28" x14ac:dyDescent="0.25">
      <c r="A217" s="24">
        <v>45</v>
      </c>
      <c r="B217" s="24" t="s">
        <v>260</v>
      </c>
      <c r="C217" s="24" t="s">
        <v>261</v>
      </c>
      <c r="D217" s="24">
        <v>1</v>
      </c>
      <c r="E217" s="24">
        <v>471</v>
      </c>
      <c r="F217" s="24">
        <v>91</v>
      </c>
      <c r="G217" s="24">
        <v>310</v>
      </c>
      <c r="H217" s="24">
        <v>67</v>
      </c>
      <c r="I217" s="24">
        <v>0</v>
      </c>
      <c r="J217" s="24">
        <v>2</v>
      </c>
      <c r="K217" s="24">
        <v>470</v>
      </c>
      <c r="L217" s="24">
        <v>1</v>
      </c>
      <c r="M217" s="24">
        <f t="shared" si="15"/>
        <v>471</v>
      </c>
      <c r="N217" s="24">
        <v>0</v>
      </c>
      <c r="O217" s="25">
        <f t="shared" si="16"/>
        <v>0.14225053078556263</v>
      </c>
      <c r="P217" s="25">
        <f t="shared" si="17"/>
        <v>0.1932059447983015</v>
      </c>
      <c r="Q217" s="25">
        <f t="shared" si="18"/>
        <v>0.65817409766454349</v>
      </c>
      <c r="R217" s="26">
        <v>567</v>
      </c>
      <c r="S217" s="26">
        <v>7</v>
      </c>
      <c r="T217" s="26">
        <v>0</v>
      </c>
      <c r="U217" s="26">
        <v>0</v>
      </c>
      <c r="V217" s="26">
        <v>574</v>
      </c>
      <c r="W217" s="27">
        <v>0.98780487804878048</v>
      </c>
      <c r="X217" s="27">
        <v>1.2195121951219513E-2</v>
      </c>
      <c r="Y217" s="27">
        <v>0</v>
      </c>
      <c r="Z217" s="27">
        <v>0</v>
      </c>
      <c r="AA217" s="28">
        <v>46.907665505226483</v>
      </c>
      <c r="AB217" s="25">
        <f t="shared" si="19"/>
        <v>0.82055749128919864</v>
      </c>
    </row>
    <row r="218" spans="1:28" x14ac:dyDescent="0.25">
      <c r="A218" s="24">
        <v>46</v>
      </c>
      <c r="B218" s="24" t="s">
        <v>262</v>
      </c>
      <c r="C218" s="24" t="s">
        <v>263</v>
      </c>
      <c r="D218" s="24">
        <v>1</v>
      </c>
      <c r="E218" s="24">
        <v>469</v>
      </c>
      <c r="F218" s="24">
        <v>110</v>
      </c>
      <c r="G218" s="24">
        <v>320</v>
      </c>
      <c r="H218" s="24">
        <v>34</v>
      </c>
      <c r="I218" s="24">
        <v>1</v>
      </c>
      <c r="J218" s="24">
        <v>0</v>
      </c>
      <c r="K218" s="24">
        <v>465</v>
      </c>
      <c r="L218" s="24">
        <v>4</v>
      </c>
      <c r="M218" s="24">
        <f t="shared" si="15"/>
        <v>469</v>
      </c>
      <c r="N218" s="24">
        <v>0</v>
      </c>
      <c r="O218" s="25">
        <f t="shared" si="16"/>
        <v>7.2494669509594878E-2</v>
      </c>
      <c r="P218" s="25">
        <f t="shared" si="17"/>
        <v>0.23454157782515991</v>
      </c>
      <c r="Q218" s="25">
        <f t="shared" si="18"/>
        <v>0.68230277185501065</v>
      </c>
      <c r="R218" s="26">
        <v>564</v>
      </c>
      <c r="S218" s="26">
        <v>3</v>
      </c>
      <c r="T218" s="26">
        <v>8</v>
      </c>
      <c r="U218" s="26">
        <v>3</v>
      </c>
      <c r="V218" s="26">
        <v>578</v>
      </c>
      <c r="W218" s="27">
        <v>0.97577854671280273</v>
      </c>
      <c r="X218" s="27">
        <v>5.1903114186851208E-3</v>
      </c>
      <c r="Y218" s="27">
        <v>1.384083044982699E-2</v>
      </c>
      <c r="Z218" s="27">
        <v>5.1903114186851208E-3</v>
      </c>
      <c r="AA218" s="28">
        <v>47.064013840830448</v>
      </c>
      <c r="AB218" s="25">
        <f t="shared" si="19"/>
        <v>0.81141868512110726</v>
      </c>
    </row>
    <row r="219" spans="1:28" x14ac:dyDescent="0.25">
      <c r="A219" s="24">
        <v>47</v>
      </c>
      <c r="B219" s="24" t="s">
        <v>264</v>
      </c>
      <c r="C219" s="24" t="s">
        <v>265</v>
      </c>
      <c r="D219" s="24">
        <v>1</v>
      </c>
      <c r="E219" s="24">
        <v>361</v>
      </c>
      <c r="F219" s="24">
        <v>46</v>
      </c>
      <c r="G219" s="24">
        <v>252</v>
      </c>
      <c r="H219" s="24">
        <v>52</v>
      </c>
      <c r="I219" s="24">
        <v>0</v>
      </c>
      <c r="J219" s="24">
        <v>5</v>
      </c>
      <c r="K219" s="24">
        <v>355</v>
      </c>
      <c r="L219" s="24">
        <v>6</v>
      </c>
      <c r="M219" s="24">
        <f t="shared" si="15"/>
        <v>361</v>
      </c>
      <c r="N219" s="24">
        <v>0</v>
      </c>
      <c r="O219" s="25">
        <f t="shared" si="16"/>
        <v>0.1440443213296399</v>
      </c>
      <c r="P219" s="25">
        <f t="shared" si="17"/>
        <v>0.12742382271468145</v>
      </c>
      <c r="Q219" s="25">
        <f t="shared" si="18"/>
        <v>0.69806094182825484</v>
      </c>
      <c r="R219" s="26">
        <v>416</v>
      </c>
      <c r="S219" s="26">
        <v>15</v>
      </c>
      <c r="T219" s="26">
        <v>7</v>
      </c>
      <c r="U219" s="26">
        <v>12</v>
      </c>
      <c r="V219" s="26">
        <v>450</v>
      </c>
      <c r="W219" s="27">
        <v>0.9244444444444444</v>
      </c>
      <c r="X219" s="27">
        <v>3.3333333333333333E-2</v>
      </c>
      <c r="Y219" s="27">
        <v>1.5555555555555555E-2</v>
      </c>
      <c r="Z219" s="27">
        <v>2.6666666666666668E-2</v>
      </c>
      <c r="AA219" s="28">
        <v>64.282222222222217</v>
      </c>
      <c r="AB219" s="25">
        <f t="shared" si="19"/>
        <v>0.80222222222222217</v>
      </c>
    </row>
    <row r="220" spans="1:28" x14ac:dyDescent="0.25">
      <c r="A220" s="24"/>
      <c r="B220" s="24"/>
      <c r="C220" s="24"/>
      <c r="D220" s="24">
        <v>2</v>
      </c>
      <c r="E220" s="24">
        <v>404</v>
      </c>
      <c r="F220" s="24">
        <v>105</v>
      </c>
      <c r="G220" s="24">
        <v>222</v>
      </c>
      <c r="H220" s="24">
        <v>73</v>
      </c>
      <c r="I220" s="24">
        <v>0</v>
      </c>
      <c r="J220" s="24">
        <v>4</v>
      </c>
      <c r="K220" s="24">
        <v>404</v>
      </c>
      <c r="L220" s="24">
        <v>0</v>
      </c>
      <c r="M220" s="24">
        <f t="shared" si="15"/>
        <v>404</v>
      </c>
      <c r="N220" s="24">
        <v>0</v>
      </c>
      <c r="O220" s="25">
        <f t="shared" si="16"/>
        <v>0.18069306930693069</v>
      </c>
      <c r="P220" s="25">
        <f t="shared" si="17"/>
        <v>0.25990099009900991</v>
      </c>
      <c r="Q220" s="25">
        <f t="shared" si="18"/>
        <v>0.54950495049504955</v>
      </c>
      <c r="R220" s="26">
        <v>450</v>
      </c>
      <c r="S220" s="26">
        <v>31</v>
      </c>
      <c r="T220" s="26">
        <v>7</v>
      </c>
      <c r="U220" s="26">
        <v>21</v>
      </c>
      <c r="V220" s="26">
        <v>509</v>
      </c>
      <c r="W220" s="27">
        <v>0.88408644400785852</v>
      </c>
      <c r="X220" s="27">
        <v>6.0903732809430254E-2</v>
      </c>
      <c r="Y220" s="27">
        <v>1.37524557956778E-2</v>
      </c>
      <c r="Z220" s="27">
        <v>4.1257367387033402E-2</v>
      </c>
      <c r="AA220" s="28">
        <v>43.79567779960707</v>
      </c>
      <c r="AB220" s="25">
        <f t="shared" si="19"/>
        <v>0.79371316306483297</v>
      </c>
    </row>
    <row r="221" spans="1:28" x14ac:dyDescent="0.25">
      <c r="A221" s="24"/>
      <c r="B221" s="24"/>
      <c r="C221" s="24"/>
      <c r="D221" s="24">
        <v>3</v>
      </c>
      <c r="E221" s="24">
        <v>432</v>
      </c>
      <c r="F221" s="24">
        <v>134</v>
      </c>
      <c r="G221" s="24">
        <v>213</v>
      </c>
      <c r="H221" s="24">
        <v>82</v>
      </c>
      <c r="I221" s="24">
        <v>2</v>
      </c>
      <c r="J221" s="24">
        <v>1</v>
      </c>
      <c r="K221" s="24">
        <v>432</v>
      </c>
      <c r="L221" s="24">
        <v>0</v>
      </c>
      <c r="M221" s="24">
        <f t="shared" si="15"/>
        <v>432</v>
      </c>
      <c r="N221" s="24">
        <v>0</v>
      </c>
      <c r="O221" s="25">
        <f t="shared" si="16"/>
        <v>0.18981481481481483</v>
      </c>
      <c r="P221" s="25">
        <f t="shared" si="17"/>
        <v>0.31018518518518517</v>
      </c>
      <c r="Q221" s="25">
        <f t="shared" si="18"/>
        <v>0.49305555555555558</v>
      </c>
      <c r="R221" s="26">
        <v>462</v>
      </c>
      <c r="S221" s="26">
        <v>18</v>
      </c>
      <c r="T221" s="26">
        <v>15</v>
      </c>
      <c r="U221" s="26">
        <v>15</v>
      </c>
      <c r="V221" s="26">
        <v>510</v>
      </c>
      <c r="W221" s="27">
        <v>0.90588235294117647</v>
      </c>
      <c r="X221" s="27">
        <v>3.5294117647058823E-2</v>
      </c>
      <c r="Y221" s="27">
        <v>2.9411764705882353E-2</v>
      </c>
      <c r="Z221" s="27">
        <v>2.9411764705882353E-2</v>
      </c>
      <c r="AA221" s="28">
        <v>26.666666666666668</v>
      </c>
      <c r="AB221" s="25">
        <f t="shared" si="19"/>
        <v>0.84705882352941175</v>
      </c>
    </row>
    <row r="222" spans="1:28" x14ac:dyDescent="0.25">
      <c r="A222" s="24">
        <v>48</v>
      </c>
      <c r="B222" s="24" t="s">
        <v>266</v>
      </c>
      <c r="C222" s="24" t="s">
        <v>273</v>
      </c>
      <c r="D222" s="24">
        <v>1</v>
      </c>
      <c r="E222" s="24">
        <v>290</v>
      </c>
      <c r="F222" s="24">
        <v>23</v>
      </c>
      <c r="G222" s="24">
        <v>139</v>
      </c>
      <c r="H222" s="24">
        <v>106</v>
      </c>
      <c r="I222" s="24">
        <v>10</v>
      </c>
      <c r="J222" s="24">
        <v>2</v>
      </c>
      <c r="K222" s="24">
        <v>280</v>
      </c>
      <c r="L222" s="24">
        <v>10</v>
      </c>
      <c r="M222" s="24">
        <f t="shared" si="15"/>
        <v>290</v>
      </c>
      <c r="N222" s="24">
        <v>0</v>
      </c>
      <c r="O222" s="25">
        <f t="shared" si="16"/>
        <v>0.36551724137931035</v>
      </c>
      <c r="P222" s="25">
        <f t="shared" si="17"/>
        <v>7.9310344827586213E-2</v>
      </c>
      <c r="Q222" s="25">
        <f t="shared" si="18"/>
        <v>0.47931034482758622</v>
      </c>
      <c r="R222" s="26">
        <v>176</v>
      </c>
      <c r="S222" s="26">
        <v>212</v>
      </c>
      <c r="T222" s="26">
        <v>62</v>
      </c>
      <c r="U222" s="26">
        <v>0</v>
      </c>
      <c r="V222" s="26">
        <v>450</v>
      </c>
      <c r="W222" s="27">
        <v>0.39111111111111113</v>
      </c>
      <c r="X222" s="27">
        <v>0.47111111111111109</v>
      </c>
      <c r="Y222" s="27">
        <v>0.13777777777777778</v>
      </c>
      <c r="Z222" s="27">
        <v>0</v>
      </c>
      <c r="AA222" s="28">
        <v>71.242222222222225</v>
      </c>
      <c r="AB222" s="25">
        <f t="shared" si="19"/>
        <v>0.64444444444444449</v>
      </c>
    </row>
    <row r="223" spans="1:28" x14ac:dyDescent="0.25">
      <c r="A223" s="24"/>
      <c r="B223" s="24"/>
      <c r="C223" s="24"/>
      <c r="D223" s="24">
        <v>2</v>
      </c>
      <c r="E223" s="24">
        <v>360</v>
      </c>
      <c r="F223" s="24">
        <v>33</v>
      </c>
      <c r="G223" s="24">
        <v>138</v>
      </c>
      <c r="H223" s="24">
        <v>174</v>
      </c>
      <c r="I223" s="24">
        <v>8</v>
      </c>
      <c r="J223" s="24">
        <v>4</v>
      </c>
      <c r="K223" s="24">
        <v>357</v>
      </c>
      <c r="L223" s="24">
        <v>3</v>
      </c>
      <c r="M223" s="24">
        <f t="shared" si="15"/>
        <v>360</v>
      </c>
      <c r="N223" s="24">
        <v>0</v>
      </c>
      <c r="O223" s="25">
        <f t="shared" si="16"/>
        <v>0.48333333333333334</v>
      </c>
      <c r="P223" s="25">
        <f t="shared" si="17"/>
        <v>9.166666666666666E-2</v>
      </c>
      <c r="Q223" s="25">
        <f t="shared" si="18"/>
        <v>0.38333333333333336</v>
      </c>
      <c r="R223" s="26">
        <v>205</v>
      </c>
      <c r="S223" s="26">
        <v>180</v>
      </c>
      <c r="T223" s="26">
        <v>65</v>
      </c>
      <c r="U223" s="26">
        <v>0</v>
      </c>
      <c r="V223" s="26">
        <v>450</v>
      </c>
      <c r="W223" s="27">
        <v>0.45555555555555555</v>
      </c>
      <c r="X223" s="27">
        <v>0.4</v>
      </c>
      <c r="Y223" s="27">
        <v>0.14444444444444443</v>
      </c>
      <c r="Z223" s="27">
        <v>0</v>
      </c>
      <c r="AA223" s="28">
        <v>56.113333333333337</v>
      </c>
      <c r="AB223" s="25">
        <f t="shared" si="19"/>
        <v>0.8</v>
      </c>
    </row>
    <row r="224" spans="1:28" x14ac:dyDescent="0.25">
      <c r="A224" s="24"/>
      <c r="B224" s="24"/>
      <c r="C224" s="24"/>
      <c r="D224" s="24">
        <v>3</v>
      </c>
      <c r="E224" s="24">
        <v>499</v>
      </c>
      <c r="F224" s="24">
        <v>70</v>
      </c>
      <c r="G224" s="24">
        <v>163</v>
      </c>
      <c r="H224" s="24">
        <v>254</v>
      </c>
      <c r="I224" s="24">
        <v>7</v>
      </c>
      <c r="J224" s="24">
        <v>1</v>
      </c>
      <c r="K224" s="24">
        <v>495</v>
      </c>
      <c r="L224" s="24">
        <v>4</v>
      </c>
      <c r="M224" s="24">
        <f t="shared" si="15"/>
        <v>499</v>
      </c>
      <c r="N224" s="24">
        <v>0</v>
      </c>
      <c r="O224" s="25">
        <f t="shared" si="16"/>
        <v>0.50901803607214424</v>
      </c>
      <c r="P224" s="25">
        <f t="shared" si="17"/>
        <v>0.14028056112224449</v>
      </c>
      <c r="Q224" s="25">
        <f t="shared" si="18"/>
        <v>0.32665330661322645</v>
      </c>
      <c r="R224" s="26">
        <v>310</v>
      </c>
      <c r="S224" s="26">
        <v>216</v>
      </c>
      <c r="T224" s="26">
        <v>136</v>
      </c>
      <c r="U224" s="26">
        <v>3</v>
      </c>
      <c r="V224" s="26">
        <v>665</v>
      </c>
      <c r="W224" s="27">
        <v>0.46616541353383456</v>
      </c>
      <c r="X224" s="27">
        <v>0.324812030075188</v>
      </c>
      <c r="Y224" s="27">
        <v>0.20451127819548873</v>
      </c>
      <c r="Z224" s="27">
        <v>4.5112781954887221E-3</v>
      </c>
      <c r="AA224" s="28">
        <v>41.670676691729327</v>
      </c>
      <c r="AB224" s="25">
        <f t="shared" si="19"/>
        <v>0.75037593984962403</v>
      </c>
    </row>
    <row r="225" spans="1:28" x14ac:dyDescent="0.25">
      <c r="A225" s="24"/>
      <c r="B225" s="24"/>
      <c r="C225" s="24"/>
      <c r="D225" s="24">
        <v>4</v>
      </c>
      <c r="E225" s="24">
        <v>500</v>
      </c>
      <c r="F225" s="24">
        <v>90</v>
      </c>
      <c r="G225" s="24">
        <v>158</v>
      </c>
      <c r="H225" s="24">
        <v>241</v>
      </c>
      <c r="I225" s="24">
        <v>6</v>
      </c>
      <c r="J225" s="24">
        <v>3</v>
      </c>
      <c r="K225" s="24">
        <v>498</v>
      </c>
      <c r="L225" s="24">
        <v>1</v>
      </c>
      <c r="M225" s="24">
        <f t="shared" si="15"/>
        <v>499</v>
      </c>
      <c r="N225" s="24">
        <v>1</v>
      </c>
      <c r="O225" s="25">
        <f t="shared" si="16"/>
        <v>0.48296593186372744</v>
      </c>
      <c r="P225" s="25">
        <f t="shared" si="17"/>
        <v>0.18036072144288579</v>
      </c>
      <c r="Q225" s="25">
        <f t="shared" si="18"/>
        <v>0.31663326653306612</v>
      </c>
      <c r="R225" s="26">
        <v>368</v>
      </c>
      <c r="S225" s="26">
        <v>152</v>
      </c>
      <c r="T225" s="26">
        <v>145</v>
      </c>
      <c r="U225" s="26">
        <v>1</v>
      </c>
      <c r="V225" s="26">
        <v>666</v>
      </c>
      <c r="W225" s="27">
        <v>0.55255255255255253</v>
      </c>
      <c r="X225" s="27">
        <v>0.22822822822822822</v>
      </c>
      <c r="Y225" s="27">
        <v>0.21771771771771772</v>
      </c>
      <c r="Z225" s="27">
        <v>1.5015015015015015E-3</v>
      </c>
      <c r="AA225" s="28">
        <v>26.448948948948949</v>
      </c>
      <c r="AB225" s="25">
        <f t="shared" si="19"/>
        <v>0.74924924924924929</v>
      </c>
    </row>
    <row r="226" spans="1:28" x14ac:dyDescent="0.25">
      <c r="A226" s="24">
        <v>49</v>
      </c>
      <c r="B226" s="24" t="s">
        <v>267</v>
      </c>
      <c r="C226" s="24" t="s">
        <v>274</v>
      </c>
      <c r="D226" s="24">
        <v>1</v>
      </c>
      <c r="E226" s="24">
        <v>268</v>
      </c>
      <c r="F226" s="24">
        <v>45</v>
      </c>
      <c r="G226" s="24">
        <v>171</v>
      </c>
      <c r="H226" s="24">
        <v>48</v>
      </c>
      <c r="I226" s="24">
        <v>1</v>
      </c>
      <c r="J226" s="24">
        <v>2</v>
      </c>
      <c r="K226" s="24">
        <v>267</v>
      </c>
      <c r="L226" s="24">
        <v>1</v>
      </c>
      <c r="M226" s="24">
        <f t="shared" si="15"/>
        <v>268</v>
      </c>
      <c r="N226" s="24">
        <v>0</v>
      </c>
      <c r="O226" s="25">
        <f t="shared" si="16"/>
        <v>0.17910447761194029</v>
      </c>
      <c r="P226" s="25">
        <f t="shared" si="17"/>
        <v>0.16791044776119404</v>
      </c>
      <c r="Q226" s="25">
        <f t="shared" si="18"/>
        <v>0.63805970149253732</v>
      </c>
      <c r="R226" s="26">
        <v>316</v>
      </c>
      <c r="S226" s="26">
        <v>0</v>
      </c>
      <c r="T226" s="26">
        <v>5</v>
      </c>
      <c r="U226" s="26">
        <v>0</v>
      </c>
      <c r="V226" s="26">
        <v>321</v>
      </c>
      <c r="W226" s="27">
        <v>0.98442367601246106</v>
      </c>
      <c r="X226" s="27">
        <v>0</v>
      </c>
      <c r="Y226" s="27">
        <v>1.5576323987538941E-2</v>
      </c>
      <c r="Z226" s="27">
        <v>0</v>
      </c>
      <c r="AA226" s="28">
        <v>58.211838006230529</v>
      </c>
      <c r="AB226" s="25">
        <f t="shared" si="19"/>
        <v>0.83489096573208721</v>
      </c>
    </row>
    <row r="227" spans="1:28" x14ac:dyDescent="0.25">
      <c r="A227" s="24"/>
      <c r="B227" s="24"/>
      <c r="C227" s="24"/>
      <c r="D227" s="24">
        <v>2</v>
      </c>
      <c r="E227" s="24">
        <v>261</v>
      </c>
      <c r="F227" s="24">
        <v>71</v>
      </c>
      <c r="G227" s="24">
        <v>148</v>
      </c>
      <c r="H227" s="24">
        <v>37</v>
      </c>
      <c r="I227" s="24">
        <v>1</v>
      </c>
      <c r="J227" s="24">
        <v>2</v>
      </c>
      <c r="K227" s="24">
        <v>259</v>
      </c>
      <c r="L227" s="24">
        <v>2</v>
      </c>
      <c r="M227" s="24">
        <f t="shared" si="15"/>
        <v>261</v>
      </c>
      <c r="N227" s="24">
        <v>0</v>
      </c>
      <c r="O227" s="25">
        <f t="shared" si="16"/>
        <v>0.1417624521072797</v>
      </c>
      <c r="P227" s="25">
        <f t="shared" si="17"/>
        <v>0.27203065134099619</v>
      </c>
      <c r="Q227" s="25">
        <f t="shared" si="18"/>
        <v>0.56704980842911878</v>
      </c>
      <c r="R227" s="26">
        <v>313</v>
      </c>
      <c r="S227" s="26">
        <v>0</v>
      </c>
      <c r="T227" s="26">
        <v>8</v>
      </c>
      <c r="U227" s="26">
        <v>0</v>
      </c>
      <c r="V227" s="26">
        <v>321</v>
      </c>
      <c r="W227" s="27">
        <v>0.97507788161993769</v>
      </c>
      <c r="X227" s="27">
        <v>0</v>
      </c>
      <c r="Y227" s="27">
        <v>2.4922118380062305E-2</v>
      </c>
      <c r="Z227" s="27">
        <v>0</v>
      </c>
      <c r="AA227" s="28">
        <v>29.856697819314643</v>
      </c>
      <c r="AB227" s="25">
        <f t="shared" si="19"/>
        <v>0.81308411214953269</v>
      </c>
    </row>
    <row r="228" spans="1:28" x14ac:dyDescent="0.25">
      <c r="A228" s="24">
        <v>50</v>
      </c>
      <c r="B228" s="24" t="s">
        <v>268</v>
      </c>
      <c r="C228" s="24" t="s">
        <v>275</v>
      </c>
      <c r="D228" s="24">
        <v>1</v>
      </c>
      <c r="E228" s="24">
        <v>378</v>
      </c>
      <c r="F228" s="24">
        <v>63</v>
      </c>
      <c r="G228" s="24">
        <v>225</v>
      </c>
      <c r="H228" s="24">
        <v>87</v>
      </c>
      <c r="I228" s="24">
        <v>1</v>
      </c>
      <c r="J228" s="24">
        <v>0</v>
      </c>
      <c r="K228" s="24">
        <v>376</v>
      </c>
      <c r="L228" s="24">
        <v>2</v>
      </c>
      <c r="M228" s="24">
        <f t="shared" si="15"/>
        <v>378</v>
      </c>
      <c r="N228" s="24">
        <v>0</v>
      </c>
      <c r="O228" s="25">
        <f t="shared" si="16"/>
        <v>0.23015873015873015</v>
      </c>
      <c r="P228" s="25">
        <f t="shared" si="17"/>
        <v>0.16666666666666666</v>
      </c>
      <c r="Q228" s="25">
        <f t="shared" si="18"/>
        <v>0.59523809523809523</v>
      </c>
      <c r="R228" s="26">
        <v>443</v>
      </c>
      <c r="S228" s="26">
        <v>1</v>
      </c>
      <c r="T228" s="26">
        <v>0</v>
      </c>
      <c r="U228" s="26">
        <v>0</v>
      </c>
      <c r="V228" s="26">
        <v>444</v>
      </c>
      <c r="W228" s="27">
        <v>0.99774774774774777</v>
      </c>
      <c r="X228" s="27">
        <v>2.2522522522522522E-3</v>
      </c>
      <c r="Y228" s="27">
        <v>0</v>
      </c>
      <c r="Z228" s="27">
        <v>0</v>
      </c>
      <c r="AA228" s="28">
        <v>46.166666666666664</v>
      </c>
      <c r="AB228" s="25">
        <f t="shared" si="19"/>
        <v>0.85135135135135132</v>
      </c>
    </row>
    <row r="229" spans="1:28" x14ac:dyDescent="0.25">
      <c r="A229" s="24">
        <v>51</v>
      </c>
      <c r="B229" s="24" t="s">
        <v>269</v>
      </c>
      <c r="C229" s="24" t="s">
        <v>276</v>
      </c>
      <c r="D229" s="24">
        <v>1</v>
      </c>
      <c r="E229" s="24">
        <v>308</v>
      </c>
      <c r="F229" s="24">
        <v>41</v>
      </c>
      <c r="G229" s="24">
        <v>222</v>
      </c>
      <c r="H229" s="24">
        <v>39</v>
      </c>
      <c r="I229" s="24">
        <v>1</v>
      </c>
      <c r="J229" s="24">
        <v>2</v>
      </c>
      <c r="K229" s="24">
        <v>305</v>
      </c>
      <c r="L229" s="24">
        <v>3</v>
      </c>
      <c r="M229" s="24">
        <f t="shared" si="15"/>
        <v>308</v>
      </c>
      <c r="N229" s="24">
        <v>0</v>
      </c>
      <c r="O229" s="25">
        <f t="shared" si="16"/>
        <v>0.12662337662337661</v>
      </c>
      <c r="P229" s="25">
        <f t="shared" si="17"/>
        <v>0.13311688311688311</v>
      </c>
      <c r="Q229" s="25">
        <f t="shared" si="18"/>
        <v>0.72077922077922074</v>
      </c>
      <c r="R229" s="26">
        <v>377</v>
      </c>
      <c r="S229" s="26">
        <v>31</v>
      </c>
      <c r="T229" s="26">
        <v>42</v>
      </c>
      <c r="U229" s="26">
        <v>0</v>
      </c>
      <c r="V229" s="26">
        <v>450</v>
      </c>
      <c r="W229" s="27">
        <v>0.83777777777777773</v>
      </c>
      <c r="X229" s="27">
        <v>6.8888888888888888E-2</v>
      </c>
      <c r="Y229" s="27">
        <v>9.3333333333333338E-2</v>
      </c>
      <c r="Z229" s="27">
        <v>0</v>
      </c>
      <c r="AA229" s="28">
        <v>67.86666666666666</v>
      </c>
      <c r="AB229" s="25">
        <f t="shared" si="19"/>
        <v>0.68444444444444441</v>
      </c>
    </row>
    <row r="230" spans="1:28" x14ac:dyDescent="0.25">
      <c r="A230" s="24"/>
      <c r="B230" s="24"/>
      <c r="C230" s="24"/>
      <c r="D230" s="24">
        <v>2</v>
      </c>
      <c r="E230" s="24">
        <v>382</v>
      </c>
      <c r="F230" s="24">
        <v>66</v>
      </c>
      <c r="G230" s="24">
        <v>250</v>
      </c>
      <c r="H230" s="24">
        <v>63</v>
      </c>
      <c r="I230" s="24">
        <v>1</v>
      </c>
      <c r="J230" s="24">
        <v>0</v>
      </c>
      <c r="K230" s="24">
        <v>380</v>
      </c>
      <c r="L230" s="24">
        <v>2</v>
      </c>
      <c r="M230" s="24">
        <f t="shared" si="15"/>
        <v>382</v>
      </c>
      <c r="N230" s="24">
        <v>0</v>
      </c>
      <c r="O230" s="25">
        <f t="shared" si="16"/>
        <v>0.16492146596858639</v>
      </c>
      <c r="P230" s="25">
        <f t="shared" si="17"/>
        <v>0.17277486910994763</v>
      </c>
      <c r="Q230" s="25">
        <f t="shared" si="18"/>
        <v>0.65445026178010468</v>
      </c>
      <c r="R230" s="26">
        <v>403</v>
      </c>
      <c r="S230" s="26">
        <v>10</v>
      </c>
      <c r="T230" s="26">
        <v>34</v>
      </c>
      <c r="U230" s="26">
        <v>3</v>
      </c>
      <c r="V230" s="26">
        <v>450</v>
      </c>
      <c r="W230" s="27">
        <v>0.89555555555555555</v>
      </c>
      <c r="X230" s="27">
        <v>2.2222222222222223E-2</v>
      </c>
      <c r="Y230" s="27">
        <v>7.5555555555555556E-2</v>
      </c>
      <c r="Z230" s="27">
        <v>6.6666666666666671E-3</v>
      </c>
      <c r="AA230" s="28">
        <v>58.797777777777775</v>
      </c>
      <c r="AB230" s="25">
        <f t="shared" si="19"/>
        <v>0.84888888888888892</v>
      </c>
    </row>
    <row r="231" spans="1:28" x14ac:dyDescent="0.25">
      <c r="A231" s="24"/>
      <c r="B231" s="24"/>
      <c r="C231" s="24"/>
      <c r="D231" s="24">
        <v>3</v>
      </c>
      <c r="E231" s="24">
        <v>400</v>
      </c>
      <c r="F231" s="24">
        <v>96</v>
      </c>
      <c r="G231" s="24">
        <v>227</v>
      </c>
      <c r="H231" s="24">
        <v>67</v>
      </c>
      <c r="I231" s="24">
        <v>0</v>
      </c>
      <c r="J231" s="24">
        <v>8</v>
      </c>
      <c r="K231" s="24">
        <v>398</v>
      </c>
      <c r="L231" s="24">
        <v>2</v>
      </c>
      <c r="M231" s="24">
        <f t="shared" si="15"/>
        <v>400</v>
      </c>
      <c r="N231" s="24">
        <v>0</v>
      </c>
      <c r="O231" s="25">
        <f t="shared" si="16"/>
        <v>0.16750000000000001</v>
      </c>
      <c r="P231" s="25">
        <f t="shared" si="17"/>
        <v>0.24</v>
      </c>
      <c r="Q231" s="25">
        <f t="shared" si="18"/>
        <v>0.5675</v>
      </c>
      <c r="R231" s="26">
        <v>465</v>
      </c>
      <c r="S231" s="26">
        <v>9</v>
      </c>
      <c r="T231" s="26">
        <v>35</v>
      </c>
      <c r="U231" s="26">
        <v>3</v>
      </c>
      <c r="V231" s="26">
        <v>512</v>
      </c>
      <c r="W231" s="27">
        <v>0.908203125</v>
      </c>
      <c r="X231" s="27">
        <v>1.7578125E-2</v>
      </c>
      <c r="Y231" s="27">
        <v>6.8359375E-2</v>
      </c>
      <c r="Z231" s="27">
        <v>5.859375E-3</v>
      </c>
      <c r="AA231" s="28">
        <v>45.193359375</v>
      </c>
      <c r="AB231" s="25">
        <f t="shared" si="19"/>
        <v>0.78125</v>
      </c>
    </row>
    <row r="232" spans="1:28" x14ac:dyDescent="0.25">
      <c r="A232" s="24"/>
      <c r="B232" s="24"/>
      <c r="C232" s="24"/>
      <c r="D232" s="24">
        <v>4</v>
      </c>
      <c r="E232" s="24">
        <v>391</v>
      </c>
      <c r="F232" s="24">
        <v>92</v>
      </c>
      <c r="G232" s="24">
        <v>225</v>
      </c>
      <c r="H232" s="24">
        <v>73</v>
      </c>
      <c r="I232" s="24">
        <v>1</v>
      </c>
      <c r="J232" s="24">
        <v>0</v>
      </c>
      <c r="K232" s="24">
        <v>391</v>
      </c>
      <c r="L232" s="24">
        <v>0</v>
      </c>
      <c r="M232" s="24">
        <f t="shared" si="15"/>
        <v>391</v>
      </c>
      <c r="N232" s="24">
        <v>0</v>
      </c>
      <c r="O232" s="25">
        <f t="shared" si="16"/>
        <v>0.1867007672634271</v>
      </c>
      <c r="P232" s="25">
        <f t="shared" si="17"/>
        <v>0.23529411764705882</v>
      </c>
      <c r="Q232" s="25">
        <f t="shared" si="18"/>
        <v>0.57544757033248084</v>
      </c>
      <c r="R232" s="26">
        <v>469</v>
      </c>
      <c r="S232" s="26">
        <v>4</v>
      </c>
      <c r="T232" s="26">
        <v>38</v>
      </c>
      <c r="U232" s="26">
        <v>2</v>
      </c>
      <c r="V232" s="26">
        <v>513</v>
      </c>
      <c r="W232" s="27">
        <v>0.91423001949317739</v>
      </c>
      <c r="X232" s="27">
        <v>7.7972709551656916E-3</v>
      </c>
      <c r="Y232" s="27">
        <v>7.407407407407407E-2</v>
      </c>
      <c r="Z232" s="27">
        <v>3.8986354775828458E-3</v>
      </c>
      <c r="AA232" s="28">
        <v>33.787524366471736</v>
      </c>
      <c r="AB232" s="25">
        <f t="shared" si="19"/>
        <v>0.76218323586744641</v>
      </c>
    </row>
    <row r="233" spans="1:28" x14ac:dyDescent="0.25">
      <c r="A233" s="24"/>
      <c r="B233" s="24"/>
      <c r="C233" s="24"/>
      <c r="D233" s="24">
        <v>5</v>
      </c>
      <c r="E233" s="24">
        <v>420</v>
      </c>
      <c r="F233" s="24">
        <v>108</v>
      </c>
      <c r="G233" s="24">
        <v>244</v>
      </c>
      <c r="H233" s="24">
        <v>68</v>
      </c>
      <c r="I233" s="24">
        <v>0</v>
      </c>
      <c r="J233" s="24">
        <v>0</v>
      </c>
      <c r="K233" s="24">
        <v>420</v>
      </c>
      <c r="L233" s="24">
        <v>0</v>
      </c>
      <c r="M233" s="24">
        <f t="shared" si="15"/>
        <v>420</v>
      </c>
      <c r="N233" s="24">
        <v>0</v>
      </c>
      <c r="O233" s="25">
        <f t="shared" si="16"/>
        <v>0.16190476190476191</v>
      </c>
      <c r="P233" s="25">
        <f t="shared" si="17"/>
        <v>0.25714285714285712</v>
      </c>
      <c r="Q233" s="25">
        <f t="shared" si="18"/>
        <v>0.580952380952381</v>
      </c>
      <c r="R233" s="26">
        <v>477</v>
      </c>
      <c r="S233" s="26">
        <v>2</v>
      </c>
      <c r="T233" s="26">
        <v>34</v>
      </c>
      <c r="U233" s="26">
        <v>0</v>
      </c>
      <c r="V233" s="26">
        <v>513</v>
      </c>
      <c r="W233" s="27">
        <v>0.92982456140350878</v>
      </c>
      <c r="X233" s="27">
        <v>3.8986354775828458E-3</v>
      </c>
      <c r="Y233" s="27">
        <v>6.6276803118908378E-2</v>
      </c>
      <c r="Z233" s="27">
        <v>0</v>
      </c>
      <c r="AA233" s="28">
        <v>23.799220272904485</v>
      </c>
      <c r="AB233" s="25">
        <f t="shared" si="19"/>
        <v>0.81871345029239762</v>
      </c>
    </row>
    <row r="234" spans="1:28" x14ac:dyDescent="0.25">
      <c r="A234" s="24">
        <v>52</v>
      </c>
      <c r="B234" s="24" t="s">
        <v>270</v>
      </c>
      <c r="C234" s="24" t="s">
        <v>277</v>
      </c>
      <c r="D234" s="24">
        <v>1</v>
      </c>
      <c r="E234" s="24">
        <v>343</v>
      </c>
      <c r="F234" s="24">
        <v>44</v>
      </c>
      <c r="G234" s="24">
        <v>240</v>
      </c>
      <c r="H234" s="24">
        <v>48</v>
      </c>
      <c r="I234" s="24">
        <v>0</v>
      </c>
      <c r="J234" s="24">
        <v>6</v>
      </c>
      <c r="K234" s="24">
        <v>338</v>
      </c>
      <c r="L234" s="24">
        <v>5</v>
      </c>
      <c r="M234" s="24">
        <f t="shared" si="15"/>
        <v>343</v>
      </c>
      <c r="N234" s="24">
        <v>0</v>
      </c>
      <c r="O234" s="25">
        <f t="shared" si="16"/>
        <v>0.13994169096209913</v>
      </c>
      <c r="P234" s="25">
        <f t="shared" si="17"/>
        <v>0.1282798833819242</v>
      </c>
      <c r="Q234" s="25">
        <f t="shared" si="18"/>
        <v>0.69970845481049559</v>
      </c>
      <c r="R234" s="26">
        <v>448</v>
      </c>
      <c r="S234" s="26">
        <v>0</v>
      </c>
      <c r="T234" s="26">
        <v>2</v>
      </c>
      <c r="U234" s="26">
        <v>0</v>
      </c>
      <c r="V234" s="26">
        <v>450</v>
      </c>
      <c r="W234" s="27">
        <v>0.99555555555555553</v>
      </c>
      <c r="X234" s="27">
        <v>0</v>
      </c>
      <c r="Y234" s="27">
        <v>4.4444444444444444E-3</v>
      </c>
      <c r="Z234" s="27">
        <v>0</v>
      </c>
      <c r="AA234" s="28">
        <v>65.204444444444448</v>
      </c>
      <c r="AB234" s="25">
        <f t="shared" si="19"/>
        <v>0.76222222222222225</v>
      </c>
    </row>
    <row r="235" spans="1:28" x14ac:dyDescent="0.25">
      <c r="A235" s="24"/>
      <c r="B235" s="24"/>
      <c r="C235" s="24"/>
      <c r="D235" s="24">
        <v>2</v>
      </c>
      <c r="E235" s="24">
        <v>380</v>
      </c>
      <c r="F235" s="24">
        <v>92</v>
      </c>
      <c r="G235" s="24">
        <v>217</v>
      </c>
      <c r="H235" s="24">
        <v>65</v>
      </c>
      <c r="I235" s="24">
        <v>0</v>
      </c>
      <c r="J235" s="24">
        <v>2</v>
      </c>
      <c r="K235" s="24">
        <v>376</v>
      </c>
      <c r="L235" s="24">
        <v>4</v>
      </c>
      <c r="M235" s="24">
        <f t="shared" si="15"/>
        <v>380</v>
      </c>
      <c r="N235" s="24">
        <v>0</v>
      </c>
      <c r="O235" s="25">
        <f t="shared" si="16"/>
        <v>0.17105263157894737</v>
      </c>
      <c r="P235" s="25">
        <f t="shared" si="17"/>
        <v>0.24210526315789474</v>
      </c>
      <c r="Q235" s="25">
        <f t="shared" si="18"/>
        <v>0.57105263157894737</v>
      </c>
      <c r="R235" s="26">
        <v>458</v>
      </c>
      <c r="S235" s="26">
        <v>0</v>
      </c>
      <c r="T235" s="26">
        <v>0</v>
      </c>
      <c r="U235" s="26">
        <v>2</v>
      </c>
      <c r="V235" s="26">
        <v>460</v>
      </c>
      <c r="W235" s="27">
        <v>0.9956521739130435</v>
      </c>
      <c r="X235" s="27">
        <v>0</v>
      </c>
      <c r="Y235" s="27">
        <v>0</v>
      </c>
      <c r="Z235" s="27">
        <v>4.3478260869565218E-3</v>
      </c>
      <c r="AA235" s="28">
        <v>44.834782608695654</v>
      </c>
      <c r="AB235" s="25">
        <f t="shared" si="19"/>
        <v>0.82608695652173914</v>
      </c>
    </row>
    <row r="236" spans="1:28" x14ac:dyDescent="0.25">
      <c r="A236" s="24"/>
      <c r="B236" s="24"/>
      <c r="C236" s="24"/>
      <c r="D236" s="24">
        <v>3</v>
      </c>
      <c r="E236" s="24">
        <v>370</v>
      </c>
      <c r="F236" s="24">
        <v>111</v>
      </c>
      <c r="G236" s="24">
        <v>208</v>
      </c>
      <c r="H236" s="24">
        <v>50</v>
      </c>
      <c r="I236" s="24">
        <v>0</v>
      </c>
      <c r="J236" s="24">
        <v>1</v>
      </c>
      <c r="K236" s="24">
        <v>370</v>
      </c>
      <c r="L236" s="24">
        <v>0</v>
      </c>
      <c r="M236" s="24">
        <f t="shared" si="15"/>
        <v>370</v>
      </c>
      <c r="N236" s="24">
        <v>0</v>
      </c>
      <c r="O236" s="25">
        <f t="shared" si="16"/>
        <v>0.13513513513513514</v>
      </c>
      <c r="P236" s="25">
        <f t="shared" si="17"/>
        <v>0.3</v>
      </c>
      <c r="Q236" s="25">
        <f t="shared" si="18"/>
        <v>0.56216216216216219</v>
      </c>
      <c r="R236" s="26">
        <v>460</v>
      </c>
      <c r="S236" s="26">
        <v>0</v>
      </c>
      <c r="T236" s="26">
        <v>0</v>
      </c>
      <c r="U236" s="26">
        <v>0</v>
      </c>
      <c r="V236" s="26">
        <v>460</v>
      </c>
      <c r="W236" s="27">
        <v>1</v>
      </c>
      <c r="X236" s="27">
        <v>0</v>
      </c>
      <c r="Y236" s="27">
        <v>0</v>
      </c>
      <c r="Z236" s="27">
        <v>0</v>
      </c>
      <c r="AA236" s="28">
        <v>27.52391304347826</v>
      </c>
      <c r="AB236" s="25">
        <f t="shared" si="19"/>
        <v>0.80434782608695654</v>
      </c>
    </row>
    <row r="237" spans="1:28" x14ac:dyDescent="0.25">
      <c r="A237" s="24">
        <v>53</v>
      </c>
      <c r="B237" s="24" t="s">
        <v>271</v>
      </c>
      <c r="C237" s="24" t="s">
        <v>278</v>
      </c>
      <c r="D237" s="24">
        <v>1</v>
      </c>
      <c r="E237" s="24">
        <v>447</v>
      </c>
      <c r="F237" s="24">
        <v>94</v>
      </c>
      <c r="G237" s="24">
        <v>276</v>
      </c>
      <c r="H237" s="24">
        <v>70</v>
      </c>
      <c r="I237" s="24">
        <v>1</v>
      </c>
      <c r="J237" s="24">
        <v>0</v>
      </c>
      <c r="K237" s="24">
        <v>441</v>
      </c>
      <c r="L237" s="24">
        <v>6</v>
      </c>
      <c r="M237" s="24">
        <f t="shared" si="15"/>
        <v>447</v>
      </c>
      <c r="N237" s="24">
        <v>0</v>
      </c>
      <c r="O237" s="25">
        <f t="shared" si="16"/>
        <v>0.15659955257270694</v>
      </c>
      <c r="P237" s="25">
        <f t="shared" si="17"/>
        <v>0.21029082774049218</v>
      </c>
      <c r="Q237" s="25">
        <f t="shared" si="18"/>
        <v>0.6174496644295302</v>
      </c>
      <c r="R237" s="26">
        <v>558</v>
      </c>
      <c r="S237" s="26">
        <v>5</v>
      </c>
      <c r="T237" s="26">
        <v>3</v>
      </c>
      <c r="U237" s="26">
        <v>0</v>
      </c>
      <c r="V237" s="26">
        <v>566</v>
      </c>
      <c r="W237" s="27">
        <v>0.98586572438162545</v>
      </c>
      <c r="X237" s="27">
        <v>8.8339222614840993E-3</v>
      </c>
      <c r="Y237" s="27">
        <v>5.3003533568904597E-3</v>
      </c>
      <c r="Z237" s="27">
        <v>0</v>
      </c>
      <c r="AA237" s="28">
        <v>46.268551236749119</v>
      </c>
      <c r="AB237" s="25">
        <f t="shared" si="19"/>
        <v>0.78975265017667839</v>
      </c>
    </row>
    <row r="238" spans="1:28" x14ac:dyDescent="0.25">
      <c r="A238" s="24">
        <v>54</v>
      </c>
      <c r="B238" s="24" t="s">
        <v>272</v>
      </c>
      <c r="C238" s="24" t="s">
        <v>279</v>
      </c>
      <c r="D238" s="24">
        <v>1</v>
      </c>
      <c r="E238" s="24">
        <v>357</v>
      </c>
      <c r="F238" s="24">
        <v>54</v>
      </c>
      <c r="G238" s="24">
        <v>195</v>
      </c>
      <c r="H238" s="24">
        <v>102</v>
      </c>
      <c r="I238" s="24">
        <v>2</v>
      </c>
      <c r="J238" s="24">
        <v>1</v>
      </c>
      <c r="K238" s="24">
        <v>354</v>
      </c>
      <c r="L238" s="24">
        <v>3</v>
      </c>
      <c r="M238" s="24">
        <f t="shared" si="15"/>
        <v>357</v>
      </c>
      <c r="N238" s="24">
        <v>0</v>
      </c>
      <c r="O238" s="25">
        <f t="shared" si="16"/>
        <v>0.2857142857142857</v>
      </c>
      <c r="P238" s="25">
        <f t="shared" si="17"/>
        <v>0.15126050420168066</v>
      </c>
      <c r="Q238" s="25">
        <f t="shared" si="18"/>
        <v>0.54621848739495793</v>
      </c>
      <c r="R238" s="26">
        <v>334</v>
      </c>
      <c r="S238" s="26">
        <v>79</v>
      </c>
      <c r="T238" s="26">
        <v>34</v>
      </c>
      <c r="U238" s="26">
        <v>3</v>
      </c>
      <c r="V238" s="26">
        <v>450</v>
      </c>
      <c r="W238" s="27">
        <v>0.74222222222222223</v>
      </c>
      <c r="X238" s="27">
        <v>0.17555555555555555</v>
      </c>
      <c r="Y238" s="27">
        <v>7.5555555555555556E-2</v>
      </c>
      <c r="Z238" s="27">
        <v>6.6666666666666671E-3</v>
      </c>
      <c r="AA238" s="28">
        <v>61.764444444444443</v>
      </c>
      <c r="AB238" s="25">
        <f t="shared" si="19"/>
        <v>0.79333333333333333</v>
      </c>
    </row>
    <row r="239" spans="1:28" x14ac:dyDescent="0.25">
      <c r="A239" s="24"/>
      <c r="B239" s="24"/>
      <c r="C239" s="24"/>
      <c r="D239" s="24">
        <v>2</v>
      </c>
      <c r="E239" s="24">
        <v>380</v>
      </c>
      <c r="F239" s="24">
        <v>103</v>
      </c>
      <c r="G239" s="24">
        <v>175</v>
      </c>
      <c r="H239" s="24">
        <v>98</v>
      </c>
      <c r="I239" s="24">
        <v>0</v>
      </c>
      <c r="J239" s="24">
        <v>2</v>
      </c>
      <c r="K239" s="24">
        <v>378</v>
      </c>
      <c r="L239" s="24">
        <v>2</v>
      </c>
      <c r="M239" s="24">
        <f t="shared" si="15"/>
        <v>380</v>
      </c>
      <c r="N239" s="24">
        <v>0</v>
      </c>
      <c r="O239" s="25">
        <f t="shared" si="16"/>
        <v>0.25789473684210529</v>
      </c>
      <c r="P239" s="25">
        <f t="shared" si="17"/>
        <v>0.27105263157894738</v>
      </c>
      <c r="Q239" s="25">
        <f t="shared" si="18"/>
        <v>0.46052631578947367</v>
      </c>
      <c r="R239" s="26">
        <v>436</v>
      </c>
      <c r="S239" s="26">
        <v>47</v>
      </c>
      <c r="T239" s="26">
        <v>12</v>
      </c>
      <c r="U239" s="26">
        <v>0</v>
      </c>
      <c r="V239" s="26">
        <v>495</v>
      </c>
      <c r="W239" s="27">
        <v>0.88080808080808082</v>
      </c>
      <c r="X239" s="27">
        <v>9.494949494949495E-2</v>
      </c>
      <c r="Y239" s="27">
        <v>2.4242424242424242E-2</v>
      </c>
      <c r="Z239" s="27">
        <v>0</v>
      </c>
      <c r="AA239" s="28">
        <v>33.303030303030305</v>
      </c>
      <c r="AB239" s="25">
        <f t="shared" si="19"/>
        <v>0.76767676767676762</v>
      </c>
    </row>
    <row r="240" spans="1:28" x14ac:dyDescent="0.25">
      <c r="A240" s="24">
        <v>55</v>
      </c>
      <c r="B240" s="24" t="s">
        <v>280</v>
      </c>
      <c r="C240" s="24" t="s">
        <v>281</v>
      </c>
      <c r="D240" s="24">
        <v>1</v>
      </c>
      <c r="E240" s="24">
        <v>303</v>
      </c>
      <c r="F240" s="24">
        <v>47</v>
      </c>
      <c r="G240" s="24">
        <v>211</v>
      </c>
      <c r="H240" s="24">
        <v>40</v>
      </c>
      <c r="I240" s="24">
        <v>0</v>
      </c>
      <c r="J240" s="24">
        <v>2</v>
      </c>
      <c r="K240" s="24">
        <v>300</v>
      </c>
      <c r="L240" s="24">
        <v>3</v>
      </c>
      <c r="M240" s="24">
        <f t="shared" si="15"/>
        <v>303</v>
      </c>
      <c r="N240" s="24">
        <v>0</v>
      </c>
      <c r="O240" s="25">
        <f t="shared" si="16"/>
        <v>0.132013201320132</v>
      </c>
      <c r="P240" s="25">
        <f t="shared" si="17"/>
        <v>0.15511551155115511</v>
      </c>
      <c r="Q240" s="25">
        <f t="shared" si="18"/>
        <v>0.69636963696369636</v>
      </c>
      <c r="R240" s="26">
        <v>368</v>
      </c>
      <c r="S240" s="26">
        <v>0</v>
      </c>
      <c r="T240" s="26">
        <v>1</v>
      </c>
      <c r="U240" s="26">
        <v>0</v>
      </c>
      <c r="V240" s="26">
        <v>369</v>
      </c>
      <c r="W240" s="27">
        <v>0.99728997289972898</v>
      </c>
      <c r="X240" s="27">
        <v>0</v>
      </c>
      <c r="Y240" s="27">
        <v>2.7100271002710027E-3</v>
      </c>
      <c r="Z240" s="27">
        <v>0</v>
      </c>
      <c r="AA240" s="28">
        <v>63.146341463414636</v>
      </c>
      <c r="AB240" s="25">
        <f t="shared" si="19"/>
        <v>0.82113821138211385</v>
      </c>
    </row>
    <row r="241" spans="1:28" x14ac:dyDescent="0.25">
      <c r="A241" s="24"/>
      <c r="B241" s="24"/>
      <c r="C241" s="24"/>
      <c r="D241" s="24">
        <v>2</v>
      </c>
      <c r="E241" s="24">
        <v>299</v>
      </c>
      <c r="F241" s="24">
        <v>64</v>
      </c>
      <c r="G241" s="24">
        <v>196</v>
      </c>
      <c r="H241" s="24">
        <v>38</v>
      </c>
      <c r="I241" s="24">
        <v>0</v>
      </c>
      <c r="J241" s="24">
        <v>1</v>
      </c>
      <c r="K241" s="24">
        <v>299</v>
      </c>
      <c r="L241" s="24">
        <v>0</v>
      </c>
      <c r="M241" s="24">
        <f t="shared" si="15"/>
        <v>299</v>
      </c>
      <c r="N241" s="24">
        <v>0</v>
      </c>
      <c r="O241" s="25">
        <f t="shared" si="16"/>
        <v>0.12709030100334448</v>
      </c>
      <c r="P241" s="25">
        <f t="shared" si="17"/>
        <v>0.21404682274247491</v>
      </c>
      <c r="Q241" s="25">
        <f t="shared" si="18"/>
        <v>0.65551839464882944</v>
      </c>
      <c r="R241" s="26">
        <v>368</v>
      </c>
      <c r="S241" s="26">
        <v>1</v>
      </c>
      <c r="T241" s="26">
        <v>0</v>
      </c>
      <c r="U241" s="26">
        <v>0</v>
      </c>
      <c r="V241" s="26">
        <v>369</v>
      </c>
      <c r="W241" s="27">
        <v>0.99728997289972898</v>
      </c>
      <c r="X241" s="27">
        <v>2.7100271002710027E-3</v>
      </c>
      <c r="Y241" s="27">
        <v>0</v>
      </c>
      <c r="Z241" s="27">
        <v>0</v>
      </c>
      <c r="AA241" s="28">
        <v>32.571815718157183</v>
      </c>
      <c r="AB241" s="25">
        <f t="shared" si="19"/>
        <v>0.81029810298102978</v>
      </c>
    </row>
    <row r="242" spans="1:28" x14ac:dyDescent="0.25">
      <c r="A242" s="24">
        <v>56</v>
      </c>
      <c r="B242" s="24" t="s">
        <v>282</v>
      </c>
      <c r="C242" s="24" t="s">
        <v>283</v>
      </c>
      <c r="D242" s="24">
        <v>1</v>
      </c>
      <c r="E242" s="24">
        <v>542</v>
      </c>
      <c r="F242" s="24">
        <v>139</v>
      </c>
      <c r="G242" s="24">
        <v>313</v>
      </c>
      <c r="H242" s="24">
        <v>83</v>
      </c>
      <c r="I242" s="24">
        <v>0</v>
      </c>
      <c r="J242" s="24">
        <v>2</v>
      </c>
      <c r="K242" s="24">
        <v>537</v>
      </c>
      <c r="L242" s="24">
        <v>5</v>
      </c>
      <c r="M242" s="24">
        <f t="shared" si="15"/>
        <v>542</v>
      </c>
      <c r="N242" s="24">
        <v>0</v>
      </c>
      <c r="O242" s="25">
        <f t="shared" si="16"/>
        <v>0.15313653136531366</v>
      </c>
      <c r="P242" s="25">
        <f t="shared" si="17"/>
        <v>0.25645756457564578</v>
      </c>
      <c r="Q242" s="25">
        <f t="shared" si="18"/>
        <v>0.57749077490774903</v>
      </c>
      <c r="R242" s="26">
        <v>667</v>
      </c>
      <c r="S242" s="26">
        <v>0</v>
      </c>
      <c r="T242" s="26">
        <v>1</v>
      </c>
      <c r="U242" s="26">
        <v>1</v>
      </c>
      <c r="V242" s="26">
        <v>669</v>
      </c>
      <c r="W242" s="27">
        <v>0.99701046337817634</v>
      </c>
      <c r="X242" s="27">
        <v>0</v>
      </c>
      <c r="Y242" s="27">
        <v>1.4947683109118087E-3</v>
      </c>
      <c r="Z242" s="27">
        <v>1.4947683109118087E-3</v>
      </c>
      <c r="AA242" s="28">
        <v>46.699551569506724</v>
      </c>
      <c r="AB242" s="25">
        <f t="shared" si="19"/>
        <v>0.81016442451420034</v>
      </c>
    </row>
    <row r="243" spans="1:28" x14ac:dyDescent="0.25">
      <c r="A243" s="24" t="s">
        <v>284</v>
      </c>
      <c r="B243" s="24"/>
      <c r="C243" s="24"/>
      <c r="D243" s="24">
        <v>241</v>
      </c>
      <c r="E243" s="24">
        <v>110586</v>
      </c>
      <c r="F243" s="24">
        <v>21875</v>
      </c>
      <c r="G243" s="24">
        <v>53075</v>
      </c>
      <c r="H243" s="24">
        <v>33178</v>
      </c>
      <c r="I243" s="24">
        <v>779</v>
      </c>
      <c r="J243" s="24">
        <v>529</v>
      </c>
      <c r="K243" s="24">
        <v>109436</v>
      </c>
      <c r="L243" s="24">
        <v>826</v>
      </c>
      <c r="M243" s="24">
        <f t="shared" si="15"/>
        <v>110262</v>
      </c>
      <c r="N243" s="24">
        <v>324</v>
      </c>
      <c r="O243" s="25">
        <f t="shared" si="16"/>
        <v>0.30090148918031595</v>
      </c>
      <c r="P243" s="25">
        <f t="shared" si="17"/>
        <v>0.1983911048230578</v>
      </c>
      <c r="Q243" s="25">
        <f t="shared" si="18"/>
        <v>0.48135350347354483</v>
      </c>
      <c r="R243" s="26">
        <v>100541</v>
      </c>
      <c r="S243" s="26">
        <v>11660</v>
      </c>
      <c r="T243" s="26">
        <v>20590</v>
      </c>
      <c r="U243" s="26">
        <v>764</v>
      </c>
      <c r="V243" s="26">
        <v>133555</v>
      </c>
      <c r="W243" s="27">
        <v>0.75280596009134815</v>
      </c>
      <c r="X243" s="27">
        <v>8.7304855677436261E-2</v>
      </c>
      <c r="Y243" s="27">
        <v>0.1541686945453184</v>
      </c>
      <c r="Z243" s="27">
        <v>5.7204896858971963E-3</v>
      </c>
      <c r="AA243" s="28">
        <v>43.030803615511836</v>
      </c>
      <c r="AB243" s="25">
        <f t="shared" si="19"/>
        <v>0.82559245254763958</v>
      </c>
    </row>
    <row r="245" spans="1:28" x14ac:dyDescent="0.25">
      <c r="A245" s="24"/>
      <c r="B245" s="24"/>
      <c r="C245" s="24" t="s">
        <v>426</v>
      </c>
      <c r="D245" s="24"/>
      <c r="E245" s="24">
        <f>SUM(E3:E10)</f>
        <v>1925</v>
      </c>
      <c r="F245" s="24">
        <f t="shared" ref="F245:N245" si="20">SUM(F3:F10)</f>
        <v>680</v>
      </c>
      <c r="G245" s="24">
        <f t="shared" si="20"/>
        <v>1143</v>
      </c>
      <c r="H245" s="24">
        <f t="shared" si="20"/>
        <v>86</v>
      </c>
      <c r="I245" s="24">
        <f t="shared" si="20"/>
        <v>1</v>
      </c>
      <c r="J245" s="24">
        <f t="shared" si="20"/>
        <v>11</v>
      </c>
      <c r="K245" s="24">
        <f t="shared" si="20"/>
        <v>1921</v>
      </c>
      <c r="L245" s="24">
        <f t="shared" si="20"/>
        <v>4</v>
      </c>
      <c r="M245" s="24">
        <f t="shared" si="20"/>
        <v>1925</v>
      </c>
      <c r="N245" s="24">
        <f t="shared" si="20"/>
        <v>0</v>
      </c>
      <c r="O245" s="25">
        <f t="shared" ref="O245" si="21">H245/M245</f>
        <v>4.4675324675324674E-2</v>
      </c>
      <c r="P245" s="25">
        <f t="shared" ref="P245" si="22">F245/M245</f>
        <v>0.35324675324675325</v>
      </c>
      <c r="Q245" s="25">
        <f t="shared" ref="Q245" si="23">G245/M245</f>
        <v>0.59376623376623372</v>
      </c>
      <c r="R245" s="24">
        <f t="shared" ref="R245:V245" si="24">SUM(R3:R10)</f>
        <v>2119</v>
      </c>
      <c r="S245" s="24">
        <f t="shared" si="24"/>
        <v>8</v>
      </c>
      <c r="T245" s="24">
        <f t="shared" si="24"/>
        <v>45</v>
      </c>
      <c r="U245" s="24">
        <f t="shared" si="24"/>
        <v>45</v>
      </c>
      <c r="V245" s="24">
        <f t="shared" si="24"/>
        <v>2217</v>
      </c>
      <c r="W245" s="25">
        <f>R245/V245</f>
        <v>0.95579612088407762</v>
      </c>
      <c r="X245" s="25">
        <f>S245/V245</f>
        <v>3.6084799278304014E-3</v>
      </c>
      <c r="Y245" s="25">
        <f>T245/V245</f>
        <v>2.0297699594046009E-2</v>
      </c>
      <c r="Z245" s="25">
        <f>U245/V245</f>
        <v>2.0297699594046009E-2</v>
      </c>
      <c r="AA245" s="30">
        <f>AVERAGE(AA3:AA10)</f>
        <v>34.453356073396435</v>
      </c>
      <c r="AB245" s="25">
        <f t="shared" ref="AB245" si="25">K245/V245</f>
        <v>0.86648624267027519</v>
      </c>
    </row>
    <row r="247" spans="1:28" ht="13.8" x14ac:dyDescent="0.3">
      <c r="B247" s="97" t="s">
        <v>427</v>
      </c>
      <c r="C247" s="97" t="s">
        <v>428</v>
      </c>
      <c r="D247" s="24"/>
      <c r="E247" s="24">
        <f>SUM(E11:E106)</f>
        <v>47542</v>
      </c>
      <c r="F247" s="24">
        <f t="shared" ref="F247:N247" si="26">SUM(F11:F106)</f>
        <v>11719</v>
      </c>
      <c r="G247" s="24">
        <f t="shared" si="26"/>
        <v>19460</v>
      </c>
      <c r="H247" s="24">
        <f t="shared" si="26"/>
        <v>15518</v>
      </c>
      <c r="I247" s="24">
        <f t="shared" si="26"/>
        <v>271</v>
      </c>
      <c r="J247" s="24">
        <f t="shared" si="26"/>
        <v>271</v>
      </c>
      <c r="K247" s="24">
        <f t="shared" si="26"/>
        <v>47239</v>
      </c>
      <c r="L247" s="24">
        <f t="shared" si="26"/>
        <v>301</v>
      </c>
      <c r="M247" s="24">
        <f t="shared" si="26"/>
        <v>47540</v>
      </c>
      <c r="N247" s="24">
        <f t="shared" si="26"/>
        <v>2</v>
      </c>
      <c r="O247" s="25">
        <f t="shared" ref="O247:O250" si="27">H247/M247</f>
        <v>0.32641985696255782</v>
      </c>
      <c r="P247" s="25">
        <f t="shared" ref="P247:P250" si="28">F247/M247</f>
        <v>0.24650820361800588</v>
      </c>
      <c r="Q247" s="25">
        <f t="shared" ref="Q247:Q250" si="29">G247/M247</f>
        <v>0.40933950357593607</v>
      </c>
      <c r="R247" s="24">
        <f t="shared" ref="R247:V247" si="30">SUM(R11:R106)</f>
        <v>46075</v>
      </c>
      <c r="S247" s="24">
        <f t="shared" si="30"/>
        <v>3764</v>
      </c>
      <c r="T247" s="24">
        <f t="shared" si="30"/>
        <v>8619</v>
      </c>
      <c r="U247" s="24">
        <f t="shared" si="30"/>
        <v>200</v>
      </c>
      <c r="V247" s="24">
        <f t="shared" si="30"/>
        <v>58658</v>
      </c>
      <c r="W247" s="25">
        <f t="shared" ref="W247:W250" si="31">R247/V247</f>
        <v>0.78548535579119638</v>
      </c>
      <c r="X247" s="25">
        <f t="shared" ref="X247:X250" si="32">S247/V247</f>
        <v>6.4168570356984561E-2</v>
      </c>
      <c r="Y247" s="25">
        <f t="shared" ref="Y247:Y250" si="33">T247/V247</f>
        <v>0.14693647925261685</v>
      </c>
      <c r="Z247" s="25">
        <f t="shared" ref="Z247:Z250" si="34">U247/V247</f>
        <v>3.4095945992021551E-3</v>
      </c>
      <c r="AA247" s="30"/>
      <c r="AB247" s="25">
        <f t="shared" ref="AB247:AB250" si="35">K247/V247</f>
        <v>0.80532919635855293</v>
      </c>
    </row>
    <row r="248" spans="1:28" ht="13.8" x14ac:dyDescent="0.3">
      <c r="B248" s="97" t="s">
        <v>429</v>
      </c>
      <c r="C248" s="97" t="s">
        <v>430</v>
      </c>
      <c r="D248" s="24"/>
      <c r="E248" s="24">
        <f>SUM(E107:E152)</f>
        <v>20021</v>
      </c>
      <c r="F248" s="24">
        <f t="shared" ref="F248:N248" si="36">SUM(F107:F152)</f>
        <v>3928</v>
      </c>
      <c r="G248" s="24">
        <f t="shared" si="36"/>
        <v>11092</v>
      </c>
      <c r="H248" s="24">
        <f t="shared" si="36"/>
        <v>4578</v>
      </c>
      <c r="I248" s="24">
        <f t="shared" si="36"/>
        <v>170</v>
      </c>
      <c r="J248" s="24">
        <f t="shared" si="36"/>
        <v>96</v>
      </c>
      <c r="K248" s="24">
        <f t="shared" si="36"/>
        <v>19864</v>
      </c>
      <c r="L248" s="24">
        <f t="shared" si="36"/>
        <v>156</v>
      </c>
      <c r="M248" s="24">
        <f t="shared" si="36"/>
        <v>20020</v>
      </c>
      <c r="N248" s="24">
        <f t="shared" si="36"/>
        <v>1</v>
      </c>
      <c r="O248" s="25">
        <f t="shared" si="27"/>
        <v>0.22867132867132867</v>
      </c>
      <c r="P248" s="25">
        <f t="shared" si="28"/>
        <v>0.19620379620379622</v>
      </c>
      <c r="Q248" s="25">
        <f t="shared" si="29"/>
        <v>0.55404595404595403</v>
      </c>
      <c r="R248" s="24">
        <f t="shared" ref="R248:V248" si="37">SUM(R107:R152)</f>
        <v>20672</v>
      </c>
      <c r="S248" s="24">
        <f t="shared" si="37"/>
        <v>1637</v>
      </c>
      <c r="T248" s="24">
        <f t="shared" si="37"/>
        <v>2488</v>
      </c>
      <c r="U248" s="24">
        <f t="shared" si="37"/>
        <v>246</v>
      </c>
      <c r="V248" s="24">
        <f t="shared" si="37"/>
        <v>25043</v>
      </c>
      <c r="W248" s="25">
        <f t="shared" si="31"/>
        <v>0.8254602084414806</v>
      </c>
      <c r="X248" s="25">
        <f t="shared" si="32"/>
        <v>6.5367567783412531E-2</v>
      </c>
      <c r="Y248" s="25">
        <f t="shared" si="33"/>
        <v>9.9349119514435175E-2</v>
      </c>
      <c r="Z248" s="25">
        <f t="shared" si="34"/>
        <v>9.8231042606716449E-3</v>
      </c>
      <c r="AA248" s="30"/>
      <c r="AB248" s="25">
        <f t="shared" si="35"/>
        <v>0.79319570339016887</v>
      </c>
    </row>
    <row r="249" spans="1:28" ht="13.8" x14ac:dyDescent="0.3">
      <c r="B249" s="97" t="s">
        <v>431</v>
      </c>
      <c r="C249" s="97" t="s">
        <v>432</v>
      </c>
      <c r="D249" s="24"/>
      <c r="E249" s="24">
        <f>SUM(E153:E209)</f>
        <v>25233</v>
      </c>
      <c r="F249" s="24">
        <f t="shared" ref="F249:N249" si="38">SUM(F153:F209)</f>
        <v>2479</v>
      </c>
      <c r="G249" s="24">
        <f t="shared" si="38"/>
        <v>12357</v>
      </c>
      <c r="H249" s="24">
        <f t="shared" si="38"/>
        <v>9850</v>
      </c>
      <c r="I249" s="24">
        <f t="shared" si="38"/>
        <v>282</v>
      </c>
      <c r="J249" s="24">
        <f t="shared" si="38"/>
        <v>75</v>
      </c>
      <c r="K249" s="24">
        <f t="shared" si="38"/>
        <v>25043</v>
      </c>
      <c r="L249" s="24">
        <f t="shared" si="38"/>
        <v>189</v>
      </c>
      <c r="M249" s="24">
        <f t="shared" si="38"/>
        <v>25232</v>
      </c>
      <c r="N249" s="24">
        <f t="shared" si="38"/>
        <v>1</v>
      </c>
      <c r="O249" s="25">
        <f t="shared" si="27"/>
        <v>0.39037729866835763</v>
      </c>
      <c r="P249" s="25">
        <f t="shared" si="28"/>
        <v>9.824825618262524E-2</v>
      </c>
      <c r="Q249" s="25">
        <f t="shared" si="29"/>
        <v>0.48973525681674063</v>
      </c>
      <c r="R249" s="24">
        <f t="shared" ref="R249:V249" si="39">SUM(R153:R209)</f>
        <v>17216</v>
      </c>
      <c r="S249" s="24">
        <f t="shared" si="39"/>
        <v>5133</v>
      </c>
      <c r="T249" s="24">
        <f t="shared" si="39"/>
        <v>8662</v>
      </c>
      <c r="U249" s="24">
        <f t="shared" si="39"/>
        <v>127</v>
      </c>
      <c r="V249" s="24">
        <f t="shared" si="39"/>
        <v>31138</v>
      </c>
      <c r="W249" s="25">
        <f t="shared" si="31"/>
        <v>0.55289357055687582</v>
      </c>
      <c r="X249" s="25">
        <f t="shared" si="32"/>
        <v>0.16484681097051834</v>
      </c>
      <c r="Y249" s="25">
        <f t="shared" si="33"/>
        <v>0.27818100070653223</v>
      </c>
      <c r="Z249" s="25">
        <f t="shared" si="34"/>
        <v>4.0786177660736079E-3</v>
      </c>
      <c r="AA249" s="30"/>
      <c r="AB249" s="25">
        <f t="shared" si="35"/>
        <v>0.80425846232898712</v>
      </c>
    </row>
    <row r="250" spans="1:28" ht="13.8" x14ac:dyDescent="0.3">
      <c r="B250" s="97" t="s">
        <v>433</v>
      </c>
      <c r="C250" s="97" t="s">
        <v>434</v>
      </c>
      <c r="D250" s="24"/>
      <c r="E250" s="24">
        <f>SUM(E210:E242)</f>
        <v>13007</v>
      </c>
      <c r="F250" s="24">
        <f t="shared" ref="F250:N250" si="40">SUM(F210:F242)</f>
        <v>2598</v>
      </c>
      <c r="G250" s="24">
        <f t="shared" si="40"/>
        <v>7485</v>
      </c>
      <c r="H250" s="24">
        <f t="shared" si="40"/>
        <v>2715</v>
      </c>
      <c r="I250" s="24">
        <f t="shared" si="40"/>
        <v>47</v>
      </c>
      <c r="J250" s="24">
        <f t="shared" si="40"/>
        <v>71</v>
      </c>
      <c r="K250" s="24">
        <f t="shared" si="40"/>
        <v>12916</v>
      </c>
      <c r="L250" s="24">
        <f t="shared" si="40"/>
        <v>90</v>
      </c>
      <c r="M250" s="24">
        <f t="shared" si="40"/>
        <v>13006</v>
      </c>
      <c r="N250" s="24">
        <f t="shared" si="40"/>
        <v>1</v>
      </c>
      <c r="O250" s="25">
        <f t="shared" si="27"/>
        <v>0.20874980778102414</v>
      </c>
      <c r="P250" s="25">
        <f t="shared" si="28"/>
        <v>0.19975395971090265</v>
      </c>
      <c r="Q250" s="25">
        <f t="shared" si="29"/>
        <v>0.57550361371674608</v>
      </c>
      <c r="R250" s="24">
        <f t="shared" ref="R250:V250" si="41">SUM(R210:R242)</f>
        <v>14430</v>
      </c>
      <c r="S250" s="24">
        <f t="shared" si="41"/>
        <v>1117</v>
      </c>
      <c r="T250" s="24">
        <f t="shared" si="41"/>
        <v>776</v>
      </c>
      <c r="U250" s="24">
        <f t="shared" si="41"/>
        <v>146</v>
      </c>
      <c r="V250" s="24">
        <f t="shared" si="41"/>
        <v>16469</v>
      </c>
      <c r="W250" s="25">
        <f t="shared" si="31"/>
        <v>0.876191632764588</v>
      </c>
      <c r="X250" s="25">
        <f t="shared" si="32"/>
        <v>6.7824397352601859E-2</v>
      </c>
      <c r="Y250" s="25">
        <f t="shared" si="33"/>
        <v>4.7118829315684015E-2</v>
      </c>
      <c r="Z250" s="25">
        <f t="shared" si="34"/>
        <v>8.8651405671261157E-3</v>
      </c>
      <c r="AA250" s="30"/>
      <c r="AB250" s="25">
        <f t="shared" si="35"/>
        <v>0.78426133948630761</v>
      </c>
    </row>
  </sheetData>
  <autoFilter ref="A1:AB243" xr:uid="{DAEA77C3-2399-493A-B090-6A6070E0FD9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D2EF4-D591-4EEA-8345-3D0434F9363D}">
  <dimension ref="A1:Y264"/>
  <sheetViews>
    <sheetView workbookViewId="0">
      <pane xSplit="4" ySplit="1" topLeftCell="M218" activePane="bottomRight" state="frozen"/>
      <selection pane="topRight" activeCell="E1" sqref="E1"/>
      <selection pane="bottomLeft" activeCell="A2" sqref="A2"/>
      <selection pane="bottomRight" activeCell="P2" sqref="P2:Y233"/>
    </sheetView>
  </sheetViews>
  <sheetFormatPr defaultRowHeight="13.2" x14ac:dyDescent="0.25"/>
  <cols>
    <col min="1" max="1" width="8" bestFit="1" customWidth="1"/>
    <col min="2" max="2" width="25.6640625" bestFit="1" customWidth="1"/>
    <col min="3" max="3" width="65.44140625" bestFit="1" customWidth="1"/>
    <col min="4" max="4" width="8.21875" bestFit="1" customWidth="1"/>
    <col min="5" max="5" width="8.5546875" bestFit="1" customWidth="1"/>
    <col min="6" max="6" width="13.77734375" bestFit="1" customWidth="1"/>
    <col min="7" max="7" width="15.5546875" bestFit="1" customWidth="1"/>
    <col min="8" max="9" width="6" bestFit="1" customWidth="1"/>
    <col min="10" max="10" width="7.5546875" bestFit="1" customWidth="1"/>
    <col min="11" max="11" width="7" bestFit="1" customWidth="1"/>
    <col min="13" max="13" width="7.6640625" bestFit="1" customWidth="1"/>
    <col min="14" max="14" width="7" style="29" bestFit="1" customWidth="1"/>
    <col min="15" max="15" width="14.109375" bestFit="1" customWidth="1"/>
    <col min="16" max="16" width="7" bestFit="1" customWidth="1"/>
    <col min="17" max="18" width="6" bestFit="1" customWidth="1"/>
    <col min="19" max="19" width="4" bestFit="1" customWidth="1"/>
    <col min="20" max="21" width="7" bestFit="1" customWidth="1"/>
    <col min="22" max="24" width="6" bestFit="1" customWidth="1"/>
    <col min="25" max="25" width="7.33203125" bestFit="1" customWidth="1"/>
  </cols>
  <sheetData>
    <row r="1" spans="1:25" x14ac:dyDescent="0.25">
      <c r="A1" s="26" t="s">
        <v>289</v>
      </c>
      <c r="B1" s="26" t="s">
        <v>290</v>
      </c>
      <c r="C1" s="26" t="s">
        <v>291</v>
      </c>
      <c r="D1" s="26" t="s">
        <v>292</v>
      </c>
      <c r="E1" s="26" t="s">
        <v>293</v>
      </c>
      <c r="F1" s="26" t="s">
        <v>294</v>
      </c>
      <c r="G1" s="26" t="s">
        <v>295</v>
      </c>
      <c r="H1" s="26" t="s">
        <v>296</v>
      </c>
      <c r="I1" s="26" t="s">
        <v>297</v>
      </c>
      <c r="J1" s="26" t="s">
        <v>298</v>
      </c>
      <c r="K1" s="26" t="s">
        <v>299</v>
      </c>
      <c r="L1" s="26" t="s">
        <v>300</v>
      </c>
      <c r="M1" s="26" t="s">
        <v>301</v>
      </c>
      <c r="N1" s="28" t="s">
        <v>302</v>
      </c>
      <c r="O1" s="26" t="s">
        <v>303</v>
      </c>
      <c r="P1" s="26" t="s">
        <v>408</v>
      </c>
      <c r="Q1" s="26" t="s">
        <v>409</v>
      </c>
      <c r="R1" s="26" t="s">
        <v>410</v>
      </c>
      <c r="S1" s="26" t="s">
        <v>411</v>
      </c>
      <c r="T1" s="26" t="s">
        <v>412</v>
      </c>
      <c r="U1" s="26" t="s">
        <v>413</v>
      </c>
      <c r="V1" s="26" t="s">
        <v>414</v>
      </c>
      <c r="W1" s="26" t="s">
        <v>415</v>
      </c>
      <c r="X1" s="26" t="s">
        <v>416</v>
      </c>
      <c r="Y1" s="26" t="s">
        <v>417</v>
      </c>
    </row>
    <row r="2" spans="1:25" x14ac:dyDescent="0.25">
      <c r="A2" s="26" t="s">
        <v>304</v>
      </c>
      <c r="B2" s="26" t="s">
        <v>305</v>
      </c>
      <c r="C2" s="26" t="s">
        <v>172</v>
      </c>
      <c r="D2" s="26">
        <v>1</v>
      </c>
      <c r="E2" s="26"/>
      <c r="F2" s="26"/>
      <c r="G2" s="26"/>
      <c r="H2" s="26">
        <v>28</v>
      </c>
      <c r="I2" s="26">
        <v>38</v>
      </c>
      <c r="J2" s="26">
        <v>2</v>
      </c>
      <c r="K2" s="26">
        <v>382</v>
      </c>
      <c r="L2" s="26"/>
      <c r="M2" s="26">
        <v>450</v>
      </c>
      <c r="N2" s="28">
        <v>64.302222222222227</v>
      </c>
      <c r="O2" s="26" t="s">
        <v>307</v>
      </c>
      <c r="P2" s="26">
        <f t="shared" ref="P2:P65" si="0">K2</f>
        <v>382</v>
      </c>
      <c r="Q2" s="26">
        <f t="shared" ref="Q2:Q65" si="1">H2</f>
        <v>28</v>
      </c>
      <c r="R2" s="26">
        <f t="shared" ref="R2:R65" si="2">I2</f>
        <v>38</v>
      </c>
      <c r="S2" s="26">
        <f t="shared" ref="S2:S65" si="3">M2-SUM(P2:R2)</f>
        <v>2</v>
      </c>
      <c r="T2" s="26">
        <f t="shared" ref="T2:T65" si="4">SUM(P2:S2)</f>
        <v>450</v>
      </c>
      <c r="U2" s="27">
        <f t="shared" ref="U2:U65" si="5">P2/M2</f>
        <v>0.84888888888888892</v>
      </c>
      <c r="V2" s="27">
        <f t="shared" ref="V2:V65" si="6">Q2/M2</f>
        <v>6.222222222222222E-2</v>
      </c>
      <c r="W2" s="27">
        <f t="shared" ref="W2:W65" si="7">R2/M2</f>
        <v>8.4444444444444447E-2</v>
      </c>
      <c r="X2" s="27">
        <f t="shared" ref="X2:X65" si="8">S2/M2</f>
        <v>4.4444444444444444E-3</v>
      </c>
      <c r="Y2" s="28">
        <f t="shared" ref="Y2:Y65" si="9">N2</f>
        <v>64.302222222222227</v>
      </c>
    </row>
    <row r="3" spans="1:25" x14ac:dyDescent="0.25">
      <c r="A3" s="26" t="s">
        <v>304</v>
      </c>
      <c r="B3" s="26" t="s">
        <v>305</v>
      </c>
      <c r="C3" s="26" t="s">
        <v>172</v>
      </c>
      <c r="D3" s="26">
        <v>2</v>
      </c>
      <c r="E3" s="26"/>
      <c r="F3" s="26">
        <v>1</v>
      </c>
      <c r="G3" s="26"/>
      <c r="H3" s="26">
        <v>26</v>
      </c>
      <c r="I3" s="26">
        <v>45</v>
      </c>
      <c r="J3" s="26">
        <v>2</v>
      </c>
      <c r="K3" s="26">
        <v>376</v>
      </c>
      <c r="L3" s="26"/>
      <c r="M3" s="26">
        <v>450</v>
      </c>
      <c r="N3" s="28">
        <v>54.42</v>
      </c>
      <c r="O3" s="26" t="s">
        <v>307</v>
      </c>
      <c r="P3" s="26">
        <f t="shared" si="0"/>
        <v>376</v>
      </c>
      <c r="Q3" s="26">
        <f t="shared" si="1"/>
        <v>26</v>
      </c>
      <c r="R3" s="26">
        <f t="shared" si="2"/>
        <v>45</v>
      </c>
      <c r="S3" s="26">
        <f t="shared" si="3"/>
        <v>3</v>
      </c>
      <c r="T3" s="26">
        <f t="shared" si="4"/>
        <v>450</v>
      </c>
      <c r="U3" s="27">
        <f t="shared" si="5"/>
        <v>0.83555555555555561</v>
      </c>
      <c r="V3" s="27">
        <f t="shared" si="6"/>
        <v>5.7777777777777775E-2</v>
      </c>
      <c r="W3" s="27">
        <f t="shared" si="7"/>
        <v>0.1</v>
      </c>
      <c r="X3" s="27">
        <f t="shared" si="8"/>
        <v>6.6666666666666671E-3</v>
      </c>
      <c r="Y3" s="28">
        <f t="shared" si="9"/>
        <v>54.42</v>
      </c>
    </row>
    <row r="4" spans="1:25" x14ac:dyDescent="0.25">
      <c r="A4" s="26" t="s">
        <v>304</v>
      </c>
      <c r="B4" s="26" t="s">
        <v>305</v>
      </c>
      <c r="C4" s="26" t="s">
        <v>172</v>
      </c>
      <c r="D4" s="26">
        <v>3</v>
      </c>
      <c r="E4" s="26">
        <v>1</v>
      </c>
      <c r="F4" s="26">
        <v>2</v>
      </c>
      <c r="G4" s="26">
        <v>1</v>
      </c>
      <c r="H4" s="26">
        <v>32</v>
      </c>
      <c r="I4" s="26">
        <v>58</v>
      </c>
      <c r="J4" s="26"/>
      <c r="K4" s="26">
        <v>524</v>
      </c>
      <c r="L4" s="26"/>
      <c r="M4" s="26">
        <v>618</v>
      </c>
      <c r="N4" s="28">
        <v>41.58414239482201</v>
      </c>
      <c r="O4" s="26" t="s">
        <v>307</v>
      </c>
      <c r="P4" s="26">
        <f t="shared" si="0"/>
        <v>524</v>
      </c>
      <c r="Q4" s="26">
        <f t="shared" si="1"/>
        <v>32</v>
      </c>
      <c r="R4" s="26">
        <f t="shared" si="2"/>
        <v>58</v>
      </c>
      <c r="S4" s="26">
        <f t="shared" si="3"/>
        <v>4</v>
      </c>
      <c r="T4" s="26">
        <f t="shared" si="4"/>
        <v>618</v>
      </c>
      <c r="U4" s="27">
        <f t="shared" si="5"/>
        <v>0.84789644012944987</v>
      </c>
      <c r="V4" s="27">
        <f t="shared" si="6"/>
        <v>5.1779935275080909E-2</v>
      </c>
      <c r="W4" s="27">
        <f t="shared" si="7"/>
        <v>9.3851132686084138E-2</v>
      </c>
      <c r="X4" s="27">
        <f t="shared" si="8"/>
        <v>6.4724919093851136E-3</v>
      </c>
      <c r="Y4" s="28">
        <f t="shared" si="9"/>
        <v>41.58414239482201</v>
      </c>
    </row>
    <row r="5" spans="1:25" x14ac:dyDescent="0.25">
      <c r="A5" s="26" t="s">
        <v>304</v>
      </c>
      <c r="B5" s="26" t="s">
        <v>305</v>
      </c>
      <c r="C5" s="26" t="s">
        <v>172</v>
      </c>
      <c r="D5" s="26">
        <v>4</v>
      </c>
      <c r="E5" s="26"/>
      <c r="F5" s="26"/>
      <c r="G5" s="26"/>
      <c r="H5" s="26">
        <v>20</v>
      </c>
      <c r="I5" s="26">
        <v>50</v>
      </c>
      <c r="J5" s="26"/>
      <c r="K5" s="26">
        <v>548</v>
      </c>
      <c r="L5" s="26"/>
      <c r="M5" s="26">
        <v>618</v>
      </c>
      <c r="N5" s="28">
        <v>32.129449838187703</v>
      </c>
      <c r="O5" s="26" t="s">
        <v>307</v>
      </c>
      <c r="P5" s="26">
        <f t="shared" si="0"/>
        <v>548</v>
      </c>
      <c r="Q5" s="26">
        <f t="shared" si="1"/>
        <v>20</v>
      </c>
      <c r="R5" s="26">
        <f t="shared" si="2"/>
        <v>50</v>
      </c>
      <c r="S5" s="26">
        <f t="shared" si="3"/>
        <v>0</v>
      </c>
      <c r="T5" s="26">
        <f t="shared" si="4"/>
        <v>618</v>
      </c>
      <c r="U5" s="27">
        <f t="shared" si="5"/>
        <v>0.88673139158576053</v>
      </c>
      <c r="V5" s="27">
        <f t="shared" si="6"/>
        <v>3.2362459546925564E-2</v>
      </c>
      <c r="W5" s="27">
        <f t="shared" si="7"/>
        <v>8.0906148867313912E-2</v>
      </c>
      <c r="X5" s="27">
        <f t="shared" si="8"/>
        <v>0</v>
      </c>
      <c r="Y5" s="28">
        <f t="shared" si="9"/>
        <v>32.129449838187703</v>
      </c>
    </row>
    <row r="6" spans="1:25" x14ac:dyDescent="0.25">
      <c r="A6" s="26" t="s">
        <v>304</v>
      </c>
      <c r="B6" s="26" t="s">
        <v>305</v>
      </c>
      <c r="C6" s="26" t="s">
        <v>172</v>
      </c>
      <c r="D6" s="26">
        <v>5</v>
      </c>
      <c r="E6" s="26"/>
      <c r="F6" s="26"/>
      <c r="G6" s="26"/>
      <c r="H6" s="26">
        <v>33</v>
      </c>
      <c r="I6" s="26">
        <v>37</v>
      </c>
      <c r="J6" s="26"/>
      <c r="K6" s="26">
        <v>548</v>
      </c>
      <c r="L6" s="26"/>
      <c r="M6" s="26">
        <v>618</v>
      </c>
      <c r="N6" s="28">
        <v>25.503236245954692</v>
      </c>
      <c r="O6" s="26" t="s">
        <v>307</v>
      </c>
      <c r="P6" s="26">
        <f t="shared" si="0"/>
        <v>548</v>
      </c>
      <c r="Q6" s="26">
        <f t="shared" si="1"/>
        <v>33</v>
      </c>
      <c r="R6" s="26">
        <f t="shared" si="2"/>
        <v>37</v>
      </c>
      <c r="S6" s="26">
        <f t="shared" si="3"/>
        <v>0</v>
      </c>
      <c r="T6" s="26">
        <f t="shared" si="4"/>
        <v>618</v>
      </c>
      <c r="U6" s="27">
        <f t="shared" si="5"/>
        <v>0.88673139158576053</v>
      </c>
      <c r="V6" s="27">
        <f t="shared" si="6"/>
        <v>5.3398058252427182E-2</v>
      </c>
      <c r="W6" s="27">
        <f t="shared" si="7"/>
        <v>5.9870550161812294E-2</v>
      </c>
      <c r="X6" s="27">
        <f t="shared" si="8"/>
        <v>0</v>
      </c>
      <c r="Y6" s="28">
        <f t="shared" si="9"/>
        <v>25.503236245954692</v>
      </c>
    </row>
    <row r="7" spans="1:25" x14ac:dyDescent="0.25">
      <c r="A7" s="26" t="s">
        <v>304</v>
      </c>
      <c r="B7" s="26" t="s">
        <v>305</v>
      </c>
      <c r="C7" s="26" t="s">
        <v>172</v>
      </c>
      <c r="D7" s="26">
        <v>6</v>
      </c>
      <c r="E7" s="26"/>
      <c r="F7" s="26"/>
      <c r="G7" s="26"/>
      <c r="H7" s="26">
        <v>27</v>
      </c>
      <c r="I7" s="26">
        <v>37</v>
      </c>
      <c r="J7" s="26"/>
      <c r="K7" s="26">
        <v>555</v>
      </c>
      <c r="L7" s="26"/>
      <c r="M7" s="26">
        <v>619</v>
      </c>
      <c r="N7" s="28">
        <v>20.379644588045235</v>
      </c>
      <c r="O7" s="26" t="s">
        <v>307</v>
      </c>
      <c r="P7" s="26">
        <f t="shared" si="0"/>
        <v>555</v>
      </c>
      <c r="Q7" s="26">
        <f t="shared" si="1"/>
        <v>27</v>
      </c>
      <c r="R7" s="26">
        <f t="shared" si="2"/>
        <v>37</v>
      </c>
      <c r="S7" s="26">
        <f t="shared" si="3"/>
        <v>0</v>
      </c>
      <c r="T7" s="26">
        <f t="shared" si="4"/>
        <v>619</v>
      </c>
      <c r="U7" s="27">
        <f t="shared" si="5"/>
        <v>0.8966074313408724</v>
      </c>
      <c r="V7" s="27">
        <f t="shared" si="6"/>
        <v>4.361873990306947E-2</v>
      </c>
      <c r="W7" s="27">
        <f t="shared" si="7"/>
        <v>5.9773828756058162E-2</v>
      </c>
      <c r="X7" s="27">
        <f t="shared" si="8"/>
        <v>0</v>
      </c>
      <c r="Y7" s="28">
        <f t="shared" si="9"/>
        <v>20.379644588045235</v>
      </c>
    </row>
    <row r="8" spans="1:25" x14ac:dyDescent="0.25">
      <c r="A8" s="26" t="s">
        <v>308</v>
      </c>
      <c r="B8" s="26" t="s">
        <v>309</v>
      </c>
      <c r="C8" s="26" t="s">
        <v>178</v>
      </c>
      <c r="D8" s="26">
        <v>1</v>
      </c>
      <c r="E8" s="26"/>
      <c r="F8" s="26"/>
      <c r="G8" s="26">
        <v>2</v>
      </c>
      <c r="H8" s="26">
        <v>6</v>
      </c>
      <c r="I8" s="26">
        <v>41</v>
      </c>
      <c r="J8" s="26">
        <v>2</v>
      </c>
      <c r="K8" s="26">
        <v>399</v>
      </c>
      <c r="L8" s="26"/>
      <c r="M8" s="26">
        <v>450</v>
      </c>
      <c r="N8" s="28">
        <v>61.05777777777778</v>
      </c>
      <c r="O8" s="26" t="s">
        <v>307</v>
      </c>
      <c r="P8" s="26">
        <f t="shared" si="0"/>
        <v>399</v>
      </c>
      <c r="Q8" s="26">
        <f t="shared" si="1"/>
        <v>6</v>
      </c>
      <c r="R8" s="26">
        <f t="shared" si="2"/>
        <v>41</v>
      </c>
      <c r="S8" s="26">
        <f t="shared" si="3"/>
        <v>4</v>
      </c>
      <c r="T8" s="26">
        <f t="shared" si="4"/>
        <v>450</v>
      </c>
      <c r="U8" s="27">
        <f t="shared" si="5"/>
        <v>0.88666666666666671</v>
      </c>
      <c r="V8" s="27">
        <f t="shared" si="6"/>
        <v>1.3333333333333334E-2</v>
      </c>
      <c r="W8" s="27">
        <f t="shared" si="7"/>
        <v>9.1111111111111115E-2</v>
      </c>
      <c r="X8" s="27">
        <f t="shared" si="8"/>
        <v>8.8888888888888889E-3</v>
      </c>
      <c r="Y8" s="28">
        <f t="shared" si="9"/>
        <v>61.05777777777778</v>
      </c>
    </row>
    <row r="9" spans="1:25" x14ac:dyDescent="0.25">
      <c r="A9" s="26" t="s">
        <v>308</v>
      </c>
      <c r="B9" s="26" t="s">
        <v>309</v>
      </c>
      <c r="C9" s="26" t="s">
        <v>178</v>
      </c>
      <c r="D9" s="26">
        <v>2</v>
      </c>
      <c r="E9" s="26"/>
      <c r="F9" s="26"/>
      <c r="G9" s="26">
        <v>1</v>
      </c>
      <c r="H9" s="26">
        <v>7</v>
      </c>
      <c r="I9" s="26">
        <v>23</v>
      </c>
      <c r="J9" s="26">
        <v>1</v>
      </c>
      <c r="K9" s="26">
        <v>418</v>
      </c>
      <c r="L9" s="26"/>
      <c r="M9" s="26">
        <v>450</v>
      </c>
      <c r="N9" s="28">
        <v>57.571111111111108</v>
      </c>
      <c r="O9" s="26" t="s">
        <v>307</v>
      </c>
      <c r="P9" s="26">
        <f t="shared" si="0"/>
        <v>418</v>
      </c>
      <c r="Q9" s="26">
        <f t="shared" si="1"/>
        <v>7</v>
      </c>
      <c r="R9" s="26">
        <f t="shared" si="2"/>
        <v>23</v>
      </c>
      <c r="S9" s="26">
        <f t="shared" si="3"/>
        <v>2</v>
      </c>
      <c r="T9" s="26">
        <f t="shared" si="4"/>
        <v>450</v>
      </c>
      <c r="U9" s="27">
        <f t="shared" si="5"/>
        <v>0.92888888888888888</v>
      </c>
      <c r="V9" s="27">
        <f t="shared" si="6"/>
        <v>1.5555555555555555E-2</v>
      </c>
      <c r="W9" s="27">
        <f t="shared" si="7"/>
        <v>5.1111111111111114E-2</v>
      </c>
      <c r="X9" s="27">
        <f t="shared" si="8"/>
        <v>4.4444444444444444E-3</v>
      </c>
      <c r="Y9" s="28">
        <f t="shared" si="9"/>
        <v>57.571111111111108</v>
      </c>
    </row>
    <row r="10" spans="1:25" x14ac:dyDescent="0.25">
      <c r="A10" s="26" t="s">
        <v>308</v>
      </c>
      <c r="B10" s="26" t="s">
        <v>309</v>
      </c>
      <c r="C10" s="26" t="s">
        <v>178</v>
      </c>
      <c r="D10" s="26">
        <v>3</v>
      </c>
      <c r="E10" s="26"/>
      <c r="F10" s="26">
        <v>3</v>
      </c>
      <c r="G10" s="26"/>
      <c r="H10" s="26">
        <v>14</v>
      </c>
      <c r="I10" s="26">
        <v>56</v>
      </c>
      <c r="J10" s="26">
        <v>3</v>
      </c>
      <c r="K10" s="26">
        <v>560</v>
      </c>
      <c r="L10" s="26">
        <v>1</v>
      </c>
      <c r="M10" s="26">
        <v>637</v>
      </c>
      <c r="N10" s="28">
        <v>48.918367346938773</v>
      </c>
      <c r="O10" s="26" t="s">
        <v>307</v>
      </c>
      <c r="P10" s="26">
        <f t="shared" si="0"/>
        <v>560</v>
      </c>
      <c r="Q10" s="26">
        <f t="shared" si="1"/>
        <v>14</v>
      </c>
      <c r="R10" s="26">
        <f t="shared" si="2"/>
        <v>56</v>
      </c>
      <c r="S10" s="26">
        <f t="shared" si="3"/>
        <v>7</v>
      </c>
      <c r="T10" s="26">
        <f t="shared" si="4"/>
        <v>637</v>
      </c>
      <c r="U10" s="27">
        <f t="shared" si="5"/>
        <v>0.87912087912087911</v>
      </c>
      <c r="V10" s="27">
        <f t="shared" si="6"/>
        <v>2.197802197802198E-2</v>
      </c>
      <c r="W10" s="27">
        <f t="shared" si="7"/>
        <v>8.7912087912087919E-2</v>
      </c>
      <c r="X10" s="27">
        <f t="shared" si="8"/>
        <v>1.098901098901099E-2</v>
      </c>
      <c r="Y10" s="28">
        <f t="shared" si="9"/>
        <v>48.918367346938773</v>
      </c>
    </row>
    <row r="11" spans="1:25" x14ac:dyDescent="0.25">
      <c r="A11" s="26" t="s">
        <v>308</v>
      </c>
      <c r="B11" s="26" t="s">
        <v>309</v>
      </c>
      <c r="C11" s="26" t="s">
        <v>178</v>
      </c>
      <c r="D11" s="26">
        <v>4</v>
      </c>
      <c r="E11" s="26"/>
      <c r="F11" s="26"/>
      <c r="G11" s="26"/>
      <c r="H11" s="26">
        <v>12</v>
      </c>
      <c r="I11" s="26">
        <v>38</v>
      </c>
      <c r="J11" s="26">
        <v>3</v>
      </c>
      <c r="K11" s="26">
        <v>584</v>
      </c>
      <c r="L11" s="26"/>
      <c r="M11" s="26">
        <v>637</v>
      </c>
      <c r="N11" s="28">
        <v>38.497645211930923</v>
      </c>
      <c r="O11" s="26" t="s">
        <v>307</v>
      </c>
      <c r="P11" s="26">
        <f t="shared" si="0"/>
        <v>584</v>
      </c>
      <c r="Q11" s="26">
        <f t="shared" si="1"/>
        <v>12</v>
      </c>
      <c r="R11" s="26">
        <f t="shared" si="2"/>
        <v>38</v>
      </c>
      <c r="S11" s="26">
        <f t="shared" si="3"/>
        <v>3</v>
      </c>
      <c r="T11" s="26">
        <f t="shared" si="4"/>
        <v>637</v>
      </c>
      <c r="U11" s="27">
        <f t="shared" si="5"/>
        <v>0.91679748822605966</v>
      </c>
      <c r="V11" s="27">
        <f t="shared" si="6"/>
        <v>1.8838304552590265E-2</v>
      </c>
      <c r="W11" s="27">
        <f t="shared" si="7"/>
        <v>5.9654631083202514E-2</v>
      </c>
      <c r="X11" s="27">
        <f t="shared" si="8"/>
        <v>4.7095761381475663E-3</v>
      </c>
      <c r="Y11" s="28">
        <f t="shared" si="9"/>
        <v>38.497645211930923</v>
      </c>
    </row>
    <row r="12" spans="1:25" x14ac:dyDescent="0.25">
      <c r="A12" s="26" t="s">
        <v>308</v>
      </c>
      <c r="B12" s="26" t="s">
        <v>309</v>
      </c>
      <c r="C12" s="26" t="s">
        <v>178</v>
      </c>
      <c r="D12" s="26">
        <v>5</v>
      </c>
      <c r="E12" s="26"/>
      <c r="F12" s="26">
        <v>1</v>
      </c>
      <c r="G12" s="26"/>
      <c r="H12" s="26">
        <v>7</v>
      </c>
      <c r="I12" s="26">
        <v>30</v>
      </c>
      <c r="J12" s="26">
        <v>1</v>
      </c>
      <c r="K12" s="26">
        <v>598</v>
      </c>
      <c r="L12" s="26"/>
      <c r="M12" s="26">
        <v>637</v>
      </c>
      <c r="N12" s="28">
        <v>32.004709576138147</v>
      </c>
      <c r="O12" s="26" t="s">
        <v>307</v>
      </c>
      <c r="P12" s="26">
        <f t="shared" si="0"/>
        <v>598</v>
      </c>
      <c r="Q12" s="26">
        <f t="shared" si="1"/>
        <v>7</v>
      </c>
      <c r="R12" s="26">
        <f t="shared" si="2"/>
        <v>30</v>
      </c>
      <c r="S12" s="26">
        <f t="shared" si="3"/>
        <v>2</v>
      </c>
      <c r="T12" s="26">
        <f t="shared" si="4"/>
        <v>637</v>
      </c>
      <c r="U12" s="27">
        <f t="shared" si="5"/>
        <v>0.93877551020408168</v>
      </c>
      <c r="V12" s="27">
        <f t="shared" si="6"/>
        <v>1.098901098901099E-2</v>
      </c>
      <c r="W12" s="27">
        <f t="shared" si="7"/>
        <v>4.709576138147567E-2</v>
      </c>
      <c r="X12" s="27">
        <f t="shared" si="8"/>
        <v>3.1397174254317113E-3</v>
      </c>
      <c r="Y12" s="28">
        <f t="shared" si="9"/>
        <v>32.004709576138147</v>
      </c>
    </row>
    <row r="13" spans="1:25" x14ac:dyDescent="0.25">
      <c r="A13" s="26" t="s">
        <v>308</v>
      </c>
      <c r="B13" s="26" t="s">
        <v>309</v>
      </c>
      <c r="C13" s="26" t="s">
        <v>178</v>
      </c>
      <c r="D13" s="26">
        <v>6</v>
      </c>
      <c r="E13" s="26"/>
      <c r="F13" s="26"/>
      <c r="G13" s="26"/>
      <c r="H13" s="26">
        <v>9</v>
      </c>
      <c r="I13" s="26">
        <v>25</v>
      </c>
      <c r="J13" s="26"/>
      <c r="K13" s="26">
        <v>603</v>
      </c>
      <c r="L13" s="26"/>
      <c r="M13" s="26">
        <v>637</v>
      </c>
      <c r="N13" s="28">
        <v>27.357927786499214</v>
      </c>
      <c r="O13" s="26" t="s">
        <v>307</v>
      </c>
      <c r="P13" s="26">
        <f t="shared" si="0"/>
        <v>603</v>
      </c>
      <c r="Q13" s="26">
        <f t="shared" si="1"/>
        <v>9</v>
      </c>
      <c r="R13" s="26">
        <f t="shared" si="2"/>
        <v>25</v>
      </c>
      <c r="S13" s="26">
        <f t="shared" si="3"/>
        <v>0</v>
      </c>
      <c r="T13" s="26">
        <f t="shared" si="4"/>
        <v>637</v>
      </c>
      <c r="U13" s="27">
        <f t="shared" si="5"/>
        <v>0.94662480376766089</v>
      </c>
      <c r="V13" s="27">
        <f t="shared" si="6"/>
        <v>1.4128728414442701E-2</v>
      </c>
      <c r="W13" s="27">
        <f t="shared" si="7"/>
        <v>3.924646781789639E-2</v>
      </c>
      <c r="X13" s="27">
        <f t="shared" si="8"/>
        <v>0</v>
      </c>
      <c r="Y13" s="28">
        <f t="shared" si="9"/>
        <v>27.357927786499214</v>
      </c>
    </row>
    <row r="14" spans="1:25" x14ac:dyDescent="0.25">
      <c r="A14" s="26" t="s">
        <v>308</v>
      </c>
      <c r="B14" s="26" t="s">
        <v>309</v>
      </c>
      <c r="C14" s="26" t="s">
        <v>178</v>
      </c>
      <c r="D14" s="26">
        <v>7</v>
      </c>
      <c r="E14" s="26"/>
      <c r="F14" s="26"/>
      <c r="G14" s="26"/>
      <c r="H14" s="26">
        <v>5</v>
      </c>
      <c r="I14" s="26">
        <v>29</v>
      </c>
      <c r="J14" s="26"/>
      <c r="K14" s="26">
        <v>603</v>
      </c>
      <c r="L14" s="26"/>
      <c r="M14" s="26">
        <v>637</v>
      </c>
      <c r="N14" s="28">
        <v>23.549450549450551</v>
      </c>
      <c r="O14" s="26" t="s">
        <v>307</v>
      </c>
      <c r="P14" s="26">
        <f t="shared" si="0"/>
        <v>603</v>
      </c>
      <c r="Q14" s="26">
        <f t="shared" si="1"/>
        <v>5</v>
      </c>
      <c r="R14" s="26">
        <f t="shared" si="2"/>
        <v>29</v>
      </c>
      <c r="S14" s="26">
        <f t="shared" si="3"/>
        <v>0</v>
      </c>
      <c r="T14" s="26">
        <f t="shared" si="4"/>
        <v>637</v>
      </c>
      <c r="U14" s="27">
        <f t="shared" si="5"/>
        <v>0.94662480376766089</v>
      </c>
      <c r="V14" s="27">
        <f t="shared" si="6"/>
        <v>7.8492935635792772E-3</v>
      </c>
      <c r="W14" s="27">
        <f t="shared" si="7"/>
        <v>4.5525902668759811E-2</v>
      </c>
      <c r="X14" s="27">
        <f t="shared" si="8"/>
        <v>0</v>
      </c>
      <c r="Y14" s="28">
        <f t="shared" si="9"/>
        <v>23.549450549450551</v>
      </c>
    </row>
    <row r="15" spans="1:25" x14ac:dyDescent="0.25">
      <c r="A15" s="26" t="s">
        <v>308</v>
      </c>
      <c r="B15" s="26" t="s">
        <v>309</v>
      </c>
      <c r="C15" s="26" t="s">
        <v>178</v>
      </c>
      <c r="D15" s="26">
        <v>8</v>
      </c>
      <c r="E15" s="26"/>
      <c r="F15" s="26"/>
      <c r="G15" s="26">
        <v>2</v>
      </c>
      <c r="H15" s="26">
        <v>6</v>
      </c>
      <c r="I15" s="26">
        <v>25</v>
      </c>
      <c r="J15" s="26"/>
      <c r="K15" s="26">
        <v>604</v>
      </c>
      <c r="L15" s="26"/>
      <c r="M15" s="26">
        <v>637</v>
      </c>
      <c r="N15" s="28">
        <v>19.811616954474097</v>
      </c>
      <c r="O15" s="26" t="s">
        <v>307</v>
      </c>
      <c r="P15" s="26">
        <f t="shared" si="0"/>
        <v>604</v>
      </c>
      <c r="Q15" s="26">
        <f t="shared" si="1"/>
        <v>6</v>
      </c>
      <c r="R15" s="26">
        <f t="shared" si="2"/>
        <v>25</v>
      </c>
      <c r="S15" s="26">
        <f t="shared" si="3"/>
        <v>2</v>
      </c>
      <c r="T15" s="26">
        <f t="shared" si="4"/>
        <v>637</v>
      </c>
      <c r="U15" s="27">
        <f t="shared" si="5"/>
        <v>0.94819466248037676</v>
      </c>
      <c r="V15" s="27">
        <f t="shared" si="6"/>
        <v>9.4191522762951327E-3</v>
      </c>
      <c r="W15" s="27">
        <f t="shared" si="7"/>
        <v>3.924646781789639E-2</v>
      </c>
      <c r="X15" s="27">
        <f t="shared" si="8"/>
        <v>3.1397174254317113E-3</v>
      </c>
      <c r="Y15" s="28">
        <f t="shared" si="9"/>
        <v>19.811616954474097</v>
      </c>
    </row>
    <row r="16" spans="1:25" x14ac:dyDescent="0.25">
      <c r="A16" s="26" t="s">
        <v>308</v>
      </c>
      <c r="B16" s="26" t="s">
        <v>309</v>
      </c>
      <c r="C16" s="26" t="s">
        <v>179</v>
      </c>
      <c r="D16" s="26">
        <v>1</v>
      </c>
      <c r="E16" s="26"/>
      <c r="F16" s="26"/>
      <c r="G16" s="26"/>
      <c r="H16" s="26">
        <v>24</v>
      </c>
      <c r="I16" s="26">
        <v>36</v>
      </c>
      <c r="J16" s="26">
        <v>1</v>
      </c>
      <c r="K16" s="26">
        <v>389</v>
      </c>
      <c r="L16" s="26"/>
      <c r="M16" s="26">
        <v>450</v>
      </c>
      <c r="N16" s="28">
        <v>62.915555555555557</v>
      </c>
      <c r="O16" s="26" t="s">
        <v>307</v>
      </c>
      <c r="P16" s="26">
        <f t="shared" si="0"/>
        <v>389</v>
      </c>
      <c r="Q16" s="26">
        <f t="shared" si="1"/>
        <v>24</v>
      </c>
      <c r="R16" s="26">
        <f t="shared" si="2"/>
        <v>36</v>
      </c>
      <c r="S16" s="26">
        <f t="shared" si="3"/>
        <v>1</v>
      </c>
      <c r="T16" s="26">
        <f t="shared" si="4"/>
        <v>450</v>
      </c>
      <c r="U16" s="27">
        <f t="shared" si="5"/>
        <v>0.86444444444444446</v>
      </c>
      <c r="V16" s="27">
        <f t="shared" si="6"/>
        <v>5.3333333333333337E-2</v>
      </c>
      <c r="W16" s="27">
        <f t="shared" si="7"/>
        <v>0.08</v>
      </c>
      <c r="X16" s="27">
        <f t="shared" si="8"/>
        <v>2.2222222222222222E-3</v>
      </c>
      <c r="Y16" s="28">
        <f t="shared" si="9"/>
        <v>62.915555555555557</v>
      </c>
    </row>
    <row r="17" spans="1:25" x14ac:dyDescent="0.25">
      <c r="A17" s="26" t="s">
        <v>308</v>
      </c>
      <c r="B17" s="26" t="s">
        <v>309</v>
      </c>
      <c r="C17" s="26" t="s">
        <v>179</v>
      </c>
      <c r="D17" s="26">
        <v>2</v>
      </c>
      <c r="E17" s="26"/>
      <c r="F17" s="26"/>
      <c r="G17" s="26">
        <v>2</v>
      </c>
      <c r="H17" s="26">
        <v>20</v>
      </c>
      <c r="I17" s="26">
        <v>46</v>
      </c>
      <c r="J17" s="26">
        <v>2</v>
      </c>
      <c r="K17" s="26">
        <v>380</v>
      </c>
      <c r="L17" s="26"/>
      <c r="M17" s="26">
        <v>450</v>
      </c>
      <c r="N17" s="28">
        <v>57.835555555555558</v>
      </c>
      <c r="O17" s="26" t="s">
        <v>307</v>
      </c>
      <c r="P17" s="26">
        <f t="shared" si="0"/>
        <v>380</v>
      </c>
      <c r="Q17" s="26">
        <f t="shared" si="1"/>
        <v>20</v>
      </c>
      <c r="R17" s="26">
        <f t="shared" si="2"/>
        <v>46</v>
      </c>
      <c r="S17" s="26">
        <f t="shared" si="3"/>
        <v>4</v>
      </c>
      <c r="T17" s="26">
        <f t="shared" si="4"/>
        <v>450</v>
      </c>
      <c r="U17" s="27">
        <f t="shared" si="5"/>
        <v>0.84444444444444444</v>
      </c>
      <c r="V17" s="27">
        <f t="shared" si="6"/>
        <v>4.4444444444444446E-2</v>
      </c>
      <c r="W17" s="27">
        <f t="shared" si="7"/>
        <v>0.10222222222222223</v>
      </c>
      <c r="X17" s="27">
        <f t="shared" si="8"/>
        <v>8.8888888888888889E-3</v>
      </c>
      <c r="Y17" s="28">
        <f t="shared" si="9"/>
        <v>57.835555555555558</v>
      </c>
    </row>
    <row r="18" spans="1:25" x14ac:dyDescent="0.25">
      <c r="A18" s="26" t="s">
        <v>308</v>
      </c>
      <c r="B18" s="26" t="s">
        <v>309</v>
      </c>
      <c r="C18" s="26" t="s">
        <v>179</v>
      </c>
      <c r="D18" s="26">
        <v>3</v>
      </c>
      <c r="E18" s="26"/>
      <c r="F18" s="26">
        <v>1</v>
      </c>
      <c r="G18" s="26">
        <v>2</v>
      </c>
      <c r="H18" s="26">
        <v>39</v>
      </c>
      <c r="I18" s="26">
        <v>82</v>
      </c>
      <c r="J18" s="26"/>
      <c r="K18" s="26">
        <v>521</v>
      </c>
      <c r="L18" s="26"/>
      <c r="M18" s="26">
        <v>645</v>
      </c>
      <c r="N18" s="28">
        <v>47.424806201550389</v>
      </c>
      <c r="O18" s="26" t="s">
        <v>307</v>
      </c>
      <c r="P18" s="26">
        <f t="shared" si="0"/>
        <v>521</v>
      </c>
      <c r="Q18" s="26">
        <f t="shared" si="1"/>
        <v>39</v>
      </c>
      <c r="R18" s="26">
        <f t="shared" si="2"/>
        <v>82</v>
      </c>
      <c r="S18" s="26">
        <f t="shared" si="3"/>
        <v>3</v>
      </c>
      <c r="T18" s="26">
        <f t="shared" si="4"/>
        <v>645</v>
      </c>
      <c r="U18" s="27">
        <f t="shared" si="5"/>
        <v>0.80775193798449607</v>
      </c>
      <c r="V18" s="27">
        <f t="shared" si="6"/>
        <v>6.0465116279069767E-2</v>
      </c>
      <c r="W18" s="27">
        <f t="shared" si="7"/>
        <v>0.12713178294573643</v>
      </c>
      <c r="X18" s="27">
        <f t="shared" si="8"/>
        <v>4.6511627906976744E-3</v>
      </c>
      <c r="Y18" s="28">
        <f t="shared" si="9"/>
        <v>47.424806201550389</v>
      </c>
    </row>
    <row r="19" spans="1:25" x14ac:dyDescent="0.25">
      <c r="A19" s="26" t="s">
        <v>308</v>
      </c>
      <c r="B19" s="26" t="s">
        <v>309</v>
      </c>
      <c r="C19" s="26" t="s">
        <v>179</v>
      </c>
      <c r="D19" s="26">
        <v>4</v>
      </c>
      <c r="E19" s="26"/>
      <c r="F19" s="26"/>
      <c r="G19" s="26"/>
      <c r="H19" s="26">
        <v>22</v>
      </c>
      <c r="I19" s="26">
        <v>69</v>
      </c>
      <c r="J19" s="26">
        <v>2</v>
      </c>
      <c r="K19" s="26">
        <v>552</v>
      </c>
      <c r="L19" s="26"/>
      <c r="M19" s="26">
        <v>645</v>
      </c>
      <c r="N19" s="28">
        <v>36.751937984496124</v>
      </c>
      <c r="O19" s="26" t="s">
        <v>307</v>
      </c>
      <c r="P19" s="26">
        <f t="shared" si="0"/>
        <v>552</v>
      </c>
      <c r="Q19" s="26">
        <f t="shared" si="1"/>
        <v>22</v>
      </c>
      <c r="R19" s="26">
        <f t="shared" si="2"/>
        <v>69</v>
      </c>
      <c r="S19" s="26">
        <f t="shared" si="3"/>
        <v>2</v>
      </c>
      <c r="T19" s="26">
        <f t="shared" si="4"/>
        <v>645</v>
      </c>
      <c r="U19" s="27">
        <f t="shared" si="5"/>
        <v>0.85581395348837208</v>
      </c>
      <c r="V19" s="27">
        <f t="shared" si="6"/>
        <v>3.4108527131782945E-2</v>
      </c>
      <c r="W19" s="27">
        <f t="shared" si="7"/>
        <v>0.10697674418604651</v>
      </c>
      <c r="X19" s="27">
        <f t="shared" si="8"/>
        <v>3.1007751937984496E-3</v>
      </c>
      <c r="Y19" s="28">
        <f t="shared" si="9"/>
        <v>36.751937984496124</v>
      </c>
    </row>
    <row r="20" spans="1:25" x14ac:dyDescent="0.25">
      <c r="A20" s="26" t="s">
        <v>308</v>
      </c>
      <c r="B20" s="26" t="s">
        <v>309</v>
      </c>
      <c r="C20" s="26" t="s">
        <v>179</v>
      </c>
      <c r="D20" s="26">
        <v>5</v>
      </c>
      <c r="E20" s="26">
        <v>1</v>
      </c>
      <c r="F20" s="26"/>
      <c r="G20" s="26"/>
      <c r="H20" s="26">
        <v>20</v>
      </c>
      <c r="I20" s="26">
        <v>49</v>
      </c>
      <c r="J20" s="26"/>
      <c r="K20" s="26">
        <v>575</v>
      </c>
      <c r="L20" s="26"/>
      <c r="M20" s="26">
        <v>645</v>
      </c>
      <c r="N20" s="28">
        <v>30.47751937984496</v>
      </c>
      <c r="O20" s="26" t="s">
        <v>307</v>
      </c>
      <c r="P20" s="26">
        <f t="shared" si="0"/>
        <v>575</v>
      </c>
      <c r="Q20" s="26">
        <f t="shared" si="1"/>
        <v>20</v>
      </c>
      <c r="R20" s="26">
        <f t="shared" si="2"/>
        <v>49</v>
      </c>
      <c r="S20" s="26">
        <f t="shared" si="3"/>
        <v>1</v>
      </c>
      <c r="T20" s="26">
        <f t="shared" si="4"/>
        <v>645</v>
      </c>
      <c r="U20" s="27">
        <f t="shared" si="5"/>
        <v>0.89147286821705429</v>
      </c>
      <c r="V20" s="27">
        <f t="shared" si="6"/>
        <v>3.1007751937984496E-2</v>
      </c>
      <c r="W20" s="27">
        <f t="shared" si="7"/>
        <v>7.5968992248062014E-2</v>
      </c>
      <c r="X20" s="27">
        <f t="shared" si="8"/>
        <v>1.5503875968992248E-3</v>
      </c>
      <c r="Y20" s="28">
        <f t="shared" si="9"/>
        <v>30.47751937984496</v>
      </c>
    </row>
    <row r="21" spans="1:25" x14ac:dyDescent="0.25">
      <c r="A21" s="26" t="s">
        <v>308</v>
      </c>
      <c r="B21" s="26" t="s">
        <v>309</v>
      </c>
      <c r="C21" s="26" t="s">
        <v>179</v>
      </c>
      <c r="D21" s="26">
        <v>6</v>
      </c>
      <c r="E21" s="26"/>
      <c r="F21" s="26"/>
      <c r="G21" s="26"/>
      <c r="H21" s="26">
        <v>14</v>
      </c>
      <c r="I21" s="26">
        <v>60</v>
      </c>
      <c r="J21" s="26"/>
      <c r="K21" s="26">
        <v>571</v>
      </c>
      <c r="L21" s="26"/>
      <c r="M21" s="26">
        <v>645</v>
      </c>
      <c r="N21" s="28">
        <v>25.595348837209301</v>
      </c>
      <c r="O21" s="26" t="s">
        <v>307</v>
      </c>
      <c r="P21" s="26">
        <f t="shared" si="0"/>
        <v>571</v>
      </c>
      <c r="Q21" s="26">
        <f t="shared" si="1"/>
        <v>14</v>
      </c>
      <c r="R21" s="26">
        <f t="shared" si="2"/>
        <v>60</v>
      </c>
      <c r="S21" s="26">
        <f t="shared" si="3"/>
        <v>0</v>
      </c>
      <c r="T21" s="26">
        <f t="shared" si="4"/>
        <v>645</v>
      </c>
      <c r="U21" s="27">
        <f t="shared" si="5"/>
        <v>0.88527131782945734</v>
      </c>
      <c r="V21" s="27">
        <f t="shared" si="6"/>
        <v>2.1705426356589147E-2</v>
      </c>
      <c r="W21" s="27">
        <f t="shared" si="7"/>
        <v>9.3023255813953487E-2</v>
      </c>
      <c r="X21" s="27">
        <f t="shared" si="8"/>
        <v>0</v>
      </c>
      <c r="Y21" s="28">
        <f t="shared" si="9"/>
        <v>25.595348837209301</v>
      </c>
    </row>
    <row r="22" spans="1:25" x14ac:dyDescent="0.25">
      <c r="A22" s="26" t="s">
        <v>308</v>
      </c>
      <c r="B22" s="26" t="s">
        <v>309</v>
      </c>
      <c r="C22" s="26" t="s">
        <v>179</v>
      </c>
      <c r="D22" s="26">
        <v>7</v>
      </c>
      <c r="E22" s="26"/>
      <c r="F22" s="26"/>
      <c r="G22" s="26"/>
      <c r="H22" s="26">
        <v>16</v>
      </c>
      <c r="I22" s="26">
        <v>53</v>
      </c>
      <c r="J22" s="26"/>
      <c r="K22" s="26">
        <v>576</v>
      </c>
      <c r="L22" s="26"/>
      <c r="M22" s="26">
        <v>645</v>
      </c>
      <c r="N22" s="28">
        <v>20.694573643410852</v>
      </c>
      <c r="O22" s="26" t="s">
        <v>307</v>
      </c>
      <c r="P22" s="26">
        <f t="shared" si="0"/>
        <v>576</v>
      </c>
      <c r="Q22" s="26">
        <f t="shared" si="1"/>
        <v>16</v>
      </c>
      <c r="R22" s="26">
        <f t="shared" si="2"/>
        <v>53</v>
      </c>
      <c r="S22" s="26">
        <f t="shared" si="3"/>
        <v>0</v>
      </c>
      <c r="T22" s="26">
        <f t="shared" si="4"/>
        <v>645</v>
      </c>
      <c r="U22" s="27">
        <f t="shared" si="5"/>
        <v>0.89302325581395348</v>
      </c>
      <c r="V22" s="27">
        <f t="shared" si="6"/>
        <v>2.4806201550387597E-2</v>
      </c>
      <c r="W22" s="27">
        <f t="shared" si="7"/>
        <v>8.2170542635658914E-2</v>
      </c>
      <c r="X22" s="27">
        <f t="shared" si="8"/>
        <v>0</v>
      </c>
      <c r="Y22" s="28">
        <f t="shared" si="9"/>
        <v>20.694573643410852</v>
      </c>
    </row>
    <row r="23" spans="1:25" x14ac:dyDescent="0.25">
      <c r="A23" s="26" t="s">
        <v>310</v>
      </c>
      <c r="B23" s="26" t="s">
        <v>311</v>
      </c>
      <c r="C23" s="26" t="s">
        <v>181</v>
      </c>
      <c r="D23" s="26">
        <v>1</v>
      </c>
      <c r="E23" s="26"/>
      <c r="F23" s="26"/>
      <c r="G23" s="26">
        <v>4</v>
      </c>
      <c r="H23" s="26">
        <v>42</v>
      </c>
      <c r="I23" s="26">
        <v>78</v>
      </c>
      <c r="J23" s="26">
        <v>5</v>
      </c>
      <c r="K23" s="26">
        <v>321</v>
      </c>
      <c r="L23" s="26"/>
      <c r="M23" s="26">
        <v>450</v>
      </c>
      <c r="N23" s="28">
        <v>71.095555555555549</v>
      </c>
      <c r="O23" s="26" t="s">
        <v>307</v>
      </c>
      <c r="P23" s="26">
        <f t="shared" si="0"/>
        <v>321</v>
      </c>
      <c r="Q23" s="26">
        <f t="shared" si="1"/>
        <v>42</v>
      </c>
      <c r="R23" s="26">
        <f t="shared" si="2"/>
        <v>78</v>
      </c>
      <c r="S23" s="26">
        <f t="shared" si="3"/>
        <v>9</v>
      </c>
      <c r="T23" s="26">
        <f t="shared" si="4"/>
        <v>450</v>
      </c>
      <c r="U23" s="27">
        <f t="shared" si="5"/>
        <v>0.71333333333333337</v>
      </c>
      <c r="V23" s="27">
        <f t="shared" si="6"/>
        <v>9.3333333333333338E-2</v>
      </c>
      <c r="W23" s="27">
        <f t="shared" si="7"/>
        <v>0.17333333333333334</v>
      </c>
      <c r="X23" s="27">
        <f t="shared" si="8"/>
        <v>0.02</v>
      </c>
      <c r="Y23" s="28">
        <f t="shared" si="9"/>
        <v>71.095555555555549</v>
      </c>
    </row>
    <row r="24" spans="1:25" x14ac:dyDescent="0.25">
      <c r="A24" s="26" t="s">
        <v>310</v>
      </c>
      <c r="B24" s="26" t="s">
        <v>311</v>
      </c>
      <c r="C24" s="26" t="s">
        <v>181</v>
      </c>
      <c r="D24" s="26">
        <v>2</v>
      </c>
      <c r="E24" s="26"/>
      <c r="F24" s="26"/>
      <c r="G24" s="26">
        <v>1</v>
      </c>
      <c r="H24" s="26">
        <v>35</v>
      </c>
      <c r="I24" s="26">
        <v>82</v>
      </c>
      <c r="J24" s="26">
        <v>4</v>
      </c>
      <c r="K24" s="26">
        <v>328</v>
      </c>
      <c r="L24" s="26"/>
      <c r="M24" s="26">
        <v>450</v>
      </c>
      <c r="N24" s="28">
        <v>62.584444444444443</v>
      </c>
      <c r="O24" s="26" t="s">
        <v>307</v>
      </c>
      <c r="P24" s="26">
        <f t="shared" si="0"/>
        <v>328</v>
      </c>
      <c r="Q24" s="26">
        <f t="shared" si="1"/>
        <v>35</v>
      </c>
      <c r="R24" s="26">
        <f t="shared" si="2"/>
        <v>82</v>
      </c>
      <c r="S24" s="26">
        <f t="shared" si="3"/>
        <v>5</v>
      </c>
      <c r="T24" s="26">
        <f t="shared" si="4"/>
        <v>450</v>
      </c>
      <c r="U24" s="27">
        <f t="shared" si="5"/>
        <v>0.72888888888888892</v>
      </c>
      <c r="V24" s="27">
        <f t="shared" si="6"/>
        <v>7.7777777777777779E-2</v>
      </c>
      <c r="W24" s="27">
        <f t="shared" si="7"/>
        <v>0.18222222222222223</v>
      </c>
      <c r="X24" s="27">
        <f t="shared" si="8"/>
        <v>1.1111111111111112E-2</v>
      </c>
      <c r="Y24" s="28">
        <f t="shared" si="9"/>
        <v>62.584444444444443</v>
      </c>
    </row>
    <row r="25" spans="1:25" x14ac:dyDescent="0.25">
      <c r="A25" s="26" t="s">
        <v>310</v>
      </c>
      <c r="B25" s="26" t="s">
        <v>311</v>
      </c>
      <c r="C25" s="26" t="s">
        <v>181</v>
      </c>
      <c r="D25" s="26">
        <v>3</v>
      </c>
      <c r="E25" s="26"/>
      <c r="F25" s="26">
        <v>1</v>
      </c>
      <c r="G25" s="26">
        <v>3</v>
      </c>
      <c r="H25" s="26">
        <v>35</v>
      </c>
      <c r="I25" s="26">
        <v>95</v>
      </c>
      <c r="J25" s="26"/>
      <c r="K25" s="26">
        <v>451</v>
      </c>
      <c r="L25" s="26"/>
      <c r="M25" s="26">
        <v>585</v>
      </c>
      <c r="N25" s="28">
        <v>50.986324786324786</v>
      </c>
      <c r="O25" s="26" t="s">
        <v>307</v>
      </c>
      <c r="P25" s="26">
        <f t="shared" si="0"/>
        <v>451</v>
      </c>
      <c r="Q25" s="26">
        <f t="shared" si="1"/>
        <v>35</v>
      </c>
      <c r="R25" s="26">
        <f t="shared" si="2"/>
        <v>95</v>
      </c>
      <c r="S25" s="26">
        <f t="shared" si="3"/>
        <v>4</v>
      </c>
      <c r="T25" s="26">
        <f t="shared" si="4"/>
        <v>585</v>
      </c>
      <c r="U25" s="27">
        <f t="shared" si="5"/>
        <v>0.77094017094017098</v>
      </c>
      <c r="V25" s="27">
        <f t="shared" si="6"/>
        <v>5.9829059829059832E-2</v>
      </c>
      <c r="W25" s="27">
        <f t="shared" si="7"/>
        <v>0.1623931623931624</v>
      </c>
      <c r="X25" s="27">
        <f t="shared" si="8"/>
        <v>6.8376068376068376E-3</v>
      </c>
      <c r="Y25" s="28">
        <f t="shared" si="9"/>
        <v>50.986324786324786</v>
      </c>
    </row>
    <row r="26" spans="1:25" x14ac:dyDescent="0.25">
      <c r="A26" s="26" t="s">
        <v>310</v>
      </c>
      <c r="B26" s="26" t="s">
        <v>311</v>
      </c>
      <c r="C26" s="26" t="s">
        <v>181</v>
      </c>
      <c r="D26" s="26">
        <v>4</v>
      </c>
      <c r="E26" s="26"/>
      <c r="F26" s="26">
        <v>1</v>
      </c>
      <c r="G26" s="26">
        <v>3</v>
      </c>
      <c r="H26" s="26">
        <v>16</v>
      </c>
      <c r="I26" s="26">
        <v>56</v>
      </c>
      <c r="J26" s="26"/>
      <c r="K26" s="26">
        <v>509</v>
      </c>
      <c r="L26" s="26"/>
      <c r="M26" s="26">
        <v>585</v>
      </c>
      <c r="N26" s="28">
        <v>40.502564102564101</v>
      </c>
      <c r="O26" s="26" t="s">
        <v>307</v>
      </c>
      <c r="P26" s="26">
        <f t="shared" si="0"/>
        <v>509</v>
      </c>
      <c r="Q26" s="26">
        <f t="shared" si="1"/>
        <v>16</v>
      </c>
      <c r="R26" s="26">
        <f t="shared" si="2"/>
        <v>56</v>
      </c>
      <c r="S26" s="26">
        <f t="shared" si="3"/>
        <v>4</v>
      </c>
      <c r="T26" s="26">
        <f t="shared" si="4"/>
        <v>585</v>
      </c>
      <c r="U26" s="27">
        <f t="shared" si="5"/>
        <v>0.8700854700854701</v>
      </c>
      <c r="V26" s="27">
        <f t="shared" si="6"/>
        <v>2.735042735042735E-2</v>
      </c>
      <c r="W26" s="27">
        <f t="shared" si="7"/>
        <v>9.5726495726495733E-2</v>
      </c>
      <c r="X26" s="27">
        <f t="shared" si="8"/>
        <v>6.8376068376068376E-3</v>
      </c>
      <c r="Y26" s="28">
        <f t="shared" si="9"/>
        <v>40.502564102564101</v>
      </c>
    </row>
    <row r="27" spans="1:25" x14ac:dyDescent="0.25">
      <c r="A27" s="26" t="s">
        <v>310</v>
      </c>
      <c r="B27" s="26" t="s">
        <v>311</v>
      </c>
      <c r="C27" s="26" t="s">
        <v>181</v>
      </c>
      <c r="D27" s="26">
        <v>5</v>
      </c>
      <c r="E27" s="26"/>
      <c r="F27" s="26"/>
      <c r="G27" s="26"/>
      <c r="H27" s="26">
        <v>19</v>
      </c>
      <c r="I27" s="26">
        <v>47</v>
      </c>
      <c r="J27" s="26">
        <v>1</v>
      </c>
      <c r="K27" s="26">
        <v>519</v>
      </c>
      <c r="L27" s="26"/>
      <c r="M27" s="26">
        <v>586</v>
      </c>
      <c r="N27" s="28">
        <v>30.122866894197951</v>
      </c>
      <c r="O27" s="26" t="s">
        <v>307</v>
      </c>
      <c r="P27" s="26">
        <f t="shared" si="0"/>
        <v>519</v>
      </c>
      <c r="Q27" s="26">
        <f t="shared" si="1"/>
        <v>19</v>
      </c>
      <c r="R27" s="26">
        <f t="shared" si="2"/>
        <v>47</v>
      </c>
      <c r="S27" s="26">
        <f t="shared" si="3"/>
        <v>1</v>
      </c>
      <c r="T27" s="26">
        <f t="shared" si="4"/>
        <v>586</v>
      </c>
      <c r="U27" s="27">
        <f t="shared" si="5"/>
        <v>0.88566552901023887</v>
      </c>
      <c r="V27" s="27">
        <f t="shared" si="6"/>
        <v>3.2423208191126277E-2</v>
      </c>
      <c r="W27" s="27">
        <f t="shared" si="7"/>
        <v>8.0204778156996587E-2</v>
      </c>
      <c r="X27" s="27">
        <f t="shared" si="8"/>
        <v>1.7064846416382253E-3</v>
      </c>
      <c r="Y27" s="28">
        <f t="shared" si="9"/>
        <v>30.122866894197951</v>
      </c>
    </row>
    <row r="28" spans="1:25" x14ac:dyDescent="0.25">
      <c r="A28" s="26" t="s">
        <v>310</v>
      </c>
      <c r="B28" s="26" t="s">
        <v>311</v>
      </c>
      <c r="C28" s="26" t="s">
        <v>182</v>
      </c>
      <c r="D28" s="26">
        <v>1</v>
      </c>
      <c r="E28" s="26"/>
      <c r="F28" s="26">
        <v>1</v>
      </c>
      <c r="G28" s="26"/>
      <c r="H28" s="26">
        <v>12</v>
      </c>
      <c r="I28" s="26">
        <v>55</v>
      </c>
      <c r="J28" s="26">
        <v>1</v>
      </c>
      <c r="K28" s="26">
        <v>381</v>
      </c>
      <c r="L28" s="26"/>
      <c r="M28" s="26">
        <v>450</v>
      </c>
      <c r="N28" s="28">
        <v>62.864444444444445</v>
      </c>
      <c r="O28" s="26" t="s">
        <v>307</v>
      </c>
      <c r="P28" s="26">
        <f t="shared" si="0"/>
        <v>381</v>
      </c>
      <c r="Q28" s="26">
        <f t="shared" si="1"/>
        <v>12</v>
      </c>
      <c r="R28" s="26">
        <f t="shared" si="2"/>
        <v>55</v>
      </c>
      <c r="S28" s="26">
        <f t="shared" si="3"/>
        <v>2</v>
      </c>
      <c r="T28" s="26">
        <f t="shared" si="4"/>
        <v>450</v>
      </c>
      <c r="U28" s="27">
        <f t="shared" si="5"/>
        <v>0.84666666666666668</v>
      </c>
      <c r="V28" s="27">
        <f t="shared" si="6"/>
        <v>2.6666666666666668E-2</v>
      </c>
      <c r="W28" s="27">
        <f t="shared" si="7"/>
        <v>0.12222222222222222</v>
      </c>
      <c r="X28" s="27">
        <f t="shared" si="8"/>
        <v>4.4444444444444444E-3</v>
      </c>
      <c r="Y28" s="28">
        <f t="shared" si="9"/>
        <v>62.864444444444445</v>
      </c>
    </row>
    <row r="29" spans="1:25" x14ac:dyDescent="0.25">
      <c r="A29" s="26" t="s">
        <v>310</v>
      </c>
      <c r="B29" s="26" t="s">
        <v>311</v>
      </c>
      <c r="C29" s="26" t="s">
        <v>182</v>
      </c>
      <c r="D29" s="26">
        <v>2</v>
      </c>
      <c r="E29" s="26">
        <v>1</v>
      </c>
      <c r="F29" s="26"/>
      <c r="G29" s="26">
        <v>5</v>
      </c>
      <c r="H29" s="26">
        <v>23</v>
      </c>
      <c r="I29" s="26">
        <v>86</v>
      </c>
      <c r="J29" s="26">
        <v>2</v>
      </c>
      <c r="K29" s="26">
        <v>333</v>
      </c>
      <c r="L29" s="26"/>
      <c r="M29" s="26">
        <v>450</v>
      </c>
      <c r="N29" s="28">
        <v>49.713333333333331</v>
      </c>
      <c r="O29" s="26" t="s">
        <v>307</v>
      </c>
      <c r="P29" s="26">
        <f t="shared" si="0"/>
        <v>333</v>
      </c>
      <c r="Q29" s="26">
        <f t="shared" si="1"/>
        <v>23</v>
      </c>
      <c r="R29" s="26">
        <f t="shared" si="2"/>
        <v>86</v>
      </c>
      <c r="S29" s="26">
        <f t="shared" si="3"/>
        <v>8</v>
      </c>
      <c r="T29" s="26">
        <f t="shared" si="4"/>
        <v>450</v>
      </c>
      <c r="U29" s="27">
        <f t="shared" si="5"/>
        <v>0.74</v>
      </c>
      <c r="V29" s="27">
        <f t="shared" si="6"/>
        <v>5.1111111111111114E-2</v>
      </c>
      <c r="W29" s="27">
        <f t="shared" si="7"/>
        <v>0.19111111111111112</v>
      </c>
      <c r="X29" s="27">
        <f t="shared" si="8"/>
        <v>1.7777777777777778E-2</v>
      </c>
      <c r="Y29" s="28">
        <f t="shared" si="9"/>
        <v>49.713333333333331</v>
      </c>
    </row>
    <row r="30" spans="1:25" x14ac:dyDescent="0.25">
      <c r="A30" s="26" t="s">
        <v>310</v>
      </c>
      <c r="B30" s="26" t="s">
        <v>311</v>
      </c>
      <c r="C30" s="26" t="s">
        <v>182</v>
      </c>
      <c r="D30" s="26">
        <v>3</v>
      </c>
      <c r="E30" s="26"/>
      <c r="F30" s="26"/>
      <c r="G30" s="26"/>
      <c r="H30" s="26">
        <v>11</v>
      </c>
      <c r="I30" s="26">
        <v>66</v>
      </c>
      <c r="J30" s="26">
        <v>1</v>
      </c>
      <c r="K30" s="26">
        <v>527</v>
      </c>
      <c r="L30" s="26"/>
      <c r="M30" s="26">
        <v>605</v>
      </c>
      <c r="N30" s="28">
        <v>39.104132231404961</v>
      </c>
      <c r="O30" s="26" t="s">
        <v>307</v>
      </c>
      <c r="P30" s="26">
        <f t="shared" si="0"/>
        <v>527</v>
      </c>
      <c r="Q30" s="26">
        <f t="shared" si="1"/>
        <v>11</v>
      </c>
      <c r="R30" s="26">
        <f t="shared" si="2"/>
        <v>66</v>
      </c>
      <c r="S30" s="26">
        <f t="shared" si="3"/>
        <v>1</v>
      </c>
      <c r="T30" s="26">
        <f t="shared" si="4"/>
        <v>605</v>
      </c>
      <c r="U30" s="27">
        <f t="shared" si="5"/>
        <v>0.87107438016528926</v>
      </c>
      <c r="V30" s="27">
        <f t="shared" si="6"/>
        <v>1.8181818181818181E-2</v>
      </c>
      <c r="W30" s="27">
        <f t="shared" si="7"/>
        <v>0.10909090909090909</v>
      </c>
      <c r="X30" s="27">
        <f t="shared" si="8"/>
        <v>1.652892561983471E-3</v>
      </c>
      <c r="Y30" s="28">
        <f t="shared" si="9"/>
        <v>39.104132231404961</v>
      </c>
    </row>
    <row r="31" spans="1:25" x14ac:dyDescent="0.25">
      <c r="A31" s="26" t="s">
        <v>310</v>
      </c>
      <c r="B31" s="26" t="s">
        <v>311</v>
      </c>
      <c r="C31" s="26" t="s">
        <v>182</v>
      </c>
      <c r="D31" s="26">
        <v>4</v>
      </c>
      <c r="E31" s="26"/>
      <c r="F31" s="26"/>
      <c r="G31" s="26"/>
      <c r="H31" s="26">
        <v>14</v>
      </c>
      <c r="I31" s="26">
        <v>79</v>
      </c>
      <c r="J31" s="26">
        <v>1</v>
      </c>
      <c r="K31" s="26">
        <v>512</v>
      </c>
      <c r="L31" s="26"/>
      <c r="M31" s="26">
        <v>606</v>
      </c>
      <c r="N31" s="28">
        <v>33.049504950495049</v>
      </c>
      <c r="O31" s="26" t="s">
        <v>307</v>
      </c>
      <c r="P31" s="26">
        <f t="shared" si="0"/>
        <v>512</v>
      </c>
      <c r="Q31" s="26">
        <f t="shared" si="1"/>
        <v>14</v>
      </c>
      <c r="R31" s="26">
        <f t="shared" si="2"/>
        <v>79</v>
      </c>
      <c r="S31" s="26">
        <f t="shared" si="3"/>
        <v>1</v>
      </c>
      <c r="T31" s="26">
        <f t="shared" si="4"/>
        <v>606</v>
      </c>
      <c r="U31" s="27">
        <f t="shared" si="5"/>
        <v>0.84488448844884489</v>
      </c>
      <c r="V31" s="27">
        <f t="shared" si="6"/>
        <v>2.3102310231023101E-2</v>
      </c>
      <c r="W31" s="27">
        <f t="shared" si="7"/>
        <v>0.13036303630363036</v>
      </c>
      <c r="X31" s="27">
        <f t="shared" si="8"/>
        <v>1.6501650165016502E-3</v>
      </c>
      <c r="Y31" s="28">
        <f t="shared" si="9"/>
        <v>33.049504950495049</v>
      </c>
    </row>
    <row r="32" spans="1:25" x14ac:dyDescent="0.25">
      <c r="A32" s="26" t="s">
        <v>310</v>
      </c>
      <c r="B32" s="26" t="s">
        <v>311</v>
      </c>
      <c r="C32" s="26" t="s">
        <v>182</v>
      </c>
      <c r="D32" s="26">
        <v>5</v>
      </c>
      <c r="E32" s="26"/>
      <c r="F32" s="26"/>
      <c r="G32" s="26"/>
      <c r="H32" s="26">
        <v>20</v>
      </c>
      <c r="I32" s="26">
        <v>92</v>
      </c>
      <c r="J32" s="26"/>
      <c r="K32" s="26">
        <v>494</v>
      </c>
      <c r="L32" s="26"/>
      <c r="M32" s="26">
        <v>606</v>
      </c>
      <c r="N32" s="28">
        <v>27.026402640264028</v>
      </c>
      <c r="O32" s="26" t="s">
        <v>307</v>
      </c>
      <c r="P32" s="26">
        <f t="shared" si="0"/>
        <v>494</v>
      </c>
      <c r="Q32" s="26">
        <f t="shared" si="1"/>
        <v>20</v>
      </c>
      <c r="R32" s="26">
        <f t="shared" si="2"/>
        <v>92</v>
      </c>
      <c r="S32" s="26">
        <f t="shared" si="3"/>
        <v>0</v>
      </c>
      <c r="T32" s="26">
        <f t="shared" si="4"/>
        <v>606</v>
      </c>
      <c r="U32" s="27">
        <f t="shared" si="5"/>
        <v>0.81518151815181517</v>
      </c>
      <c r="V32" s="27">
        <f t="shared" si="6"/>
        <v>3.3003300330033E-2</v>
      </c>
      <c r="W32" s="27">
        <f t="shared" si="7"/>
        <v>0.15181518151815182</v>
      </c>
      <c r="X32" s="27">
        <f t="shared" si="8"/>
        <v>0</v>
      </c>
      <c r="Y32" s="28">
        <f t="shared" si="9"/>
        <v>27.026402640264028</v>
      </c>
    </row>
    <row r="33" spans="1:25" x14ac:dyDescent="0.25">
      <c r="A33" s="26" t="s">
        <v>310</v>
      </c>
      <c r="B33" s="26" t="s">
        <v>311</v>
      </c>
      <c r="C33" s="26" t="s">
        <v>182</v>
      </c>
      <c r="D33" s="26">
        <v>6</v>
      </c>
      <c r="E33" s="26"/>
      <c r="F33" s="26"/>
      <c r="G33" s="26"/>
      <c r="H33" s="26">
        <v>14</v>
      </c>
      <c r="I33" s="26">
        <v>88</v>
      </c>
      <c r="J33" s="26"/>
      <c r="K33" s="26">
        <v>504</v>
      </c>
      <c r="L33" s="26"/>
      <c r="M33" s="26">
        <v>606</v>
      </c>
      <c r="N33" s="28">
        <v>20.971947194719473</v>
      </c>
      <c r="O33" s="26" t="s">
        <v>307</v>
      </c>
      <c r="P33" s="26">
        <f t="shared" si="0"/>
        <v>504</v>
      </c>
      <c r="Q33" s="26">
        <f t="shared" si="1"/>
        <v>14</v>
      </c>
      <c r="R33" s="26">
        <f t="shared" si="2"/>
        <v>88</v>
      </c>
      <c r="S33" s="26">
        <f t="shared" si="3"/>
        <v>0</v>
      </c>
      <c r="T33" s="26">
        <f t="shared" si="4"/>
        <v>606</v>
      </c>
      <c r="U33" s="27">
        <f t="shared" si="5"/>
        <v>0.83168316831683164</v>
      </c>
      <c r="V33" s="27">
        <f t="shared" si="6"/>
        <v>2.3102310231023101E-2</v>
      </c>
      <c r="W33" s="27">
        <f t="shared" si="7"/>
        <v>0.14521452145214522</v>
      </c>
      <c r="X33" s="27">
        <f t="shared" si="8"/>
        <v>0</v>
      </c>
      <c r="Y33" s="28">
        <f t="shared" si="9"/>
        <v>20.971947194719473</v>
      </c>
    </row>
    <row r="34" spans="1:25" x14ac:dyDescent="0.25">
      <c r="A34" s="26" t="s">
        <v>312</v>
      </c>
      <c r="B34" s="26" t="s">
        <v>313</v>
      </c>
      <c r="C34" s="26" t="s">
        <v>184</v>
      </c>
      <c r="D34" s="26">
        <v>1</v>
      </c>
      <c r="E34" s="26"/>
      <c r="F34" s="26"/>
      <c r="G34" s="26"/>
      <c r="H34" s="26">
        <v>137</v>
      </c>
      <c r="I34" s="26">
        <v>281</v>
      </c>
      <c r="J34" s="26">
        <v>1</v>
      </c>
      <c r="K34" s="26">
        <v>31</v>
      </c>
      <c r="L34" s="26"/>
      <c r="M34" s="26">
        <v>450</v>
      </c>
      <c r="N34" s="28">
        <v>65.737777777777779</v>
      </c>
      <c r="O34" s="26" t="s">
        <v>307</v>
      </c>
      <c r="P34" s="26">
        <f t="shared" si="0"/>
        <v>31</v>
      </c>
      <c r="Q34" s="26">
        <f t="shared" si="1"/>
        <v>137</v>
      </c>
      <c r="R34" s="26">
        <f t="shared" si="2"/>
        <v>281</v>
      </c>
      <c r="S34" s="26">
        <f t="shared" si="3"/>
        <v>1</v>
      </c>
      <c r="T34" s="26">
        <f t="shared" si="4"/>
        <v>450</v>
      </c>
      <c r="U34" s="27">
        <f t="shared" si="5"/>
        <v>6.8888888888888888E-2</v>
      </c>
      <c r="V34" s="27">
        <f t="shared" si="6"/>
        <v>0.30444444444444446</v>
      </c>
      <c r="W34" s="27">
        <f t="shared" si="7"/>
        <v>0.62444444444444447</v>
      </c>
      <c r="X34" s="27">
        <f t="shared" si="8"/>
        <v>2.2222222222222222E-3</v>
      </c>
      <c r="Y34" s="28">
        <f t="shared" si="9"/>
        <v>65.737777777777779</v>
      </c>
    </row>
    <row r="35" spans="1:25" x14ac:dyDescent="0.25">
      <c r="A35" s="26" t="s">
        <v>312</v>
      </c>
      <c r="B35" s="26" t="s">
        <v>313</v>
      </c>
      <c r="C35" s="26" t="s">
        <v>184</v>
      </c>
      <c r="D35" s="26">
        <v>2</v>
      </c>
      <c r="E35" s="26"/>
      <c r="F35" s="26"/>
      <c r="G35" s="26"/>
      <c r="H35" s="26">
        <v>168</v>
      </c>
      <c r="I35" s="26">
        <v>522</v>
      </c>
      <c r="J35" s="26"/>
      <c r="K35" s="26">
        <v>20</v>
      </c>
      <c r="L35" s="26"/>
      <c r="M35" s="26">
        <v>710</v>
      </c>
      <c r="N35" s="28">
        <v>39.161971830985912</v>
      </c>
      <c r="O35" s="26" t="s">
        <v>307</v>
      </c>
      <c r="P35" s="26">
        <f t="shared" si="0"/>
        <v>20</v>
      </c>
      <c r="Q35" s="26">
        <f t="shared" si="1"/>
        <v>168</v>
      </c>
      <c r="R35" s="26">
        <f t="shared" si="2"/>
        <v>522</v>
      </c>
      <c r="S35" s="26">
        <f t="shared" si="3"/>
        <v>0</v>
      </c>
      <c r="T35" s="26">
        <f t="shared" si="4"/>
        <v>710</v>
      </c>
      <c r="U35" s="27">
        <f t="shared" si="5"/>
        <v>2.8169014084507043E-2</v>
      </c>
      <c r="V35" s="27">
        <f t="shared" si="6"/>
        <v>0.23661971830985915</v>
      </c>
      <c r="W35" s="27">
        <f t="shared" si="7"/>
        <v>0.73521126760563382</v>
      </c>
      <c r="X35" s="27">
        <f t="shared" si="8"/>
        <v>0</v>
      </c>
      <c r="Y35" s="28">
        <f t="shared" si="9"/>
        <v>39.161971830985912</v>
      </c>
    </row>
    <row r="36" spans="1:25" x14ac:dyDescent="0.25">
      <c r="A36" s="26" t="s">
        <v>314</v>
      </c>
      <c r="B36" s="26" t="s">
        <v>315</v>
      </c>
      <c r="C36" s="26" t="s">
        <v>186</v>
      </c>
      <c r="D36" s="26">
        <v>1</v>
      </c>
      <c r="E36" s="26"/>
      <c r="F36" s="26"/>
      <c r="G36" s="26"/>
      <c r="H36" s="26">
        <v>125</v>
      </c>
      <c r="I36" s="26">
        <v>207</v>
      </c>
      <c r="J36" s="26"/>
      <c r="K36" s="26">
        <v>18</v>
      </c>
      <c r="L36" s="26"/>
      <c r="M36" s="26">
        <v>350</v>
      </c>
      <c r="N36" s="28">
        <v>65.605714285714285</v>
      </c>
      <c r="O36" s="26" t="s">
        <v>307</v>
      </c>
      <c r="P36" s="26">
        <f t="shared" si="0"/>
        <v>18</v>
      </c>
      <c r="Q36" s="26">
        <f t="shared" si="1"/>
        <v>125</v>
      </c>
      <c r="R36" s="26">
        <f t="shared" si="2"/>
        <v>207</v>
      </c>
      <c r="S36" s="26">
        <f t="shared" si="3"/>
        <v>0</v>
      </c>
      <c r="T36" s="26">
        <f t="shared" si="4"/>
        <v>350</v>
      </c>
      <c r="U36" s="27">
        <f t="shared" si="5"/>
        <v>5.1428571428571428E-2</v>
      </c>
      <c r="V36" s="27">
        <f t="shared" si="6"/>
        <v>0.35714285714285715</v>
      </c>
      <c r="W36" s="27">
        <f t="shared" si="7"/>
        <v>0.59142857142857141</v>
      </c>
      <c r="X36" s="27">
        <f t="shared" si="8"/>
        <v>0</v>
      </c>
      <c r="Y36" s="28">
        <f t="shared" si="9"/>
        <v>65.605714285714285</v>
      </c>
    </row>
    <row r="37" spans="1:25" x14ac:dyDescent="0.25">
      <c r="A37" s="26" t="s">
        <v>314</v>
      </c>
      <c r="B37" s="26" t="s">
        <v>315</v>
      </c>
      <c r="C37" s="26" t="s">
        <v>186</v>
      </c>
      <c r="D37" s="26">
        <v>2</v>
      </c>
      <c r="E37" s="26"/>
      <c r="F37" s="26"/>
      <c r="G37" s="26"/>
      <c r="H37" s="26">
        <v>39</v>
      </c>
      <c r="I37" s="26">
        <v>342</v>
      </c>
      <c r="J37" s="26"/>
      <c r="K37" s="26">
        <v>45</v>
      </c>
      <c r="L37" s="26"/>
      <c r="M37" s="26">
        <v>426</v>
      </c>
      <c r="N37" s="28">
        <v>36.124413145539904</v>
      </c>
      <c r="O37" s="26" t="s">
        <v>307</v>
      </c>
      <c r="P37" s="26">
        <f t="shared" si="0"/>
        <v>45</v>
      </c>
      <c r="Q37" s="26">
        <f t="shared" si="1"/>
        <v>39</v>
      </c>
      <c r="R37" s="26">
        <f t="shared" si="2"/>
        <v>342</v>
      </c>
      <c r="S37" s="26">
        <f t="shared" si="3"/>
        <v>0</v>
      </c>
      <c r="T37" s="26">
        <f t="shared" si="4"/>
        <v>426</v>
      </c>
      <c r="U37" s="27">
        <f t="shared" si="5"/>
        <v>0.10563380281690141</v>
      </c>
      <c r="V37" s="27">
        <f t="shared" si="6"/>
        <v>9.154929577464789E-2</v>
      </c>
      <c r="W37" s="27">
        <f t="shared" si="7"/>
        <v>0.80281690140845074</v>
      </c>
      <c r="X37" s="27">
        <f t="shared" si="8"/>
        <v>0</v>
      </c>
      <c r="Y37" s="28">
        <f t="shared" si="9"/>
        <v>36.124413145539904</v>
      </c>
    </row>
    <row r="38" spans="1:25" x14ac:dyDescent="0.25">
      <c r="A38" s="26" t="s">
        <v>316</v>
      </c>
      <c r="B38" s="26" t="s">
        <v>317</v>
      </c>
      <c r="C38" s="26" t="s">
        <v>188</v>
      </c>
      <c r="D38" s="26">
        <v>1</v>
      </c>
      <c r="E38" s="26"/>
      <c r="F38" s="26">
        <v>1</v>
      </c>
      <c r="G38" s="26"/>
      <c r="H38" s="26">
        <v>30</v>
      </c>
      <c r="I38" s="26">
        <v>43</v>
      </c>
      <c r="J38" s="26">
        <v>2</v>
      </c>
      <c r="K38" s="26">
        <v>374</v>
      </c>
      <c r="L38" s="26"/>
      <c r="M38" s="26">
        <v>450</v>
      </c>
      <c r="N38" s="28">
        <v>63.602222222222224</v>
      </c>
      <c r="O38" s="26" t="s">
        <v>307</v>
      </c>
      <c r="P38" s="26">
        <f t="shared" ref="P38:P44" si="10">K38</f>
        <v>374</v>
      </c>
      <c r="Q38" s="26">
        <f t="shared" ref="Q38:R44" si="11">H38</f>
        <v>30</v>
      </c>
      <c r="R38" s="26">
        <f t="shared" si="11"/>
        <v>43</v>
      </c>
      <c r="S38" s="26">
        <f t="shared" ref="S38:S44" si="12">M38-SUM(P38:R38)</f>
        <v>3</v>
      </c>
      <c r="T38" s="26">
        <f t="shared" ref="T38:T44" si="13">SUM(P38:S38)</f>
        <v>450</v>
      </c>
      <c r="U38" s="27">
        <f t="shared" ref="U38:U44" si="14">P38/M38</f>
        <v>0.83111111111111113</v>
      </c>
      <c r="V38" s="27">
        <f t="shared" ref="V38:V44" si="15">Q38/M38</f>
        <v>6.6666666666666666E-2</v>
      </c>
      <c r="W38" s="27">
        <f t="shared" ref="W38:W44" si="16">R38/M38</f>
        <v>9.555555555555556E-2</v>
      </c>
      <c r="X38" s="27">
        <f t="shared" ref="X38:X44" si="17">S38/M38</f>
        <v>6.6666666666666671E-3</v>
      </c>
      <c r="Y38" s="28">
        <f t="shared" ref="Y38:Y44" si="18">N38</f>
        <v>63.602222222222224</v>
      </c>
    </row>
    <row r="39" spans="1:25" x14ac:dyDescent="0.25">
      <c r="A39" s="26" t="s">
        <v>316</v>
      </c>
      <c r="B39" s="26" t="s">
        <v>317</v>
      </c>
      <c r="C39" s="26" t="s">
        <v>188</v>
      </c>
      <c r="D39" s="26">
        <v>2</v>
      </c>
      <c r="E39" s="26"/>
      <c r="F39" s="26"/>
      <c r="G39" s="26"/>
      <c r="H39" s="26">
        <v>21</v>
      </c>
      <c r="I39" s="26">
        <v>28</v>
      </c>
      <c r="J39" s="26"/>
      <c r="K39" s="26">
        <v>401</v>
      </c>
      <c r="L39" s="26"/>
      <c r="M39" s="26">
        <v>450</v>
      </c>
      <c r="N39" s="28">
        <v>58.275555555555556</v>
      </c>
      <c r="O39" s="26" t="s">
        <v>307</v>
      </c>
      <c r="P39" s="26">
        <f t="shared" si="10"/>
        <v>401</v>
      </c>
      <c r="Q39" s="26">
        <f t="shared" si="11"/>
        <v>21</v>
      </c>
      <c r="R39" s="26">
        <f t="shared" si="11"/>
        <v>28</v>
      </c>
      <c r="S39" s="26">
        <f t="shared" si="12"/>
        <v>0</v>
      </c>
      <c r="T39" s="26">
        <f t="shared" si="13"/>
        <v>450</v>
      </c>
      <c r="U39" s="27">
        <f t="shared" si="14"/>
        <v>0.89111111111111108</v>
      </c>
      <c r="V39" s="27">
        <f t="shared" si="15"/>
        <v>4.6666666666666669E-2</v>
      </c>
      <c r="W39" s="27">
        <f t="shared" si="16"/>
        <v>6.222222222222222E-2</v>
      </c>
      <c r="X39" s="27">
        <f t="shared" si="17"/>
        <v>0</v>
      </c>
      <c r="Y39" s="28">
        <f t="shared" si="18"/>
        <v>58.275555555555556</v>
      </c>
    </row>
    <row r="40" spans="1:25" x14ac:dyDescent="0.25">
      <c r="A40" s="26" t="s">
        <v>316</v>
      </c>
      <c r="B40" s="26" t="s">
        <v>317</v>
      </c>
      <c r="C40" s="26" t="s">
        <v>188</v>
      </c>
      <c r="D40" s="26">
        <v>3</v>
      </c>
      <c r="E40" s="26"/>
      <c r="F40" s="26">
        <v>3</v>
      </c>
      <c r="G40" s="26">
        <v>4</v>
      </c>
      <c r="H40" s="26">
        <v>44</v>
      </c>
      <c r="I40" s="26">
        <v>53</v>
      </c>
      <c r="J40" s="26"/>
      <c r="K40" s="26">
        <v>513</v>
      </c>
      <c r="L40" s="26"/>
      <c r="M40" s="26">
        <v>617</v>
      </c>
      <c r="N40" s="28">
        <v>47.35008103727715</v>
      </c>
      <c r="O40" s="26" t="s">
        <v>307</v>
      </c>
      <c r="P40" s="26">
        <f t="shared" si="10"/>
        <v>513</v>
      </c>
      <c r="Q40" s="26">
        <f t="shared" si="11"/>
        <v>44</v>
      </c>
      <c r="R40" s="26">
        <f t="shared" si="11"/>
        <v>53</v>
      </c>
      <c r="S40" s="26">
        <f t="shared" si="12"/>
        <v>7</v>
      </c>
      <c r="T40" s="26">
        <f t="shared" si="13"/>
        <v>617</v>
      </c>
      <c r="U40" s="27">
        <f t="shared" si="14"/>
        <v>0.83144246353322526</v>
      </c>
      <c r="V40" s="27">
        <f t="shared" si="15"/>
        <v>7.1312803889789306E-2</v>
      </c>
      <c r="W40" s="27">
        <f t="shared" si="16"/>
        <v>8.5899513776337116E-2</v>
      </c>
      <c r="X40" s="27">
        <f t="shared" si="17"/>
        <v>1.1345218800648298E-2</v>
      </c>
      <c r="Y40" s="28">
        <f t="shared" si="18"/>
        <v>47.35008103727715</v>
      </c>
    </row>
    <row r="41" spans="1:25" x14ac:dyDescent="0.25">
      <c r="A41" s="26" t="s">
        <v>316</v>
      </c>
      <c r="B41" s="26" t="s">
        <v>317</v>
      </c>
      <c r="C41" s="26" t="s">
        <v>188</v>
      </c>
      <c r="D41" s="26">
        <v>4</v>
      </c>
      <c r="E41" s="26">
        <v>1</v>
      </c>
      <c r="F41" s="26"/>
      <c r="G41" s="26">
        <v>1</v>
      </c>
      <c r="H41" s="26">
        <v>27</v>
      </c>
      <c r="I41" s="26">
        <v>41</v>
      </c>
      <c r="J41" s="26">
        <v>1</v>
      </c>
      <c r="K41" s="26">
        <v>546</v>
      </c>
      <c r="L41" s="26"/>
      <c r="M41" s="26">
        <v>617</v>
      </c>
      <c r="N41" s="28">
        <v>37.771474878444081</v>
      </c>
      <c r="O41" s="26" t="s">
        <v>307</v>
      </c>
      <c r="P41" s="26">
        <f t="shared" si="10"/>
        <v>546</v>
      </c>
      <c r="Q41" s="26">
        <f t="shared" si="11"/>
        <v>27</v>
      </c>
      <c r="R41" s="26">
        <f t="shared" si="11"/>
        <v>41</v>
      </c>
      <c r="S41" s="26">
        <f t="shared" si="12"/>
        <v>3</v>
      </c>
      <c r="T41" s="26">
        <f t="shared" si="13"/>
        <v>617</v>
      </c>
      <c r="U41" s="27">
        <f t="shared" si="14"/>
        <v>0.88492706645056729</v>
      </c>
      <c r="V41" s="27">
        <f t="shared" si="15"/>
        <v>4.3760129659643439E-2</v>
      </c>
      <c r="W41" s="27">
        <f t="shared" si="16"/>
        <v>6.6450567260940036E-2</v>
      </c>
      <c r="X41" s="27">
        <f t="shared" si="17"/>
        <v>4.8622366288492711E-3</v>
      </c>
      <c r="Y41" s="28">
        <f t="shared" si="18"/>
        <v>37.771474878444081</v>
      </c>
    </row>
    <row r="42" spans="1:25" x14ac:dyDescent="0.25">
      <c r="A42" s="26" t="s">
        <v>316</v>
      </c>
      <c r="B42" s="26" t="s">
        <v>317</v>
      </c>
      <c r="C42" s="26" t="s">
        <v>188</v>
      </c>
      <c r="D42" s="26">
        <v>5</v>
      </c>
      <c r="E42" s="26"/>
      <c r="F42" s="26"/>
      <c r="G42" s="26"/>
      <c r="H42" s="26">
        <v>14</v>
      </c>
      <c r="I42" s="26">
        <v>25</v>
      </c>
      <c r="J42" s="26"/>
      <c r="K42" s="26">
        <v>577</v>
      </c>
      <c r="L42" s="26">
        <v>1</v>
      </c>
      <c r="M42" s="26">
        <v>617</v>
      </c>
      <c r="N42" s="28">
        <v>31.852512155591572</v>
      </c>
      <c r="O42" s="26" t="s">
        <v>307</v>
      </c>
      <c r="P42" s="26">
        <f t="shared" si="10"/>
        <v>577</v>
      </c>
      <c r="Q42" s="26">
        <f t="shared" si="11"/>
        <v>14</v>
      </c>
      <c r="R42" s="26">
        <f t="shared" si="11"/>
        <v>25</v>
      </c>
      <c r="S42" s="26">
        <f t="shared" si="12"/>
        <v>1</v>
      </c>
      <c r="T42" s="26">
        <f t="shared" si="13"/>
        <v>617</v>
      </c>
      <c r="U42" s="27">
        <f t="shared" si="14"/>
        <v>0.93517017828200977</v>
      </c>
      <c r="V42" s="27">
        <f t="shared" si="15"/>
        <v>2.2690437601296597E-2</v>
      </c>
      <c r="W42" s="27">
        <f t="shared" si="16"/>
        <v>4.0518638573743923E-2</v>
      </c>
      <c r="X42" s="27">
        <f t="shared" si="17"/>
        <v>1.6207455429497568E-3</v>
      </c>
      <c r="Y42" s="28">
        <f t="shared" si="18"/>
        <v>31.852512155591572</v>
      </c>
    </row>
    <row r="43" spans="1:25" x14ac:dyDescent="0.25">
      <c r="A43" s="26" t="s">
        <v>316</v>
      </c>
      <c r="B43" s="26" t="s">
        <v>317</v>
      </c>
      <c r="C43" s="26" t="s">
        <v>188</v>
      </c>
      <c r="D43" s="26">
        <v>6</v>
      </c>
      <c r="E43" s="26"/>
      <c r="F43" s="26"/>
      <c r="G43" s="26">
        <v>1</v>
      </c>
      <c r="H43" s="26">
        <v>35</v>
      </c>
      <c r="I43" s="26">
        <v>21</v>
      </c>
      <c r="J43" s="26"/>
      <c r="K43" s="26">
        <v>560</v>
      </c>
      <c r="L43" s="26"/>
      <c r="M43" s="26">
        <v>617</v>
      </c>
      <c r="N43" s="28">
        <v>26.698541329011345</v>
      </c>
      <c r="O43" s="26" t="s">
        <v>307</v>
      </c>
      <c r="P43" s="26">
        <f t="shared" si="10"/>
        <v>560</v>
      </c>
      <c r="Q43" s="26">
        <f t="shared" si="11"/>
        <v>35</v>
      </c>
      <c r="R43" s="26">
        <f t="shared" si="11"/>
        <v>21</v>
      </c>
      <c r="S43" s="26">
        <f t="shared" si="12"/>
        <v>1</v>
      </c>
      <c r="T43" s="26">
        <f t="shared" si="13"/>
        <v>617</v>
      </c>
      <c r="U43" s="27">
        <f t="shared" si="14"/>
        <v>0.90761750405186381</v>
      </c>
      <c r="V43" s="27">
        <f t="shared" si="15"/>
        <v>5.6726094003241488E-2</v>
      </c>
      <c r="W43" s="27">
        <f t="shared" si="16"/>
        <v>3.4035656401944892E-2</v>
      </c>
      <c r="X43" s="27">
        <f t="shared" si="17"/>
        <v>1.6207455429497568E-3</v>
      </c>
      <c r="Y43" s="28">
        <f t="shared" si="18"/>
        <v>26.698541329011345</v>
      </c>
    </row>
    <row r="44" spans="1:25" x14ac:dyDescent="0.25">
      <c r="A44" s="26" t="s">
        <v>316</v>
      </c>
      <c r="B44" s="26" t="s">
        <v>317</v>
      </c>
      <c r="C44" s="26" t="s">
        <v>188</v>
      </c>
      <c r="D44" s="26">
        <v>7</v>
      </c>
      <c r="E44" s="26"/>
      <c r="F44" s="26"/>
      <c r="G44" s="26">
        <v>1</v>
      </c>
      <c r="H44" s="26">
        <v>24</v>
      </c>
      <c r="I44" s="26">
        <v>29</v>
      </c>
      <c r="J44" s="26"/>
      <c r="K44" s="26">
        <v>564</v>
      </c>
      <c r="L44" s="26"/>
      <c r="M44" s="26">
        <v>618</v>
      </c>
      <c r="N44" s="28">
        <v>21</v>
      </c>
      <c r="O44" s="26" t="s">
        <v>307</v>
      </c>
      <c r="P44" s="26">
        <f t="shared" si="10"/>
        <v>564</v>
      </c>
      <c r="Q44" s="26">
        <f t="shared" si="11"/>
        <v>24</v>
      </c>
      <c r="R44" s="26">
        <f t="shared" si="11"/>
        <v>29</v>
      </c>
      <c r="S44" s="26">
        <f t="shared" si="12"/>
        <v>1</v>
      </c>
      <c r="T44" s="26">
        <f t="shared" si="13"/>
        <v>618</v>
      </c>
      <c r="U44" s="27">
        <f t="shared" si="14"/>
        <v>0.91262135922330101</v>
      </c>
      <c r="V44" s="27">
        <f t="shared" si="15"/>
        <v>3.8834951456310676E-2</v>
      </c>
      <c r="W44" s="27">
        <f t="shared" si="16"/>
        <v>4.6925566343042069E-2</v>
      </c>
      <c r="X44" s="27">
        <f t="shared" si="17"/>
        <v>1.6181229773462784E-3</v>
      </c>
      <c r="Y44" s="28">
        <f t="shared" si="18"/>
        <v>21</v>
      </c>
    </row>
    <row r="45" spans="1:25" x14ac:dyDescent="0.25">
      <c r="A45" s="26" t="s">
        <v>316</v>
      </c>
      <c r="B45" s="26" t="s">
        <v>317</v>
      </c>
      <c r="C45" s="26" t="s">
        <v>189</v>
      </c>
      <c r="D45" s="26">
        <v>1</v>
      </c>
      <c r="E45" s="26"/>
      <c r="F45" s="26"/>
      <c r="G45" s="26">
        <v>1</v>
      </c>
      <c r="H45" s="26">
        <v>3</v>
      </c>
      <c r="I45" s="26">
        <v>5</v>
      </c>
      <c r="J45" s="26"/>
      <c r="K45" s="26">
        <v>441</v>
      </c>
      <c r="L45" s="26"/>
      <c r="M45" s="26">
        <v>450</v>
      </c>
      <c r="N45" s="28">
        <v>64.168888888888887</v>
      </c>
      <c r="O45" s="26" t="s">
        <v>307</v>
      </c>
      <c r="P45" s="26">
        <f t="shared" si="0"/>
        <v>441</v>
      </c>
      <c r="Q45" s="26">
        <f t="shared" si="1"/>
        <v>3</v>
      </c>
      <c r="R45" s="26">
        <f t="shared" si="2"/>
        <v>5</v>
      </c>
      <c r="S45" s="26">
        <f t="shared" si="3"/>
        <v>1</v>
      </c>
      <c r="T45" s="26">
        <f t="shared" si="4"/>
        <v>450</v>
      </c>
      <c r="U45" s="27">
        <f t="shared" si="5"/>
        <v>0.98</v>
      </c>
      <c r="V45" s="27">
        <f t="shared" si="6"/>
        <v>6.6666666666666671E-3</v>
      </c>
      <c r="W45" s="27">
        <f t="shared" si="7"/>
        <v>1.1111111111111112E-2</v>
      </c>
      <c r="X45" s="27">
        <f t="shared" si="8"/>
        <v>2.2222222222222222E-3</v>
      </c>
      <c r="Y45" s="28">
        <f t="shared" si="9"/>
        <v>64.168888888888887</v>
      </c>
    </row>
    <row r="46" spans="1:25" x14ac:dyDescent="0.25">
      <c r="A46" s="26" t="s">
        <v>316</v>
      </c>
      <c r="B46" s="26" t="s">
        <v>317</v>
      </c>
      <c r="C46" s="26" t="s">
        <v>189</v>
      </c>
      <c r="D46" s="26">
        <v>2</v>
      </c>
      <c r="E46" s="26"/>
      <c r="F46" s="26">
        <v>3</v>
      </c>
      <c r="G46" s="26"/>
      <c r="H46" s="26">
        <v>2</v>
      </c>
      <c r="I46" s="26">
        <v>7</v>
      </c>
      <c r="J46" s="26">
        <v>4</v>
      </c>
      <c r="K46" s="26">
        <v>673</v>
      </c>
      <c r="L46" s="26"/>
      <c r="M46" s="26">
        <v>689</v>
      </c>
      <c r="N46" s="28">
        <v>47.850507982583451</v>
      </c>
      <c r="O46" s="26" t="s">
        <v>307</v>
      </c>
      <c r="P46" s="26">
        <f t="shared" si="0"/>
        <v>673</v>
      </c>
      <c r="Q46" s="26">
        <f t="shared" si="1"/>
        <v>2</v>
      </c>
      <c r="R46" s="26">
        <f t="shared" si="2"/>
        <v>7</v>
      </c>
      <c r="S46" s="26">
        <f t="shared" si="3"/>
        <v>7</v>
      </c>
      <c r="T46" s="26">
        <f t="shared" si="4"/>
        <v>689</v>
      </c>
      <c r="U46" s="27">
        <f t="shared" si="5"/>
        <v>0.97677793904208998</v>
      </c>
      <c r="V46" s="27">
        <f t="shared" si="6"/>
        <v>2.9027576197387518E-3</v>
      </c>
      <c r="W46" s="27">
        <f t="shared" si="7"/>
        <v>1.0159651669085631E-2</v>
      </c>
      <c r="X46" s="27">
        <f t="shared" si="8"/>
        <v>1.0159651669085631E-2</v>
      </c>
      <c r="Y46" s="28">
        <f t="shared" si="9"/>
        <v>47.850507982583451</v>
      </c>
    </row>
    <row r="47" spans="1:25" x14ac:dyDescent="0.25">
      <c r="A47" s="26" t="s">
        <v>316</v>
      </c>
      <c r="B47" s="26" t="s">
        <v>317</v>
      </c>
      <c r="C47" s="26" t="s">
        <v>189</v>
      </c>
      <c r="D47" s="26">
        <v>3</v>
      </c>
      <c r="E47" s="26"/>
      <c r="F47" s="26">
        <v>1</v>
      </c>
      <c r="G47" s="26"/>
      <c r="H47" s="26">
        <v>1</v>
      </c>
      <c r="I47" s="26">
        <v>10</v>
      </c>
      <c r="J47" s="26"/>
      <c r="K47" s="26">
        <v>677</v>
      </c>
      <c r="L47" s="26"/>
      <c r="M47" s="26">
        <v>689</v>
      </c>
      <c r="N47" s="28">
        <v>32.925979680696663</v>
      </c>
      <c r="O47" s="26" t="s">
        <v>307</v>
      </c>
      <c r="P47" s="26">
        <f t="shared" si="0"/>
        <v>677</v>
      </c>
      <c r="Q47" s="26">
        <f t="shared" si="1"/>
        <v>1</v>
      </c>
      <c r="R47" s="26">
        <f t="shared" si="2"/>
        <v>10</v>
      </c>
      <c r="S47" s="26">
        <f t="shared" si="3"/>
        <v>1</v>
      </c>
      <c r="T47" s="26">
        <f t="shared" si="4"/>
        <v>689</v>
      </c>
      <c r="U47" s="27">
        <f t="shared" si="5"/>
        <v>0.98258345428156746</v>
      </c>
      <c r="V47" s="27">
        <f t="shared" si="6"/>
        <v>1.4513788098693759E-3</v>
      </c>
      <c r="W47" s="27">
        <f t="shared" si="7"/>
        <v>1.4513788098693759E-2</v>
      </c>
      <c r="X47" s="27">
        <f t="shared" si="8"/>
        <v>1.4513788098693759E-3</v>
      </c>
      <c r="Y47" s="28">
        <f t="shared" si="9"/>
        <v>32.925979680696663</v>
      </c>
    </row>
    <row r="48" spans="1:25" x14ac:dyDescent="0.25">
      <c r="A48" s="26" t="s">
        <v>316</v>
      </c>
      <c r="B48" s="26" t="s">
        <v>317</v>
      </c>
      <c r="C48" s="26" t="s">
        <v>189</v>
      </c>
      <c r="D48" s="26">
        <v>4</v>
      </c>
      <c r="E48" s="26"/>
      <c r="F48" s="26"/>
      <c r="G48" s="26"/>
      <c r="H48" s="26">
        <v>1</v>
      </c>
      <c r="I48" s="26">
        <v>5</v>
      </c>
      <c r="J48" s="26"/>
      <c r="K48" s="26">
        <v>683</v>
      </c>
      <c r="L48" s="26"/>
      <c r="M48" s="26">
        <v>689</v>
      </c>
      <c r="N48" s="28">
        <v>23.084179970972425</v>
      </c>
      <c r="O48" s="26" t="s">
        <v>307</v>
      </c>
      <c r="P48" s="26">
        <f t="shared" si="0"/>
        <v>683</v>
      </c>
      <c r="Q48" s="26">
        <f t="shared" si="1"/>
        <v>1</v>
      </c>
      <c r="R48" s="26">
        <f t="shared" si="2"/>
        <v>5</v>
      </c>
      <c r="S48" s="26">
        <f t="shared" si="3"/>
        <v>0</v>
      </c>
      <c r="T48" s="26">
        <f t="shared" si="4"/>
        <v>689</v>
      </c>
      <c r="U48" s="27">
        <f t="shared" si="5"/>
        <v>0.99129172714078373</v>
      </c>
      <c r="V48" s="27">
        <f t="shared" si="6"/>
        <v>1.4513788098693759E-3</v>
      </c>
      <c r="W48" s="27">
        <f t="shared" si="7"/>
        <v>7.2568940493468797E-3</v>
      </c>
      <c r="X48" s="27">
        <f t="shared" si="8"/>
        <v>0</v>
      </c>
      <c r="Y48" s="28">
        <f t="shared" si="9"/>
        <v>23.084179970972425</v>
      </c>
    </row>
    <row r="49" spans="1:25" x14ac:dyDescent="0.25">
      <c r="A49" s="26" t="s">
        <v>318</v>
      </c>
      <c r="B49" s="26" t="s">
        <v>319</v>
      </c>
      <c r="C49" s="26" t="s">
        <v>191</v>
      </c>
      <c r="D49" s="26">
        <v>1</v>
      </c>
      <c r="E49" s="26"/>
      <c r="F49" s="26"/>
      <c r="G49" s="26"/>
      <c r="H49" s="26">
        <v>53</v>
      </c>
      <c r="I49" s="26">
        <v>127</v>
      </c>
      <c r="J49" s="26">
        <v>1</v>
      </c>
      <c r="K49" s="26">
        <v>269</v>
      </c>
      <c r="L49" s="26"/>
      <c r="M49" s="26">
        <v>450</v>
      </c>
      <c r="N49" s="28">
        <v>65.426666666666662</v>
      </c>
      <c r="O49" s="26" t="s">
        <v>307</v>
      </c>
      <c r="P49" s="26">
        <f t="shared" ref="P49:P54" si="19">K49</f>
        <v>269</v>
      </c>
      <c r="Q49" s="26">
        <f t="shared" ref="Q49:R54" si="20">H49</f>
        <v>53</v>
      </c>
      <c r="R49" s="26">
        <f t="shared" si="20"/>
        <v>127</v>
      </c>
      <c r="S49" s="26">
        <f t="shared" ref="S49:S54" si="21">M49-SUM(P49:R49)</f>
        <v>1</v>
      </c>
      <c r="T49" s="26">
        <f t="shared" ref="T49:T54" si="22">SUM(P49:S49)</f>
        <v>450</v>
      </c>
      <c r="U49" s="27">
        <f t="shared" ref="U49:U54" si="23">P49/M49</f>
        <v>0.59777777777777774</v>
      </c>
      <c r="V49" s="27">
        <f t="shared" ref="V49:V54" si="24">Q49/M49</f>
        <v>0.11777777777777777</v>
      </c>
      <c r="W49" s="27">
        <f t="shared" ref="W49:W54" si="25">R49/M49</f>
        <v>0.28222222222222221</v>
      </c>
      <c r="X49" s="27">
        <f t="shared" ref="X49:X54" si="26">S49/M49</f>
        <v>2.2222222222222222E-3</v>
      </c>
      <c r="Y49" s="28">
        <f t="shared" ref="Y49:Y54" si="27">N49</f>
        <v>65.426666666666662</v>
      </c>
    </row>
    <row r="50" spans="1:25" x14ac:dyDescent="0.25">
      <c r="A50" s="26" t="s">
        <v>318</v>
      </c>
      <c r="B50" s="26" t="s">
        <v>319</v>
      </c>
      <c r="C50" s="26" t="s">
        <v>191</v>
      </c>
      <c r="D50" s="26">
        <v>2</v>
      </c>
      <c r="E50" s="26"/>
      <c r="F50" s="26"/>
      <c r="G50" s="26"/>
      <c r="H50" s="26">
        <v>25</v>
      </c>
      <c r="I50" s="26">
        <v>93</v>
      </c>
      <c r="J50" s="26"/>
      <c r="K50" s="26">
        <v>332</v>
      </c>
      <c r="L50" s="26"/>
      <c r="M50" s="26">
        <v>450</v>
      </c>
      <c r="N50" s="28">
        <v>55.713333333333331</v>
      </c>
      <c r="O50" s="26" t="s">
        <v>307</v>
      </c>
      <c r="P50" s="26">
        <f t="shared" si="19"/>
        <v>332</v>
      </c>
      <c r="Q50" s="26">
        <f t="shared" si="20"/>
        <v>25</v>
      </c>
      <c r="R50" s="26">
        <f t="shared" si="20"/>
        <v>93</v>
      </c>
      <c r="S50" s="26">
        <f t="shared" si="21"/>
        <v>0</v>
      </c>
      <c r="T50" s="26">
        <f t="shared" si="22"/>
        <v>450</v>
      </c>
      <c r="U50" s="27">
        <f t="shared" si="23"/>
        <v>0.73777777777777775</v>
      </c>
      <c r="V50" s="27">
        <f t="shared" si="24"/>
        <v>5.5555555555555552E-2</v>
      </c>
      <c r="W50" s="27">
        <f t="shared" si="25"/>
        <v>0.20666666666666667</v>
      </c>
      <c r="X50" s="27">
        <f t="shared" si="26"/>
        <v>0</v>
      </c>
      <c r="Y50" s="28">
        <f t="shared" si="27"/>
        <v>55.713333333333331</v>
      </c>
    </row>
    <row r="51" spans="1:25" x14ac:dyDescent="0.25">
      <c r="A51" s="26" t="s">
        <v>318</v>
      </c>
      <c r="B51" s="26" t="s">
        <v>319</v>
      </c>
      <c r="C51" s="26" t="s">
        <v>191</v>
      </c>
      <c r="D51" s="26">
        <v>3</v>
      </c>
      <c r="E51" s="26"/>
      <c r="F51" s="26">
        <v>2</v>
      </c>
      <c r="G51" s="26">
        <v>5</v>
      </c>
      <c r="H51" s="26">
        <v>22</v>
      </c>
      <c r="I51" s="26">
        <v>130</v>
      </c>
      <c r="J51" s="26">
        <v>2</v>
      </c>
      <c r="K51" s="26">
        <v>517</v>
      </c>
      <c r="L51" s="26"/>
      <c r="M51" s="26">
        <v>678</v>
      </c>
      <c r="N51" s="28">
        <v>43.262536873156343</v>
      </c>
      <c r="O51" s="26" t="s">
        <v>307</v>
      </c>
      <c r="P51" s="26">
        <f t="shared" si="19"/>
        <v>517</v>
      </c>
      <c r="Q51" s="26">
        <f t="shared" si="20"/>
        <v>22</v>
      </c>
      <c r="R51" s="26">
        <f t="shared" si="20"/>
        <v>130</v>
      </c>
      <c r="S51" s="26">
        <f t="shared" si="21"/>
        <v>9</v>
      </c>
      <c r="T51" s="26">
        <f t="shared" si="22"/>
        <v>678</v>
      </c>
      <c r="U51" s="27">
        <f t="shared" si="23"/>
        <v>0.76253687315634222</v>
      </c>
      <c r="V51" s="27">
        <f t="shared" si="24"/>
        <v>3.2448377581120944E-2</v>
      </c>
      <c r="W51" s="27">
        <f t="shared" si="25"/>
        <v>0.19174041297935104</v>
      </c>
      <c r="X51" s="27">
        <f t="shared" si="26"/>
        <v>1.3274336283185841E-2</v>
      </c>
      <c r="Y51" s="28">
        <f t="shared" si="27"/>
        <v>43.262536873156343</v>
      </c>
    </row>
    <row r="52" spans="1:25" x14ac:dyDescent="0.25">
      <c r="A52" s="26" t="s">
        <v>318</v>
      </c>
      <c r="B52" s="26" t="s">
        <v>319</v>
      </c>
      <c r="C52" s="26" t="s">
        <v>191</v>
      </c>
      <c r="D52" s="26">
        <v>4</v>
      </c>
      <c r="E52" s="26"/>
      <c r="F52" s="26"/>
      <c r="G52" s="26"/>
      <c r="H52" s="26">
        <v>13</v>
      </c>
      <c r="I52" s="26">
        <v>77</v>
      </c>
      <c r="J52" s="26">
        <v>1</v>
      </c>
      <c r="K52" s="26">
        <v>587</v>
      </c>
      <c r="L52" s="26"/>
      <c r="M52" s="26">
        <v>678</v>
      </c>
      <c r="N52" s="28">
        <v>31.567846607669615</v>
      </c>
      <c r="O52" s="26" t="s">
        <v>307</v>
      </c>
      <c r="P52" s="26">
        <f t="shared" si="19"/>
        <v>587</v>
      </c>
      <c r="Q52" s="26">
        <f t="shared" si="20"/>
        <v>13</v>
      </c>
      <c r="R52" s="26">
        <f t="shared" si="20"/>
        <v>77</v>
      </c>
      <c r="S52" s="26">
        <f t="shared" si="21"/>
        <v>1</v>
      </c>
      <c r="T52" s="26">
        <f t="shared" si="22"/>
        <v>678</v>
      </c>
      <c r="U52" s="27">
        <f t="shared" si="23"/>
        <v>0.86578171091445433</v>
      </c>
      <c r="V52" s="27">
        <f t="shared" si="24"/>
        <v>1.9174041297935103E-2</v>
      </c>
      <c r="W52" s="27">
        <f t="shared" si="25"/>
        <v>0.11356932153392331</v>
      </c>
      <c r="X52" s="27">
        <f t="shared" si="26"/>
        <v>1.4749262536873156E-3</v>
      </c>
      <c r="Y52" s="28">
        <f t="shared" si="27"/>
        <v>31.567846607669615</v>
      </c>
    </row>
    <row r="53" spans="1:25" x14ac:dyDescent="0.25">
      <c r="A53" s="26" t="s">
        <v>318</v>
      </c>
      <c r="B53" s="26" t="s">
        <v>319</v>
      </c>
      <c r="C53" s="26" t="s">
        <v>191</v>
      </c>
      <c r="D53" s="26">
        <v>5</v>
      </c>
      <c r="E53" s="26"/>
      <c r="F53" s="26"/>
      <c r="G53" s="26"/>
      <c r="H53" s="26">
        <v>6</v>
      </c>
      <c r="I53" s="26">
        <v>72</v>
      </c>
      <c r="J53" s="26"/>
      <c r="K53" s="26">
        <v>600</v>
      </c>
      <c r="L53" s="26"/>
      <c r="M53" s="26">
        <v>678</v>
      </c>
      <c r="N53" s="28">
        <v>25.547197640117993</v>
      </c>
      <c r="O53" s="26" t="s">
        <v>307</v>
      </c>
      <c r="P53" s="26">
        <f t="shared" si="19"/>
        <v>600</v>
      </c>
      <c r="Q53" s="26">
        <f t="shared" si="20"/>
        <v>6</v>
      </c>
      <c r="R53" s="26">
        <f t="shared" si="20"/>
        <v>72</v>
      </c>
      <c r="S53" s="26">
        <f t="shared" si="21"/>
        <v>0</v>
      </c>
      <c r="T53" s="26">
        <f t="shared" si="22"/>
        <v>678</v>
      </c>
      <c r="U53" s="27">
        <f t="shared" si="23"/>
        <v>0.88495575221238942</v>
      </c>
      <c r="V53" s="27">
        <f t="shared" si="24"/>
        <v>8.8495575221238937E-3</v>
      </c>
      <c r="W53" s="27">
        <f t="shared" si="25"/>
        <v>0.10619469026548672</v>
      </c>
      <c r="X53" s="27">
        <f t="shared" si="26"/>
        <v>0</v>
      </c>
      <c r="Y53" s="28">
        <f t="shared" si="27"/>
        <v>25.547197640117993</v>
      </c>
    </row>
    <row r="54" spans="1:25" x14ac:dyDescent="0.25">
      <c r="A54" s="26" t="s">
        <v>318</v>
      </c>
      <c r="B54" s="26" t="s">
        <v>319</v>
      </c>
      <c r="C54" s="26" t="s">
        <v>191</v>
      </c>
      <c r="D54" s="26">
        <v>6</v>
      </c>
      <c r="E54" s="26"/>
      <c r="F54" s="26"/>
      <c r="G54" s="26"/>
      <c r="H54" s="26">
        <v>6</v>
      </c>
      <c r="I54" s="26">
        <v>76</v>
      </c>
      <c r="J54" s="26"/>
      <c r="K54" s="26">
        <v>597</v>
      </c>
      <c r="L54" s="26"/>
      <c r="M54" s="26">
        <v>679</v>
      </c>
      <c r="N54" s="28">
        <v>20.521354933726069</v>
      </c>
      <c r="O54" s="26" t="s">
        <v>307</v>
      </c>
      <c r="P54" s="26">
        <f t="shared" si="19"/>
        <v>597</v>
      </c>
      <c r="Q54" s="26">
        <f t="shared" si="20"/>
        <v>6</v>
      </c>
      <c r="R54" s="26">
        <f t="shared" si="20"/>
        <v>76</v>
      </c>
      <c r="S54" s="26">
        <f t="shared" si="21"/>
        <v>0</v>
      </c>
      <c r="T54" s="26">
        <f t="shared" si="22"/>
        <v>679</v>
      </c>
      <c r="U54" s="27">
        <f t="shared" si="23"/>
        <v>0.87923416789396169</v>
      </c>
      <c r="V54" s="27">
        <f t="shared" si="24"/>
        <v>8.836524300441826E-3</v>
      </c>
      <c r="W54" s="27">
        <f t="shared" si="25"/>
        <v>0.11192930780559647</v>
      </c>
      <c r="X54" s="27">
        <f t="shared" si="26"/>
        <v>0</v>
      </c>
      <c r="Y54" s="28">
        <f t="shared" si="27"/>
        <v>20.521354933726069</v>
      </c>
    </row>
    <row r="55" spans="1:25" x14ac:dyDescent="0.25">
      <c r="A55" s="26" t="s">
        <v>318</v>
      </c>
      <c r="B55" s="26" t="s">
        <v>319</v>
      </c>
      <c r="C55" s="26" t="s">
        <v>192</v>
      </c>
      <c r="D55" s="26">
        <v>1</v>
      </c>
      <c r="E55" s="26"/>
      <c r="F55" s="26"/>
      <c r="G55" s="26"/>
      <c r="H55" s="26">
        <v>26</v>
      </c>
      <c r="I55" s="26">
        <v>181</v>
      </c>
      <c r="J55" s="26">
        <v>3</v>
      </c>
      <c r="K55" s="26">
        <v>240</v>
      </c>
      <c r="L55" s="26"/>
      <c r="M55" s="26">
        <v>450</v>
      </c>
      <c r="N55" s="28">
        <v>58.906666666666666</v>
      </c>
      <c r="O55" s="26" t="s">
        <v>307</v>
      </c>
      <c r="P55" s="26">
        <f t="shared" si="0"/>
        <v>240</v>
      </c>
      <c r="Q55" s="26">
        <f t="shared" si="1"/>
        <v>26</v>
      </c>
      <c r="R55" s="26">
        <f t="shared" si="2"/>
        <v>181</v>
      </c>
      <c r="S55" s="26">
        <f t="shared" si="3"/>
        <v>3</v>
      </c>
      <c r="T55" s="26">
        <f t="shared" si="4"/>
        <v>450</v>
      </c>
      <c r="U55" s="27">
        <f t="shared" si="5"/>
        <v>0.53333333333333333</v>
      </c>
      <c r="V55" s="27">
        <f t="shared" si="6"/>
        <v>5.7777777777777775E-2</v>
      </c>
      <c r="W55" s="27">
        <f t="shared" si="7"/>
        <v>0.4022222222222222</v>
      </c>
      <c r="X55" s="27">
        <f t="shared" si="8"/>
        <v>6.6666666666666671E-3</v>
      </c>
      <c r="Y55" s="28">
        <f t="shared" si="9"/>
        <v>58.906666666666666</v>
      </c>
    </row>
    <row r="56" spans="1:25" x14ac:dyDescent="0.25">
      <c r="A56" s="26" t="s">
        <v>318</v>
      </c>
      <c r="B56" s="26" t="s">
        <v>319</v>
      </c>
      <c r="C56" s="26" t="s">
        <v>192</v>
      </c>
      <c r="D56" s="26">
        <v>2</v>
      </c>
      <c r="E56" s="26"/>
      <c r="F56" s="26"/>
      <c r="G56" s="26">
        <v>1</v>
      </c>
      <c r="H56" s="26">
        <v>24</v>
      </c>
      <c r="I56" s="26">
        <v>276</v>
      </c>
      <c r="J56" s="26">
        <v>3</v>
      </c>
      <c r="K56" s="26">
        <v>399</v>
      </c>
      <c r="L56" s="26"/>
      <c r="M56" s="26">
        <v>703</v>
      </c>
      <c r="N56" s="28">
        <v>51.237553342816504</v>
      </c>
      <c r="O56" s="26" t="s">
        <v>307</v>
      </c>
      <c r="P56" s="26">
        <f t="shared" si="0"/>
        <v>399</v>
      </c>
      <c r="Q56" s="26">
        <f t="shared" si="1"/>
        <v>24</v>
      </c>
      <c r="R56" s="26">
        <f t="shared" si="2"/>
        <v>276</v>
      </c>
      <c r="S56" s="26">
        <f t="shared" si="3"/>
        <v>4</v>
      </c>
      <c r="T56" s="26">
        <f t="shared" si="4"/>
        <v>703</v>
      </c>
      <c r="U56" s="27">
        <f t="shared" si="5"/>
        <v>0.56756756756756754</v>
      </c>
      <c r="V56" s="27">
        <f t="shared" si="6"/>
        <v>3.4139402560455195E-2</v>
      </c>
      <c r="W56" s="27">
        <f t="shared" si="7"/>
        <v>0.39260312944523473</v>
      </c>
      <c r="X56" s="27">
        <f t="shared" si="8"/>
        <v>5.6899004267425323E-3</v>
      </c>
      <c r="Y56" s="28">
        <f t="shared" si="9"/>
        <v>51.237553342816504</v>
      </c>
    </row>
    <row r="57" spans="1:25" x14ac:dyDescent="0.25">
      <c r="A57" s="26" t="s">
        <v>318</v>
      </c>
      <c r="B57" s="26" t="s">
        <v>319</v>
      </c>
      <c r="C57" s="26" t="s">
        <v>192</v>
      </c>
      <c r="D57" s="26">
        <v>3</v>
      </c>
      <c r="E57" s="26"/>
      <c r="F57" s="26"/>
      <c r="G57" s="26"/>
      <c r="H57" s="26">
        <v>23</v>
      </c>
      <c r="I57" s="26">
        <v>387</v>
      </c>
      <c r="J57" s="26"/>
      <c r="K57" s="26">
        <v>293</v>
      </c>
      <c r="L57" s="26"/>
      <c r="M57" s="26">
        <v>703</v>
      </c>
      <c r="N57" s="28">
        <v>40.384068278805124</v>
      </c>
      <c r="O57" s="26" t="s">
        <v>307</v>
      </c>
      <c r="P57" s="26">
        <f t="shared" si="0"/>
        <v>293</v>
      </c>
      <c r="Q57" s="26">
        <f t="shared" si="1"/>
        <v>23</v>
      </c>
      <c r="R57" s="26">
        <f t="shared" si="2"/>
        <v>387</v>
      </c>
      <c r="S57" s="26">
        <f t="shared" si="3"/>
        <v>0</v>
      </c>
      <c r="T57" s="26">
        <f t="shared" si="4"/>
        <v>703</v>
      </c>
      <c r="U57" s="27">
        <f t="shared" si="5"/>
        <v>0.41678520625889048</v>
      </c>
      <c r="V57" s="27">
        <f t="shared" si="6"/>
        <v>3.2716927453769556E-2</v>
      </c>
      <c r="W57" s="27">
        <f t="shared" si="7"/>
        <v>0.55049786628733999</v>
      </c>
      <c r="X57" s="27">
        <f t="shared" si="8"/>
        <v>0</v>
      </c>
      <c r="Y57" s="28">
        <f t="shared" si="9"/>
        <v>40.384068278805124</v>
      </c>
    </row>
    <row r="58" spans="1:25" x14ac:dyDescent="0.25">
      <c r="A58" s="26" t="s">
        <v>318</v>
      </c>
      <c r="B58" s="26" t="s">
        <v>319</v>
      </c>
      <c r="C58" s="26" t="s">
        <v>192</v>
      </c>
      <c r="D58" s="26">
        <v>4</v>
      </c>
      <c r="E58" s="26"/>
      <c r="F58" s="26"/>
      <c r="G58" s="26">
        <v>1</v>
      </c>
      <c r="H58" s="26">
        <v>19</v>
      </c>
      <c r="I58" s="26">
        <v>259</v>
      </c>
      <c r="J58" s="26">
        <v>3</v>
      </c>
      <c r="K58" s="26">
        <v>421</v>
      </c>
      <c r="L58" s="26"/>
      <c r="M58" s="26">
        <v>703</v>
      </c>
      <c r="N58" s="28">
        <v>31.568990042674255</v>
      </c>
      <c r="O58" s="26" t="s">
        <v>307</v>
      </c>
      <c r="P58" s="26">
        <f t="shared" si="0"/>
        <v>421</v>
      </c>
      <c r="Q58" s="26">
        <f t="shared" si="1"/>
        <v>19</v>
      </c>
      <c r="R58" s="26">
        <f t="shared" si="2"/>
        <v>259</v>
      </c>
      <c r="S58" s="26">
        <f t="shared" si="3"/>
        <v>4</v>
      </c>
      <c r="T58" s="26">
        <f t="shared" si="4"/>
        <v>703</v>
      </c>
      <c r="U58" s="27">
        <f t="shared" si="5"/>
        <v>0.59886201991465149</v>
      </c>
      <c r="V58" s="27">
        <f t="shared" si="6"/>
        <v>2.7027027027027029E-2</v>
      </c>
      <c r="W58" s="27">
        <f t="shared" si="7"/>
        <v>0.36842105263157893</v>
      </c>
      <c r="X58" s="27">
        <f t="shared" si="8"/>
        <v>5.6899004267425323E-3</v>
      </c>
      <c r="Y58" s="28">
        <f t="shared" si="9"/>
        <v>31.568990042674255</v>
      </c>
    </row>
    <row r="59" spans="1:25" x14ac:dyDescent="0.25">
      <c r="A59" s="26" t="s">
        <v>318</v>
      </c>
      <c r="B59" s="26" t="s">
        <v>319</v>
      </c>
      <c r="C59" s="26" t="s">
        <v>192</v>
      </c>
      <c r="D59" s="26">
        <v>5</v>
      </c>
      <c r="E59" s="26"/>
      <c r="F59" s="26"/>
      <c r="G59" s="26"/>
      <c r="H59" s="26">
        <v>27</v>
      </c>
      <c r="I59" s="26">
        <v>208</v>
      </c>
      <c r="J59" s="26">
        <v>1</v>
      </c>
      <c r="K59" s="26">
        <v>467</v>
      </c>
      <c r="L59" s="26"/>
      <c r="M59" s="26">
        <v>703</v>
      </c>
      <c r="N59" s="28">
        <v>26.463726884779515</v>
      </c>
      <c r="O59" s="26" t="s">
        <v>307</v>
      </c>
      <c r="P59" s="26">
        <f t="shared" si="0"/>
        <v>467</v>
      </c>
      <c r="Q59" s="26">
        <f t="shared" si="1"/>
        <v>27</v>
      </c>
      <c r="R59" s="26">
        <f t="shared" si="2"/>
        <v>208</v>
      </c>
      <c r="S59" s="26">
        <f t="shared" si="3"/>
        <v>1</v>
      </c>
      <c r="T59" s="26">
        <f t="shared" si="4"/>
        <v>703</v>
      </c>
      <c r="U59" s="27">
        <f t="shared" si="5"/>
        <v>0.66429587482219066</v>
      </c>
      <c r="V59" s="27">
        <f t="shared" si="6"/>
        <v>3.8406827880512091E-2</v>
      </c>
      <c r="W59" s="27">
        <f t="shared" si="7"/>
        <v>0.29587482219061167</v>
      </c>
      <c r="X59" s="27">
        <f t="shared" si="8"/>
        <v>1.4224751066856331E-3</v>
      </c>
      <c r="Y59" s="28">
        <f t="shared" si="9"/>
        <v>26.463726884779515</v>
      </c>
    </row>
    <row r="60" spans="1:25" x14ac:dyDescent="0.25">
      <c r="A60" s="26" t="s">
        <v>318</v>
      </c>
      <c r="B60" s="26" t="s">
        <v>319</v>
      </c>
      <c r="C60" s="26" t="s">
        <v>192</v>
      </c>
      <c r="D60" s="26">
        <v>6</v>
      </c>
      <c r="E60" s="26"/>
      <c r="F60" s="26"/>
      <c r="G60" s="26"/>
      <c r="H60" s="26">
        <v>14</v>
      </c>
      <c r="I60" s="26">
        <v>238</v>
      </c>
      <c r="J60" s="26"/>
      <c r="K60" s="26">
        <v>451</v>
      </c>
      <c r="L60" s="26"/>
      <c r="M60" s="26">
        <v>703</v>
      </c>
      <c r="N60" s="28">
        <v>23.041251778093883</v>
      </c>
      <c r="O60" s="26" t="s">
        <v>307</v>
      </c>
      <c r="P60" s="26">
        <f t="shared" si="0"/>
        <v>451</v>
      </c>
      <c r="Q60" s="26">
        <f t="shared" si="1"/>
        <v>14</v>
      </c>
      <c r="R60" s="26">
        <f t="shared" si="2"/>
        <v>238</v>
      </c>
      <c r="S60" s="26">
        <f t="shared" si="3"/>
        <v>0</v>
      </c>
      <c r="T60" s="26">
        <f t="shared" si="4"/>
        <v>703</v>
      </c>
      <c r="U60" s="27">
        <f t="shared" si="5"/>
        <v>0.64153627311522043</v>
      </c>
      <c r="V60" s="27">
        <f t="shared" si="6"/>
        <v>1.9914651493598862E-2</v>
      </c>
      <c r="W60" s="27">
        <f t="shared" si="7"/>
        <v>0.33854907539118068</v>
      </c>
      <c r="X60" s="27">
        <f t="shared" si="8"/>
        <v>0</v>
      </c>
      <c r="Y60" s="28">
        <f t="shared" si="9"/>
        <v>23.041251778093883</v>
      </c>
    </row>
    <row r="61" spans="1:25" x14ac:dyDescent="0.25">
      <c r="A61" s="26" t="s">
        <v>318</v>
      </c>
      <c r="B61" s="26" t="s">
        <v>319</v>
      </c>
      <c r="C61" s="26" t="s">
        <v>192</v>
      </c>
      <c r="D61" s="26">
        <v>7</v>
      </c>
      <c r="E61" s="26"/>
      <c r="F61" s="26"/>
      <c r="G61" s="26"/>
      <c r="H61" s="26">
        <v>14</v>
      </c>
      <c r="I61" s="26">
        <v>218</v>
      </c>
      <c r="J61" s="26"/>
      <c r="K61" s="26">
        <v>475</v>
      </c>
      <c r="L61" s="26"/>
      <c r="M61" s="26">
        <v>707</v>
      </c>
      <c r="N61" s="28">
        <v>19.644978783592645</v>
      </c>
      <c r="O61" s="26" t="s">
        <v>307</v>
      </c>
      <c r="P61" s="26">
        <f t="shared" si="0"/>
        <v>475</v>
      </c>
      <c r="Q61" s="26">
        <f t="shared" si="1"/>
        <v>14</v>
      </c>
      <c r="R61" s="26">
        <f t="shared" si="2"/>
        <v>218</v>
      </c>
      <c r="S61" s="26">
        <f t="shared" si="3"/>
        <v>0</v>
      </c>
      <c r="T61" s="26">
        <f t="shared" si="4"/>
        <v>707</v>
      </c>
      <c r="U61" s="27">
        <f t="shared" si="5"/>
        <v>0.67185289957567185</v>
      </c>
      <c r="V61" s="27">
        <f t="shared" si="6"/>
        <v>1.9801980198019802E-2</v>
      </c>
      <c r="W61" s="27">
        <f t="shared" si="7"/>
        <v>0.30834512022630833</v>
      </c>
      <c r="X61" s="27">
        <f t="shared" si="8"/>
        <v>0</v>
      </c>
      <c r="Y61" s="28">
        <f t="shared" si="9"/>
        <v>19.644978783592645</v>
      </c>
    </row>
    <row r="62" spans="1:25" x14ac:dyDescent="0.25">
      <c r="A62" s="26" t="s">
        <v>318</v>
      </c>
      <c r="B62" s="26" t="s">
        <v>319</v>
      </c>
      <c r="C62" s="26" t="s">
        <v>193</v>
      </c>
      <c r="D62" s="26">
        <v>1</v>
      </c>
      <c r="E62" s="26"/>
      <c r="F62" s="26">
        <v>1</v>
      </c>
      <c r="G62" s="26">
        <v>1</v>
      </c>
      <c r="H62" s="26">
        <v>5</v>
      </c>
      <c r="I62" s="26">
        <v>48</v>
      </c>
      <c r="J62" s="26"/>
      <c r="K62" s="26">
        <v>395</v>
      </c>
      <c r="L62" s="26"/>
      <c r="M62" s="26">
        <v>450</v>
      </c>
      <c r="N62" s="28">
        <v>58.537777777777777</v>
      </c>
      <c r="O62" s="26" t="s">
        <v>307</v>
      </c>
      <c r="P62" s="26">
        <f t="shared" si="0"/>
        <v>395</v>
      </c>
      <c r="Q62" s="26">
        <f t="shared" si="1"/>
        <v>5</v>
      </c>
      <c r="R62" s="26">
        <f t="shared" si="2"/>
        <v>48</v>
      </c>
      <c r="S62" s="26">
        <f t="shared" si="3"/>
        <v>2</v>
      </c>
      <c r="T62" s="26">
        <f t="shared" si="4"/>
        <v>450</v>
      </c>
      <c r="U62" s="27">
        <f t="shared" si="5"/>
        <v>0.87777777777777777</v>
      </c>
      <c r="V62" s="27">
        <f t="shared" si="6"/>
        <v>1.1111111111111112E-2</v>
      </c>
      <c r="W62" s="27">
        <f t="shared" si="7"/>
        <v>0.10666666666666667</v>
      </c>
      <c r="X62" s="27">
        <f t="shared" si="8"/>
        <v>4.4444444444444444E-3</v>
      </c>
      <c r="Y62" s="28">
        <f t="shared" si="9"/>
        <v>58.537777777777777</v>
      </c>
    </row>
    <row r="63" spans="1:25" x14ac:dyDescent="0.25">
      <c r="A63" s="26" t="s">
        <v>318</v>
      </c>
      <c r="B63" s="26" t="s">
        <v>319</v>
      </c>
      <c r="C63" s="26" t="s">
        <v>193</v>
      </c>
      <c r="D63" s="26">
        <v>2</v>
      </c>
      <c r="E63" s="26"/>
      <c r="F63" s="26">
        <v>1</v>
      </c>
      <c r="G63" s="26"/>
      <c r="H63" s="26">
        <v>19</v>
      </c>
      <c r="I63" s="26">
        <v>73</v>
      </c>
      <c r="J63" s="26">
        <v>1</v>
      </c>
      <c r="K63" s="26">
        <v>588</v>
      </c>
      <c r="L63" s="26"/>
      <c r="M63" s="26">
        <v>682</v>
      </c>
      <c r="N63" s="28">
        <v>47.004398826979475</v>
      </c>
      <c r="O63" s="26" t="s">
        <v>307</v>
      </c>
      <c r="P63" s="26">
        <f t="shared" si="0"/>
        <v>588</v>
      </c>
      <c r="Q63" s="26">
        <f t="shared" si="1"/>
        <v>19</v>
      </c>
      <c r="R63" s="26">
        <f t="shared" si="2"/>
        <v>73</v>
      </c>
      <c r="S63" s="26">
        <f t="shared" si="3"/>
        <v>2</v>
      </c>
      <c r="T63" s="26">
        <f t="shared" si="4"/>
        <v>682</v>
      </c>
      <c r="U63" s="27">
        <f t="shared" si="5"/>
        <v>0.8621700879765396</v>
      </c>
      <c r="V63" s="27">
        <f t="shared" si="6"/>
        <v>2.7859237536656891E-2</v>
      </c>
      <c r="W63" s="27">
        <f t="shared" si="7"/>
        <v>0.10703812316715543</v>
      </c>
      <c r="X63" s="27">
        <f t="shared" si="8"/>
        <v>2.9325513196480938E-3</v>
      </c>
      <c r="Y63" s="28">
        <f t="shared" si="9"/>
        <v>47.004398826979475</v>
      </c>
    </row>
    <row r="64" spans="1:25" x14ac:dyDescent="0.25">
      <c r="A64" s="26" t="s">
        <v>318</v>
      </c>
      <c r="B64" s="26" t="s">
        <v>319</v>
      </c>
      <c r="C64" s="26" t="s">
        <v>193</v>
      </c>
      <c r="D64" s="26">
        <v>3</v>
      </c>
      <c r="E64" s="26"/>
      <c r="F64" s="26"/>
      <c r="G64" s="26"/>
      <c r="H64" s="26">
        <v>12</v>
      </c>
      <c r="I64" s="26">
        <v>60</v>
      </c>
      <c r="J64" s="26"/>
      <c r="K64" s="26">
        <v>610</v>
      </c>
      <c r="L64" s="26"/>
      <c r="M64" s="26">
        <v>682</v>
      </c>
      <c r="N64" s="28">
        <v>30.60850439882698</v>
      </c>
      <c r="O64" s="26" t="s">
        <v>307</v>
      </c>
      <c r="P64" s="26">
        <f t="shared" si="0"/>
        <v>610</v>
      </c>
      <c r="Q64" s="26">
        <f t="shared" si="1"/>
        <v>12</v>
      </c>
      <c r="R64" s="26">
        <f t="shared" si="2"/>
        <v>60</v>
      </c>
      <c r="S64" s="26">
        <f t="shared" si="3"/>
        <v>0</v>
      </c>
      <c r="T64" s="26">
        <f t="shared" si="4"/>
        <v>682</v>
      </c>
      <c r="U64" s="27">
        <f t="shared" si="5"/>
        <v>0.8944281524926686</v>
      </c>
      <c r="V64" s="27">
        <f t="shared" si="6"/>
        <v>1.7595307917888565E-2</v>
      </c>
      <c r="W64" s="27">
        <f t="shared" si="7"/>
        <v>8.797653958944282E-2</v>
      </c>
      <c r="X64" s="27">
        <f t="shared" si="8"/>
        <v>0</v>
      </c>
      <c r="Y64" s="28">
        <f t="shared" si="9"/>
        <v>30.60850439882698</v>
      </c>
    </row>
    <row r="65" spans="1:25" x14ac:dyDescent="0.25">
      <c r="A65" s="26" t="s">
        <v>318</v>
      </c>
      <c r="B65" s="26" t="s">
        <v>319</v>
      </c>
      <c r="C65" s="26" t="s">
        <v>193</v>
      </c>
      <c r="D65" s="26">
        <v>4</v>
      </c>
      <c r="E65" s="26"/>
      <c r="F65" s="26"/>
      <c r="G65" s="26"/>
      <c r="H65" s="26">
        <v>17</v>
      </c>
      <c r="I65" s="26">
        <v>45</v>
      </c>
      <c r="J65" s="26"/>
      <c r="K65" s="26">
        <v>620</v>
      </c>
      <c r="L65" s="26"/>
      <c r="M65" s="26">
        <v>682</v>
      </c>
      <c r="N65" s="28">
        <v>24.296187683284458</v>
      </c>
      <c r="O65" s="26" t="s">
        <v>307</v>
      </c>
      <c r="P65" s="26">
        <f t="shared" si="0"/>
        <v>620</v>
      </c>
      <c r="Q65" s="26">
        <f t="shared" si="1"/>
        <v>17</v>
      </c>
      <c r="R65" s="26">
        <f t="shared" si="2"/>
        <v>45</v>
      </c>
      <c r="S65" s="26">
        <f t="shared" si="3"/>
        <v>0</v>
      </c>
      <c r="T65" s="26">
        <f t="shared" si="4"/>
        <v>682</v>
      </c>
      <c r="U65" s="27">
        <f t="shared" si="5"/>
        <v>0.90909090909090906</v>
      </c>
      <c r="V65" s="27">
        <f t="shared" si="6"/>
        <v>2.4926686217008796E-2</v>
      </c>
      <c r="W65" s="27">
        <f t="shared" si="7"/>
        <v>6.5982404692082108E-2</v>
      </c>
      <c r="X65" s="27">
        <f t="shared" si="8"/>
        <v>0</v>
      </c>
      <c r="Y65" s="28">
        <f t="shared" si="9"/>
        <v>24.296187683284458</v>
      </c>
    </row>
    <row r="66" spans="1:25" x14ac:dyDescent="0.25">
      <c r="A66" s="26" t="s">
        <v>318</v>
      </c>
      <c r="B66" s="26" t="s">
        <v>319</v>
      </c>
      <c r="C66" s="26" t="s">
        <v>193</v>
      </c>
      <c r="D66" s="26">
        <v>5</v>
      </c>
      <c r="E66" s="26"/>
      <c r="F66" s="26"/>
      <c r="G66" s="26"/>
      <c r="H66" s="26">
        <v>18</v>
      </c>
      <c r="I66" s="26">
        <v>64</v>
      </c>
      <c r="J66" s="26"/>
      <c r="K66" s="26">
        <v>601</v>
      </c>
      <c r="L66" s="26"/>
      <c r="M66" s="26">
        <v>683</v>
      </c>
      <c r="N66" s="28">
        <v>20.155197657393849</v>
      </c>
      <c r="O66" s="26" t="s">
        <v>307</v>
      </c>
      <c r="P66" s="26">
        <f t="shared" ref="P66:P117" si="28">K66</f>
        <v>601</v>
      </c>
      <c r="Q66" s="26">
        <f t="shared" ref="Q66:Q117" si="29">H66</f>
        <v>18</v>
      </c>
      <c r="R66" s="26">
        <f t="shared" ref="R66:R117" si="30">I66</f>
        <v>64</v>
      </c>
      <c r="S66" s="26">
        <f t="shared" ref="S66:S117" si="31">M66-SUM(P66:R66)</f>
        <v>0</v>
      </c>
      <c r="T66" s="26">
        <f t="shared" ref="T66:T117" si="32">SUM(P66:S66)</f>
        <v>683</v>
      </c>
      <c r="U66" s="27">
        <f t="shared" ref="U66:U117" si="33">P66/M66</f>
        <v>0.87994143484626652</v>
      </c>
      <c r="V66" s="27">
        <f t="shared" ref="V66:V117" si="34">Q66/M66</f>
        <v>2.6354319180087848E-2</v>
      </c>
      <c r="W66" s="27">
        <f t="shared" ref="W66:W117" si="35">R66/M66</f>
        <v>9.3704245973645683E-2</v>
      </c>
      <c r="X66" s="27">
        <f t="shared" ref="X66:X117" si="36">S66/M66</f>
        <v>0</v>
      </c>
      <c r="Y66" s="28">
        <f t="shared" ref="Y66:Y117" si="37">N66</f>
        <v>20.155197657393849</v>
      </c>
    </row>
    <row r="67" spans="1:25" x14ac:dyDescent="0.25">
      <c r="A67" s="26" t="s">
        <v>320</v>
      </c>
      <c r="B67" s="26" t="s">
        <v>321</v>
      </c>
      <c r="C67" s="26" t="s">
        <v>195</v>
      </c>
      <c r="D67" s="26">
        <v>1</v>
      </c>
      <c r="E67" s="26"/>
      <c r="F67" s="26"/>
      <c r="G67" s="26"/>
      <c r="H67" s="26">
        <v>9</v>
      </c>
      <c r="I67" s="26">
        <v>81</v>
      </c>
      <c r="J67" s="26">
        <v>5</v>
      </c>
      <c r="K67" s="26">
        <v>355</v>
      </c>
      <c r="L67" s="26"/>
      <c r="M67" s="26">
        <v>450</v>
      </c>
      <c r="N67" s="28">
        <v>63.397777777777776</v>
      </c>
      <c r="O67" s="26" t="s">
        <v>307</v>
      </c>
      <c r="P67" s="26">
        <f t="shared" si="28"/>
        <v>355</v>
      </c>
      <c r="Q67" s="26">
        <f t="shared" si="29"/>
        <v>9</v>
      </c>
      <c r="R67" s="26">
        <f t="shared" si="30"/>
        <v>81</v>
      </c>
      <c r="S67" s="26">
        <f t="shared" si="31"/>
        <v>5</v>
      </c>
      <c r="T67" s="26">
        <f t="shared" si="32"/>
        <v>450</v>
      </c>
      <c r="U67" s="27">
        <f t="shared" si="33"/>
        <v>0.78888888888888886</v>
      </c>
      <c r="V67" s="27">
        <f t="shared" si="34"/>
        <v>0.02</v>
      </c>
      <c r="W67" s="27">
        <f t="shared" si="35"/>
        <v>0.18</v>
      </c>
      <c r="X67" s="27">
        <f t="shared" si="36"/>
        <v>1.1111111111111112E-2</v>
      </c>
      <c r="Y67" s="28">
        <f t="shared" si="37"/>
        <v>63.397777777777776</v>
      </c>
    </row>
    <row r="68" spans="1:25" x14ac:dyDescent="0.25">
      <c r="A68" s="26" t="s">
        <v>320</v>
      </c>
      <c r="B68" s="26" t="s">
        <v>321</v>
      </c>
      <c r="C68" s="26" t="s">
        <v>195</v>
      </c>
      <c r="D68" s="26">
        <v>2</v>
      </c>
      <c r="E68" s="26"/>
      <c r="F68" s="26">
        <v>1</v>
      </c>
      <c r="G68" s="26"/>
      <c r="H68" s="26">
        <v>8</v>
      </c>
      <c r="I68" s="26">
        <v>68</v>
      </c>
      <c r="J68" s="26"/>
      <c r="K68" s="26">
        <v>373</v>
      </c>
      <c r="L68" s="26"/>
      <c r="M68" s="26">
        <v>450</v>
      </c>
      <c r="N68" s="28">
        <v>61.308888888888887</v>
      </c>
      <c r="O68" s="26" t="s">
        <v>307</v>
      </c>
      <c r="P68" s="26">
        <f t="shared" si="28"/>
        <v>373</v>
      </c>
      <c r="Q68" s="26">
        <f t="shared" si="29"/>
        <v>8</v>
      </c>
      <c r="R68" s="26">
        <f t="shared" si="30"/>
        <v>68</v>
      </c>
      <c r="S68" s="26">
        <f t="shared" si="31"/>
        <v>1</v>
      </c>
      <c r="T68" s="26">
        <f t="shared" si="32"/>
        <v>450</v>
      </c>
      <c r="U68" s="27">
        <f t="shared" si="33"/>
        <v>0.8288888888888889</v>
      </c>
      <c r="V68" s="27">
        <f t="shared" si="34"/>
        <v>1.7777777777777778E-2</v>
      </c>
      <c r="W68" s="27">
        <f t="shared" si="35"/>
        <v>0.15111111111111111</v>
      </c>
      <c r="X68" s="27">
        <f t="shared" si="36"/>
        <v>2.2222222222222222E-3</v>
      </c>
      <c r="Y68" s="28">
        <f t="shared" si="37"/>
        <v>61.308888888888887</v>
      </c>
    </row>
    <row r="69" spans="1:25" x14ac:dyDescent="0.25">
      <c r="A69" s="26" t="s">
        <v>320</v>
      </c>
      <c r="B69" s="26" t="s">
        <v>321</v>
      </c>
      <c r="C69" s="26" t="s">
        <v>195</v>
      </c>
      <c r="D69" s="26">
        <v>3</v>
      </c>
      <c r="E69" s="26"/>
      <c r="F69" s="26"/>
      <c r="G69" s="26"/>
      <c r="H69" s="26">
        <v>19</v>
      </c>
      <c r="I69" s="26">
        <v>106</v>
      </c>
      <c r="J69" s="26">
        <v>3</v>
      </c>
      <c r="K69" s="26">
        <v>610</v>
      </c>
      <c r="L69" s="26"/>
      <c r="M69" s="26">
        <v>738</v>
      </c>
      <c r="N69" s="28">
        <v>54.192411924119241</v>
      </c>
      <c r="O69" s="26" t="s">
        <v>307</v>
      </c>
      <c r="P69" s="26">
        <f t="shared" si="28"/>
        <v>610</v>
      </c>
      <c r="Q69" s="26">
        <f t="shared" si="29"/>
        <v>19</v>
      </c>
      <c r="R69" s="26">
        <f t="shared" si="30"/>
        <v>106</v>
      </c>
      <c r="S69" s="26">
        <f t="shared" si="31"/>
        <v>3</v>
      </c>
      <c r="T69" s="26">
        <f t="shared" si="32"/>
        <v>738</v>
      </c>
      <c r="U69" s="27">
        <f t="shared" si="33"/>
        <v>0.82655826558265577</v>
      </c>
      <c r="V69" s="27">
        <f t="shared" si="34"/>
        <v>2.5745257452574527E-2</v>
      </c>
      <c r="W69" s="27">
        <f t="shared" si="35"/>
        <v>0.14363143631436315</v>
      </c>
      <c r="X69" s="27">
        <f t="shared" si="36"/>
        <v>4.0650406504065045E-3</v>
      </c>
      <c r="Y69" s="28">
        <f t="shared" si="37"/>
        <v>54.192411924119241</v>
      </c>
    </row>
    <row r="70" spans="1:25" x14ac:dyDescent="0.25">
      <c r="A70" s="26" t="s">
        <v>320</v>
      </c>
      <c r="B70" s="26" t="s">
        <v>321</v>
      </c>
      <c r="C70" s="26" t="s">
        <v>195</v>
      </c>
      <c r="D70" s="26">
        <v>4</v>
      </c>
      <c r="E70" s="26"/>
      <c r="F70" s="26"/>
      <c r="G70" s="26">
        <v>1</v>
      </c>
      <c r="H70" s="26">
        <v>21</v>
      </c>
      <c r="I70" s="26">
        <v>143</v>
      </c>
      <c r="J70" s="26">
        <v>6</v>
      </c>
      <c r="K70" s="26">
        <v>568</v>
      </c>
      <c r="L70" s="26"/>
      <c r="M70" s="26">
        <v>739</v>
      </c>
      <c r="N70" s="28">
        <v>44.362652232746953</v>
      </c>
      <c r="O70" s="26" t="s">
        <v>307</v>
      </c>
      <c r="P70" s="26">
        <f t="shared" si="28"/>
        <v>568</v>
      </c>
      <c r="Q70" s="26">
        <f t="shared" si="29"/>
        <v>21</v>
      </c>
      <c r="R70" s="26">
        <f t="shared" si="30"/>
        <v>143</v>
      </c>
      <c r="S70" s="26">
        <f t="shared" si="31"/>
        <v>7</v>
      </c>
      <c r="T70" s="26">
        <f t="shared" si="32"/>
        <v>739</v>
      </c>
      <c r="U70" s="27">
        <f t="shared" si="33"/>
        <v>0.76860622462787553</v>
      </c>
      <c r="V70" s="27">
        <f t="shared" si="34"/>
        <v>2.8416779431664412E-2</v>
      </c>
      <c r="W70" s="27">
        <f t="shared" si="35"/>
        <v>0.19350473612990526</v>
      </c>
      <c r="X70" s="27">
        <f t="shared" si="36"/>
        <v>9.4722598105548041E-3</v>
      </c>
      <c r="Y70" s="28">
        <f t="shared" si="37"/>
        <v>44.362652232746953</v>
      </c>
    </row>
    <row r="71" spans="1:25" x14ac:dyDescent="0.25">
      <c r="A71" s="26" t="s">
        <v>320</v>
      </c>
      <c r="B71" s="26" t="s">
        <v>321</v>
      </c>
      <c r="C71" s="26" t="s">
        <v>195</v>
      </c>
      <c r="D71" s="26">
        <v>5</v>
      </c>
      <c r="E71" s="26"/>
      <c r="F71" s="26"/>
      <c r="G71" s="26">
        <v>1</v>
      </c>
      <c r="H71" s="26">
        <v>18</v>
      </c>
      <c r="I71" s="26">
        <v>106</v>
      </c>
      <c r="J71" s="26">
        <v>2</v>
      </c>
      <c r="K71" s="26">
        <v>612</v>
      </c>
      <c r="L71" s="26"/>
      <c r="M71" s="26">
        <v>739</v>
      </c>
      <c r="N71" s="28">
        <v>36.820027063599461</v>
      </c>
      <c r="O71" s="26" t="s">
        <v>307</v>
      </c>
      <c r="P71" s="26">
        <f t="shared" si="28"/>
        <v>612</v>
      </c>
      <c r="Q71" s="26">
        <f t="shared" si="29"/>
        <v>18</v>
      </c>
      <c r="R71" s="26">
        <f t="shared" si="30"/>
        <v>106</v>
      </c>
      <c r="S71" s="26">
        <f t="shared" si="31"/>
        <v>3</v>
      </c>
      <c r="T71" s="26">
        <f t="shared" si="32"/>
        <v>739</v>
      </c>
      <c r="U71" s="27">
        <f t="shared" si="33"/>
        <v>0.82814614343707715</v>
      </c>
      <c r="V71" s="27">
        <f t="shared" si="34"/>
        <v>2.4357239512855209E-2</v>
      </c>
      <c r="W71" s="27">
        <f t="shared" si="35"/>
        <v>0.14343707713125844</v>
      </c>
      <c r="X71" s="27">
        <f t="shared" si="36"/>
        <v>4.0595399188092015E-3</v>
      </c>
      <c r="Y71" s="28">
        <f t="shared" si="37"/>
        <v>36.820027063599461</v>
      </c>
    </row>
    <row r="72" spans="1:25" x14ac:dyDescent="0.25">
      <c r="A72" s="26" t="s">
        <v>320</v>
      </c>
      <c r="B72" s="26" t="s">
        <v>321</v>
      </c>
      <c r="C72" s="26" t="s">
        <v>195</v>
      </c>
      <c r="D72" s="26">
        <v>6</v>
      </c>
      <c r="E72" s="26"/>
      <c r="F72" s="26"/>
      <c r="G72" s="26"/>
      <c r="H72" s="26">
        <v>13</v>
      </c>
      <c r="I72" s="26">
        <v>74</v>
      </c>
      <c r="J72" s="26">
        <v>2</v>
      </c>
      <c r="K72" s="26">
        <v>650</v>
      </c>
      <c r="L72" s="26"/>
      <c r="M72" s="26">
        <v>739</v>
      </c>
      <c r="N72" s="28">
        <v>31.713125845737483</v>
      </c>
      <c r="O72" s="26" t="s">
        <v>307</v>
      </c>
      <c r="P72" s="26">
        <f t="shared" si="28"/>
        <v>650</v>
      </c>
      <c r="Q72" s="26">
        <f t="shared" si="29"/>
        <v>13</v>
      </c>
      <c r="R72" s="26">
        <f t="shared" si="30"/>
        <v>74</v>
      </c>
      <c r="S72" s="26">
        <f t="shared" si="31"/>
        <v>2</v>
      </c>
      <c r="T72" s="26">
        <f t="shared" si="32"/>
        <v>739</v>
      </c>
      <c r="U72" s="27">
        <f t="shared" si="33"/>
        <v>0.87956698240866038</v>
      </c>
      <c r="V72" s="27">
        <f t="shared" si="34"/>
        <v>1.7591339648173207E-2</v>
      </c>
      <c r="W72" s="27">
        <f t="shared" si="35"/>
        <v>0.10013531799729364</v>
      </c>
      <c r="X72" s="27">
        <f t="shared" si="36"/>
        <v>2.7063599458728013E-3</v>
      </c>
      <c r="Y72" s="28">
        <f t="shared" si="37"/>
        <v>31.713125845737483</v>
      </c>
    </row>
    <row r="73" spans="1:25" x14ac:dyDescent="0.25">
      <c r="A73" s="26" t="s">
        <v>320</v>
      </c>
      <c r="B73" s="26" t="s">
        <v>321</v>
      </c>
      <c r="C73" s="26" t="s">
        <v>195</v>
      </c>
      <c r="D73" s="26">
        <v>7</v>
      </c>
      <c r="E73" s="26"/>
      <c r="F73" s="26">
        <v>1</v>
      </c>
      <c r="G73" s="26"/>
      <c r="H73" s="26">
        <v>5</v>
      </c>
      <c r="I73" s="26">
        <v>69</v>
      </c>
      <c r="J73" s="26">
        <v>1</v>
      </c>
      <c r="K73" s="26">
        <v>663</v>
      </c>
      <c r="L73" s="26"/>
      <c r="M73" s="26">
        <v>739</v>
      </c>
      <c r="N73" s="28">
        <v>27.732070365358592</v>
      </c>
      <c r="O73" s="26" t="s">
        <v>307</v>
      </c>
      <c r="P73" s="26">
        <f t="shared" si="28"/>
        <v>663</v>
      </c>
      <c r="Q73" s="26">
        <f t="shared" si="29"/>
        <v>5</v>
      </c>
      <c r="R73" s="26">
        <f t="shared" si="30"/>
        <v>69</v>
      </c>
      <c r="S73" s="26">
        <f t="shared" si="31"/>
        <v>2</v>
      </c>
      <c r="T73" s="26">
        <f t="shared" si="32"/>
        <v>739</v>
      </c>
      <c r="U73" s="27">
        <f t="shared" si="33"/>
        <v>0.89715832205683355</v>
      </c>
      <c r="V73" s="27">
        <f t="shared" si="34"/>
        <v>6.7658998646820028E-3</v>
      </c>
      <c r="W73" s="27">
        <f t="shared" si="35"/>
        <v>9.336941813261164E-2</v>
      </c>
      <c r="X73" s="27">
        <f t="shared" si="36"/>
        <v>2.7063599458728013E-3</v>
      </c>
      <c r="Y73" s="28">
        <f t="shared" si="37"/>
        <v>27.732070365358592</v>
      </c>
    </row>
    <row r="74" spans="1:25" x14ac:dyDescent="0.25">
      <c r="A74" s="26" t="s">
        <v>320</v>
      </c>
      <c r="B74" s="26" t="s">
        <v>321</v>
      </c>
      <c r="C74" s="26" t="s">
        <v>195</v>
      </c>
      <c r="D74" s="26">
        <v>8</v>
      </c>
      <c r="E74" s="26"/>
      <c r="F74" s="26"/>
      <c r="G74" s="26"/>
      <c r="H74" s="26">
        <v>8</v>
      </c>
      <c r="I74" s="26">
        <v>69</v>
      </c>
      <c r="J74" s="26"/>
      <c r="K74" s="26">
        <v>662</v>
      </c>
      <c r="L74" s="26"/>
      <c r="M74" s="26">
        <v>739</v>
      </c>
      <c r="N74" s="28">
        <v>23.944519621109606</v>
      </c>
      <c r="O74" s="26" t="s">
        <v>307</v>
      </c>
      <c r="P74" s="26">
        <f t="shared" si="28"/>
        <v>662</v>
      </c>
      <c r="Q74" s="26">
        <f t="shared" si="29"/>
        <v>8</v>
      </c>
      <c r="R74" s="26">
        <f t="shared" si="30"/>
        <v>69</v>
      </c>
      <c r="S74" s="26">
        <f t="shared" si="31"/>
        <v>0</v>
      </c>
      <c r="T74" s="26">
        <f t="shared" si="32"/>
        <v>739</v>
      </c>
      <c r="U74" s="27">
        <f t="shared" si="33"/>
        <v>0.89580514208389717</v>
      </c>
      <c r="V74" s="27">
        <f t="shared" si="34"/>
        <v>1.0825439783491205E-2</v>
      </c>
      <c r="W74" s="27">
        <f t="shared" si="35"/>
        <v>9.336941813261164E-2</v>
      </c>
      <c r="X74" s="27">
        <f t="shared" si="36"/>
        <v>0</v>
      </c>
      <c r="Y74" s="28">
        <f t="shared" si="37"/>
        <v>23.944519621109606</v>
      </c>
    </row>
    <row r="75" spans="1:25" x14ac:dyDescent="0.25">
      <c r="A75" s="26" t="s">
        <v>320</v>
      </c>
      <c r="B75" s="26" t="s">
        <v>321</v>
      </c>
      <c r="C75" s="26" t="s">
        <v>195</v>
      </c>
      <c r="D75" s="26">
        <v>9</v>
      </c>
      <c r="E75" s="26"/>
      <c r="F75" s="26"/>
      <c r="G75" s="26"/>
      <c r="H75" s="26">
        <v>2</v>
      </c>
      <c r="I75" s="26">
        <v>74</v>
      </c>
      <c r="J75" s="26"/>
      <c r="K75" s="26">
        <v>663</v>
      </c>
      <c r="L75" s="26"/>
      <c r="M75" s="26">
        <v>739</v>
      </c>
      <c r="N75" s="28">
        <v>19.959404600811908</v>
      </c>
      <c r="O75" s="26" t="s">
        <v>307</v>
      </c>
      <c r="P75" s="26">
        <f t="shared" si="28"/>
        <v>663</v>
      </c>
      <c r="Q75" s="26">
        <f t="shared" si="29"/>
        <v>2</v>
      </c>
      <c r="R75" s="26">
        <f t="shared" si="30"/>
        <v>74</v>
      </c>
      <c r="S75" s="26">
        <f t="shared" si="31"/>
        <v>0</v>
      </c>
      <c r="T75" s="26">
        <f t="shared" si="32"/>
        <v>739</v>
      </c>
      <c r="U75" s="27">
        <f t="shared" si="33"/>
        <v>0.89715832205683355</v>
      </c>
      <c r="V75" s="27">
        <f t="shared" si="34"/>
        <v>2.7063599458728013E-3</v>
      </c>
      <c r="W75" s="27">
        <f t="shared" si="35"/>
        <v>0.10013531799729364</v>
      </c>
      <c r="X75" s="27">
        <f t="shared" si="36"/>
        <v>0</v>
      </c>
      <c r="Y75" s="28">
        <f t="shared" si="37"/>
        <v>19.959404600811908</v>
      </c>
    </row>
    <row r="76" spans="1:25" x14ac:dyDescent="0.25">
      <c r="A76" s="26" t="s">
        <v>322</v>
      </c>
      <c r="B76" s="26" t="s">
        <v>323</v>
      </c>
      <c r="C76" s="26" t="s">
        <v>197</v>
      </c>
      <c r="D76" s="26">
        <v>1</v>
      </c>
      <c r="E76" s="26"/>
      <c r="F76" s="26"/>
      <c r="G76" s="26">
        <v>1</v>
      </c>
      <c r="H76" s="26">
        <v>110</v>
      </c>
      <c r="I76" s="26">
        <v>96</v>
      </c>
      <c r="J76" s="26">
        <v>2</v>
      </c>
      <c r="K76" s="26">
        <v>241</v>
      </c>
      <c r="L76" s="26"/>
      <c r="M76" s="26">
        <v>450</v>
      </c>
      <c r="N76" s="28">
        <v>66.34</v>
      </c>
      <c r="O76" s="26" t="s">
        <v>307</v>
      </c>
      <c r="P76" s="26">
        <f t="shared" ref="P76:P82" si="38">K76</f>
        <v>241</v>
      </c>
      <c r="Q76" s="26">
        <f t="shared" ref="Q76:R82" si="39">H76</f>
        <v>110</v>
      </c>
      <c r="R76" s="26">
        <f t="shared" si="39"/>
        <v>96</v>
      </c>
      <c r="S76" s="26">
        <f t="shared" ref="S76:S82" si="40">M76-SUM(P76:R76)</f>
        <v>3</v>
      </c>
      <c r="T76" s="26">
        <f t="shared" ref="T76:T82" si="41">SUM(P76:S76)</f>
        <v>450</v>
      </c>
      <c r="U76" s="27">
        <f t="shared" ref="U76:U82" si="42">P76/M76</f>
        <v>0.53555555555555556</v>
      </c>
      <c r="V76" s="27">
        <f t="shared" ref="V76:V82" si="43">Q76/M76</f>
        <v>0.24444444444444444</v>
      </c>
      <c r="W76" s="27">
        <f t="shared" ref="W76:W82" si="44">R76/M76</f>
        <v>0.21333333333333335</v>
      </c>
      <c r="X76" s="27">
        <f t="shared" ref="X76:X82" si="45">S76/M76</f>
        <v>6.6666666666666671E-3</v>
      </c>
      <c r="Y76" s="28">
        <f t="shared" ref="Y76:Y82" si="46">N76</f>
        <v>66.34</v>
      </c>
    </row>
    <row r="77" spans="1:25" x14ac:dyDescent="0.25">
      <c r="A77" s="26" t="s">
        <v>322</v>
      </c>
      <c r="B77" s="26" t="s">
        <v>323</v>
      </c>
      <c r="C77" s="26" t="s">
        <v>197</v>
      </c>
      <c r="D77" s="26">
        <v>2</v>
      </c>
      <c r="E77" s="26"/>
      <c r="F77" s="26"/>
      <c r="G77" s="26">
        <v>1</v>
      </c>
      <c r="H77" s="26">
        <v>101</v>
      </c>
      <c r="I77" s="26">
        <v>103</v>
      </c>
      <c r="J77" s="26"/>
      <c r="K77" s="26">
        <v>245</v>
      </c>
      <c r="L77" s="26"/>
      <c r="M77" s="26">
        <v>450</v>
      </c>
      <c r="N77" s="28">
        <v>61.784444444444446</v>
      </c>
      <c r="O77" s="26" t="s">
        <v>307</v>
      </c>
      <c r="P77" s="26">
        <f t="shared" si="38"/>
        <v>245</v>
      </c>
      <c r="Q77" s="26">
        <f t="shared" si="39"/>
        <v>101</v>
      </c>
      <c r="R77" s="26">
        <f t="shared" si="39"/>
        <v>103</v>
      </c>
      <c r="S77" s="26">
        <f t="shared" si="40"/>
        <v>1</v>
      </c>
      <c r="T77" s="26">
        <f t="shared" si="41"/>
        <v>450</v>
      </c>
      <c r="U77" s="27">
        <f t="shared" si="42"/>
        <v>0.5444444444444444</v>
      </c>
      <c r="V77" s="27">
        <f t="shared" si="43"/>
        <v>0.22444444444444445</v>
      </c>
      <c r="W77" s="27">
        <f t="shared" si="44"/>
        <v>0.22888888888888889</v>
      </c>
      <c r="X77" s="27">
        <f t="shared" si="45"/>
        <v>2.2222222222222222E-3</v>
      </c>
      <c r="Y77" s="28">
        <f t="shared" si="46"/>
        <v>61.784444444444446</v>
      </c>
    </row>
    <row r="78" spans="1:25" x14ac:dyDescent="0.25">
      <c r="A78" s="26" t="s">
        <v>322</v>
      </c>
      <c r="B78" s="26" t="s">
        <v>323</v>
      </c>
      <c r="C78" s="26" t="s">
        <v>197</v>
      </c>
      <c r="D78" s="26">
        <v>3</v>
      </c>
      <c r="E78" s="26"/>
      <c r="F78" s="26"/>
      <c r="G78" s="26">
        <v>2</v>
      </c>
      <c r="H78" s="26">
        <v>128</v>
      </c>
      <c r="I78" s="26">
        <v>130</v>
      </c>
      <c r="J78" s="26"/>
      <c r="K78" s="26">
        <v>487</v>
      </c>
      <c r="L78" s="26"/>
      <c r="M78" s="26">
        <v>747</v>
      </c>
      <c r="N78" s="28">
        <v>52.402945113788491</v>
      </c>
      <c r="O78" s="26" t="s">
        <v>307</v>
      </c>
      <c r="P78" s="26">
        <f t="shared" si="38"/>
        <v>487</v>
      </c>
      <c r="Q78" s="26">
        <f t="shared" si="39"/>
        <v>128</v>
      </c>
      <c r="R78" s="26">
        <f t="shared" si="39"/>
        <v>130</v>
      </c>
      <c r="S78" s="26">
        <f t="shared" si="40"/>
        <v>2</v>
      </c>
      <c r="T78" s="26">
        <f t="shared" si="41"/>
        <v>747</v>
      </c>
      <c r="U78" s="27">
        <f t="shared" si="42"/>
        <v>0.65194109772423026</v>
      </c>
      <c r="V78" s="27">
        <f t="shared" si="43"/>
        <v>0.17135207496653279</v>
      </c>
      <c r="W78" s="27">
        <f t="shared" si="44"/>
        <v>0.17402945113788487</v>
      </c>
      <c r="X78" s="27">
        <f t="shared" si="45"/>
        <v>2.6773761713520749E-3</v>
      </c>
      <c r="Y78" s="28">
        <f t="shared" si="46"/>
        <v>52.402945113788491</v>
      </c>
    </row>
    <row r="79" spans="1:25" x14ac:dyDescent="0.25">
      <c r="A79" s="26" t="s">
        <v>322</v>
      </c>
      <c r="B79" s="26" t="s">
        <v>323</v>
      </c>
      <c r="C79" s="26" t="s">
        <v>197</v>
      </c>
      <c r="D79" s="26">
        <v>4</v>
      </c>
      <c r="E79" s="26"/>
      <c r="F79" s="26">
        <v>3</v>
      </c>
      <c r="G79" s="26"/>
      <c r="H79" s="26">
        <v>148</v>
      </c>
      <c r="I79" s="26">
        <v>134</v>
      </c>
      <c r="J79" s="26">
        <v>3</v>
      </c>
      <c r="K79" s="26">
        <v>460</v>
      </c>
      <c r="L79" s="26"/>
      <c r="M79" s="26">
        <v>748</v>
      </c>
      <c r="N79" s="28">
        <v>42.915775401069517</v>
      </c>
      <c r="O79" s="26" t="s">
        <v>307</v>
      </c>
      <c r="P79" s="26">
        <f t="shared" si="38"/>
        <v>460</v>
      </c>
      <c r="Q79" s="26">
        <f t="shared" si="39"/>
        <v>148</v>
      </c>
      <c r="R79" s="26">
        <f t="shared" si="39"/>
        <v>134</v>
      </c>
      <c r="S79" s="26">
        <f t="shared" si="40"/>
        <v>6</v>
      </c>
      <c r="T79" s="26">
        <f t="shared" si="41"/>
        <v>748</v>
      </c>
      <c r="U79" s="27">
        <f t="shared" si="42"/>
        <v>0.61497326203208558</v>
      </c>
      <c r="V79" s="27">
        <f t="shared" si="43"/>
        <v>0.19786096256684493</v>
      </c>
      <c r="W79" s="27">
        <f t="shared" si="44"/>
        <v>0.17914438502673796</v>
      </c>
      <c r="X79" s="27">
        <f t="shared" si="45"/>
        <v>8.0213903743315516E-3</v>
      </c>
      <c r="Y79" s="28">
        <f t="shared" si="46"/>
        <v>42.915775401069517</v>
      </c>
    </row>
    <row r="80" spans="1:25" x14ac:dyDescent="0.25">
      <c r="A80" s="26" t="s">
        <v>322</v>
      </c>
      <c r="B80" s="26" t="s">
        <v>323</v>
      </c>
      <c r="C80" s="26" t="s">
        <v>197</v>
      </c>
      <c r="D80" s="26">
        <v>5</v>
      </c>
      <c r="E80" s="26"/>
      <c r="F80" s="26"/>
      <c r="G80" s="26">
        <v>1</v>
      </c>
      <c r="H80" s="26">
        <v>103</v>
      </c>
      <c r="I80" s="26">
        <v>167</v>
      </c>
      <c r="J80" s="26"/>
      <c r="K80" s="26">
        <v>477</v>
      </c>
      <c r="L80" s="26"/>
      <c r="M80" s="26">
        <v>748</v>
      </c>
      <c r="N80" s="28">
        <v>33.790106951871657</v>
      </c>
      <c r="O80" s="26" t="s">
        <v>307</v>
      </c>
      <c r="P80" s="26">
        <f t="shared" si="38"/>
        <v>477</v>
      </c>
      <c r="Q80" s="26">
        <f t="shared" si="39"/>
        <v>103</v>
      </c>
      <c r="R80" s="26">
        <f t="shared" si="39"/>
        <v>167</v>
      </c>
      <c r="S80" s="26">
        <f t="shared" si="40"/>
        <v>1</v>
      </c>
      <c r="T80" s="26">
        <f t="shared" si="41"/>
        <v>748</v>
      </c>
      <c r="U80" s="27">
        <f t="shared" si="42"/>
        <v>0.63770053475935828</v>
      </c>
      <c r="V80" s="27">
        <f t="shared" si="43"/>
        <v>0.13770053475935828</v>
      </c>
      <c r="W80" s="27">
        <f t="shared" si="44"/>
        <v>0.2232620320855615</v>
      </c>
      <c r="X80" s="27">
        <f t="shared" si="45"/>
        <v>1.3368983957219251E-3</v>
      </c>
      <c r="Y80" s="28">
        <f t="shared" si="46"/>
        <v>33.790106951871657</v>
      </c>
    </row>
    <row r="81" spans="1:25" x14ac:dyDescent="0.25">
      <c r="A81" s="26" t="s">
        <v>322</v>
      </c>
      <c r="B81" s="26" t="s">
        <v>323</v>
      </c>
      <c r="C81" s="26" t="s">
        <v>197</v>
      </c>
      <c r="D81" s="26">
        <v>6</v>
      </c>
      <c r="E81" s="26"/>
      <c r="F81" s="26"/>
      <c r="G81" s="26"/>
      <c r="H81" s="26">
        <v>58</v>
      </c>
      <c r="I81" s="26">
        <v>102</v>
      </c>
      <c r="J81" s="26">
        <v>1</v>
      </c>
      <c r="K81" s="26">
        <v>587</v>
      </c>
      <c r="L81" s="26"/>
      <c r="M81" s="26">
        <v>748</v>
      </c>
      <c r="N81" s="28">
        <v>25.657754010695186</v>
      </c>
      <c r="O81" s="26" t="s">
        <v>307</v>
      </c>
      <c r="P81" s="26">
        <f t="shared" si="38"/>
        <v>587</v>
      </c>
      <c r="Q81" s="26">
        <f t="shared" si="39"/>
        <v>58</v>
      </c>
      <c r="R81" s="26">
        <f t="shared" si="39"/>
        <v>102</v>
      </c>
      <c r="S81" s="26">
        <f t="shared" si="40"/>
        <v>1</v>
      </c>
      <c r="T81" s="26">
        <f t="shared" si="41"/>
        <v>748</v>
      </c>
      <c r="U81" s="27">
        <f t="shared" si="42"/>
        <v>0.78475935828877008</v>
      </c>
      <c r="V81" s="27">
        <f t="shared" si="43"/>
        <v>7.7540106951871662E-2</v>
      </c>
      <c r="W81" s="27">
        <f t="shared" si="44"/>
        <v>0.13636363636363635</v>
      </c>
      <c r="X81" s="27">
        <f t="shared" si="45"/>
        <v>1.3368983957219251E-3</v>
      </c>
      <c r="Y81" s="28">
        <f t="shared" si="46"/>
        <v>25.657754010695186</v>
      </c>
    </row>
    <row r="82" spans="1:25" x14ac:dyDescent="0.25">
      <c r="A82" s="26" t="s">
        <v>322</v>
      </c>
      <c r="B82" s="26" t="s">
        <v>323</v>
      </c>
      <c r="C82" s="26" t="s">
        <v>197</v>
      </c>
      <c r="D82" s="26">
        <v>7</v>
      </c>
      <c r="E82" s="26"/>
      <c r="F82" s="26"/>
      <c r="G82" s="26"/>
      <c r="H82" s="26">
        <v>29</v>
      </c>
      <c r="I82" s="26">
        <v>71</v>
      </c>
      <c r="J82" s="26"/>
      <c r="K82" s="26">
        <v>648</v>
      </c>
      <c r="L82" s="26"/>
      <c r="M82" s="26">
        <v>748</v>
      </c>
      <c r="N82" s="28">
        <v>20.080213903743317</v>
      </c>
      <c r="O82" s="26" t="s">
        <v>307</v>
      </c>
      <c r="P82" s="26">
        <f t="shared" si="38"/>
        <v>648</v>
      </c>
      <c r="Q82" s="26">
        <f t="shared" si="39"/>
        <v>29</v>
      </c>
      <c r="R82" s="26">
        <f t="shared" si="39"/>
        <v>71</v>
      </c>
      <c r="S82" s="26">
        <f t="shared" si="40"/>
        <v>0</v>
      </c>
      <c r="T82" s="26">
        <f t="shared" si="41"/>
        <v>748</v>
      </c>
      <c r="U82" s="27">
        <f t="shared" si="42"/>
        <v>0.86631016042780751</v>
      </c>
      <c r="V82" s="27">
        <f t="shared" si="43"/>
        <v>3.8770053475935831E-2</v>
      </c>
      <c r="W82" s="27">
        <f t="shared" si="44"/>
        <v>9.4919786096256689E-2</v>
      </c>
      <c r="X82" s="27">
        <f t="shared" si="45"/>
        <v>0</v>
      </c>
      <c r="Y82" s="28">
        <f t="shared" si="46"/>
        <v>20.080213903743317</v>
      </c>
    </row>
    <row r="83" spans="1:25" x14ac:dyDescent="0.25">
      <c r="A83" s="26" t="s">
        <v>322</v>
      </c>
      <c r="B83" s="26" t="s">
        <v>323</v>
      </c>
      <c r="C83" s="26" t="s">
        <v>198</v>
      </c>
      <c r="D83" s="26">
        <v>1</v>
      </c>
      <c r="E83" s="26"/>
      <c r="F83" s="26"/>
      <c r="G83" s="26"/>
      <c r="H83" s="26">
        <v>23</v>
      </c>
      <c r="I83" s="26">
        <v>50</v>
      </c>
      <c r="J83" s="26">
        <v>1</v>
      </c>
      <c r="K83" s="26">
        <v>376</v>
      </c>
      <c r="L83" s="26"/>
      <c r="M83" s="26">
        <v>450</v>
      </c>
      <c r="N83" s="28">
        <v>62.651111111111113</v>
      </c>
      <c r="O83" s="26" t="s">
        <v>307</v>
      </c>
      <c r="P83" s="26">
        <f t="shared" si="28"/>
        <v>376</v>
      </c>
      <c r="Q83" s="26">
        <f t="shared" si="29"/>
        <v>23</v>
      </c>
      <c r="R83" s="26">
        <f t="shared" si="30"/>
        <v>50</v>
      </c>
      <c r="S83" s="26">
        <f t="shared" si="31"/>
        <v>1</v>
      </c>
      <c r="T83" s="26">
        <f t="shared" si="32"/>
        <v>450</v>
      </c>
      <c r="U83" s="27">
        <f t="shared" si="33"/>
        <v>0.83555555555555561</v>
      </c>
      <c r="V83" s="27">
        <f t="shared" si="34"/>
        <v>5.1111111111111114E-2</v>
      </c>
      <c r="W83" s="27">
        <f t="shared" si="35"/>
        <v>0.1111111111111111</v>
      </c>
      <c r="X83" s="27">
        <f t="shared" si="36"/>
        <v>2.2222222222222222E-3</v>
      </c>
      <c r="Y83" s="28">
        <f t="shared" si="37"/>
        <v>62.651111111111113</v>
      </c>
    </row>
    <row r="84" spans="1:25" x14ac:dyDescent="0.25">
      <c r="A84" s="26" t="s">
        <v>322</v>
      </c>
      <c r="B84" s="26" t="s">
        <v>323</v>
      </c>
      <c r="C84" s="26" t="s">
        <v>198</v>
      </c>
      <c r="D84" s="26">
        <v>2</v>
      </c>
      <c r="E84" s="26"/>
      <c r="F84" s="26"/>
      <c r="G84" s="26">
        <v>1</v>
      </c>
      <c r="H84" s="26">
        <v>43</v>
      </c>
      <c r="I84" s="26">
        <v>85</v>
      </c>
      <c r="J84" s="26">
        <v>1</v>
      </c>
      <c r="K84" s="26">
        <v>589</v>
      </c>
      <c r="L84" s="26"/>
      <c r="M84" s="26">
        <v>719</v>
      </c>
      <c r="N84" s="28">
        <v>51.089012517385257</v>
      </c>
      <c r="O84" s="26" t="s">
        <v>307</v>
      </c>
      <c r="P84" s="26">
        <f t="shared" si="28"/>
        <v>589</v>
      </c>
      <c r="Q84" s="26">
        <f t="shared" si="29"/>
        <v>43</v>
      </c>
      <c r="R84" s="26">
        <f t="shared" si="30"/>
        <v>85</v>
      </c>
      <c r="S84" s="26">
        <f t="shared" si="31"/>
        <v>2</v>
      </c>
      <c r="T84" s="26">
        <f t="shared" si="32"/>
        <v>719</v>
      </c>
      <c r="U84" s="27">
        <f t="shared" si="33"/>
        <v>0.81919332406119616</v>
      </c>
      <c r="V84" s="27">
        <f t="shared" si="34"/>
        <v>5.9805285118219746E-2</v>
      </c>
      <c r="W84" s="27">
        <f t="shared" si="35"/>
        <v>0.11821974965229486</v>
      </c>
      <c r="X84" s="27">
        <f t="shared" si="36"/>
        <v>2.7816411682892906E-3</v>
      </c>
      <c r="Y84" s="28">
        <f t="shared" si="37"/>
        <v>51.089012517385257</v>
      </c>
    </row>
    <row r="85" spans="1:25" x14ac:dyDescent="0.25">
      <c r="A85" s="26" t="s">
        <v>322</v>
      </c>
      <c r="B85" s="26" t="s">
        <v>323</v>
      </c>
      <c r="C85" s="26" t="s">
        <v>198</v>
      </c>
      <c r="D85" s="26">
        <v>3</v>
      </c>
      <c r="E85" s="26"/>
      <c r="F85" s="26">
        <v>1</v>
      </c>
      <c r="G85" s="26">
        <v>1</v>
      </c>
      <c r="H85" s="26">
        <v>33</v>
      </c>
      <c r="I85" s="26">
        <v>66</v>
      </c>
      <c r="J85" s="26">
        <v>2</v>
      </c>
      <c r="K85" s="26">
        <v>617</v>
      </c>
      <c r="L85" s="26"/>
      <c r="M85" s="26">
        <v>720</v>
      </c>
      <c r="N85" s="28">
        <v>40.475000000000001</v>
      </c>
      <c r="O85" s="26" t="s">
        <v>307</v>
      </c>
      <c r="P85" s="26">
        <f t="shared" si="28"/>
        <v>617</v>
      </c>
      <c r="Q85" s="26">
        <f t="shared" si="29"/>
        <v>33</v>
      </c>
      <c r="R85" s="26">
        <f t="shared" si="30"/>
        <v>66</v>
      </c>
      <c r="S85" s="26">
        <f t="shared" si="31"/>
        <v>4</v>
      </c>
      <c r="T85" s="26">
        <f t="shared" si="32"/>
        <v>720</v>
      </c>
      <c r="U85" s="27">
        <f t="shared" si="33"/>
        <v>0.8569444444444444</v>
      </c>
      <c r="V85" s="27">
        <f t="shared" si="34"/>
        <v>4.583333333333333E-2</v>
      </c>
      <c r="W85" s="27">
        <f t="shared" si="35"/>
        <v>9.166666666666666E-2</v>
      </c>
      <c r="X85" s="27">
        <f t="shared" si="36"/>
        <v>5.5555555555555558E-3</v>
      </c>
      <c r="Y85" s="28">
        <f t="shared" si="37"/>
        <v>40.475000000000001</v>
      </c>
    </row>
    <row r="86" spans="1:25" x14ac:dyDescent="0.25">
      <c r="A86" s="26" t="s">
        <v>322</v>
      </c>
      <c r="B86" s="26" t="s">
        <v>323</v>
      </c>
      <c r="C86" s="26" t="s">
        <v>198</v>
      </c>
      <c r="D86" s="26">
        <v>4</v>
      </c>
      <c r="E86" s="26"/>
      <c r="F86" s="26"/>
      <c r="G86" s="26">
        <v>1</v>
      </c>
      <c r="H86" s="26">
        <v>42</v>
      </c>
      <c r="I86" s="26">
        <v>70</v>
      </c>
      <c r="J86" s="26">
        <v>1</v>
      </c>
      <c r="K86" s="26">
        <v>606</v>
      </c>
      <c r="L86" s="26"/>
      <c r="M86" s="26">
        <v>720</v>
      </c>
      <c r="N86" s="28">
        <v>31.402777777777779</v>
      </c>
      <c r="O86" s="26" t="s">
        <v>307</v>
      </c>
      <c r="P86" s="26">
        <f t="shared" si="28"/>
        <v>606</v>
      </c>
      <c r="Q86" s="26">
        <f t="shared" si="29"/>
        <v>42</v>
      </c>
      <c r="R86" s="26">
        <f t="shared" si="30"/>
        <v>70</v>
      </c>
      <c r="S86" s="26">
        <f t="shared" si="31"/>
        <v>2</v>
      </c>
      <c r="T86" s="26">
        <f t="shared" si="32"/>
        <v>720</v>
      </c>
      <c r="U86" s="27">
        <f t="shared" si="33"/>
        <v>0.84166666666666667</v>
      </c>
      <c r="V86" s="27">
        <f t="shared" si="34"/>
        <v>5.8333333333333334E-2</v>
      </c>
      <c r="W86" s="27">
        <f t="shared" si="35"/>
        <v>9.7222222222222224E-2</v>
      </c>
      <c r="X86" s="27">
        <f t="shared" si="36"/>
        <v>2.7777777777777779E-3</v>
      </c>
      <c r="Y86" s="28">
        <f t="shared" si="37"/>
        <v>31.402777777777779</v>
      </c>
    </row>
    <row r="87" spans="1:25" x14ac:dyDescent="0.25">
      <c r="A87" s="26" t="s">
        <v>322</v>
      </c>
      <c r="B87" s="26" t="s">
        <v>323</v>
      </c>
      <c r="C87" s="26" t="s">
        <v>198</v>
      </c>
      <c r="D87" s="26">
        <v>5</v>
      </c>
      <c r="E87" s="26"/>
      <c r="F87" s="26"/>
      <c r="G87" s="26"/>
      <c r="H87" s="26">
        <v>26</v>
      </c>
      <c r="I87" s="26">
        <v>59</v>
      </c>
      <c r="J87" s="26"/>
      <c r="K87" s="26">
        <v>635</v>
      </c>
      <c r="L87" s="26"/>
      <c r="M87" s="26">
        <v>720</v>
      </c>
      <c r="N87" s="28">
        <v>24.881944444444443</v>
      </c>
      <c r="O87" s="26" t="s">
        <v>307</v>
      </c>
      <c r="P87" s="26">
        <f t="shared" si="28"/>
        <v>635</v>
      </c>
      <c r="Q87" s="26">
        <f t="shared" si="29"/>
        <v>26</v>
      </c>
      <c r="R87" s="26">
        <f t="shared" si="30"/>
        <v>59</v>
      </c>
      <c r="S87" s="26">
        <f t="shared" si="31"/>
        <v>0</v>
      </c>
      <c r="T87" s="26">
        <f t="shared" si="32"/>
        <v>720</v>
      </c>
      <c r="U87" s="27">
        <f t="shared" si="33"/>
        <v>0.88194444444444442</v>
      </c>
      <c r="V87" s="27">
        <f t="shared" si="34"/>
        <v>3.6111111111111108E-2</v>
      </c>
      <c r="W87" s="27">
        <f t="shared" si="35"/>
        <v>8.1944444444444445E-2</v>
      </c>
      <c r="X87" s="27">
        <f t="shared" si="36"/>
        <v>0</v>
      </c>
      <c r="Y87" s="28">
        <f t="shared" si="37"/>
        <v>24.881944444444443</v>
      </c>
    </row>
    <row r="88" spans="1:25" x14ac:dyDescent="0.25">
      <c r="A88" s="26" t="s">
        <v>322</v>
      </c>
      <c r="B88" s="26" t="s">
        <v>323</v>
      </c>
      <c r="C88" s="26" t="s">
        <v>198</v>
      </c>
      <c r="D88" s="26">
        <v>6</v>
      </c>
      <c r="E88" s="26"/>
      <c r="F88" s="26"/>
      <c r="G88" s="26"/>
      <c r="H88" s="26">
        <v>22</v>
      </c>
      <c r="I88" s="26">
        <v>49</v>
      </c>
      <c r="J88" s="26"/>
      <c r="K88" s="26">
        <v>649</v>
      </c>
      <c r="L88" s="26"/>
      <c r="M88" s="26">
        <v>720</v>
      </c>
      <c r="N88" s="28">
        <v>20.022222222222222</v>
      </c>
      <c r="O88" s="26" t="s">
        <v>307</v>
      </c>
      <c r="P88" s="26">
        <f t="shared" si="28"/>
        <v>649</v>
      </c>
      <c r="Q88" s="26">
        <f t="shared" si="29"/>
        <v>22</v>
      </c>
      <c r="R88" s="26">
        <f t="shared" si="30"/>
        <v>49</v>
      </c>
      <c r="S88" s="26">
        <f t="shared" si="31"/>
        <v>0</v>
      </c>
      <c r="T88" s="26">
        <f t="shared" si="32"/>
        <v>720</v>
      </c>
      <c r="U88" s="27">
        <f t="shared" si="33"/>
        <v>0.90138888888888891</v>
      </c>
      <c r="V88" s="27">
        <f t="shared" si="34"/>
        <v>3.0555555555555555E-2</v>
      </c>
      <c r="W88" s="27">
        <f t="shared" si="35"/>
        <v>6.805555555555555E-2</v>
      </c>
      <c r="X88" s="27">
        <f t="shared" si="36"/>
        <v>0</v>
      </c>
      <c r="Y88" s="28">
        <f t="shared" si="37"/>
        <v>20.022222222222222</v>
      </c>
    </row>
    <row r="89" spans="1:25" x14ac:dyDescent="0.25">
      <c r="A89" s="26" t="s">
        <v>324</v>
      </c>
      <c r="B89" s="26" t="s">
        <v>325</v>
      </c>
      <c r="C89" s="26" t="s">
        <v>200</v>
      </c>
      <c r="D89" s="26">
        <v>1</v>
      </c>
      <c r="E89" s="26"/>
      <c r="F89" s="26"/>
      <c r="G89" s="26"/>
      <c r="H89" s="26">
        <v>140</v>
      </c>
      <c r="I89" s="26">
        <v>38</v>
      </c>
      <c r="J89" s="26">
        <v>2</v>
      </c>
      <c r="K89" s="26">
        <v>270</v>
      </c>
      <c r="L89" s="26"/>
      <c r="M89" s="26">
        <v>450</v>
      </c>
      <c r="N89" s="28">
        <v>68.737777777777779</v>
      </c>
      <c r="O89" s="26" t="s">
        <v>307</v>
      </c>
      <c r="P89" s="26">
        <f t="shared" si="28"/>
        <v>270</v>
      </c>
      <c r="Q89" s="26">
        <f t="shared" si="29"/>
        <v>140</v>
      </c>
      <c r="R89" s="26">
        <f t="shared" si="30"/>
        <v>38</v>
      </c>
      <c r="S89" s="26">
        <f t="shared" si="31"/>
        <v>2</v>
      </c>
      <c r="T89" s="26">
        <f t="shared" si="32"/>
        <v>450</v>
      </c>
      <c r="U89" s="27">
        <f t="shared" si="33"/>
        <v>0.6</v>
      </c>
      <c r="V89" s="27">
        <f t="shared" si="34"/>
        <v>0.31111111111111112</v>
      </c>
      <c r="W89" s="27">
        <f t="shared" si="35"/>
        <v>8.4444444444444447E-2</v>
      </c>
      <c r="X89" s="27">
        <f t="shared" si="36"/>
        <v>4.4444444444444444E-3</v>
      </c>
      <c r="Y89" s="28">
        <f t="shared" si="37"/>
        <v>68.737777777777779</v>
      </c>
    </row>
    <row r="90" spans="1:25" x14ac:dyDescent="0.25">
      <c r="A90" s="26" t="s">
        <v>324</v>
      </c>
      <c r="B90" s="26" t="s">
        <v>325</v>
      </c>
      <c r="C90" s="26" t="s">
        <v>200</v>
      </c>
      <c r="D90" s="26">
        <v>2</v>
      </c>
      <c r="E90" s="26"/>
      <c r="F90" s="26"/>
      <c r="G90" s="26"/>
      <c r="H90" s="26">
        <v>143</v>
      </c>
      <c r="I90" s="26">
        <v>54</v>
      </c>
      <c r="J90" s="26">
        <v>5</v>
      </c>
      <c r="K90" s="26">
        <v>248</v>
      </c>
      <c r="L90" s="26"/>
      <c r="M90" s="26">
        <v>450</v>
      </c>
      <c r="N90" s="28">
        <v>66.364444444444445</v>
      </c>
      <c r="O90" s="26" t="s">
        <v>307</v>
      </c>
      <c r="P90" s="26">
        <f t="shared" si="28"/>
        <v>248</v>
      </c>
      <c r="Q90" s="26">
        <f t="shared" si="29"/>
        <v>143</v>
      </c>
      <c r="R90" s="26">
        <f t="shared" si="30"/>
        <v>54</v>
      </c>
      <c r="S90" s="26">
        <f t="shared" si="31"/>
        <v>5</v>
      </c>
      <c r="T90" s="26">
        <f t="shared" si="32"/>
        <v>450</v>
      </c>
      <c r="U90" s="27">
        <f t="shared" si="33"/>
        <v>0.55111111111111111</v>
      </c>
      <c r="V90" s="27">
        <f t="shared" si="34"/>
        <v>0.31777777777777777</v>
      </c>
      <c r="W90" s="27">
        <f t="shared" si="35"/>
        <v>0.12</v>
      </c>
      <c r="X90" s="27">
        <f t="shared" si="36"/>
        <v>1.1111111111111112E-2</v>
      </c>
      <c r="Y90" s="28">
        <f t="shared" si="37"/>
        <v>66.364444444444445</v>
      </c>
    </row>
    <row r="91" spans="1:25" x14ac:dyDescent="0.25">
      <c r="A91" s="26" t="s">
        <v>324</v>
      </c>
      <c r="B91" s="26" t="s">
        <v>325</v>
      </c>
      <c r="C91" s="26" t="s">
        <v>200</v>
      </c>
      <c r="D91" s="26">
        <v>3</v>
      </c>
      <c r="E91" s="26"/>
      <c r="F91" s="26"/>
      <c r="G91" s="26">
        <v>1</v>
      </c>
      <c r="H91" s="26">
        <v>138</v>
      </c>
      <c r="I91" s="26">
        <v>67</v>
      </c>
      <c r="J91" s="26">
        <v>2</v>
      </c>
      <c r="K91" s="26">
        <v>242</v>
      </c>
      <c r="L91" s="26"/>
      <c r="M91" s="26">
        <v>450</v>
      </c>
      <c r="N91" s="28">
        <v>59.835555555555558</v>
      </c>
      <c r="O91" s="26" t="s">
        <v>307</v>
      </c>
      <c r="P91" s="26">
        <f t="shared" si="28"/>
        <v>242</v>
      </c>
      <c r="Q91" s="26">
        <f t="shared" si="29"/>
        <v>138</v>
      </c>
      <c r="R91" s="26">
        <f t="shared" si="30"/>
        <v>67</v>
      </c>
      <c r="S91" s="26">
        <f t="shared" si="31"/>
        <v>3</v>
      </c>
      <c r="T91" s="26">
        <f t="shared" si="32"/>
        <v>450</v>
      </c>
      <c r="U91" s="27">
        <f t="shared" si="33"/>
        <v>0.5377777777777778</v>
      </c>
      <c r="V91" s="27">
        <f t="shared" si="34"/>
        <v>0.30666666666666664</v>
      </c>
      <c r="W91" s="27">
        <f t="shared" si="35"/>
        <v>0.14888888888888888</v>
      </c>
      <c r="X91" s="27">
        <f t="shared" si="36"/>
        <v>6.6666666666666671E-3</v>
      </c>
      <c r="Y91" s="28">
        <f t="shared" si="37"/>
        <v>59.835555555555558</v>
      </c>
    </row>
    <row r="92" spans="1:25" x14ac:dyDescent="0.25">
      <c r="A92" s="26" t="s">
        <v>324</v>
      </c>
      <c r="B92" s="26" t="s">
        <v>325</v>
      </c>
      <c r="C92" s="26" t="s">
        <v>200</v>
      </c>
      <c r="D92" s="26">
        <v>4</v>
      </c>
      <c r="E92" s="26"/>
      <c r="F92" s="26">
        <v>2</v>
      </c>
      <c r="G92" s="26">
        <v>2</v>
      </c>
      <c r="H92" s="26">
        <v>191</v>
      </c>
      <c r="I92" s="26">
        <v>104</v>
      </c>
      <c r="J92" s="26">
        <v>3</v>
      </c>
      <c r="K92" s="26">
        <v>439</v>
      </c>
      <c r="L92" s="26"/>
      <c r="M92" s="26">
        <v>741</v>
      </c>
      <c r="N92" s="28">
        <v>52.032388663967609</v>
      </c>
      <c r="O92" s="26" t="s">
        <v>307</v>
      </c>
      <c r="P92" s="26">
        <f t="shared" si="28"/>
        <v>439</v>
      </c>
      <c r="Q92" s="26">
        <f t="shared" si="29"/>
        <v>191</v>
      </c>
      <c r="R92" s="26">
        <f t="shared" si="30"/>
        <v>104</v>
      </c>
      <c r="S92" s="26">
        <f t="shared" si="31"/>
        <v>7</v>
      </c>
      <c r="T92" s="26">
        <f t="shared" si="32"/>
        <v>741</v>
      </c>
      <c r="U92" s="27">
        <f t="shared" si="33"/>
        <v>0.59244264507422406</v>
      </c>
      <c r="V92" s="27">
        <f t="shared" si="34"/>
        <v>0.25775978407557354</v>
      </c>
      <c r="W92" s="27">
        <f t="shared" si="35"/>
        <v>0.14035087719298245</v>
      </c>
      <c r="X92" s="27">
        <f t="shared" si="36"/>
        <v>9.4466936572199737E-3</v>
      </c>
      <c r="Y92" s="28">
        <f t="shared" si="37"/>
        <v>52.032388663967609</v>
      </c>
    </row>
    <row r="93" spans="1:25" x14ac:dyDescent="0.25">
      <c r="A93" s="26" t="s">
        <v>324</v>
      </c>
      <c r="B93" s="26" t="s">
        <v>325</v>
      </c>
      <c r="C93" s="26" t="s">
        <v>200</v>
      </c>
      <c r="D93" s="26">
        <v>5</v>
      </c>
      <c r="E93" s="26"/>
      <c r="F93" s="26"/>
      <c r="G93" s="26">
        <v>1</v>
      </c>
      <c r="H93" s="26">
        <v>170</v>
      </c>
      <c r="I93" s="26">
        <v>83</v>
      </c>
      <c r="J93" s="26">
        <v>1</v>
      </c>
      <c r="K93" s="26">
        <v>486</v>
      </c>
      <c r="L93" s="26"/>
      <c r="M93" s="26">
        <v>741</v>
      </c>
      <c r="N93" s="28">
        <v>44.429149797570851</v>
      </c>
      <c r="O93" s="26" t="s">
        <v>307</v>
      </c>
      <c r="P93" s="26">
        <f t="shared" si="28"/>
        <v>486</v>
      </c>
      <c r="Q93" s="26">
        <f t="shared" si="29"/>
        <v>170</v>
      </c>
      <c r="R93" s="26">
        <f t="shared" si="30"/>
        <v>83</v>
      </c>
      <c r="S93" s="26">
        <f t="shared" si="31"/>
        <v>2</v>
      </c>
      <c r="T93" s="26">
        <f t="shared" si="32"/>
        <v>741</v>
      </c>
      <c r="U93" s="27">
        <f t="shared" si="33"/>
        <v>0.65587044534412953</v>
      </c>
      <c r="V93" s="27">
        <f t="shared" si="34"/>
        <v>0.22941970310391363</v>
      </c>
      <c r="W93" s="27">
        <f t="shared" si="35"/>
        <v>0.11201079622132254</v>
      </c>
      <c r="X93" s="27">
        <f t="shared" si="36"/>
        <v>2.6990553306342779E-3</v>
      </c>
      <c r="Y93" s="28">
        <f t="shared" si="37"/>
        <v>44.429149797570851</v>
      </c>
    </row>
    <row r="94" spans="1:25" x14ac:dyDescent="0.25">
      <c r="A94" s="26" t="s">
        <v>324</v>
      </c>
      <c r="B94" s="26" t="s">
        <v>325</v>
      </c>
      <c r="C94" s="26" t="s">
        <v>200</v>
      </c>
      <c r="D94" s="26">
        <v>6</v>
      </c>
      <c r="E94" s="26"/>
      <c r="F94" s="26"/>
      <c r="G94" s="26"/>
      <c r="H94" s="26">
        <v>139</v>
      </c>
      <c r="I94" s="26">
        <v>76</v>
      </c>
      <c r="J94" s="26">
        <v>6</v>
      </c>
      <c r="K94" s="26">
        <v>520</v>
      </c>
      <c r="L94" s="26"/>
      <c r="M94" s="26">
        <v>741</v>
      </c>
      <c r="N94" s="28">
        <v>38.442645074224025</v>
      </c>
      <c r="O94" s="26" t="s">
        <v>307</v>
      </c>
      <c r="P94" s="26">
        <f t="shared" si="28"/>
        <v>520</v>
      </c>
      <c r="Q94" s="26">
        <f t="shared" si="29"/>
        <v>139</v>
      </c>
      <c r="R94" s="26">
        <f t="shared" si="30"/>
        <v>76</v>
      </c>
      <c r="S94" s="26">
        <f t="shared" si="31"/>
        <v>6</v>
      </c>
      <c r="T94" s="26">
        <f t="shared" si="32"/>
        <v>741</v>
      </c>
      <c r="U94" s="27">
        <f t="shared" si="33"/>
        <v>0.70175438596491224</v>
      </c>
      <c r="V94" s="27">
        <f t="shared" si="34"/>
        <v>0.18758434547908232</v>
      </c>
      <c r="W94" s="27">
        <f t="shared" si="35"/>
        <v>0.10256410256410256</v>
      </c>
      <c r="X94" s="27">
        <f t="shared" si="36"/>
        <v>8.0971659919028341E-3</v>
      </c>
      <c r="Y94" s="28">
        <f t="shared" si="37"/>
        <v>38.442645074224025</v>
      </c>
    </row>
    <row r="95" spans="1:25" x14ac:dyDescent="0.25">
      <c r="A95" s="26" t="s">
        <v>324</v>
      </c>
      <c r="B95" s="26" t="s">
        <v>325</v>
      </c>
      <c r="C95" s="26" t="s">
        <v>200</v>
      </c>
      <c r="D95" s="26">
        <v>7</v>
      </c>
      <c r="E95" s="26"/>
      <c r="F95" s="26"/>
      <c r="G95" s="26"/>
      <c r="H95" s="26">
        <v>106</v>
      </c>
      <c r="I95" s="26">
        <v>71</v>
      </c>
      <c r="J95" s="26">
        <v>1</v>
      </c>
      <c r="K95" s="26">
        <v>563</v>
      </c>
      <c r="L95" s="26"/>
      <c r="M95" s="26">
        <v>741</v>
      </c>
      <c r="N95" s="28">
        <v>32.709851551956817</v>
      </c>
      <c r="O95" s="26" t="s">
        <v>307</v>
      </c>
      <c r="P95" s="26">
        <f t="shared" si="28"/>
        <v>563</v>
      </c>
      <c r="Q95" s="26">
        <f t="shared" si="29"/>
        <v>106</v>
      </c>
      <c r="R95" s="26">
        <f t="shared" si="30"/>
        <v>71</v>
      </c>
      <c r="S95" s="26">
        <f t="shared" si="31"/>
        <v>1</v>
      </c>
      <c r="T95" s="26">
        <f t="shared" si="32"/>
        <v>741</v>
      </c>
      <c r="U95" s="27">
        <f t="shared" si="33"/>
        <v>0.75978407557354921</v>
      </c>
      <c r="V95" s="27">
        <f t="shared" si="34"/>
        <v>0.14304993252361672</v>
      </c>
      <c r="W95" s="27">
        <f t="shared" si="35"/>
        <v>9.5816464237516871E-2</v>
      </c>
      <c r="X95" s="27">
        <f t="shared" si="36"/>
        <v>1.3495276653171389E-3</v>
      </c>
      <c r="Y95" s="28">
        <f t="shared" si="37"/>
        <v>32.709851551956817</v>
      </c>
    </row>
    <row r="96" spans="1:25" x14ac:dyDescent="0.25">
      <c r="A96" s="26" t="s">
        <v>324</v>
      </c>
      <c r="B96" s="26" t="s">
        <v>325</v>
      </c>
      <c r="C96" s="26" t="s">
        <v>200</v>
      </c>
      <c r="D96" s="26">
        <v>8</v>
      </c>
      <c r="E96" s="26"/>
      <c r="F96" s="26"/>
      <c r="G96" s="26"/>
      <c r="H96" s="26">
        <v>69</v>
      </c>
      <c r="I96" s="26">
        <v>72</v>
      </c>
      <c r="J96" s="26"/>
      <c r="K96" s="26">
        <v>600</v>
      </c>
      <c r="L96" s="26"/>
      <c r="M96" s="26">
        <v>741</v>
      </c>
      <c r="N96" s="28">
        <v>26.642375168690958</v>
      </c>
      <c r="O96" s="26" t="s">
        <v>307</v>
      </c>
      <c r="P96" s="26">
        <f t="shared" si="28"/>
        <v>600</v>
      </c>
      <c r="Q96" s="26">
        <f t="shared" si="29"/>
        <v>69</v>
      </c>
      <c r="R96" s="26">
        <f t="shared" si="30"/>
        <v>72</v>
      </c>
      <c r="S96" s="26">
        <f t="shared" si="31"/>
        <v>0</v>
      </c>
      <c r="T96" s="26">
        <f t="shared" si="32"/>
        <v>741</v>
      </c>
      <c r="U96" s="27">
        <f t="shared" si="33"/>
        <v>0.80971659919028338</v>
      </c>
      <c r="V96" s="27">
        <f t="shared" si="34"/>
        <v>9.3117408906882596E-2</v>
      </c>
      <c r="W96" s="27">
        <f t="shared" si="35"/>
        <v>9.7165991902834009E-2</v>
      </c>
      <c r="X96" s="27">
        <f t="shared" si="36"/>
        <v>0</v>
      </c>
      <c r="Y96" s="28">
        <f t="shared" si="37"/>
        <v>26.642375168690958</v>
      </c>
    </row>
    <row r="97" spans="1:25" x14ac:dyDescent="0.25">
      <c r="A97" s="26" t="s">
        <v>324</v>
      </c>
      <c r="B97" s="26" t="s">
        <v>325</v>
      </c>
      <c r="C97" s="26" t="s">
        <v>200</v>
      </c>
      <c r="D97" s="26">
        <v>9</v>
      </c>
      <c r="E97" s="26"/>
      <c r="F97" s="26"/>
      <c r="G97" s="26"/>
      <c r="H97" s="26">
        <v>57</v>
      </c>
      <c r="I97" s="26">
        <v>80</v>
      </c>
      <c r="J97" s="26"/>
      <c r="K97" s="26">
        <v>604</v>
      </c>
      <c r="L97" s="26"/>
      <c r="M97" s="26">
        <v>741</v>
      </c>
      <c r="N97" s="28">
        <v>20.720647773279353</v>
      </c>
      <c r="O97" s="26" t="s">
        <v>307</v>
      </c>
      <c r="P97" s="26">
        <f t="shared" si="28"/>
        <v>604</v>
      </c>
      <c r="Q97" s="26">
        <f t="shared" si="29"/>
        <v>57</v>
      </c>
      <c r="R97" s="26">
        <f t="shared" si="30"/>
        <v>80</v>
      </c>
      <c r="S97" s="26">
        <f t="shared" si="31"/>
        <v>0</v>
      </c>
      <c r="T97" s="26">
        <f t="shared" si="32"/>
        <v>741</v>
      </c>
      <c r="U97" s="27">
        <f t="shared" si="33"/>
        <v>0.81511470985155199</v>
      </c>
      <c r="V97" s="27">
        <f t="shared" si="34"/>
        <v>7.6923076923076927E-2</v>
      </c>
      <c r="W97" s="27">
        <f t="shared" si="35"/>
        <v>0.10796221322537113</v>
      </c>
      <c r="X97" s="27">
        <f t="shared" si="36"/>
        <v>0</v>
      </c>
      <c r="Y97" s="28">
        <f t="shared" si="37"/>
        <v>20.720647773279353</v>
      </c>
    </row>
    <row r="98" spans="1:25" x14ac:dyDescent="0.25">
      <c r="A98" s="26" t="s">
        <v>326</v>
      </c>
      <c r="B98" s="26" t="s">
        <v>327</v>
      </c>
      <c r="C98" s="26" t="s">
        <v>202</v>
      </c>
      <c r="D98" s="26">
        <v>1</v>
      </c>
      <c r="E98" s="26"/>
      <c r="F98" s="26"/>
      <c r="G98" s="26"/>
      <c r="H98" s="26">
        <v>93</v>
      </c>
      <c r="I98" s="26">
        <v>216</v>
      </c>
      <c r="J98" s="26"/>
      <c r="K98" s="26">
        <v>41</v>
      </c>
      <c r="L98" s="26"/>
      <c r="M98" s="26">
        <v>350</v>
      </c>
      <c r="N98" s="28">
        <v>65.931428571428569</v>
      </c>
      <c r="O98" s="26" t="s">
        <v>307</v>
      </c>
      <c r="P98" s="26">
        <f t="shared" si="28"/>
        <v>41</v>
      </c>
      <c r="Q98" s="26">
        <f t="shared" si="29"/>
        <v>93</v>
      </c>
      <c r="R98" s="26">
        <f t="shared" si="30"/>
        <v>216</v>
      </c>
      <c r="S98" s="26">
        <f t="shared" si="31"/>
        <v>0</v>
      </c>
      <c r="T98" s="26">
        <f t="shared" si="32"/>
        <v>350</v>
      </c>
      <c r="U98" s="27">
        <f t="shared" si="33"/>
        <v>0.11714285714285715</v>
      </c>
      <c r="V98" s="27">
        <f t="shared" si="34"/>
        <v>0.26571428571428574</v>
      </c>
      <c r="W98" s="27">
        <f t="shared" si="35"/>
        <v>0.6171428571428571</v>
      </c>
      <c r="X98" s="27">
        <f t="shared" si="36"/>
        <v>0</v>
      </c>
      <c r="Y98" s="28">
        <f t="shared" si="37"/>
        <v>65.931428571428569</v>
      </c>
    </row>
    <row r="99" spans="1:25" x14ac:dyDescent="0.25">
      <c r="A99" s="26" t="s">
        <v>326</v>
      </c>
      <c r="B99" s="26" t="s">
        <v>327</v>
      </c>
      <c r="C99" s="26" t="s">
        <v>202</v>
      </c>
      <c r="D99" s="26">
        <v>2</v>
      </c>
      <c r="E99" s="26"/>
      <c r="F99" s="26"/>
      <c r="G99" s="26"/>
      <c r="H99" s="26">
        <v>74</v>
      </c>
      <c r="I99" s="26">
        <v>167</v>
      </c>
      <c r="J99" s="26"/>
      <c r="K99" s="26">
        <v>114</v>
      </c>
      <c r="L99" s="26"/>
      <c r="M99" s="26">
        <v>355</v>
      </c>
      <c r="N99" s="28">
        <v>35.44507042253521</v>
      </c>
      <c r="O99" s="26" t="s">
        <v>307</v>
      </c>
      <c r="P99" s="26">
        <f t="shared" si="28"/>
        <v>114</v>
      </c>
      <c r="Q99" s="26">
        <f t="shared" si="29"/>
        <v>74</v>
      </c>
      <c r="R99" s="26">
        <f t="shared" si="30"/>
        <v>167</v>
      </c>
      <c r="S99" s="26">
        <f t="shared" si="31"/>
        <v>0</v>
      </c>
      <c r="T99" s="26">
        <f t="shared" si="32"/>
        <v>355</v>
      </c>
      <c r="U99" s="27">
        <f t="shared" si="33"/>
        <v>0.3211267605633803</v>
      </c>
      <c r="V99" s="27">
        <f t="shared" si="34"/>
        <v>0.20845070422535211</v>
      </c>
      <c r="W99" s="27">
        <f t="shared" si="35"/>
        <v>0.47042253521126759</v>
      </c>
      <c r="X99" s="27">
        <f t="shared" si="36"/>
        <v>0</v>
      </c>
      <c r="Y99" s="28">
        <f t="shared" si="37"/>
        <v>35.44507042253521</v>
      </c>
    </row>
    <row r="100" spans="1:25" x14ac:dyDescent="0.25">
      <c r="A100" s="26" t="s">
        <v>328</v>
      </c>
      <c r="B100" s="26" t="s">
        <v>329</v>
      </c>
      <c r="C100" s="26" t="s">
        <v>204</v>
      </c>
      <c r="D100" s="26">
        <v>1</v>
      </c>
      <c r="E100" s="26"/>
      <c r="F100" s="26">
        <v>1</v>
      </c>
      <c r="G100" s="26">
        <v>1</v>
      </c>
      <c r="H100" s="26"/>
      <c r="I100" s="26">
        <v>1</v>
      </c>
      <c r="J100" s="26"/>
      <c r="K100" s="26">
        <v>446</v>
      </c>
      <c r="L100" s="26">
        <v>1</v>
      </c>
      <c r="M100" s="26">
        <v>450</v>
      </c>
      <c r="N100" s="28">
        <v>63.082222222222221</v>
      </c>
      <c r="O100" s="26" t="s">
        <v>307</v>
      </c>
      <c r="P100" s="26">
        <f t="shared" si="28"/>
        <v>446</v>
      </c>
      <c r="Q100" s="26">
        <f t="shared" si="29"/>
        <v>0</v>
      </c>
      <c r="R100" s="26">
        <f t="shared" si="30"/>
        <v>1</v>
      </c>
      <c r="S100" s="26">
        <f t="shared" si="31"/>
        <v>3</v>
      </c>
      <c r="T100" s="26">
        <f t="shared" si="32"/>
        <v>450</v>
      </c>
      <c r="U100" s="27">
        <f t="shared" si="33"/>
        <v>0.99111111111111116</v>
      </c>
      <c r="V100" s="27">
        <f t="shared" si="34"/>
        <v>0</v>
      </c>
      <c r="W100" s="27">
        <f t="shared" si="35"/>
        <v>2.2222222222222222E-3</v>
      </c>
      <c r="X100" s="27">
        <f t="shared" si="36"/>
        <v>6.6666666666666671E-3</v>
      </c>
      <c r="Y100" s="28">
        <f t="shared" si="37"/>
        <v>63.082222222222221</v>
      </c>
    </row>
    <row r="101" spans="1:25" x14ac:dyDescent="0.25">
      <c r="A101" s="26" t="s">
        <v>328</v>
      </c>
      <c r="B101" s="26" t="s">
        <v>329</v>
      </c>
      <c r="C101" s="26" t="s">
        <v>204</v>
      </c>
      <c r="D101" s="26">
        <v>2</v>
      </c>
      <c r="E101" s="26">
        <v>1</v>
      </c>
      <c r="F101" s="26"/>
      <c r="G101" s="26"/>
      <c r="H101" s="26">
        <v>3</v>
      </c>
      <c r="I101" s="26">
        <v>5</v>
      </c>
      <c r="J101" s="26"/>
      <c r="K101" s="26">
        <v>615</v>
      </c>
      <c r="L101" s="26">
        <v>4</v>
      </c>
      <c r="M101" s="26">
        <v>628</v>
      </c>
      <c r="N101" s="28">
        <v>32.305732484076437</v>
      </c>
      <c r="O101" s="26" t="s">
        <v>307</v>
      </c>
      <c r="P101" s="26">
        <f t="shared" si="28"/>
        <v>615</v>
      </c>
      <c r="Q101" s="26">
        <f t="shared" si="29"/>
        <v>3</v>
      </c>
      <c r="R101" s="26">
        <f t="shared" si="30"/>
        <v>5</v>
      </c>
      <c r="S101" s="26">
        <f t="shared" si="31"/>
        <v>5</v>
      </c>
      <c r="T101" s="26">
        <f t="shared" si="32"/>
        <v>628</v>
      </c>
      <c r="U101" s="27">
        <f t="shared" si="33"/>
        <v>0.97929936305732479</v>
      </c>
      <c r="V101" s="27">
        <f t="shared" si="34"/>
        <v>4.7770700636942673E-3</v>
      </c>
      <c r="W101" s="27">
        <f t="shared" si="35"/>
        <v>7.9617834394904458E-3</v>
      </c>
      <c r="X101" s="27">
        <f t="shared" si="36"/>
        <v>7.9617834394904458E-3</v>
      </c>
      <c r="Y101" s="28">
        <f t="shared" si="37"/>
        <v>32.305732484076437</v>
      </c>
    </row>
    <row r="102" spans="1:25" x14ac:dyDescent="0.25">
      <c r="A102" s="26" t="s">
        <v>330</v>
      </c>
      <c r="B102" s="26" t="s">
        <v>331</v>
      </c>
      <c r="C102" s="26" t="s">
        <v>206</v>
      </c>
      <c r="D102" s="26">
        <v>1</v>
      </c>
      <c r="E102" s="26">
        <v>2</v>
      </c>
      <c r="F102" s="26"/>
      <c r="G102" s="26"/>
      <c r="H102" s="26">
        <v>1</v>
      </c>
      <c r="I102" s="26">
        <v>3</v>
      </c>
      <c r="J102" s="26"/>
      <c r="K102" s="26">
        <v>413</v>
      </c>
      <c r="L102" s="26">
        <v>31</v>
      </c>
      <c r="M102" s="26">
        <v>450</v>
      </c>
      <c r="N102" s="28">
        <v>66.031111111111116</v>
      </c>
      <c r="O102" s="26" t="s">
        <v>307</v>
      </c>
      <c r="P102" s="26">
        <f t="shared" si="28"/>
        <v>413</v>
      </c>
      <c r="Q102" s="26">
        <f t="shared" si="29"/>
        <v>1</v>
      </c>
      <c r="R102" s="26">
        <f t="shared" si="30"/>
        <v>3</v>
      </c>
      <c r="S102" s="26">
        <f t="shared" si="31"/>
        <v>33</v>
      </c>
      <c r="T102" s="26">
        <f t="shared" si="32"/>
        <v>450</v>
      </c>
      <c r="U102" s="27">
        <f t="shared" si="33"/>
        <v>0.9177777777777778</v>
      </c>
      <c r="V102" s="27">
        <f t="shared" si="34"/>
        <v>2.2222222222222222E-3</v>
      </c>
      <c r="W102" s="27">
        <f t="shared" si="35"/>
        <v>6.6666666666666671E-3</v>
      </c>
      <c r="X102" s="27">
        <f t="shared" si="36"/>
        <v>7.3333333333333334E-2</v>
      </c>
      <c r="Y102" s="28">
        <f t="shared" si="37"/>
        <v>66.031111111111116</v>
      </c>
    </row>
    <row r="103" spans="1:25" x14ac:dyDescent="0.25">
      <c r="A103" s="26" t="s">
        <v>330</v>
      </c>
      <c r="B103" s="26" t="s">
        <v>331</v>
      </c>
      <c r="C103" s="26" t="s">
        <v>206</v>
      </c>
      <c r="D103" s="26">
        <v>2</v>
      </c>
      <c r="E103" s="26"/>
      <c r="F103" s="26"/>
      <c r="G103" s="26"/>
      <c r="H103" s="26">
        <v>2</v>
      </c>
      <c r="I103" s="26">
        <v>2</v>
      </c>
      <c r="J103" s="26"/>
      <c r="K103" s="26">
        <v>373</v>
      </c>
      <c r="L103" s="26">
        <v>95</v>
      </c>
      <c r="M103" s="26">
        <v>472</v>
      </c>
      <c r="N103" s="28">
        <v>47.04449152542373</v>
      </c>
      <c r="O103" s="26" t="s">
        <v>307</v>
      </c>
      <c r="P103" s="26">
        <f t="shared" si="28"/>
        <v>373</v>
      </c>
      <c r="Q103" s="26">
        <f t="shared" si="29"/>
        <v>2</v>
      </c>
      <c r="R103" s="26">
        <f t="shared" si="30"/>
        <v>2</v>
      </c>
      <c r="S103" s="26">
        <f t="shared" si="31"/>
        <v>95</v>
      </c>
      <c r="T103" s="26">
        <f t="shared" si="32"/>
        <v>472</v>
      </c>
      <c r="U103" s="27">
        <f t="shared" si="33"/>
        <v>0.7902542372881356</v>
      </c>
      <c r="V103" s="27">
        <f t="shared" si="34"/>
        <v>4.2372881355932203E-3</v>
      </c>
      <c r="W103" s="27">
        <f t="shared" si="35"/>
        <v>4.2372881355932203E-3</v>
      </c>
      <c r="X103" s="27">
        <f t="shared" si="36"/>
        <v>0.20127118644067796</v>
      </c>
      <c r="Y103" s="28">
        <f t="shared" si="37"/>
        <v>47.04449152542373</v>
      </c>
    </row>
    <row r="104" spans="1:25" x14ac:dyDescent="0.25">
      <c r="A104" s="26" t="s">
        <v>330</v>
      </c>
      <c r="B104" s="26" t="s">
        <v>331</v>
      </c>
      <c r="C104" s="26" t="s">
        <v>206</v>
      </c>
      <c r="D104" s="26">
        <v>3</v>
      </c>
      <c r="E104" s="26">
        <v>17</v>
      </c>
      <c r="F104" s="26"/>
      <c r="G104" s="26"/>
      <c r="H104" s="26"/>
      <c r="I104" s="26">
        <v>2</v>
      </c>
      <c r="J104" s="26"/>
      <c r="K104" s="26">
        <v>405</v>
      </c>
      <c r="L104" s="26">
        <v>48</v>
      </c>
      <c r="M104" s="26">
        <v>472</v>
      </c>
      <c r="N104" s="28">
        <v>28.70550847457627</v>
      </c>
      <c r="O104" s="26" t="s">
        <v>307</v>
      </c>
      <c r="P104" s="26">
        <f t="shared" si="28"/>
        <v>405</v>
      </c>
      <c r="Q104" s="26">
        <f t="shared" si="29"/>
        <v>0</v>
      </c>
      <c r="R104" s="26">
        <f t="shared" si="30"/>
        <v>2</v>
      </c>
      <c r="S104" s="26">
        <f t="shared" si="31"/>
        <v>65</v>
      </c>
      <c r="T104" s="26">
        <f t="shared" si="32"/>
        <v>472</v>
      </c>
      <c r="U104" s="27">
        <f t="shared" si="33"/>
        <v>0.85805084745762716</v>
      </c>
      <c r="V104" s="27">
        <f t="shared" si="34"/>
        <v>0</v>
      </c>
      <c r="W104" s="27">
        <f t="shared" si="35"/>
        <v>4.2372881355932203E-3</v>
      </c>
      <c r="X104" s="27">
        <f t="shared" si="36"/>
        <v>0.13771186440677965</v>
      </c>
      <c r="Y104" s="28">
        <f t="shared" si="37"/>
        <v>28.70550847457627</v>
      </c>
    </row>
    <row r="105" spans="1:25" x14ac:dyDescent="0.25">
      <c r="A105" s="26" t="s">
        <v>332</v>
      </c>
      <c r="B105" s="26" t="s">
        <v>333</v>
      </c>
      <c r="C105" s="26" t="s">
        <v>208</v>
      </c>
      <c r="D105" s="26">
        <v>1</v>
      </c>
      <c r="E105" s="26"/>
      <c r="F105" s="26"/>
      <c r="G105" s="26">
        <v>1</v>
      </c>
      <c r="H105" s="26">
        <v>9</v>
      </c>
      <c r="I105" s="26">
        <v>4</v>
      </c>
      <c r="J105" s="26"/>
      <c r="K105" s="26">
        <v>436</v>
      </c>
      <c r="L105" s="26"/>
      <c r="M105" s="26">
        <v>450</v>
      </c>
      <c r="N105" s="28">
        <v>62.144444444444446</v>
      </c>
      <c r="O105" s="26" t="s">
        <v>307</v>
      </c>
      <c r="P105" s="26">
        <f t="shared" si="28"/>
        <v>436</v>
      </c>
      <c r="Q105" s="26">
        <f t="shared" si="29"/>
        <v>9</v>
      </c>
      <c r="R105" s="26">
        <f t="shared" si="30"/>
        <v>4</v>
      </c>
      <c r="S105" s="26">
        <f t="shared" si="31"/>
        <v>1</v>
      </c>
      <c r="T105" s="26">
        <f t="shared" si="32"/>
        <v>450</v>
      </c>
      <c r="U105" s="27">
        <f t="shared" si="33"/>
        <v>0.96888888888888891</v>
      </c>
      <c r="V105" s="27">
        <f t="shared" si="34"/>
        <v>0.02</v>
      </c>
      <c r="W105" s="27">
        <f t="shared" si="35"/>
        <v>8.8888888888888889E-3</v>
      </c>
      <c r="X105" s="27">
        <f t="shared" si="36"/>
        <v>2.2222222222222222E-3</v>
      </c>
      <c r="Y105" s="28">
        <f t="shared" si="37"/>
        <v>62.144444444444446</v>
      </c>
    </row>
    <row r="106" spans="1:25" x14ac:dyDescent="0.25">
      <c r="A106" s="26" t="s">
        <v>332</v>
      </c>
      <c r="B106" s="26" t="s">
        <v>333</v>
      </c>
      <c r="C106" s="26" t="s">
        <v>208</v>
      </c>
      <c r="D106" s="26">
        <v>2</v>
      </c>
      <c r="E106" s="26"/>
      <c r="F106" s="26"/>
      <c r="G106" s="26">
        <v>1</v>
      </c>
      <c r="H106" s="26">
        <v>2</v>
      </c>
      <c r="I106" s="26">
        <v>8</v>
      </c>
      <c r="J106" s="26"/>
      <c r="K106" s="26">
        <v>573</v>
      </c>
      <c r="L106" s="26"/>
      <c r="M106" s="26">
        <v>584</v>
      </c>
      <c r="N106" s="28">
        <v>33.351027397260275</v>
      </c>
      <c r="O106" s="26" t="s">
        <v>307</v>
      </c>
      <c r="P106" s="26">
        <f t="shared" si="28"/>
        <v>573</v>
      </c>
      <c r="Q106" s="26">
        <f t="shared" si="29"/>
        <v>2</v>
      </c>
      <c r="R106" s="26">
        <f t="shared" si="30"/>
        <v>8</v>
      </c>
      <c r="S106" s="26">
        <f t="shared" si="31"/>
        <v>1</v>
      </c>
      <c r="T106" s="26">
        <f t="shared" si="32"/>
        <v>584</v>
      </c>
      <c r="U106" s="27">
        <f t="shared" si="33"/>
        <v>0.98116438356164382</v>
      </c>
      <c r="V106" s="27">
        <f t="shared" si="34"/>
        <v>3.4246575342465752E-3</v>
      </c>
      <c r="W106" s="27">
        <f t="shared" si="35"/>
        <v>1.3698630136986301E-2</v>
      </c>
      <c r="X106" s="27">
        <f t="shared" si="36"/>
        <v>1.7123287671232876E-3</v>
      </c>
      <c r="Y106" s="28">
        <f t="shared" si="37"/>
        <v>33.351027397260275</v>
      </c>
    </row>
    <row r="107" spans="1:25" x14ac:dyDescent="0.25">
      <c r="A107" s="26" t="s">
        <v>334</v>
      </c>
      <c r="B107" s="26" t="s">
        <v>335</v>
      </c>
      <c r="C107" s="26" t="s">
        <v>210</v>
      </c>
      <c r="D107" s="26">
        <v>1</v>
      </c>
      <c r="E107" s="26"/>
      <c r="F107" s="26"/>
      <c r="G107" s="26">
        <v>1</v>
      </c>
      <c r="H107" s="26">
        <v>25</v>
      </c>
      <c r="I107" s="26">
        <v>83</v>
      </c>
      <c r="J107" s="26">
        <v>3</v>
      </c>
      <c r="K107" s="26">
        <v>338</v>
      </c>
      <c r="L107" s="26"/>
      <c r="M107" s="26">
        <v>450</v>
      </c>
      <c r="N107" s="28">
        <v>65.706666666666663</v>
      </c>
      <c r="O107" s="26" t="s">
        <v>307</v>
      </c>
      <c r="P107" s="26">
        <f t="shared" si="28"/>
        <v>338</v>
      </c>
      <c r="Q107" s="26">
        <f t="shared" si="29"/>
        <v>25</v>
      </c>
      <c r="R107" s="26">
        <f t="shared" si="30"/>
        <v>83</v>
      </c>
      <c r="S107" s="26">
        <f t="shared" si="31"/>
        <v>4</v>
      </c>
      <c r="T107" s="26">
        <f t="shared" si="32"/>
        <v>450</v>
      </c>
      <c r="U107" s="27">
        <f t="shared" si="33"/>
        <v>0.75111111111111106</v>
      </c>
      <c r="V107" s="27">
        <f t="shared" si="34"/>
        <v>5.5555555555555552E-2</v>
      </c>
      <c r="W107" s="27">
        <f t="shared" si="35"/>
        <v>0.18444444444444444</v>
      </c>
      <c r="X107" s="27">
        <f t="shared" si="36"/>
        <v>8.8888888888888889E-3</v>
      </c>
      <c r="Y107" s="28">
        <f t="shared" si="37"/>
        <v>65.706666666666663</v>
      </c>
    </row>
    <row r="108" spans="1:25" x14ac:dyDescent="0.25">
      <c r="A108" s="26" t="s">
        <v>334</v>
      </c>
      <c r="B108" s="26" t="s">
        <v>335</v>
      </c>
      <c r="C108" s="26" t="s">
        <v>210</v>
      </c>
      <c r="D108" s="26">
        <v>2</v>
      </c>
      <c r="E108" s="26"/>
      <c r="F108" s="26"/>
      <c r="G108" s="26">
        <v>1</v>
      </c>
      <c r="H108" s="26">
        <v>37</v>
      </c>
      <c r="I108" s="26">
        <v>68</v>
      </c>
      <c r="J108" s="26"/>
      <c r="K108" s="26">
        <v>344</v>
      </c>
      <c r="L108" s="26"/>
      <c r="M108" s="26">
        <v>450</v>
      </c>
      <c r="N108" s="28">
        <v>58.82</v>
      </c>
      <c r="O108" s="26" t="s">
        <v>307</v>
      </c>
      <c r="P108" s="26">
        <f t="shared" si="28"/>
        <v>344</v>
      </c>
      <c r="Q108" s="26">
        <f t="shared" si="29"/>
        <v>37</v>
      </c>
      <c r="R108" s="26">
        <f t="shared" si="30"/>
        <v>68</v>
      </c>
      <c r="S108" s="26">
        <f t="shared" si="31"/>
        <v>1</v>
      </c>
      <c r="T108" s="26">
        <f t="shared" si="32"/>
        <v>450</v>
      </c>
      <c r="U108" s="27">
        <f t="shared" si="33"/>
        <v>0.76444444444444448</v>
      </c>
      <c r="V108" s="27">
        <f t="shared" si="34"/>
        <v>8.2222222222222224E-2</v>
      </c>
      <c r="W108" s="27">
        <f t="shared" si="35"/>
        <v>0.15111111111111111</v>
      </c>
      <c r="X108" s="27">
        <f t="shared" si="36"/>
        <v>2.2222222222222222E-3</v>
      </c>
      <c r="Y108" s="28">
        <f t="shared" si="37"/>
        <v>58.82</v>
      </c>
    </row>
    <row r="109" spans="1:25" x14ac:dyDescent="0.25">
      <c r="A109" s="26" t="s">
        <v>334</v>
      </c>
      <c r="B109" s="26" t="s">
        <v>335</v>
      </c>
      <c r="C109" s="26" t="s">
        <v>210</v>
      </c>
      <c r="D109" s="26">
        <v>3</v>
      </c>
      <c r="E109" s="26"/>
      <c r="F109" s="26"/>
      <c r="G109" s="26">
        <v>1</v>
      </c>
      <c r="H109" s="26">
        <v>50</v>
      </c>
      <c r="I109" s="26">
        <v>103</v>
      </c>
      <c r="J109" s="26"/>
      <c r="K109" s="26">
        <v>480</v>
      </c>
      <c r="L109" s="26">
        <v>1</v>
      </c>
      <c r="M109" s="26">
        <v>635</v>
      </c>
      <c r="N109" s="28">
        <v>47.845669291338581</v>
      </c>
      <c r="O109" s="26" t="s">
        <v>307</v>
      </c>
      <c r="P109" s="26">
        <f t="shared" si="28"/>
        <v>480</v>
      </c>
      <c r="Q109" s="26">
        <f t="shared" si="29"/>
        <v>50</v>
      </c>
      <c r="R109" s="26">
        <f t="shared" si="30"/>
        <v>103</v>
      </c>
      <c r="S109" s="26">
        <f t="shared" si="31"/>
        <v>2</v>
      </c>
      <c r="T109" s="26">
        <f t="shared" si="32"/>
        <v>635</v>
      </c>
      <c r="U109" s="27">
        <f t="shared" si="33"/>
        <v>0.75590551181102361</v>
      </c>
      <c r="V109" s="27">
        <f t="shared" si="34"/>
        <v>7.874015748031496E-2</v>
      </c>
      <c r="W109" s="27">
        <f t="shared" si="35"/>
        <v>0.16220472440944883</v>
      </c>
      <c r="X109" s="27">
        <f t="shared" si="36"/>
        <v>3.1496062992125984E-3</v>
      </c>
      <c r="Y109" s="28">
        <f t="shared" si="37"/>
        <v>47.845669291338581</v>
      </c>
    </row>
    <row r="110" spans="1:25" x14ac:dyDescent="0.25">
      <c r="A110" s="26" t="s">
        <v>334</v>
      </c>
      <c r="B110" s="26" t="s">
        <v>335</v>
      </c>
      <c r="C110" s="26" t="s">
        <v>210</v>
      </c>
      <c r="D110" s="26">
        <v>4</v>
      </c>
      <c r="E110" s="26"/>
      <c r="F110" s="26"/>
      <c r="G110" s="26"/>
      <c r="H110" s="26">
        <v>59</v>
      </c>
      <c r="I110" s="26">
        <v>108</v>
      </c>
      <c r="J110" s="26"/>
      <c r="K110" s="26">
        <v>467</v>
      </c>
      <c r="L110" s="26">
        <v>1</v>
      </c>
      <c r="M110" s="26">
        <v>635</v>
      </c>
      <c r="N110" s="28">
        <v>38.020472440944879</v>
      </c>
      <c r="O110" s="26" t="s">
        <v>307</v>
      </c>
      <c r="P110" s="26">
        <f t="shared" si="28"/>
        <v>467</v>
      </c>
      <c r="Q110" s="26">
        <f t="shared" si="29"/>
        <v>59</v>
      </c>
      <c r="R110" s="26">
        <f t="shared" si="30"/>
        <v>108</v>
      </c>
      <c r="S110" s="26">
        <f t="shared" si="31"/>
        <v>1</v>
      </c>
      <c r="T110" s="26">
        <f t="shared" si="32"/>
        <v>635</v>
      </c>
      <c r="U110" s="27">
        <f t="shared" si="33"/>
        <v>0.73543307086614174</v>
      </c>
      <c r="V110" s="27">
        <f t="shared" si="34"/>
        <v>9.2913385826771652E-2</v>
      </c>
      <c r="W110" s="27">
        <f t="shared" si="35"/>
        <v>0.17007874015748031</v>
      </c>
      <c r="X110" s="27">
        <f t="shared" si="36"/>
        <v>1.5748031496062992E-3</v>
      </c>
      <c r="Y110" s="28">
        <f t="shared" si="37"/>
        <v>38.020472440944879</v>
      </c>
    </row>
    <row r="111" spans="1:25" x14ac:dyDescent="0.25">
      <c r="A111" s="26" t="s">
        <v>334</v>
      </c>
      <c r="B111" s="26" t="s">
        <v>335</v>
      </c>
      <c r="C111" s="26" t="s">
        <v>210</v>
      </c>
      <c r="D111" s="26">
        <v>5</v>
      </c>
      <c r="E111" s="26"/>
      <c r="F111" s="26"/>
      <c r="G111" s="26"/>
      <c r="H111" s="26">
        <v>51</v>
      </c>
      <c r="I111" s="26">
        <v>87</v>
      </c>
      <c r="J111" s="26"/>
      <c r="K111" s="26">
        <v>497</v>
      </c>
      <c r="L111" s="26"/>
      <c r="M111" s="26">
        <v>635</v>
      </c>
      <c r="N111" s="28">
        <v>31.269291338582676</v>
      </c>
      <c r="O111" s="26" t="s">
        <v>307</v>
      </c>
      <c r="P111" s="26">
        <f t="shared" si="28"/>
        <v>497</v>
      </c>
      <c r="Q111" s="26">
        <f t="shared" si="29"/>
        <v>51</v>
      </c>
      <c r="R111" s="26">
        <f t="shared" si="30"/>
        <v>87</v>
      </c>
      <c r="S111" s="26">
        <f t="shared" si="31"/>
        <v>0</v>
      </c>
      <c r="T111" s="26">
        <f t="shared" si="32"/>
        <v>635</v>
      </c>
      <c r="U111" s="27">
        <f t="shared" si="33"/>
        <v>0.78267716535433074</v>
      </c>
      <c r="V111" s="27">
        <f t="shared" si="34"/>
        <v>8.0314960629921259E-2</v>
      </c>
      <c r="W111" s="27">
        <f t="shared" si="35"/>
        <v>0.13700787401574804</v>
      </c>
      <c r="X111" s="27">
        <f t="shared" si="36"/>
        <v>0</v>
      </c>
      <c r="Y111" s="28">
        <f t="shared" si="37"/>
        <v>31.269291338582676</v>
      </c>
    </row>
    <row r="112" spans="1:25" x14ac:dyDescent="0.25">
      <c r="A112" s="26" t="s">
        <v>334</v>
      </c>
      <c r="B112" s="26" t="s">
        <v>335</v>
      </c>
      <c r="C112" s="26" t="s">
        <v>210</v>
      </c>
      <c r="D112" s="26">
        <v>6</v>
      </c>
      <c r="E112" s="26"/>
      <c r="F112" s="26"/>
      <c r="G112" s="26"/>
      <c r="H112" s="26">
        <v>35</v>
      </c>
      <c r="I112" s="26">
        <v>99</v>
      </c>
      <c r="J112" s="26"/>
      <c r="K112" s="26">
        <v>501</v>
      </c>
      <c r="L112" s="26"/>
      <c r="M112" s="26">
        <v>635</v>
      </c>
      <c r="N112" s="28">
        <v>25.875590551181102</v>
      </c>
      <c r="O112" s="26" t="s">
        <v>307</v>
      </c>
      <c r="P112" s="26">
        <f t="shared" si="28"/>
        <v>501</v>
      </c>
      <c r="Q112" s="26">
        <f t="shared" si="29"/>
        <v>35</v>
      </c>
      <c r="R112" s="26">
        <f t="shared" si="30"/>
        <v>99</v>
      </c>
      <c r="S112" s="26">
        <f t="shared" si="31"/>
        <v>0</v>
      </c>
      <c r="T112" s="26">
        <f t="shared" si="32"/>
        <v>635</v>
      </c>
      <c r="U112" s="27">
        <f t="shared" si="33"/>
        <v>0.78897637795275588</v>
      </c>
      <c r="V112" s="27">
        <f t="shared" si="34"/>
        <v>5.5118110236220472E-2</v>
      </c>
      <c r="W112" s="27">
        <f t="shared" si="35"/>
        <v>0.15590551181102363</v>
      </c>
      <c r="X112" s="27">
        <f t="shared" si="36"/>
        <v>0</v>
      </c>
      <c r="Y112" s="28">
        <f t="shared" si="37"/>
        <v>25.875590551181102</v>
      </c>
    </row>
    <row r="113" spans="1:25" x14ac:dyDescent="0.25">
      <c r="A113" s="26" t="s">
        <v>334</v>
      </c>
      <c r="B113" s="26" t="s">
        <v>335</v>
      </c>
      <c r="C113" s="26" t="s">
        <v>210</v>
      </c>
      <c r="D113" s="26">
        <v>7</v>
      </c>
      <c r="E113" s="26"/>
      <c r="F113" s="26"/>
      <c r="G113" s="26"/>
      <c r="H113" s="26">
        <v>24</v>
      </c>
      <c r="I113" s="26">
        <v>108</v>
      </c>
      <c r="J113" s="26"/>
      <c r="K113" s="26">
        <v>504</v>
      </c>
      <c r="L113" s="26"/>
      <c r="M113" s="26">
        <v>636</v>
      </c>
      <c r="N113" s="28">
        <v>20.79245283018868</v>
      </c>
      <c r="O113" s="26" t="s">
        <v>307</v>
      </c>
      <c r="P113" s="26">
        <f t="shared" si="28"/>
        <v>504</v>
      </c>
      <c r="Q113" s="26">
        <f t="shared" si="29"/>
        <v>24</v>
      </c>
      <c r="R113" s="26">
        <f t="shared" si="30"/>
        <v>108</v>
      </c>
      <c r="S113" s="26">
        <f t="shared" si="31"/>
        <v>0</v>
      </c>
      <c r="T113" s="26">
        <f t="shared" si="32"/>
        <v>636</v>
      </c>
      <c r="U113" s="27">
        <f t="shared" si="33"/>
        <v>0.79245283018867929</v>
      </c>
      <c r="V113" s="27">
        <f t="shared" si="34"/>
        <v>3.7735849056603772E-2</v>
      </c>
      <c r="W113" s="27">
        <f t="shared" si="35"/>
        <v>0.16981132075471697</v>
      </c>
      <c r="X113" s="27">
        <f t="shared" si="36"/>
        <v>0</v>
      </c>
      <c r="Y113" s="28">
        <f t="shared" si="37"/>
        <v>20.79245283018868</v>
      </c>
    </row>
    <row r="114" spans="1:25" x14ac:dyDescent="0.25">
      <c r="A114" s="26" t="s">
        <v>336</v>
      </c>
      <c r="B114" s="26" t="s">
        <v>337</v>
      </c>
      <c r="C114" s="26" t="s">
        <v>212</v>
      </c>
      <c r="D114" s="26">
        <v>1</v>
      </c>
      <c r="E114" s="26"/>
      <c r="F114" s="26"/>
      <c r="G114" s="26"/>
      <c r="H114" s="26">
        <v>135</v>
      </c>
      <c r="I114" s="26">
        <v>84</v>
      </c>
      <c r="J114" s="26"/>
      <c r="K114" s="26">
        <v>231</v>
      </c>
      <c r="L114" s="26"/>
      <c r="M114" s="26">
        <v>450</v>
      </c>
      <c r="N114" s="28">
        <v>68.646666666666661</v>
      </c>
      <c r="O114" s="26" t="s">
        <v>307</v>
      </c>
      <c r="P114" s="26">
        <f t="shared" si="28"/>
        <v>231</v>
      </c>
      <c r="Q114" s="26">
        <f t="shared" si="29"/>
        <v>135</v>
      </c>
      <c r="R114" s="26">
        <f t="shared" si="30"/>
        <v>84</v>
      </c>
      <c r="S114" s="26">
        <f t="shared" si="31"/>
        <v>0</v>
      </c>
      <c r="T114" s="26">
        <f t="shared" si="32"/>
        <v>450</v>
      </c>
      <c r="U114" s="27">
        <f t="shared" si="33"/>
        <v>0.51333333333333331</v>
      </c>
      <c r="V114" s="27">
        <f t="shared" si="34"/>
        <v>0.3</v>
      </c>
      <c r="W114" s="27">
        <f t="shared" si="35"/>
        <v>0.18666666666666668</v>
      </c>
      <c r="X114" s="27">
        <f t="shared" si="36"/>
        <v>0</v>
      </c>
      <c r="Y114" s="28">
        <f t="shared" si="37"/>
        <v>68.646666666666661</v>
      </c>
    </row>
    <row r="115" spans="1:25" x14ac:dyDescent="0.25">
      <c r="A115" s="26" t="s">
        <v>336</v>
      </c>
      <c r="B115" s="26" t="s">
        <v>337</v>
      </c>
      <c r="C115" s="26" t="s">
        <v>212</v>
      </c>
      <c r="D115" s="26">
        <v>2</v>
      </c>
      <c r="E115" s="26"/>
      <c r="F115" s="26"/>
      <c r="G115" s="26"/>
      <c r="H115" s="26">
        <v>88</v>
      </c>
      <c r="I115" s="26">
        <v>115</v>
      </c>
      <c r="J115" s="26">
        <v>1</v>
      </c>
      <c r="K115" s="26">
        <v>246</v>
      </c>
      <c r="L115" s="26"/>
      <c r="M115" s="26">
        <v>450</v>
      </c>
      <c r="N115" s="28">
        <v>59.7</v>
      </c>
      <c r="O115" s="26" t="s">
        <v>307</v>
      </c>
      <c r="P115" s="26">
        <f t="shared" si="28"/>
        <v>246</v>
      </c>
      <c r="Q115" s="26">
        <f t="shared" si="29"/>
        <v>88</v>
      </c>
      <c r="R115" s="26">
        <f t="shared" si="30"/>
        <v>115</v>
      </c>
      <c r="S115" s="26">
        <f t="shared" si="31"/>
        <v>1</v>
      </c>
      <c r="T115" s="26">
        <f t="shared" si="32"/>
        <v>450</v>
      </c>
      <c r="U115" s="27">
        <f t="shared" si="33"/>
        <v>0.54666666666666663</v>
      </c>
      <c r="V115" s="27">
        <f t="shared" si="34"/>
        <v>0.19555555555555557</v>
      </c>
      <c r="W115" s="27">
        <f t="shared" si="35"/>
        <v>0.25555555555555554</v>
      </c>
      <c r="X115" s="27">
        <f t="shared" si="36"/>
        <v>2.2222222222222222E-3</v>
      </c>
      <c r="Y115" s="28">
        <f t="shared" si="37"/>
        <v>59.7</v>
      </c>
    </row>
    <row r="116" spans="1:25" x14ac:dyDescent="0.25">
      <c r="A116" s="26" t="s">
        <v>336</v>
      </c>
      <c r="B116" s="26" t="s">
        <v>337</v>
      </c>
      <c r="C116" s="26" t="s">
        <v>212</v>
      </c>
      <c r="D116" s="26">
        <v>3</v>
      </c>
      <c r="E116" s="26"/>
      <c r="F116" s="26">
        <v>1</v>
      </c>
      <c r="G116" s="26">
        <v>1</v>
      </c>
      <c r="H116" s="26">
        <v>129</v>
      </c>
      <c r="I116" s="26">
        <v>234</v>
      </c>
      <c r="J116" s="26">
        <v>1</v>
      </c>
      <c r="K116" s="26">
        <v>292</v>
      </c>
      <c r="L116" s="26"/>
      <c r="M116" s="26">
        <v>658</v>
      </c>
      <c r="N116" s="28">
        <v>46.788753799392097</v>
      </c>
      <c r="O116" s="26" t="s">
        <v>307</v>
      </c>
      <c r="P116" s="26">
        <f t="shared" si="28"/>
        <v>292</v>
      </c>
      <c r="Q116" s="26">
        <f t="shared" si="29"/>
        <v>129</v>
      </c>
      <c r="R116" s="26">
        <f t="shared" si="30"/>
        <v>234</v>
      </c>
      <c r="S116" s="26">
        <f t="shared" si="31"/>
        <v>3</v>
      </c>
      <c r="T116" s="26">
        <f t="shared" si="32"/>
        <v>658</v>
      </c>
      <c r="U116" s="27">
        <f t="shared" si="33"/>
        <v>0.44376899696048633</v>
      </c>
      <c r="V116" s="27">
        <f t="shared" si="34"/>
        <v>0.196048632218845</v>
      </c>
      <c r="W116" s="27">
        <f t="shared" si="35"/>
        <v>0.35562310030395139</v>
      </c>
      <c r="X116" s="27">
        <f t="shared" si="36"/>
        <v>4.559270516717325E-3</v>
      </c>
      <c r="Y116" s="28">
        <f t="shared" si="37"/>
        <v>46.788753799392097</v>
      </c>
    </row>
    <row r="117" spans="1:25" x14ac:dyDescent="0.25">
      <c r="A117" s="26" t="s">
        <v>336</v>
      </c>
      <c r="B117" s="26" t="s">
        <v>337</v>
      </c>
      <c r="C117" s="26" t="s">
        <v>212</v>
      </c>
      <c r="D117" s="26">
        <v>4</v>
      </c>
      <c r="E117" s="26"/>
      <c r="F117" s="26">
        <v>1</v>
      </c>
      <c r="G117" s="26"/>
      <c r="H117" s="26">
        <v>68</v>
      </c>
      <c r="I117" s="26">
        <v>247</v>
      </c>
      <c r="J117" s="26">
        <v>1</v>
      </c>
      <c r="K117" s="26">
        <v>341</v>
      </c>
      <c r="L117" s="26">
        <v>1</v>
      </c>
      <c r="M117" s="26">
        <v>659</v>
      </c>
      <c r="N117" s="28">
        <v>36.21244309559939</v>
      </c>
      <c r="O117" s="26" t="s">
        <v>307</v>
      </c>
      <c r="P117" s="26">
        <f t="shared" si="28"/>
        <v>341</v>
      </c>
      <c r="Q117" s="26">
        <f t="shared" si="29"/>
        <v>68</v>
      </c>
      <c r="R117" s="26">
        <f t="shared" si="30"/>
        <v>247</v>
      </c>
      <c r="S117" s="26">
        <f t="shared" si="31"/>
        <v>3</v>
      </c>
      <c r="T117" s="26">
        <f t="shared" si="32"/>
        <v>659</v>
      </c>
      <c r="U117" s="27">
        <f t="shared" si="33"/>
        <v>0.51745068285280726</v>
      </c>
      <c r="V117" s="27">
        <f t="shared" si="34"/>
        <v>0.10318664643399089</v>
      </c>
      <c r="W117" s="27">
        <f t="shared" si="35"/>
        <v>0.37481031866464337</v>
      </c>
      <c r="X117" s="27">
        <f t="shared" si="36"/>
        <v>4.552352048558422E-3</v>
      </c>
      <c r="Y117" s="28">
        <f t="shared" si="37"/>
        <v>36.21244309559939</v>
      </c>
    </row>
    <row r="118" spans="1:25" x14ac:dyDescent="0.25">
      <c r="A118" s="26" t="s">
        <v>336</v>
      </c>
      <c r="B118" s="26" t="s">
        <v>337</v>
      </c>
      <c r="C118" s="26" t="s">
        <v>212</v>
      </c>
      <c r="D118" s="26">
        <v>5</v>
      </c>
      <c r="E118" s="26"/>
      <c r="F118" s="26"/>
      <c r="G118" s="26"/>
      <c r="H118" s="26">
        <v>65</v>
      </c>
      <c r="I118" s="26">
        <v>244</v>
      </c>
      <c r="J118" s="26"/>
      <c r="K118" s="26">
        <v>350</v>
      </c>
      <c r="L118" s="26"/>
      <c r="M118" s="26">
        <v>659</v>
      </c>
      <c r="N118" s="28">
        <v>25.701062215477997</v>
      </c>
      <c r="O118" s="26" t="s">
        <v>307</v>
      </c>
      <c r="P118" s="26">
        <f t="shared" ref="P118:P174" si="47">K118</f>
        <v>350</v>
      </c>
      <c r="Q118" s="26">
        <f t="shared" ref="Q118:Q174" si="48">H118</f>
        <v>65</v>
      </c>
      <c r="R118" s="26">
        <f t="shared" ref="R118:R174" si="49">I118</f>
        <v>244</v>
      </c>
      <c r="S118" s="26">
        <f t="shared" ref="S118:S174" si="50">M118-SUM(P118:R118)</f>
        <v>0</v>
      </c>
      <c r="T118" s="26">
        <f t="shared" ref="T118:T174" si="51">SUM(P118:S118)</f>
        <v>659</v>
      </c>
      <c r="U118" s="27">
        <f t="shared" ref="U118:U174" si="52">P118/M118</f>
        <v>0.53110773899848251</v>
      </c>
      <c r="V118" s="27">
        <f t="shared" ref="V118:V174" si="53">Q118/M118</f>
        <v>9.8634294385432475E-2</v>
      </c>
      <c r="W118" s="27">
        <f t="shared" ref="W118:W174" si="54">R118/M118</f>
        <v>0.37025796661608495</v>
      </c>
      <c r="X118" s="27">
        <f t="shared" ref="X118:X174" si="55">S118/M118</f>
        <v>0</v>
      </c>
      <c r="Y118" s="28">
        <f t="shared" ref="Y118:Y174" si="56">N118</f>
        <v>25.701062215477997</v>
      </c>
    </row>
    <row r="119" spans="1:25" x14ac:dyDescent="0.25">
      <c r="A119" s="26" t="s">
        <v>338</v>
      </c>
      <c r="B119" s="26" t="s">
        <v>339</v>
      </c>
      <c r="C119" s="26" t="s">
        <v>214</v>
      </c>
      <c r="D119" s="26">
        <v>1</v>
      </c>
      <c r="E119" s="26"/>
      <c r="F119" s="26"/>
      <c r="G119" s="26"/>
      <c r="H119" s="26">
        <v>38</v>
      </c>
      <c r="I119" s="26">
        <v>46</v>
      </c>
      <c r="J119" s="26"/>
      <c r="K119" s="26">
        <v>366</v>
      </c>
      <c r="L119" s="26"/>
      <c r="M119" s="26">
        <v>450</v>
      </c>
      <c r="N119" s="28">
        <v>66.031111111111116</v>
      </c>
      <c r="O119" s="26" t="s">
        <v>307</v>
      </c>
      <c r="P119" s="26">
        <f t="shared" si="47"/>
        <v>366</v>
      </c>
      <c r="Q119" s="26">
        <f t="shared" si="48"/>
        <v>38</v>
      </c>
      <c r="R119" s="26">
        <f t="shared" si="49"/>
        <v>46</v>
      </c>
      <c r="S119" s="26">
        <f t="shared" si="50"/>
        <v>0</v>
      </c>
      <c r="T119" s="26">
        <f t="shared" si="51"/>
        <v>450</v>
      </c>
      <c r="U119" s="27">
        <f t="shared" si="52"/>
        <v>0.81333333333333335</v>
      </c>
      <c r="V119" s="27">
        <f t="shared" si="53"/>
        <v>8.4444444444444447E-2</v>
      </c>
      <c r="W119" s="27">
        <f t="shared" si="54"/>
        <v>0.10222222222222223</v>
      </c>
      <c r="X119" s="27">
        <f t="shared" si="55"/>
        <v>0</v>
      </c>
      <c r="Y119" s="28">
        <f t="shared" si="56"/>
        <v>66.031111111111116</v>
      </c>
    </row>
    <row r="120" spans="1:25" x14ac:dyDescent="0.25">
      <c r="A120" s="26" t="s">
        <v>338</v>
      </c>
      <c r="B120" s="26" t="s">
        <v>339</v>
      </c>
      <c r="C120" s="26" t="s">
        <v>214</v>
      </c>
      <c r="D120" s="26">
        <v>2</v>
      </c>
      <c r="E120" s="26"/>
      <c r="F120" s="26"/>
      <c r="G120" s="26">
        <v>2</v>
      </c>
      <c r="H120" s="26">
        <v>8</v>
      </c>
      <c r="I120" s="26">
        <v>22</v>
      </c>
      <c r="J120" s="26"/>
      <c r="K120" s="26">
        <v>418</v>
      </c>
      <c r="L120" s="26"/>
      <c r="M120" s="26">
        <v>450</v>
      </c>
      <c r="N120" s="28">
        <v>57.162222222222219</v>
      </c>
      <c r="O120" s="26" t="s">
        <v>307</v>
      </c>
      <c r="P120" s="26">
        <f t="shared" si="47"/>
        <v>418</v>
      </c>
      <c r="Q120" s="26">
        <f t="shared" si="48"/>
        <v>8</v>
      </c>
      <c r="R120" s="26">
        <f t="shared" si="49"/>
        <v>22</v>
      </c>
      <c r="S120" s="26">
        <f t="shared" si="50"/>
        <v>2</v>
      </c>
      <c r="T120" s="26">
        <f t="shared" si="51"/>
        <v>450</v>
      </c>
      <c r="U120" s="27">
        <f t="shared" si="52"/>
        <v>0.92888888888888888</v>
      </c>
      <c r="V120" s="27">
        <f t="shared" si="53"/>
        <v>1.7777777777777778E-2</v>
      </c>
      <c r="W120" s="27">
        <f t="shared" si="54"/>
        <v>4.8888888888888891E-2</v>
      </c>
      <c r="X120" s="27">
        <f t="shared" si="55"/>
        <v>4.4444444444444444E-3</v>
      </c>
      <c r="Y120" s="28">
        <f t="shared" si="56"/>
        <v>57.162222222222219</v>
      </c>
    </row>
    <row r="121" spans="1:25" x14ac:dyDescent="0.25">
      <c r="A121" s="26" t="s">
        <v>338</v>
      </c>
      <c r="B121" s="26" t="s">
        <v>339</v>
      </c>
      <c r="C121" s="26" t="s">
        <v>214</v>
      </c>
      <c r="D121" s="26">
        <v>3</v>
      </c>
      <c r="E121" s="26"/>
      <c r="F121" s="26">
        <v>2</v>
      </c>
      <c r="G121" s="26"/>
      <c r="H121" s="26">
        <v>7</v>
      </c>
      <c r="I121" s="26">
        <v>35</v>
      </c>
      <c r="J121" s="26">
        <v>3</v>
      </c>
      <c r="K121" s="26">
        <v>631</v>
      </c>
      <c r="L121" s="26">
        <v>1</v>
      </c>
      <c r="M121" s="26">
        <v>679</v>
      </c>
      <c r="N121" s="28">
        <v>43.982326951399116</v>
      </c>
      <c r="O121" s="26" t="s">
        <v>307</v>
      </c>
      <c r="P121" s="26">
        <f t="shared" si="47"/>
        <v>631</v>
      </c>
      <c r="Q121" s="26">
        <f t="shared" si="48"/>
        <v>7</v>
      </c>
      <c r="R121" s="26">
        <f t="shared" si="49"/>
        <v>35</v>
      </c>
      <c r="S121" s="26">
        <f t="shared" si="50"/>
        <v>6</v>
      </c>
      <c r="T121" s="26">
        <f t="shared" si="51"/>
        <v>679</v>
      </c>
      <c r="U121" s="27">
        <f t="shared" si="52"/>
        <v>0.92930780559646542</v>
      </c>
      <c r="V121" s="27">
        <f t="shared" si="53"/>
        <v>1.0309278350515464E-2</v>
      </c>
      <c r="W121" s="27">
        <f t="shared" si="54"/>
        <v>5.1546391752577317E-2</v>
      </c>
      <c r="X121" s="27">
        <f t="shared" si="55"/>
        <v>8.836524300441826E-3</v>
      </c>
      <c r="Y121" s="28">
        <f t="shared" si="56"/>
        <v>43.982326951399116</v>
      </c>
    </row>
    <row r="122" spans="1:25" x14ac:dyDescent="0.25">
      <c r="A122" s="26" t="s">
        <v>338</v>
      </c>
      <c r="B122" s="26" t="s">
        <v>339</v>
      </c>
      <c r="C122" s="26" t="s">
        <v>214</v>
      </c>
      <c r="D122" s="26">
        <v>4</v>
      </c>
      <c r="E122" s="26"/>
      <c r="F122" s="26"/>
      <c r="G122" s="26"/>
      <c r="H122" s="26">
        <v>6</v>
      </c>
      <c r="I122" s="26">
        <v>17</v>
      </c>
      <c r="J122" s="26">
        <v>1</v>
      </c>
      <c r="K122" s="26">
        <v>655</v>
      </c>
      <c r="L122" s="26"/>
      <c r="M122" s="26">
        <v>679</v>
      </c>
      <c r="N122" s="28">
        <v>30.117820324005891</v>
      </c>
      <c r="O122" s="26" t="s">
        <v>307</v>
      </c>
      <c r="P122" s="26">
        <f t="shared" si="47"/>
        <v>655</v>
      </c>
      <c r="Q122" s="26">
        <f t="shared" si="48"/>
        <v>6</v>
      </c>
      <c r="R122" s="26">
        <f t="shared" si="49"/>
        <v>17</v>
      </c>
      <c r="S122" s="26">
        <f t="shared" si="50"/>
        <v>1</v>
      </c>
      <c r="T122" s="26">
        <f t="shared" si="51"/>
        <v>679</v>
      </c>
      <c r="U122" s="27">
        <f t="shared" si="52"/>
        <v>0.96465390279823271</v>
      </c>
      <c r="V122" s="27">
        <f t="shared" si="53"/>
        <v>8.836524300441826E-3</v>
      </c>
      <c r="W122" s="27">
        <f t="shared" si="54"/>
        <v>2.5036818851251842E-2</v>
      </c>
      <c r="X122" s="27">
        <f t="shared" si="55"/>
        <v>1.4727540500736377E-3</v>
      </c>
      <c r="Y122" s="28">
        <f t="shared" si="56"/>
        <v>30.117820324005891</v>
      </c>
    </row>
    <row r="123" spans="1:25" x14ac:dyDescent="0.25">
      <c r="A123" s="26" t="s">
        <v>338</v>
      </c>
      <c r="B123" s="26" t="s">
        <v>339</v>
      </c>
      <c r="C123" s="26" t="s">
        <v>214</v>
      </c>
      <c r="D123" s="26">
        <v>5</v>
      </c>
      <c r="E123" s="26"/>
      <c r="F123" s="26"/>
      <c r="G123" s="26"/>
      <c r="H123" s="26">
        <v>1</v>
      </c>
      <c r="I123" s="26">
        <v>27</v>
      </c>
      <c r="J123" s="26"/>
      <c r="K123" s="26">
        <v>652</v>
      </c>
      <c r="L123" s="26"/>
      <c r="M123" s="26">
        <v>680</v>
      </c>
      <c r="N123" s="28">
        <v>21.548529411764704</v>
      </c>
      <c r="O123" s="26" t="s">
        <v>307</v>
      </c>
      <c r="P123" s="26">
        <f t="shared" si="47"/>
        <v>652</v>
      </c>
      <c r="Q123" s="26">
        <f t="shared" si="48"/>
        <v>1</v>
      </c>
      <c r="R123" s="26">
        <f t="shared" si="49"/>
        <v>27</v>
      </c>
      <c r="S123" s="26">
        <f t="shared" si="50"/>
        <v>0</v>
      </c>
      <c r="T123" s="26">
        <f t="shared" si="51"/>
        <v>680</v>
      </c>
      <c r="U123" s="27">
        <f t="shared" si="52"/>
        <v>0.95882352941176474</v>
      </c>
      <c r="V123" s="27">
        <f t="shared" si="53"/>
        <v>1.4705882352941176E-3</v>
      </c>
      <c r="W123" s="27">
        <f t="shared" si="54"/>
        <v>3.9705882352941174E-2</v>
      </c>
      <c r="X123" s="27">
        <f t="shared" si="55"/>
        <v>0</v>
      </c>
      <c r="Y123" s="28">
        <f t="shared" si="56"/>
        <v>21.548529411764704</v>
      </c>
    </row>
    <row r="124" spans="1:25" x14ac:dyDescent="0.25">
      <c r="A124" s="26" t="s">
        <v>340</v>
      </c>
      <c r="B124" s="26" t="s">
        <v>341</v>
      </c>
      <c r="C124" s="26" t="s">
        <v>216</v>
      </c>
      <c r="D124" s="26">
        <v>1</v>
      </c>
      <c r="E124" s="26"/>
      <c r="F124" s="26"/>
      <c r="G124" s="26"/>
      <c r="H124" s="26">
        <v>5</v>
      </c>
      <c r="I124" s="26">
        <v>16</v>
      </c>
      <c r="J124" s="26">
        <v>2</v>
      </c>
      <c r="K124" s="26">
        <v>427</v>
      </c>
      <c r="L124" s="26"/>
      <c r="M124" s="26">
        <v>450</v>
      </c>
      <c r="N124" s="28">
        <v>61.362222222222222</v>
      </c>
      <c r="O124" s="26" t="s">
        <v>307</v>
      </c>
      <c r="P124" s="26">
        <f>K124</f>
        <v>427</v>
      </c>
      <c r="Q124" s="26">
        <f t="shared" ref="Q124:R128" si="57">H124</f>
        <v>5</v>
      </c>
      <c r="R124" s="26">
        <f t="shared" si="57"/>
        <v>16</v>
      </c>
      <c r="S124" s="26">
        <f>M124-SUM(P124:R124)</f>
        <v>2</v>
      </c>
      <c r="T124" s="26">
        <f>SUM(P124:S124)</f>
        <v>450</v>
      </c>
      <c r="U124" s="27">
        <f>P124/M124</f>
        <v>0.94888888888888889</v>
      </c>
      <c r="V124" s="27">
        <f>Q124/M124</f>
        <v>1.1111111111111112E-2</v>
      </c>
      <c r="W124" s="27">
        <f>R124/M124</f>
        <v>3.5555555555555556E-2</v>
      </c>
      <c r="X124" s="27">
        <f>S124/M124</f>
        <v>4.4444444444444444E-3</v>
      </c>
      <c r="Y124" s="28">
        <f>N124</f>
        <v>61.362222222222222</v>
      </c>
    </row>
    <row r="125" spans="1:25" x14ac:dyDescent="0.25">
      <c r="A125" s="26" t="s">
        <v>340</v>
      </c>
      <c r="B125" s="26" t="s">
        <v>341</v>
      </c>
      <c r="C125" s="26" t="s">
        <v>216</v>
      </c>
      <c r="D125" s="26">
        <v>2</v>
      </c>
      <c r="E125" s="26"/>
      <c r="F125" s="26">
        <v>1</v>
      </c>
      <c r="G125" s="26">
        <v>2</v>
      </c>
      <c r="H125" s="26">
        <v>22</v>
      </c>
      <c r="I125" s="26">
        <v>32</v>
      </c>
      <c r="J125" s="26">
        <v>1</v>
      </c>
      <c r="K125" s="26">
        <v>647</v>
      </c>
      <c r="L125" s="26"/>
      <c r="M125" s="26">
        <v>705</v>
      </c>
      <c r="N125" s="28">
        <v>47.94609929078014</v>
      </c>
      <c r="O125" s="26" t="s">
        <v>307</v>
      </c>
      <c r="P125" s="26">
        <f>K125</f>
        <v>647</v>
      </c>
      <c r="Q125" s="26">
        <f t="shared" si="57"/>
        <v>22</v>
      </c>
      <c r="R125" s="26">
        <f t="shared" si="57"/>
        <v>32</v>
      </c>
      <c r="S125" s="26">
        <f>M125-SUM(P125:R125)</f>
        <v>4</v>
      </c>
      <c r="T125" s="26">
        <f>SUM(P125:S125)</f>
        <v>705</v>
      </c>
      <c r="U125" s="27">
        <f>P125/M125</f>
        <v>0.9177304964539007</v>
      </c>
      <c r="V125" s="27">
        <f>Q125/M125</f>
        <v>3.1205673758865248E-2</v>
      </c>
      <c r="W125" s="27">
        <f>R125/M125</f>
        <v>4.5390070921985819E-2</v>
      </c>
      <c r="X125" s="27">
        <f>S125/M125</f>
        <v>5.6737588652482273E-3</v>
      </c>
      <c r="Y125" s="28">
        <f>N125</f>
        <v>47.94609929078014</v>
      </c>
    </row>
    <row r="126" spans="1:25" x14ac:dyDescent="0.25">
      <c r="A126" s="26" t="s">
        <v>340</v>
      </c>
      <c r="B126" s="26" t="s">
        <v>341</v>
      </c>
      <c r="C126" s="26" t="s">
        <v>216</v>
      </c>
      <c r="D126" s="26">
        <v>3</v>
      </c>
      <c r="E126" s="26">
        <v>1</v>
      </c>
      <c r="F126" s="26"/>
      <c r="G126" s="26"/>
      <c r="H126" s="26">
        <v>16</v>
      </c>
      <c r="I126" s="26">
        <v>23</v>
      </c>
      <c r="J126" s="26">
        <v>1</v>
      </c>
      <c r="K126" s="26">
        <v>664</v>
      </c>
      <c r="L126" s="26"/>
      <c r="M126" s="26">
        <v>705</v>
      </c>
      <c r="N126" s="28">
        <v>32.699290780141844</v>
      </c>
      <c r="O126" s="26" t="s">
        <v>307</v>
      </c>
      <c r="P126" s="26">
        <f>K126</f>
        <v>664</v>
      </c>
      <c r="Q126" s="26">
        <f t="shared" si="57"/>
        <v>16</v>
      </c>
      <c r="R126" s="26">
        <f t="shared" si="57"/>
        <v>23</v>
      </c>
      <c r="S126" s="26">
        <f>M126-SUM(P126:R126)</f>
        <v>2</v>
      </c>
      <c r="T126" s="26">
        <f>SUM(P126:S126)</f>
        <v>705</v>
      </c>
      <c r="U126" s="27">
        <f>P126/M126</f>
        <v>0.9418439716312057</v>
      </c>
      <c r="V126" s="27">
        <f>Q126/M126</f>
        <v>2.2695035460992909E-2</v>
      </c>
      <c r="W126" s="27">
        <f>R126/M126</f>
        <v>3.2624113475177303E-2</v>
      </c>
      <c r="X126" s="27">
        <f>S126/M126</f>
        <v>2.8368794326241137E-3</v>
      </c>
      <c r="Y126" s="28">
        <f>N126</f>
        <v>32.699290780141844</v>
      </c>
    </row>
    <row r="127" spans="1:25" x14ac:dyDescent="0.25">
      <c r="A127" s="26" t="s">
        <v>340</v>
      </c>
      <c r="B127" s="26" t="s">
        <v>341</v>
      </c>
      <c r="C127" s="26" t="s">
        <v>216</v>
      </c>
      <c r="D127" s="26">
        <v>4</v>
      </c>
      <c r="E127" s="26"/>
      <c r="F127" s="26"/>
      <c r="G127" s="26"/>
      <c r="H127" s="26">
        <v>19</v>
      </c>
      <c r="I127" s="26">
        <v>12</v>
      </c>
      <c r="J127" s="26">
        <v>1</v>
      </c>
      <c r="K127" s="26">
        <v>673</v>
      </c>
      <c r="L127" s="26"/>
      <c r="M127" s="26">
        <v>705</v>
      </c>
      <c r="N127" s="28">
        <v>25.8</v>
      </c>
      <c r="O127" s="26" t="s">
        <v>307</v>
      </c>
      <c r="P127" s="26">
        <f>K127</f>
        <v>673</v>
      </c>
      <c r="Q127" s="26">
        <f t="shared" si="57"/>
        <v>19</v>
      </c>
      <c r="R127" s="26">
        <f t="shared" si="57"/>
        <v>12</v>
      </c>
      <c r="S127" s="26">
        <f>M127-SUM(P127:R127)</f>
        <v>1</v>
      </c>
      <c r="T127" s="26">
        <f>SUM(P127:S127)</f>
        <v>705</v>
      </c>
      <c r="U127" s="27">
        <f>P127/M127</f>
        <v>0.95460992907801423</v>
      </c>
      <c r="V127" s="27">
        <f>Q127/M127</f>
        <v>2.6950354609929079E-2</v>
      </c>
      <c r="W127" s="27">
        <f>R127/M127</f>
        <v>1.7021276595744681E-2</v>
      </c>
      <c r="X127" s="27">
        <f>S127/M127</f>
        <v>1.4184397163120568E-3</v>
      </c>
      <c r="Y127" s="28">
        <f>N127</f>
        <v>25.8</v>
      </c>
    </row>
    <row r="128" spans="1:25" x14ac:dyDescent="0.25">
      <c r="A128" s="26" t="s">
        <v>340</v>
      </c>
      <c r="B128" s="26" t="s">
        <v>341</v>
      </c>
      <c r="C128" s="26" t="s">
        <v>216</v>
      </c>
      <c r="D128" s="26">
        <v>5</v>
      </c>
      <c r="E128" s="26"/>
      <c r="F128" s="26"/>
      <c r="G128" s="26"/>
      <c r="H128" s="26">
        <v>13</v>
      </c>
      <c r="I128" s="26">
        <v>12</v>
      </c>
      <c r="J128" s="26"/>
      <c r="K128" s="26">
        <v>680</v>
      </c>
      <c r="L128" s="26"/>
      <c r="M128" s="26">
        <v>705</v>
      </c>
      <c r="N128" s="28">
        <v>20.595744680851062</v>
      </c>
      <c r="O128" s="26" t="s">
        <v>307</v>
      </c>
      <c r="P128" s="26">
        <f>K128</f>
        <v>680</v>
      </c>
      <c r="Q128" s="26">
        <f t="shared" si="57"/>
        <v>13</v>
      </c>
      <c r="R128" s="26">
        <f t="shared" si="57"/>
        <v>12</v>
      </c>
      <c r="S128" s="26">
        <f>M128-SUM(P128:R128)</f>
        <v>0</v>
      </c>
      <c r="T128" s="26">
        <f>SUM(P128:S128)</f>
        <v>705</v>
      </c>
      <c r="U128" s="27">
        <f>P128/M128</f>
        <v>0.96453900709219853</v>
      </c>
      <c r="V128" s="27">
        <f>Q128/M128</f>
        <v>1.8439716312056736E-2</v>
      </c>
      <c r="W128" s="27">
        <f>R128/M128</f>
        <v>1.7021276595744681E-2</v>
      </c>
      <c r="X128" s="27">
        <f>S128/M128</f>
        <v>0</v>
      </c>
      <c r="Y128" s="28">
        <f>N128</f>
        <v>20.595744680851062</v>
      </c>
    </row>
    <row r="129" spans="1:25" x14ac:dyDescent="0.25">
      <c r="A129" s="26" t="s">
        <v>340</v>
      </c>
      <c r="B129" s="26" t="s">
        <v>341</v>
      </c>
      <c r="C129" s="26" t="s">
        <v>217</v>
      </c>
      <c r="D129" s="26">
        <v>1</v>
      </c>
      <c r="E129" s="26"/>
      <c r="F129" s="26"/>
      <c r="G129" s="26"/>
      <c r="H129" s="26">
        <v>134</v>
      </c>
      <c r="I129" s="26">
        <v>28</v>
      </c>
      <c r="J129" s="26"/>
      <c r="K129" s="26">
        <v>288</v>
      </c>
      <c r="L129" s="26"/>
      <c r="M129" s="26">
        <v>450</v>
      </c>
      <c r="N129" s="28">
        <v>68.862222222222229</v>
      </c>
      <c r="O129" s="26" t="s">
        <v>307</v>
      </c>
      <c r="P129" s="26">
        <f t="shared" si="47"/>
        <v>288</v>
      </c>
      <c r="Q129" s="26">
        <f t="shared" si="48"/>
        <v>134</v>
      </c>
      <c r="R129" s="26">
        <f t="shared" si="49"/>
        <v>28</v>
      </c>
      <c r="S129" s="26">
        <f t="shared" si="50"/>
        <v>0</v>
      </c>
      <c r="T129" s="26">
        <f t="shared" si="51"/>
        <v>450</v>
      </c>
      <c r="U129" s="27">
        <f t="shared" si="52"/>
        <v>0.64</v>
      </c>
      <c r="V129" s="27">
        <f t="shared" si="53"/>
        <v>0.29777777777777775</v>
      </c>
      <c r="W129" s="27">
        <f t="shared" si="54"/>
        <v>6.222222222222222E-2</v>
      </c>
      <c r="X129" s="27">
        <f t="shared" si="55"/>
        <v>0</v>
      </c>
      <c r="Y129" s="28">
        <f t="shared" si="56"/>
        <v>68.862222222222229</v>
      </c>
    </row>
    <row r="130" spans="1:25" x14ac:dyDescent="0.25">
      <c r="A130" s="26" t="s">
        <v>340</v>
      </c>
      <c r="B130" s="26" t="s">
        <v>341</v>
      </c>
      <c r="C130" s="26" t="s">
        <v>217</v>
      </c>
      <c r="D130" s="26">
        <v>2</v>
      </c>
      <c r="E130" s="26"/>
      <c r="F130" s="26"/>
      <c r="G130" s="26"/>
      <c r="H130" s="26">
        <v>99</v>
      </c>
      <c r="I130" s="26">
        <v>23</v>
      </c>
      <c r="J130" s="26"/>
      <c r="K130" s="26">
        <v>328</v>
      </c>
      <c r="L130" s="26"/>
      <c r="M130" s="26">
        <v>450</v>
      </c>
      <c r="N130" s="28">
        <v>55.086666666666666</v>
      </c>
      <c r="O130" s="26" t="s">
        <v>307</v>
      </c>
      <c r="P130" s="26">
        <f t="shared" si="47"/>
        <v>328</v>
      </c>
      <c r="Q130" s="26">
        <f t="shared" si="48"/>
        <v>99</v>
      </c>
      <c r="R130" s="26">
        <f t="shared" si="49"/>
        <v>23</v>
      </c>
      <c r="S130" s="26">
        <f t="shared" si="50"/>
        <v>0</v>
      </c>
      <c r="T130" s="26">
        <f t="shared" si="51"/>
        <v>450</v>
      </c>
      <c r="U130" s="27">
        <f t="shared" si="52"/>
        <v>0.72888888888888892</v>
      </c>
      <c r="V130" s="27">
        <f t="shared" si="53"/>
        <v>0.22</v>
      </c>
      <c r="W130" s="27">
        <f t="shared" si="54"/>
        <v>5.1111111111111114E-2</v>
      </c>
      <c r="X130" s="27">
        <f t="shared" si="55"/>
        <v>0</v>
      </c>
      <c r="Y130" s="28">
        <f t="shared" si="56"/>
        <v>55.086666666666666</v>
      </c>
    </row>
    <row r="131" spans="1:25" x14ac:dyDescent="0.25">
      <c r="A131" s="26" t="s">
        <v>340</v>
      </c>
      <c r="B131" s="26" t="s">
        <v>341</v>
      </c>
      <c r="C131" s="26" t="s">
        <v>217</v>
      </c>
      <c r="D131" s="26">
        <v>3</v>
      </c>
      <c r="E131" s="26"/>
      <c r="F131" s="26"/>
      <c r="G131" s="26">
        <v>2</v>
      </c>
      <c r="H131" s="26">
        <v>134</v>
      </c>
      <c r="I131" s="26">
        <v>65</v>
      </c>
      <c r="J131" s="26">
        <v>1</v>
      </c>
      <c r="K131" s="26">
        <v>443</v>
      </c>
      <c r="L131" s="26"/>
      <c r="M131" s="26">
        <v>645</v>
      </c>
      <c r="N131" s="28">
        <v>40.013953488372096</v>
      </c>
      <c r="O131" s="26" t="s">
        <v>307</v>
      </c>
      <c r="P131" s="26">
        <f t="shared" si="47"/>
        <v>443</v>
      </c>
      <c r="Q131" s="26">
        <f t="shared" si="48"/>
        <v>134</v>
      </c>
      <c r="R131" s="26">
        <f t="shared" si="49"/>
        <v>65</v>
      </c>
      <c r="S131" s="26">
        <f t="shared" si="50"/>
        <v>3</v>
      </c>
      <c r="T131" s="26">
        <f t="shared" si="51"/>
        <v>645</v>
      </c>
      <c r="U131" s="27">
        <f t="shared" si="52"/>
        <v>0.68682170542635657</v>
      </c>
      <c r="V131" s="27">
        <f t="shared" si="53"/>
        <v>0.20775193798449612</v>
      </c>
      <c r="W131" s="27">
        <f t="shared" si="54"/>
        <v>0.10077519379844961</v>
      </c>
      <c r="X131" s="27">
        <f t="shared" si="55"/>
        <v>4.6511627906976744E-3</v>
      </c>
      <c r="Y131" s="28">
        <f t="shared" si="56"/>
        <v>40.013953488372096</v>
      </c>
    </row>
    <row r="132" spans="1:25" x14ac:dyDescent="0.25">
      <c r="A132" s="26" t="s">
        <v>340</v>
      </c>
      <c r="B132" s="26" t="s">
        <v>341</v>
      </c>
      <c r="C132" s="26" t="s">
        <v>217</v>
      </c>
      <c r="D132" s="26">
        <v>4</v>
      </c>
      <c r="E132" s="26"/>
      <c r="F132" s="26"/>
      <c r="G132" s="26">
        <v>1</v>
      </c>
      <c r="H132" s="26">
        <v>90</v>
      </c>
      <c r="I132" s="26">
        <v>72</v>
      </c>
      <c r="J132" s="26">
        <v>1</v>
      </c>
      <c r="K132" s="26">
        <v>481</v>
      </c>
      <c r="L132" s="26"/>
      <c r="M132" s="26">
        <v>645</v>
      </c>
      <c r="N132" s="28">
        <v>24.913178294573644</v>
      </c>
      <c r="O132" s="26" t="s">
        <v>307</v>
      </c>
      <c r="P132" s="26">
        <f t="shared" si="47"/>
        <v>481</v>
      </c>
      <c r="Q132" s="26">
        <f t="shared" si="48"/>
        <v>90</v>
      </c>
      <c r="R132" s="26">
        <f t="shared" si="49"/>
        <v>72</v>
      </c>
      <c r="S132" s="26">
        <f t="shared" si="50"/>
        <v>2</v>
      </c>
      <c r="T132" s="26">
        <f t="shared" si="51"/>
        <v>645</v>
      </c>
      <c r="U132" s="27">
        <f t="shared" si="52"/>
        <v>0.74573643410852708</v>
      </c>
      <c r="V132" s="27">
        <f t="shared" si="53"/>
        <v>0.13953488372093023</v>
      </c>
      <c r="W132" s="27">
        <f t="shared" si="54"/>
        <v>0.11162790697674418</v>
      </c>
      <c r="X132" s="27">
        <f t="shared" si="55"/>
        <v>3.1007751937984496E-3</v>
      </c>
      <c r="Y132" s="28">
        <f t="shared" si="56"/>
        <v>24.913178294573644</v>
      </c>
    </row>
    <row r="133" spans="1:25" x14ac:dyDescent="0.25">
      <c r="A133" s="26" t="s">
        <v>342</v>
      </c>
      <c r="B133" s="26" t="s">
        <v>343</v>
      </c>
      <c r="C133" s="26" t="s">
        <v>219</v>
      </c>
      <c r="D133" s="26">
        <v>1</v>
      </c>
      <c r="E133" s="26"/>
      <c r="F133" s="26"/>
      <c r="G133" s="26"/>
      <c r="H133" s="26">
        <v>65</v>
      </c>
      <c r="I133" s="26">
        <v>18</v>
      </c>
      <c r="J133" s="26">
        <v>2</v>
      </c>
      <c r="K133" s="26">
        <v>265</v>
      </c>
      <c r="L133" s="26"/>
      <c r="M133" s="26">
        <v>350</v>
      </c>
      <c r="N133" s="28">
        <v>68.342857142857142</v>
      </c>
      <c r="O133" s="26" t="s">
        <v>307</v>
      </c>
      <c r="P133" s="26">
        <f t="shared" si="47"/>
        <v>265</v>
      </c>
      <c r="Q133" s="26">
        <f t="shared" si="48"/>
        <v>65</v>
      </c>
      <c r="R133" s="26">
        <f t="shared" si="49"/>
        <v>18</v>
      </c>
      <c r="S133" s="26">
        <f t="shared" si="50"/>
        <v>2</v>
      </c>
      <c r="T133" s="26">
        <f t="shared" si="51"/>
        <v>350</v>
      </c>
      <c r="U133" s="27">
        <f t="shared" si="52"/>
        <v>0.75714285714285712</v>
      </c>
      <c r="V133" s="27">
        <f t="shared" si="53"/>
        <v>0.18571428571428572</v>
      </c>
      <c r="W133" s="27">
        <f t="shared" si="54"/>
        <v>5.1428571428571428E-2</v>
      </c>
      <c r="X133" s="27">
        <f t="shared" si="55"/>
        <v>5.7142857142857143E-3</v>
      </c>
      <c r="Y133" s="28">
        <f t="shared" si="56"/>
        <v>68.342857142857142</v>
      </c>
    </row>
    <row r="134" spans="1:25" x14ac:dyDescent="0.25">
      <c r="A134" s="26" t="s">
        <v>342</v>
      </c>
      <c r="B134" s="26" t="s">
        <v>343</v>
      </c>
      <c r="C134" s="26" t="s">
        <v>219</v>
      </c>
      <c r="D134" s="26">
        <v>2</v>
      </c>
      <c r="E134" s="26"/>
      <c r="F134" s="26"/>
      <c r="G134" s="26">
        <v>1</v>
      </c>
      <c r="H134" s="26">
        <v>18</v>
      </c>
      <c r="I134" s="26">
        <v>16</v>
      </c>
      <c r="J134" s="26"/>
      <c r="K134" s="26">
        <v>415</v>
      </c>
      <c r="L134" s="26"/>
      <c r="M134" s="26">
        <v>450</v>
      </c>
      <c r="N134" s="28">
        <v>38.142222222222223</v>
      </c>
      <c r="O134" s="26" t="s">
        <v>307</v>
      </c>
      <c r="P134" s="26">
        <f t="shared" si="47"/>
        <v>415</v>
      </c>
      <c r="Q134" s="26">
        <f t="shared" si="48"/>
        <v>18</v>
      </c>
      <c r="R134" s="26">
        <f t="shared" si="49"/>
        <v>16</v>
      </c>
      <c r="S134" s="26">
        <f t="shared" si="50"/>
        <v>1</v>
      </c>
      <c r="T134" s="26">
        <f t="shared" si="51"/>
        <v>450</v>
      </c>
      <c r="U134" s="27">
        <f t="shared" si="52"/>
        <v>0.92222222222222228</v>
      </c>
      <c r="V134" s="27">
        <f t="shared" si="53"/>
        <v>0.04</v>
      </c>
      <c r="W134" s="27">
        <f t="shared" si="54"/>
        <v>3.5555555555555556E-2</v>
      </c>
      <c r="X134" s="27">
        <f t="shared" si="55"/>
        <v>2.2222222222222222E-3</v>
      </c>
      <c r="Y134" s="28">
        <f t="shared" si="56"/>
        <v>38.142222222222223</v>
      </c>
    </row>
    <row r="135" spans="1:25" x14ac:dyDescent="0.25">
      <c r="A135" s="26" t="s">
        <v>344</v>
      </c>
      <c r="B135" s="26" t="s">
        <v>345</v>
      </c>
      <c r="C135" s="26" t="s">
        <v>221</v>
      </c>
      <c r="D135" s="26">
        <v>1</v>
      </c>
      <c r="E135" s="26"/>
      <c r="F135" s="26"/>
      <c r="G135" s="26"/>
      <c r="H135" s="26"/>
      <c r="I135" s="26">
        <v>2</v>
      </c>
      <c r="J135" s="26"/>
      <c r="K135" s="26">
        <v>448</v>
      </c>
      <c r="L135" s="26"/>
      <c r="M135" s="26">
        <v>450</v>
      </c>
      <c r="N135" s="28">
        <v>62.12222222222222</v>
      </c>
      <c r="O135" s="26" t="s">
        <v>307</v>
      </c>
      <c r="P135" s="26">
        <f t="shared" si="47"/>
        <v>448</v>
      </c>
      <c r="Q135" s="26">
        <f t="shared" si="48"/>
        <v>0</v>
      </c>
      <c r="R135" s="26">
        <f t="shared" si="49"/>
        <v>2</v>
      </c>
      <c r="S135" s="26">
        <f t="shared" si="50"/>
        <v>0</v>
      </c>
      <c r="T135" s="26">
        <f t="shared" si="51"/>
        <v>450</v>
      </c>
      <c r="U135" s="27">
        <f t="shared" si="52"/>
        <v>0.99555555555555553</v>
      </c>
      <c r="V135" s="27">
        <f t="shared" si="53"/>
        <v>0</v>
      </c>
      <c r="W135" s="27">
        <f t="shared" si="54"/>
        <v>4.4444444444444444E-3</v>
      </c>
      <c r="X135" s="27">
        <f t="shared" si="55"/>
        <v>0</v>
      </c>
      <c r="Y135" s="28">
        <f t="shared" si="56"/>
        <v>62.12222222222222</v>
      </c>
    </row>
    <row r="136" spans="1:25" x14ac:dyDescent="0.25">
      <c r="A136" s="26" t="s">
        <v>344</v>
      </c>
      <c r="B136" s="26" t="s">
        <v>345</v>
      </c>
      <c r="C136" s="26" t="s">
        <v>221</v>
      </c>
      <c r="D136" s="26">
        <v>2</v>
      </c>
      <c r="E136" s="26"/>
      <c r="F136" s="26"/>
      <c r="G136" s="26"/>
      <c r="H136" s="26"/>
      <c r="I136" s="26">
        <v>2</v>
      </c>
      <c r="J136" s="26"/>
      <c r="K136" s="26">
        <v>634</v>
      </c>
      <c r="L136" s="26"/>
      <c r="M136" s="26">
        <v>636</v>
      </c>
      <c r="N136" s="28">
        <v>31.429245283018869</v>
      </c>
      <c r="O136" s="26" t="s">
        <v>307</v>
      </c>
      <c r="P136" s="26">
        <f t="shared" si="47"/>
        <v>634</v>
      </c>
      <c r="Q136" s="26">
        <f t="shared" si="48"/>
        <v>0</v>
      </c>
      <c r="R136" s="26">
        <f t="shared" si="49"/>
        <v>2</v>
      </c>
      <c r="S136" s="26">
        <f t="shared" si="50"/>
        <v>0</v>
      </c>
      <c r="T136" s="26">
        <f t="shared" si="51"/>
        <v>636</v>
      </c>
      <c r="U136" s="27">
        <f t="shared" si="52"/>
        <v>0.99685534591194969</v>
      </c>
      <c r="V136" s="27">
        <f t="shared" si="53"/>
        <v>0</v>
      </c>
      <c r="W136" s="27">
        <f t="shared" si="54"/>
        <v>3.1446540880503146E-3</v>
      </c>
      <c r="X136" s="27">
        <f t="shared" si="55"/>
        <v>0</v>
      </c>
      <c r="Y136" s="28">
        <f t="shared" si="56"/>
        <v>31.429245283018869</v>
      </c>
    </row>
    <row r="137" spans="1:25" x14ac:dyDescent="0.25">
      <c r="A137" s="26" t="s">
        <v>346</v>
      </c>
      <c r="B137" s="26" t="s">
        <v>347</v>
      </c>
      <c r="C137" s="26" t="s">
        <v>223</v>
      </c>
      <c r="D137" s="26">
        <v>1</v>
      </c>
      <c r="E137" s="26"/>
      <c r="F137" s="26"/>
      <c r="G137" s="26"/>
      <c r="H137" s="26">
        <v>1</v>
      </c>
      <c r="I137" s="26">
        <v>6</v>
      </c>
      <c r="J137" s="26"/>
      <c r="K137" s="26">
        <v>443</v>
      </c>
      <c r="L137" s="26"/>
      <c r="M137" s="26">
        <v>450</v>
      </c>
      <c r="N137" s="28">
        <v>62.906666666666666</v>
      </c>
      <c r="O137" s="26" t="s">
        <v>307</v>
      </c>
      <c r="P137" s="26">
        <f t="shared" si="47"/>
        <v>443</v>
      </c>
      <c r="Q137" s="26">
        <f t="shared" si="48"/>
        <v>1</v>
      </c>
      <c r="R137" s="26">
        <f t="shared" si="49"/>
        <v>6</v>
      </c>
      <c r="S137" s="26">
        <f t="shared" si="50"/>
        <v>0</v>
      </c>
      <c r="T137" s="26">
        <f t="shared" si="51"/>
        <v>450</v>
      </c>
      <c r="U137" s="27">
        <f t="shared" si="52"/>
        <v>0.98444444444444446</v>
      </c>
      <c r="V137" s="27">
        <f t="shared" si="53"/>
        <v>2.2222222222222222E-3</v>
      </c>
      <c r="W137" s="27">
        <f t="shared" si="54"/>
        <v>1.3333333333333334E-2</v>
      </c>
      <c r="X137" s="27">
        <f t="shared" si="55"/>
        <v>0</v>
      </c>
      <c r="Y137" s="28">
        <f t="shared" si="56"/>
        <v>62.906666666666666</v>
      </c>
    </row>
    <row r="138" spans="1:25" x14ac:dyDescent="0.25">
      <c r="A138" s="26" t="s">
        <v>346</v>
      </c>
      <c r="B138" s="26" t="s">
        <v>347</v>
      </c>
      <c r="C138" s="26" t="s">
        <v>223</v>
      </c>
      <c r="D138" s="26">
        <v>2</v>
      </c>
      <c r="E138" s="26"/>
      <c r="F138" s="26"/>
      <c r="G138" s="26"/>
      <c r="H138" s="26"/>
      <c r="I138" s="26">
        <v>12</v>
      </c>
      <c r="J138" s="26"/>
      <c r="K138" s="26">
        <v>704</v>
      </c>
      <c r="L138" s="26"/>
      <c r="M138" s="26">
        <v>716</v>
      </c>
      <c r="N138" s="28">
        <v>33.581005586592177</v>
      </c>
      <c r="O138" s="26" t="s">
        <v>307</v>
      </c>
      <c r="P138" s="26">
        <f t="shared" si="47"/>
        <v>704</v>
      </c>
      <c r="Q138" s="26">
        <f t="shared" si="48"/>
        <v>0</v>
      </c>
      <c r="R138" s="26">
        <f t="shared" si="49"/>
        <v>12</v>
      </c>
      <c r="S138" s="26">
        <f t="shared" si="50"/>
        <v>0</v>
      </c>
      <c r="T138" s="26">
        <f t="shared" si="51"/>
        <v>716</v>
      </c>
      <c r="U138" s="27">
        <f t="shared" si="52"/>
        <v>0.98324022346368711</v>
      </c>
      <c r="V138" s="27">
        <f t="shared" si="53"/>
        <v>0</v>
      </c>
      <c r="W138" s="27">
        <f t="shared" si="54"/>
        <v>1.6759776536312849E-2</v>
      </c>
      <c r="X138" s="27">
        <f t="shared" si="55"/>
        <v>0</v>
      </c>
      <c r="Y138" s="28">
        <f t="shared" si="56"/>
        <v>33.581005586592177</v>
      </c>
    </row>
    <row r="139" spans="1:25" x14ac:dyDescent="0.25">
      <c r="A139" s="26" t="s">
        <v>348</v>
      </c>
      <c r="B139" s="26" t="s">
        <v>349</v>
      </c>
      <c r="C139" s="26" t="s">
        <v>225</v>
      </c>
      <c r="D139" s="26">
        <v>1</v>
      </c>
      <c r="E139" s="26"/>
      <c r="F139" s="26"/>
      <c r="G139" s="26"/>
      <c r="H139" s="26">
        <v>6</v>
      </c>
      <c r="I139" s="26">
        <v>3</v>
      </c>
      <c r="J139" s="26"/>
      <c r="K139" s="26">
        <v>441</v>
      </c>
      <c r="L139" s="26"/>
      <c r="M139" s="26">
        <v>450</v>
      </c>
      <c r="N139" s="28">
        <v>65.742222222222225</v>
      </c>
      <c r="O139" s="26" t="s">
        <v>307</v>
      </c>
      <c r="P139" s="26">
        <f t="shared" si="47"/>
        <v>441</v>
      </c>
      <c r="Q139" s="26">
        <f t="shared" si="48"/>
        <v>6</v>
      </c>
      <c r="R139" s="26">
        <f t="shared" si="49"/>
        <v>3</v>
      </c>
      <c r="S139" s="26">
        <f t="shared" si="50"/>
        <v>0</v>
      </c>
      <c r="T139" s="26">
        <f t="shared" si="51"/>
        <v>450</v>
      </c>
      <c r="U139" s="27">
        <f t="shared" si="52"/>
        <v>0.98</v>
      </c>
      <c r="V139" s="27">
        <f t="shared" si="53"/>
        <v>1.3333333333333334E-2</v>
      </c>
      <c r="W139" s="27">
        <f t="shared" si="54"/>
        <v>6.6666666666666671E-3</v>
      </c>
      <c r="X139" s="27">
        <f t="shared" si="55"/>
        <v>0</v>
      </c>
      <c r="Y139" s="28">
        <f t="shared" si="56"/>
        <v>65.742222222222225</v>
      </c>
    </row>
    <row r="140" spans="1:25" x14ac:dyDescent="0.25">
      <c r="A140" s="26" t="s">
        <v>348</v>
      </c>
      <c r="B140" s="26" t="s">
        <v>349</v>
      </c>
      <c r="C140" s="26" t="s">
        <v>225</v>
      </c>
      <c r="D140" s="26">
        <v>2</v>
      </c>
      <c r="E140" s="26"/>
      <c r="F140" s="26"/>
      <c r="G140" s="26"/>
      <c r="H140" s="26">
        <v>1</v>
      </c>
      <c r="I140" s="26">
        <v>7</v>
      </c>
      <c r="J140" s="26">
        <v>1</v>
      </c>
      <c r="K140" s="26">
        <v>441</v>
      </c>
      <c r="L140" s="26"/>
      <c r="M140" s="26">
        <v>450</v>
      </c>
      <c r="N140" s="28">
        <v>55.055555555555557</v>
      </c>
      <c r="O140" s="26" t="s">
        <v>307</v>
      </c>
      <c r="P140" s="26">
        <f t="shared" si="47"/>
        <v>441</v>
      </c>
      <c r="Q140" s="26">
        <f t="shared" si="48"/>
        <v>1</v>
      </c>
      <c r="R140" s="26">
        <f t="shared" si="49"/>
        <v>7</v>
      </c>
      <c r="S140" s="26">
        <f t="shared" si="50"/>
        <v>1</v>
      </c>
      <c r="T140" s="26">
        <f t="shared" si="51"/>
        <v>450</v>
      </c>
      <c r="U140" s="27">
        <f t="shared" si="52"/>
        <v>0.98</v>
      </c>
      <c r="V140" s="27">
        <f t="shared" si="53"/>
        <v>2.2222222222222222E-3</v>
      </c>
      <c r="W140" s="27">
        <f t="shared" si="54"/>
        <v>1.5555555555555555E-2</v>
      </c>
      <c r="X140" s="27">
        <f t="shared" si="55"/>
        <v>2.2222222222222222E-3</v>
      </c>
      <c r="Y140" s="28">
        <f t="shared" si="56"/>
        <v>55.055555555555557</v>
      </c>
    </row>
    <row r="141" spans="1:25" x14ac:dyDescent="0.25">
      <c r="A141" s="26" t="s">
        <v>348</v>
      </c>
      <c r="B141" s="26" t="s">
        <v>349</v>
      </c>
      <c r="C141" s="26" t="s">
        <v>225</v>
      </c>
      <c r="D141" s="26">
        <v>3</v>
      </c>
      <c r="E141" s="26"/>
      <c r="F141" s="26"/>
      <c r="G141" s="26"/>
      <c r="H141" s="26">
        <v>4</v>
      </c>
      <c r="I141" s="26">
        <v>2</v>
      </c>
      <c r="J141" s="26"/>
      <c r="K141" s="26">
        <v>503</v>
      </c>
      <c r="L141" s="26">
        <v>1</v>
      </c>
      <c r="M141" s="26">
        <v>510</v>
      </c>
      <c r="N141" s="28">
        <v>41.492156862745098</v>
      </c>
      <c r="O141" s="26" t="s">
        <v>307</v>
      </c>
      <c r="P141" s="26">
        <f t="shared" si="47"/>
        <v>503</v>
      </c>
      <c r="Q141" s="26">
        <f t="shared" si="48"/>
        <v>4</v>
      </c>
      <c r="R141" s="26">
        <f t="shared" si="49"/>
        <v>2</v>
      </c>
      <c r="S141" s="26">
        <f t="shared" si="50"/>
        <v>1</v>
      </c>
      <c r="T141" s="26">
        <f t="shared" si="51"/>
        <v>510</v>
      </c>
      <c r="U141" s="27">
        <f t="shared" si="52"/>
        <v>0.98627450980392162</v>
      </c>
      <c r="V141" s="27">
        <f t="shared" si="53"/>
        <v>7.8431372549019607E-3</v>
      </c>
      <c r="W141" s="27">
        <f t="shared" si="54"/>
        <v>3.9215686274509803E-3</v>
      </c>
      <c r="X141" s="27">
        <f t="shared" si="55"/>
        <v>1.9607843137254902E-3</v>
      </c>
      <c r="Y141" s="28">
        <f t="shared" si="56"/>
        <v>41.492156862745098</v>
      </c>
    </row>
    <row r="142" spans="1:25" x14ac:dyDescent="0.25">
      <c r="A142" s="26" t="s">
        <v>348</v>
      </c>
      <c r="B142" s="26" t="s">
        <v>349</v>
      </c>
      <c r="C142" s="26" t="s">
        <v>225</v>
      </c>
      <c r="D142" s="26">
        <v>4</v>
      </c>
      <c r="E142" s="26"/>
      <c r="F142" s="26"/>
      <c r="G142" s="26"/>
      <c r="H142" s="26"/>
      <c r="I142" s="26">
        <v>2</v>
      </c>
      <c r="J142" s="26"/>
      <c r="K142" s="26">
        <v>508</v>
      </c>
      <c r="L142" s="26"/>
      <c r="M142" s="26">
        <v>510</v>
      </c>
      <c r="N142" s="28">
        <v>29.594117647058823</v>
      </c>
      <c r="O142" s="26" t="s">
        <v>307</v>
      </c>
      <c r="P142" s="26">
        <f t="shared" si="47"/>
        <v>508</v>
      </c>
      <c r="Q142" s="26">
        <f t="shared" si="48"/>
        <v>0</v>
      </c>
      <c r="R142" s="26">
        <f t="shared" si="49"/>
        <v>2</v>
      </c>
      <c r="S142" s="26">
        <f t="shared" si="50"/>
        <v>0</v>
      </c>
      <c r="T142" s="26">
        <f t="shared" si="51"/>
        <v>510</v>
      </c>
      <c r="U142" s="27">
        <f t="shared" si="52"/>
        <v>0.99607843137254903</v>
      </c>
      <c r="V142" s="27">
        <f t="shared" si="53"/>
        <v>0</v>
      </c>
      <c r="W142" s="27">
        <f t="shared" si="54"/>
        <v>3.9215686274509803E-3</v>
      </c>
      <c r="X142" s="27">
        <f t="shared" si="55"/>
        <v>0</v>
      </c>
      <c r="Y142" s="28">
        <f t="shared" si="56"/>
        <v>29.594117647058823</v>
      </c>
    </row>
    <row r="143" spans="1:25" x14ac:dyDescent="0.25">
      <c r="A143" s="26" t="s">
        <v>348</v>
      </c>
      <c r="B143" s="26" t="s">
        <v>349</v>
      </c>
      <c r="C143" s="26" t="s">
        <v>225</v>
      </c>
      <c r="D143" s="26">
        <v>5</v>
      </c>
      <c r="E143" s="26"/>
      <c r="F143" s="26"/>
      <c r="G143" s="26"/>
      <c r="H143" s="26"/>
      <c r="I143" s="26"/>
      <c r="J143" s="26"/>
      <c r="K143" s="26">
        <v>510</v>
      </c>
      <c r="L143" s="26"/>
      <c r="M143" s="26">
        <v>510</v>
      </c>
      <c r="N143" s="28">
        <v>21.658823529411766</v>
      </c>
      <c r="O143" s="26" t="s">
        <v>307</v>
      </c>
      <c r="P143" s="26">
        <f t="shared" si="47"/>
        <v>510</v>
      </c>
      <c r="Q143" s="26">
        <f t="shared" si="48"/>
        <v>0</v>
      </c>
      <c r="R143" s="26">
        <f t="shared" si="49"/>
        <v>0</v>
      </c>
      <c r="S143" s="26">
        <f t="shared" si="50"/>
        <v>0</v>
      </c>
      <c r="T143" s="26">
        <f t="shared" si="51"/>
        <v>510</v>
      </c>
      <c r="U143" s="27">
        <f t="shared" si="52"/>
        <v>1</v>
      </c>
      <c r="V143" s="27">
        <f t="shared" si="53"/>
        <v>0</v>
      </c>
      <c r="W143" s="27">
        <f t="shared" si="54"/>
        <v>0</v>
      </c>
      <c r="X143" s="27">
        <f t="shared" si="55"/>
        <v>0</v>
      </c>
      <c r="Y143" s="28">
        <f t="shared" si="56"/>
        <v>21.658823529411766</v>
      </c>
    </row>
    <row r="144" spans="1:25" x14ac:dyDescent="0.25">
      <c r="A144" s="26" t="s">
        <v>350</v>
      </c>
      <c r="B144" s="26" t="s">
        <v>351</v>
      </c>
      <c r="C144" s="26" t="s">
        <v>227</v>
      </c>
      <c r="D144" s="26">
        <v>1</v>
      </c>
      <c r="E144" s="26">
        <v>1</v>
      </c>
      <c r="F144" s="26">
        <v>2</v>
      </c>
      <c r="G144" s="26">
        <v>1</v>
      </c>
      <c r="H144" s="26">
        <v>38</v>
      </c>
      <c r="I144" s="26">
        <v>62</v>
      </c>
      <c r="J144" s="26">
        <v>3</v>
      </c>
      <c r="K144" s="26">
        <v>342</v>
      </c>
      <c r="L144" s="26">
        <v>1</v>
      </c>
      <c r="M144" s="26">
        <v>450</v>
      </c>
      <c r="N144" s="28">
        <v>56.888888888888886</v>
      </c>
      <c r="O144" s="26" t="s">
        <v>307</v>
      </c>
      <c r="P144" s="26">
        <f t="shared" si="47"/>
        <v>342</v>
      </c>
      <c r="Q144" s="26">
        <f t="shared" si="48"/>
        <v>38</v>
      </c>
      <c r="R144" s="26">
        <f t="shared" si="49"/>
        <v>62</v>
      </c>
      <c r="S144" s="26">
        <f t="shared" si="50"/>
        <v>8</v>
      </c>
      <c r="T144" s="26">
        <f t="shared" si="51"/>
        <v>450</v>
      </c>
      <c r="U144" s="27">
        <f t="shared" si="52"/>
        <v>0.76</v>
      </c>
      <c r="V144" s="27">
        <f t="shared" si="53"/>
        <v>8.4444444444444447E-2</v>
      </c>
      <c r="W144" s="27">
        <f t="shared" si="54"/>
        <v>0.13777777777777778</v>
      </c>
      <c r="X144" s="27">
        <f t="shared" si="55"/>
        <v>1.7777777777777778E-2</v>
      </c>
      <c r="Y144" s="28">
        <f t="shared" si="56"/>
        <v>56.888888888888886</v>
      </c>
    </row>
    <row r="145" spans="1:25" x14ac:dyDescent="0.25">
      <c r="A145" s="26" t="s">
        <v>350</v>
      </c>
      <c r="B145" s="26" t="s">
        <v>351</v>
      </c>
      <c r="C145" s="26" t="s">
        <v>227</v>
      </c>
      <c r="D145" s="26">
        <v>2</v>
      </c>
      <c r="E145" s="26">
        <v>1</v>
      </c>
      <c r="F145" s="26">
        <v>2</v>
      </c>
      <c r="G145" s="26">
        <v>1</v>
      </c>
      <c r="H145" s="26">
        <v>31</v>
      </c>
      <c r="I145" s="26">
        <v>73</v>
      </c>
      <c r="J145" s="26">
        <v>1</v>
      </c>
      <c r="K145" s="26">
        <v>470</v>
      </c>
      <c r="L145" s="26"/>
      <c r="M145" s="26">
        <v>579</v>
      </c>
      <c r="N145" s="28">
        <v>44.360967184801382</v>
      </c>
      <c r="O145" s="26" t="s">
        <v>307</v>
      </c>
      <c r="P145" s="26">
        <f t="shared" si="47"/>
        <v>470</v>
      </c>
      <c r="Q145" s="26">
        <f t="shared" si="48"/>
        <v>31</v>
      </c>
      <c r="R145" s="26">
        <f t="shared" si="49"/>
        <v>73</v>
      </c>
      <c r="S145" s="26">
        <f t="shared" si="50"/>
        <v>5</v>
      </c>
      <c r="T145" s="26">
        <f t="shared" si="51"/>
        <v>579</v>
      </c>
      <c r="U145" s="27">
        <f t="shared" si="52"/>
        <v>0.81174438687392059</v>
      </c>
      <c r="V145" s="27">
        <f t="shared" si="53"/>
        <v>5.3540587219343697E-2</v>
      </c>
      <c r="W145" s="27">
        <f t="shared" si="54"/>
        <v>0.12607944732297063</v>
      </c>
      <c r="X145" s="27">
        <f t="shared" si="55"/>
        <v>8.6355785837651123E-3</v>
      </c>
      <c r="Y145" s="28">
        <f t="shared" si="56"/>
        <v>44.360967184801382</v>
      </c>
    </row>
    <row r="146" spans="1:25" x14ac:dyDescent="0.25">
      <c r="A146" s="26" t="s">
        <v>350</v>
      </c>
      <c r="B146" s="26" t="s">
        <v>351</v>
      </c>
      <c r="C146" s="26" t="s">
        <v>227</v>
      </c>
      <c r="D146" s="26">
        <v>3</v>
      </c>
      <c r="E146" s="26">
        <v>2</v>
      </c>
      <c r="F146" s="26">
        <v>1</v>
      </c>
      <c r="G146" s="26"/>
      <c r="H146" s="26">
        <v>51</v>
      </c>
      <c r="I146" s="26">
        <v>74</v>
      </c>
      <c r="J146" s="26">
        <v>2</v>
      </c>
      <c r="K146" s="26">
        <v>449</v>
      </c>
      <c r="L146" s="26"/>
      <c r="M146" s="26">
        <v>579</v>
      </c>
      <c r="N146" s="28">
        <v>36.354058721934372</v>
      </c>
      <c r="O146" s="26" t="s">
        <v>307</v>
      </c>
      <c r="P146" s="26">
        <f t="shared" si="47"/>
        <v>449</v>
      </c>
      <c r="Q146" s="26">
        <f t="shared" si="48"/>
        <v>51</v>
      </c>
      <c r="R146" s="26">
        <f t="shared" si="49"/>
        <v>74</v>
      </c>
      <c r="S146" s="26">
        <f t="shared" si="50"/>
        <v>5</v>
      </c>
      <c r="T146" s="26">
        <f t="shared" si="51"/>
        <v>579</v>
      </c>
      <c r="U146" s="27">
        <f t="shared" si="52"/>
        <v>0.7754749568221071</v>
      </c>
      <c r="V146" s="27">
        <f t="shared" si="53"/>
        <v>8.8082901554404139E-2</v>
      </c>
      <c r="W146" s="27">
        <f t="shared" si="54"/>
        <v>0.12780656303972365</v>
      </c>
      <c r="X146" s="27">
        <f t="shared" si="55"/>
        <v>8.6355785837651123E-3</v>
      </c>
      <c r="Y146" s="28">
        <f t="shared" si="56"/>
        <v>36.354058721934372</v>
      </c>
    </row>
    <row r="147" spans="1:25" x14ac:dyDescent="0.25">
      <c r="A147" s="26" t="s">
        <v>350</v>
      </c>
      <c r="B147" s="26" t="s">
        <v>351</v>
      </c>
      <c r="C147" s="26" t="s">
        <v>227</v>
      </c>
      <c r="D147" s="26">
        <v>4</v>
      </c>
      <c r="E147" s="26">
        <v>1</v>
      </c>
      <c r="F147" s="26"/>
      <c r="G147" s="26">
        <v>3</v>
      </c>
      <c r="H147" s="26">
        <v>46</v>
      </c>
      <c r="I147" s="26">
        <v>61</v>
      </c>
      <c r="J147" s="26">
        <v>1</v>
      </c>
      <c r="K147" s="26">
        <v>467</v>
      </c>
      <c r="L147" s="26"/>
      <c r="M147" s="26">
        <v>579</v>
      </c>
      <c r="N147" s="28">
        <v>27.008635578583764</v>
      </c>
      <c r="O147" s="26" t="s">
        <v>307</v>
      </c>
      <c r="P147" s="26">
        <f t="shared" si="47"/>
        <v>467</v>
      </c>
      <c r="Q147" s="26">
        <f t="shared" si="48"/>
        <v>46</v>
      </c>
      <c r="R147" s="26">
        <f t="shared" si="49"/>
        <v>61</v>
      </c>
      <c r="S147" s="26">
        <f t="shared" si="50"/>
        <v>5</v>
      </c>
      <c r="T147" s="26">
        <f t="shared" si="51"/>
        <v>579</v>
      </c>
      <c r="U147" s="27">
        <f t="shared" si="52"/>
        <v>0.8065630397236615</v>
      </c>
      <c r="V147" s="27">
        <f t="shared" si="53"/>
        <v>7.9447322970639028E-2</v>
      </c>
      <c r="W147" s="27">
        <f t="shared" si="54"/>
        <v>0.10535405872193437</v>
      </c>
      <c r="X147" s="27">
        <f t="shared" si="55"/>
        <v>8.6355785837651123E-3</v>
      </c>
      <c r="Y147" s="28">
        <f t="shared" si="56"/>
        <v>27.008635578583764</v>
      </c>
    </row>
    <row r="148" spans="1:25" x14ac:dyDescent="0.25">
      <c r="A148" s="26" t="s">
        <v>350</v>
      </c>
      <c r="B148" s="26" t="s">
        <v>351</v>
      </c>
      <c r="C148" s="26" t="s">
        <v>227</v>
      </c>
      <c r="D148" s="26">
        <v>5</v>
      </c>
      <c r="E148" s="26"/>
      <c r="F148" s="26"/>
      <c r="G148" s="26"/>
      <c r="H148" s="26">
        <v>45</v>
      </c>
      <c r="I148" s="26">
        <v>51</v>
      </c>
      <c r="J148" s="26"/>
      <c r="K148" s="26">
        <v>485</v>
      </c>
      <c r="L148" s="26"/>
      <c r="M148" s="26">
        <v>581</v>
      </c>
      <c r="N148" s="28">
        <v>20.204819277108435</v>
      </c>
      <c r="O148" s="26" t="s">
        <v>307</v>
      </c>
      <c r="P148" s="26">
        <f t="shared" si="47"/>
        <v>485</v>
      </c>
      <c r="Q148" s="26">
        <f t="shared" si="48"/>
        <v>45</v>
      </c>
      <c r="R148" s="26">
        <f t="shared" si="49"/>
        <v>51</v>
      </c>
      <c r="S148" s="26">
        <f t="shared" si="50"/>
        <v>0</v>
      </c>
      <c r="T148" s="26">
        <f t="shared" si="51"/>
        <v>581</v>
      </c>
      <c r="U148" s="27">
        <f t="shared" si="52"/>
        <v>0.83476764199655762</v>
      </c>
      <c r="V148" s="27">
        <f t="shared" si="53"/>
        <v>7.7452667814113599E-2</v>
      </c>
      <c r="W148" s="27">
        <f t="shared" si="54"/>
        <v>8.7779690189328741E-2</v>
      </c>
      <c r="X148" s="27">
        <f t="shared" si="55"/>
        <v>0</v>
      </c>
      <c r="Y148" s="28">
        <f t="shared" si="56"/>
        <v>20.204819277108435</v>
      </c>
    </row>
    <row r="149" spans="1:25" x14ac:dyDescent="0.25">
      <c r="A149" s="26" t="s">
        <v>352</v>
      </c>
      <c r="B149" s="26" t="s">
        <v>353</v>
      </c>
      <c r="C149" s="26" t="s">
        <v>229</v>
      </c>
      <c r="D149" s="26">
        <v>1</v>
      </c>
      <c r="E149" s="26"/>
      <c r="F149" s="26"/>
      <c r="G149" s="26"/>
      <c r="H149" s="26">
        <v>52</v>
      </c>
      <c r="I149" s="26">
        <v>73</v>
      </c>
      <c r="J149" s="26">
        <v>1</v>
      </c>
      <c r="K149" s="26">
        <v>324</v>
      </c>
      <c r="L149" s="26"/>
      <c r="M149" s="26">
        <v>450</v>
      </c>
      <c r="N149" s="28">
        <v>68.22</v>
      </c>
      <c r="O149" s="26" t="s">
        <v>307</v>
      </c>
      <c r="P149" s="26">
        <f t="shared" si="47"/>
        <v>324</v>
      </c>
      <c r="Q149" s="26">
        <f t="shared" si="48"/>
        <v>52</v>
      </c>
      <c r="R149" s="26">
        <f t="shared" si="49"/>
        <v>73</v>
      </c>
      <c r="S149" s="26">
        <f t="shared" si="50"/>
        <v>1</v>
      </c>
      <c r="T149" s="26">
        <f t="shared" si="51"/>
        <v>450</v>
      </c>
      <c r="U149" s="27">
        <f t="shared" si="52"/>
        <v>0.72</v>
      </c>
      <c r="V149" s="27">
        <f t="shared" si="53"/>
        <v>0.11555555555555555</v>
      </c>
      <c r="W149" s="27">
        <f t="shared" si="54"/>
        <v>0.16222222222222221</v>
      </c>
      <c r="X149" s="27">
        <f t="shared" si="55"/>
        <v>2.2222222222222222E-3</v>
      </c>
      <c r="Y149" s="28">
        <f t="shared" si="56"/>
        <v>68.22</v>
      </c>
    </row>
    <row r="150" spans="1:25" x14ac:dyDescent="0.25">
      <c r="A150" s="26" t="s">
        <v>352</v>
      </c>
      <c r="B150" s="26" t="s">
        <v>353</v>
      </c>
      <c r="C150" s="26" t="s">
        <v>229</v>
      </c>
      <c r="D150" s="26">
        <v>2</v>
      </c>
      <c r="E150" s="26"/>
      <c r="F150" s="26"/>
      <c r="G150" s="26">
        <v>1</v>
      </c>
      <c r="H150" s="26">
        <v>40</v>
      </c>
      <c r="I150" s="26">
        <v>66</v>
      </c>
      <c r="J150" s="26">
        <v>3</v>
      </c>
      <c r="K150" s="26">
        <v>340</v>
      </c>
      <c r="L150" s="26"/>
      <c r="M150" s="26">
        <v>450</v>
      </c>
      <c r="N150" s="28">
        <v>61</v>
      </c>
      <c r="O150" s="26" t="s">
        <v>307</v>
      </c>
      <c r="P150" s="26">
        <f t="shared" si="47"/>
        <v>340</v>
      </c>
      <c r="Q150" s="26">
        <f t="shared" si="48"/>
        <v>40</v>
      </c>
      <c r="R150" s="26">
        <f t="shared" si="49"/>
        <v>66</v>
      </c>
      <c r="S150" s="26">
        <f t="shared" si="50"/>
        <v>4</v>
      </c>
      <c r="T150" s="26">
        <f t="shared" si="51"/>
        <v>450</v>
      </c>
      <c r="U150" s="27">
        <f t="shared" si="52"/>
        <v>0.75555555555555554</v>
      </c>
      <c r="V150" s="27">
        <f t="shared" si="53"/>
        <v>8.8888888888888892E-2</v>
      </c>
      <c r="W150" s="27">
        <f t="shared" si="54"/>
        <v>0.14666666666666667</v>
      </c>
      <c r="X150" s="27">
        <f t="shared" si="55"/>
        <v>8.8888888888888889E-3</v>
      </c>
      <c r="Y150" s="28">
        <f t="shared" si="56"/>
        <v>61</v>
      </c>
    </row>
    <row r="151" spans="1:25" x14ac:dyDescent="0.25">
      <c r="A151" s="26" t="s">
        <v>352</v>
      </c>
      <c r="B151" s="26" t="s">
        <v>353</v>
      </c>
      <c r="C151" s="26" t="s">
        <v>229</v>
      </c>
      <c r="D151" s="26">
        <v>3</v>
      </c>
      <c r="E151" s="26"/>
      <c r="F151" s="26">
        <v>3</v>
      </c>
      <c r="G151" s="26">
        <v>1</v>
      </c>
      <c r="H151" s="26">
        <v>38</v>
      </c>
      <c r="I151" s="26">
        <v>82</v>
      </c>
      <c r="J151" s="26">
        <v>2</v>
      </c>
      <c r="K151" s="26">
        <v>552</v>
      </c>
      <c r="L151" s="26">
        <v>1</v>
      </c>
      <c r="M151" s="26">
        <v>679</v>
      </c>
      <c r="N151" s="28">
        <v>52.706921944035344</v>
      </c>
      <c r="O151" s="26" t="s">
        <v>307</v>
      </c>
      <c r="P151" s="26">
        <f t="shared" si="47"/>
        <v>552</v>
      </c>
      <c r="Q151" s="26">
        <f t="shared" si="48"/>
        <v>38</v>
      </c>
      <c r="R151" s="26">
        <f t="shared" si="49"/>
        <v>82</v>
      </c>
      <c r="S151" s="26">
        <f t="shared" si="50"/>
        <v>7</v>
      </c>
      <c r="T151" s="26">
        <f t="shared" si="51"/>
        <v>679</v>
      </c>
      <c r="U151" s="27">
        <f t="shared" si="52"/>
        <v>0.81296023564064801</v>
      </c>
      <c r="V151" s="27">
        <f t="shared" si="53"/>
        <v>5.5964653902798235E-2</v>
      </c>
      <c r="W151" s="27">
        <f t="shared" si="54"/>
        <v>0.12076583210603829</v>
      </c>
      <c r="X151" s="27">
        <f t="shared" si="55"/>
        <v>1.0309278350515464E-2</v>
      </c>
      <c r="Y151" s="28">
        <f t="shared" si="56"/>
        <v>52.706921944035344</v>
      </c>
    </row>
    <row r="152" spans="1:25" x14ac:dyDescent="0.25">
      <c r="A152" s="26" t="s">
        <v>352</v>
      </c>
      <c r="B152" s="26" t="s">
        <v>353</v>
      </c>
      <c r="C152" s="26" t="s">
        <v>229</v>
      </c>
      <c r="D152" s="26">
        <v>4</v>
      </c>
      <c r="E152" s="26"/>
      <c r="F152" s="26"/>
      <c r="G152" s="26"/>
      <c r="H152" s="26">
        <v>53</v>
      </c>
      <c r="I152" s="26">
        <v>114</v>
      </c>
      <c r="J152" s="26">
        <v>1</v>
      </c>
      <c r="K152" s="26">
        <v>511</v>
      </c>
      <c r="L152" s="26"/>
      <c r="M152" s="26">
        <v>679</v>
      </c>
      <c r="N152" s="28">
        <v>42.266568483063331</v>
      </c>
      <c r="O152" s="26" t="s">
        <v>307</v>
      </c>
      <c r="P152" s="26">
        <f t="shared" si="47"/>
        <v>511</v>
      </c>
      <c r="Q152" s="26">
        <f t="shared" si="48"/>
        <v>53</v>
      </c>
      <c r="R152" s="26">
        <f t="shared" si="49"/>
        <v>114</v>
      </c>
      <c r="S152" s="26">
        <f t="shared" si="50"/>
        <v>1</v>
      </c>
      <c r="T152" s="26">
        <f t="shared" si="51"/>
        <v>679</v>
      </c>
      <c r="U152" s="27">
        <f t="shared" si="52"/>
        <v>0.75257731958762886</v>
      </c>
      <c r="V152" s="27">
        <f t="shared" si="53"/>
        <v>7.8055964653902798E-2</v>
      </c>
      <c r="W152" s="27">
        <f t="shared" si="54"/>
        <v>0.16789396170839468</v>
      </c>
      <c r="X152" s="27">
        <f t="shared" si="55"/>
        <v>1.4727540500736377E-3</v>
      </c>
      <c r="Y152" s="28">
        <f t="shared" si="56"/>
        <v>42.266568483063331</v>
      </c>
    </row>
    <row r="153" spans="1:25" x14ac:dyDescent="0.25">
      <c r="A153" s="26" t="s">
        <v>352</v>
      </c>
      <c r="B153" s="26" t="s">
        <v>353</v>
      </c>
      <c r="C153" s="26" t="s">
        <v>229</v>
      </c>
      <c r="D153" s="26">
        <v>5</v>
      </c>
      <c r="E153" s="26">
        <v>1</v>
      </c>
      <c r="F153" s="26"/>
      <c r="G153" s="26"/>
      <c r="H153" s="26">
        <v>65</v>
      </c>
      <c r="I153" s="26">
        <v>113</v>
      </c>
      <c r="J153" s="26">
        <v>2</v>
      </c>
      <c r="K153" s="26">
        <v>497</v>
      </c>
      <c r="L153" s="26">
        <v>1</v>
      </c>
      <c r="M153" s="26">
        <v>679</v>
      </c>
      <c r="N153" s="28">
        <v>34.681885125184095</v>
      </c>
      <c r="O153" s="26" t="s">
        <v>307</v>
      </c>
      <c r="P153" s="26">
        <f t="shared" si="47"/>
        <v>497</v>
      </c>
      <c r="Q153" s="26">
        <f t="shared" si="48"/>
        <v>65</v>
      </c>
      <c r="R153" s="26">
        <f t="shared" si="49"/>
        <v>113</v>
      </c>
      <c r="S153" s="26">
        <f t="shared" si="50"/>
        <v>4</v>
      </c>
      <c r="T153" s="26">
        <f t="shared" si="51"/>
        <v>679</v>
      </c>
      <c r="U153" s="27">
        <f t="shared" si="52"/>
        <v>0.73195876288659789</v>
      </c>
      <c r="V153" s="27">
        <f t="shared" si="53"/>
        <v>9.5729013254786458E-2</v>
      </c>
      <c r="W153" s="27">
        <f t="shared" si="54"/>
        <v>0.16642120765832105</v>
      </c>
      <c r="X153" s="27">
        <f t="shared" si="55"/>
        <v>5.8910162002945507E-3</v>
      </c>
      <c r="Y153" s="28">
        <f t="shared" si="56"/>
        <v>34.681885125184095</v>
      </c>
    </row>
    <row r="154" spans="1:25" x14ac:dyDescent="0.25">
      <c r="A154" s="26" t="s">
        <v>352</v>
      </c>
      <c r="B154" s="26" t="s">
        <v>353</v>
      </c>
      <c r="C154" s="26" t="s">
        <v>229</v>
      </c>
      <c r="D154" s="26">
        <v>6</v>
      </c>
      <c r="E154" s="26"/>
      <c r="F154" s="26"/>
      <c r="G154" s="26">
        <v>1</v>
      </c>
      <c r="H154" s="26">
        <v>48</v>
      </c>
      <c r="I154" s="26">
        <v>93</v>
      </c>
      <c r="J154" s="26"/>
      <c r="K154" s="26">
        <v>537</v>
      </c>
      <c r="L154" s="26"/>
      <c r="M154" s="26">
        <v>679</v>
      </c>
      <c r="N154" s="28">
        <v>27.544918998527248</v>
      </c>
      <c r="O154" s="26" t="s">
        <v>307</v>
      </c>
      <c r="P154" s="26">
        <f t="shared" si="47"/>
        <v>537</v>
      </c>
      <c r="Q154" s="26">
        <f t="shared" si="48"/>
        <v>48</v>
      </c>
      <c r="R154" s="26">
        <f t="shared" si="49"/>
        <v>93</v>
      </c>
      <c r="S154" s="26">
        <f t="shared" si="50"/>
        <v>1</v>
      </c>
      <c r="T154" s="26">
        <f t="shared" si="51"/>
        <v>679</v>
      </c>
      <c r="U154" s="27">
        <f t="shared" si="52"/>
        <v>0.79086892488954341</v>
      </c>
      <c r="V154" s="27">
        <f t="shared" si="53"/>
        <v>7.0692194403534608E-2</v>
      </c>
      <c r="W154" s="27">
        <f t="shared" si="54"/>
        <v>0.13696612665684832</v>
      </c>
      <c r="X154" s="27">
        <f t="shared" si="55"/>
        <v>1.4727540500736377E-3</v>
      </c>
      <c r="Y154" s="28">
        <f t="shared" si="56"/>
        <v>27.544918998527248</v>
      </c>
    </row>
    <row r="155" spans="1:25" x14ac:dyDescent="0.25">
      <c r="A155" s="26" t="s">
        <v>352</v>
      </c>
      <c r="B155" s="26" t="s">
        <v>353</v>
      </c>
      <c r="C155" s="26" t="s">
        <v>229</v>
      </c>
      <c r="D155" s="26">
        <v>7</v>
      </c>
      <c r="E155" s="26"/>
      <c r="F155" s="26"/>
      <c r="G155" s="26"/>
      <c r="H155" s="26">
        <v>55</v>
      </c>
      <c r="I155" s="26">
        <v>97</v>
      </c>
      <c r="J155" s="26"/>
      <c r="K155" s="26">
        <v>528</v>
      </c>
      <c r="L155" s="26"/>
      <c r="M155" s="26">
        <v>680</v>
      </c>
      <c r="N155" s="28">
        <v>21.44705882352941</v>
      </c>
      <c r="O155" s="26" t="s">
        <v>307</v>
      </c>
      <c r="P155" s="26">
        <f t="shared" si="47"/>
        <v>528</v>
      </c>
      <c r="Q155" s="26">
        <f t="shared" si="48"/>
        <v>55</v>
      </c>
      <c r="R155" s="26">
        <f t="shared" si="49"/>
        <v>97</v>
      </c>
      <c r="S155" s="26">
        <f t="shared" si="50"/>
        <v>0</v>
      </c>
      <c r="T155" s="26">
        <f t="shared" si="51"/>
        <v>680</v>
      </c>
      <c r="U155" s="27">
        <f t="shared" si="52"/>
        <v>0.77647058823529413</v>
      </c>
      <c r="V155" s="27">
        <f t="shared" si="53"/>
        <v>8.0882352941176475E-2</v>
      </c>
      <c r="W155" s="27">
        <f t="shared" si="54"/>
        <v>0.1426470588235294</v>
      </c>
      <c r="X155" s="27">
        <f t="shared" si="55"/>
        <v>0</v>
      </c>
      <c r="Y155" s="28">
        <f t="shared" si="56"/>
        <v>21.44705882352941</v>
      </c>
    </row>
    <row r="156" spans="1:25" x14ac:dyDescent="0.25">
      <c r="A156" s="26" t="s">
        <v>354</v>
      </c>
      <c r="B156" s="26" t="s">
        <v>355</v>
      </c>
      <c r="C156" s="26" t="s">
        <v>231</v>
      </c>
      <c r="D156" s="26">
        <v>1</v>
      </c>
      <c r="E156" s="26"/>
      <c r="F156" s="26"/>
      <c r="G156" s="26">
        <v>1</v>
      </c>
      <c r="H156" s="26">
        <v>10</v>
      </c>
      <c r="I156" s="26">
        <v>190</v>
      </c>
      <c r="J156" s="26">
        <v>2</v>
      </c>
      <c r="K156" s="26">
        <v>247</v>
      </c>
      <c r="L156" s="26"/>
      <c r="M156" s="26">
        <v>450</v>
      </c>
      <c r="N156" s="28">
        <v>60.271111111111111</v>
      </c>
      <c r="O156" s="26" t="s">
        <v>307</v>
      </c>
      <c r="P156" s="26">
        <f t="shared" si="47"/>
        <v>247</v>
      </c>
      <c r="Q156" s="26">
        <f t="shared" si="48"/>
        <v>10</v>
      </c>
      <c r="R156" s="26">
        <f t="shared" si="49"/>
        <v>190</v>
      </c>
      <c r="S156" s="26">
        <f t="shared" si="50"/>
        <v>3</v>
      </c>
      <c r="T156" s="26">
        <f t="shared" si="51"/>
        <v>450</v>
      </c>
      <c r="U156" s="27">
        <f t="shared" si="52"/>
        <v>0.54888888888888887</v>
      </c>
      <c r="V156" s="27">
        <f t="shared" si="53"/>
        <v>2.2222222222222223E-2</v>
      </c>
      <c r="W156" s="27">
        <f t="shared" si="54"/>
        <v>0.42222222222222222</v>
      </c>
      <c r="X156" s="27">
        <f t="shared" si="55"/>
        <v>6.6666666666666671E-3</v>
      </c>
      <c r="Y156" s="28">
        <f t="shared" si="56"/>
        <v>60.271111111111111</v>
      </c>
    </row>
    <row r="157" spans="1:25" x14ac:dyDescent="0.25">
      <c r="A157" s="26" t="s">
        <v>354</v>
      </c>
      <c r="B157" s="26" t="s">
        <v>355</v>
      </c>
      <c r="C157" s="26" t="s">
        <v>231</v>
      </c>
      <c r="D157" s="26">
        <v>2</v>
      </c>
      <c r="E157" s="26"/>
      <c r="F157" s="26">
        <v>2</v>
      </c>
      <c r="G157" s="26"/>
      <c r="H157" s="26">
        <v>11</v>
      </c>
      <c r="I157" s="26">
        <v>333</v>
      </c>
      <c r="J157" s="26">
        <v>3</v>
      </c>
      <c r="K157" s="26">
        <v>373</v>
      </c>
      <c r="L157" s="26"/>
      <c r="M157" s="26">
        <v>722</v>
      </c>
      <c r="N157" s="28">
        <v>46.29639889196676</v>
      </c>
      <c r="O157" s="26" t="s">
        <v>307</v>
      </c>
      <c r="P157" s="26">
        <f t="shared" si="47"/>
        <v>373</v>
      </c>
      <c r="Q157" s="26">
        <f t="shared" si="48"/>
        <v>11</v>
      </c>
      <c r="R157" s="26">
        <f t="shared" si="49"/>
        <v>333</v>
      </c>
      <c r="S157" s="26">
        <f t="shared" si="50"/>
        <v>5</v>
      </c>
      <c r="T157" s="26">
        <f t="shared" si="51"/>
        <v>722</v>
      </c>
      <c r="U157" s="27">
        <f t="shared" si="52"/>
        <v>0.5166204986149584</v>
      </c>
      <c r="V157" s="27">
        <f t="shared" si="53"/>
        <v>1.5235457063711912E-2</v>
      </c>
      <c r="W157" s="27">
        <f t="shared" si="54"/>
        <v>0.46121883656509693</v>
      </c>
      <c r="X157" s="27">
        <f t="shared" si="55"/>
        <v>6.9252077562326868E-3</v>
      </c>
      <c r="Y157" s="28">
        <f t="shared" si="56"/>
        <v>46.29639889196676</v>
      </c>
    </row>
    <row r="158" spans="1:25" x14ac:dyDescent="0.25">
      <c r="A158" s="26" t="s">
        <v>354</v>
      </c>
      <c r="B158" s="26" t="s">
        <v>355</v>
      </c>
      <c r="C158" s="26" t="s">
        <v>231</v>
      </c>
      <c r="D158" s="26">
        <v>3</v>
      </c>
      <c r="E158" s="26"/>
      <c r="F158" s="26"/>
      <c r="G158" s="26"/>
      <c r="H158" s="26">
        <v>15</v>
      </c>
      <c r="I158" s="26">
        <v>266</v>
      </c>
      <c r="J158" s="26"/>
      <c r="K158" s="26">
        <v>441</v>
      </c>
      <c r="L158" s="26"/>
      <c r="M158" s="26">
        <v>722</v>
      </c>
      <c r="N158" s="28">
        <v>32.292243767313018</v>
      </c>
      <c r="O158" s="26" t="s">
        <v>307</v>
      </c>
      <c r="P158" s="26">
        <f t="shared" si="47"/>
        <v>441</v>
      </c>
      <c r="Q158" s="26">
        <f t="shared" si="48"/>
        <v>15</v>
      </c>
      <c r="R158" s="26">
        <f t="shared" si="49"/>
        <v>266</v>
      </c>
      <c r="S158" s="26">
        <f t="shared" si="50"/>
        <v>0</v>
      </c>
      <c r="T158" s="26">
        <f t="shared" si="51"/>
        <v>722</v>
      </c>
      <c r="U158" s="27">
        <f t="shared" si="52"/>
        <v>0.61080332409972304</v>
      </c>
      <c r="V158" s="27">
        <f t="shared" si="53"/>
        <v>2.077562326869806E-2</v>
      </c>
      <c r="W158" s="27">
        <f t="shared" si="54"/>
        <v>0.36842105263157893</v>
      </c>
      <c r="X158" s="27">
        <f t="shared" si="55"/>
        <v>0</v>
      </c>
      <c r="Y158" s="28">
        <f t="shared" si="56"/>
        <v>32.292243767313018</v>
      </c>
    </row>
    <row r="159" spans="1:25" x14ac:dyDescent="0.25">
      <c r="A159" s="26" t="s">
        <v>354</v>
      </c>
      <c r="B159" s="26" t="s">
        <v>355</v>
      </c>
      <c r="C159" s="26" t="s">
        <v>231</v>
      </c>
      <c r="D159" s="26">
        <v>4</v>
      </c>
      <c r="E159" s="26"/>
      <c r="F159" s="26"/>
      <c r="G159" s="26">
        <v>1</v>
      </c>
      <c r="H159" s="26">
        <v>17</v>
      </c>
      <c r="I159" s="26">
        <v>247</v>
      </c>
      <c r="J159" s="26"/>
      <c r="K159" s="26">
        <v>457</v>
      </c>
      <c r="L159" s="26"/>
      <c r="M159" s="26">
        <v>722</v>
      </c>
      <c r="N159" s="28">
        <v>22.991689750692522</v>
      </c>
      <c r="O159" s="26" t="s">
        <v>307</v>
      </c>
      <c r="P159" s="26">
        <f t="shared" si="47"/>
        <v>457</v>
      </c>
      <c r="Q159" s="26">
        <f t="shared" si="48"/>
        <v>17</v>
      </c>
      <c r="R159" s="26">
        <f t="shared" si="49"/>
        <v>247</v>
      </c>
      <c r="S159" s="26">
        <f t="shared" si="50"/>
        <v>1</v>
      </c>
      <c r="T159" s="26">
        <f t="shared" si="51"/>
        <v>722</v>
      </c>
      <c r="U159" s="27">
        <f t="shared" si="52"/>
        <v>0.63296398891966754</v>
      </c>
      <c r="V159" s="27">
        <f t="shared" si="53"/>
        <v>2.3545706371191136E-2</v>
      </c>
      <c r="W159" s="27">
        <f t="shared" si="54"/>
        <v>0.34210526315789475</v>
      </c>
      <c r="X159" s="27">
        <f t="shared" si="55"/>
        <v>1.3850415512465374E-3</v>
      </c>
      <c r="Y159" s="28">
        <f t="shared" si="56"/>
        <v>22.991689750692522</v>
      </c>
    </row>
    <row r="160" spans="1:25" x14ac:dyDescent="0.25">
      <c r="A160" s="26" t="s">
        <v>356</v>
      </c>
      <c r="B160" s="26" t="s">
        <v>357</v>
      </c>
      <c r="C160" s="26" t="s">
        <v>233</v>
      </c>
      <c r="D160" s="26">
        <v>1</v>
      </c>
      <c r="E160" s="26"/>
      <c r="F160" s="26">
        <v>2</v>
      </c>
      <c r="G160" s="26"/>
      <c r="H160" s="26">
        <v>51</v>
      </c>
      <c r="I160" s="26">
        <v>96</v>
      </c>
      <c r="J160" s="26">
        <v>2</v>
      </c>
      <c r="K160" s="26">
        <v>193</v>
      </c>
      <c r="L160" s="26"/>
      <c r="M160" s="26">
        <v>344</v>
      </c>
      <c r="N160" s="28">
        <v>63.543604651162788</v>
      </c>
      <c r="O160" s="26" t="s">
        <v>307</v>
      </c>
      <c r="P160" s="26">
        <f t="shared" si="47"/>
        <v>193</v>
      </c>
      <c r="Q160" s="26">
        <f t="shared" si="48"/>
        <v>51</v>
      </c>
      <c r="R160" s="26">
        <f t="shared" si="49"/>
        <v>96</v>
      </c>
      <c r="S160" s="26">
        <f t="shared" si="50"/>
        <v>4</v>
      </c>
      <c r="T160" s="26">
        <f t="shared" si="51"/>
        <v>344</v>
      </c>
      <c r="U160" s="27">
        <f t="shared" si="52"/>
        <v>0.56104651162790697</v>
      </c>
      <c r="V160" s="27">
        <f t="shared" si="53"/>
        <v>0.14825581395348839</v>
      </c>
      <c r="W160" s="27">
        <f t="shared" si="54"/>
        <v>0.27906976744186046</v>
      </c>
      <c r="X160" s="27">
        <f t="shared" si="55"/>
        <v>1.1627906976744186E-2</v>
      </c>
      <c r="Y160" s="28">
        <f t="shared" si="56"/>
        <v>63.543604651162788</v>
      </c>
    </row>
    <row r="161" spans="1:25" x14ac:dyDescent="0.25">
      <c r="A161" s="26" t="s">
        <v>356</v>
      </c>
      <c r="B161" s="26" t="s">
        <v>357</v>
      </c>
      <c r="C161" s="26" t="s">
        <v>233</v>
      </c>
      <c r="D161" s="26">
        <v>2</v>
      </c>
      <c r="E161" s="26"/>
      <c r="F161" s="26">
        <v>2</v>
      </c>
      <c r="G161" s="26"/>
      <c r="H161" s="26">
        <v>73</v>
      </c>
      <c r="I161" s="26">
        <v>80</v>
      </c>
      <c r="J161" s="26">
        <v>4</v>
      </c>
      <c r="K161" s="26">
        <v>186</v>
      </c>
      <c r="L161" s="26"/>
      <c r="M161" s="26">
        <v>345</v>
      </c>
      <c r="N161" s="28">
        <v>33.217391304347828</v>
      </c>
      <c r="O161" s="26" t="s">
        <v>307</v>
      </c>
      <c r="P161" s="26">
        <f t="shared" si="47"/>
        <v>186</v>
      </c>
      <c r="Q161" s="26">
        <f t="shared" si="48"/>
        <v>73</v>
      </c>
      <c r="R161" s="26">
        <f t="shared" si="49"/>
        <v>80</v>
      </c>
      <c r="S161" s="26">
        <f t="shared" si="50"/>
        <v>6</v>
      </c>
      <c r="T161" s="26">
        <f t="shared" si="51"/>
        <v>345</v>
      </c>
      <c r="U161" s="27">
        <f t="shared" si="52"/>
        <v>0.53913043478260869</v>
      </c>
      <c r="V161" s="27">
        <f t="shared" si="53"/>
        <v>0.21159420289855072</v>
      </c>
      <c r="W161" s="27">
        <f t="shared" si="54"/>
        <v>0.2318840579710145</v>
      </c>
      <c r="X161" s="27">
        <f t="shared" si="55"/>
        <v>1.7391304347826087E-2</v>
      </c>
      <c r="Y161" s="28">
        <f t="shared" si="56"/>
        <v>33.217391304347828</v>
      </c>
    </row>
    <row r="162" spans="1:25" x14ac:dyDescent="0.25">
      <c r="A162" s="26" t="s">
        <v>358</v>
      </c>
      <c r="B162" s="26" t="s">
        <v>359</v>
      </c>
      <c r="C162" s="26" t="s">
        <v>235</v>
      </c>
      <c r="D162" s="26">
        <v>1</v>
      </c>
      <c r="E162" s="26"/>
      <c r="F162" s="26"/>
      <c r="G162" s="26"/>
      <c r="H162" s="26">
        <v>9</v>
      </c>
      <c r="I162" s="26">
        <v>30</v>
      </c>
      <c r="J162" s="26"/>
      <c r="K162" s="26">
        <v>260</v>
      </c>
      <c r="L162" s="26"/>
      <c r="M162" s="26">
        <v>299</v>
      </c>
      <c r="N162" s="28">
        <v>66.240802675585286</v>
      </c>
      <c r="O162" s="26" t="s">
        <v>307</v>
      </c>
      <c r="P162" s="26">
        <f t="shared" si="47"/>
        <v>260</v>
      </c>
      <c r="Q162" s="26">
        <f t="shared" si="48"/>
        <v>9</v>
      </c>
      <c r="R162" s="26">
        <f t="shared" si="49"/>
        <v>30</v>
      </c>
      <c r="S162" s="26">
        <f t="shared" si="50"/>
        <v>0</v>
      </c>
      <c r="T162" s="26">
        <f t="shared" si="51"/>
        <v>299</v>
      </c>
      <c r="U162" s="27">
        <f t="shared" si="52"/>
        <v>0.86956521739130432</v>
      </c>
      <c r="V162" s="27">
        <f t="shared" si="53"/>
        <v>3.0100334448160536E-2</v>
      </c>
      <c r="W162" s="27">
        <f t="shared" si="54"/>
        <v>0.10033444816053512</v>
      </c>
      <c r="X162" s="27">
        <f t="shared" si="55"/>
        <v>0</v>
      </c>
      <c r="Y162" s="28">
        <f t="shared" si="56"/>
        <v>66.240802675585286</v>
      </c>
    </row>
    <row r="163" spans="1:25" x14ac:dyDescent="0.25">
      <c r="A163" s="26" t="s">
        <v>358</v>
      </c>
      <c r="B163" s="26" t="s">
        <v>359</v>
      </c>
      <c r="C163" s="26" t="s">
        <v>235</v>
      </c>
      <c r="D163" s="26">
        <v>2</v>
      </c>
      <c r="E163" s="26"/>
      <c r="F163" s="26"/>
      <c r="G163" s="26"/>
      <c r="H163" s="26"/>
      <c r="I163" s="26">
        <v>8</v>
      </c>
      <c r="J163" s="26"/>
      <c r="K163" s="26">
        <v>291</v>
      </c>
      <c r="L163" s="26"/>
      <c r="M163" s="26">
        <v>299</v>
      </c>
      <c r="N163" s="28">
        <v>37.816053511705682</v>
      </c>
      <c r="O163" s="26" t="s">
        <v>307</v>
      </c>
      <c r="P163" s="26">
        <f t="shared" si="47"/>
        <v>291</v>
      </c>
      <c r="Q163" s="26">
        <f t="shared" si="48"/>
        <v>0</v>
      </c>
      <c r="R163" s="26">
        <f t="shared" si="49"/>
        <v>8</v>
      </c>
      <c r="S163" s="26">
        <f t="shared" si="50"/>
        <v>0</v>
      </c>
      <c r="T163" s="26">
        <f t="shared" si="51"/>
        <v>299</v>
      </c>
      <c r="U163" s="27">
        <f t="shared" si="52"/>
        <v>0.97324414715719065</v>
      </c>
      <c r="V163" s="27">
        <f t="shared" si="53"/>
        <v>0</v>
      </c>
      <c r="W163" s="27">
        <f t="shared" si="54"/>
        <v>2.6755852842809364E-2</v>
      </c>
      <c r="X163" s="27">
        <f t="shared" si="55"/>
        <v>0</v>
      </c>
      <c r="Y163" s="28">
        <f t="shared" si="56"/>
        <v>37.816053511705682</v>
      </c>
    </row>
    <row r="164" spans="1:25" x14ac:dyDescent="0.25">
      <c r="A164" s="26" t="s">
        <v>360</v>
      </c>
      <c r="B164" s="26" t="s">
        <v>361</v>
      </c>
      <c r="C164" s="26" t="s">
        <v>237</v>
      </c>
      <c r="D164" s="26">
        <v>1</v>
      </c>
      <c r="E164" s="26"/>
      <c r="F164" s="26"/>
      <c r="G164" s="26"/>
      <c r="H164" s="26">
        <v>185</v>
      </c>
      <c r="I164" s="26">
        <v>94</v>
      </c>
      <c r="J164" s="26"/>
      <c r="K164" s="26">
        <v>171</v>
      </c>
      <c r="L164" s="26"/>
      <c r="M164" s="26">
        <v>450</v>
      </c>
      <c r="N164" s="28">
        <v>70.533333333333331</v>
      </c>
      <c r="O164" s="26" t="s">
        <v>307</v>
      </c>
      <c r="P164" s="26">
        <f t="shared" si="47"/>
        <v>171</v>
      </c>
      <c r="Q164" s="26">
        <f t="shared" si="48"/>
        <v>185</v>
      </c>
      <c r="R164" s="26">
        <f t="shared" si="49"/>
        <v>94</v>
      </c>
      <c r="S164" s="26">
        <f t="shared" si="50"/>
        <v>0</v>
      </c>
      <c r="T164" s="26">
        <f t="shared" si="51"/>
        <v>450</v>
      </c>
      <c r="U164" s="27">
        <f t="shared" si="52"/>
        <v>0.38</v>
      </c>
      <c r="V164" s="27">
        <f t="shared" si="53"/>
        <v>0.41111111111111109</v>
      </c>
      <c r="W164" s="27">
        <f t="shared" si="54"/>
        <v>0.2088888888888889</v>
      </c>
      <c r="X164" s="27">
        <f t="shared" si="55"/>
        <v>0</v>
      </c>
      <c r="Y164" s="28">
        <f t="shared" si="56"/>
        <v>70.533333333333331</v>
      </c>
    </row>
    <row r="165" spans="1:25" x14ac:dyDescent="0.25">
      <c r="A165" s="26" t="s">
        <v>360</v>
      </c>
      <c r="B165" s="26" t="s">
        <v>361</v>
      </c>
      <c r="C165" s="26" t="s">
        <v>237</v>
      </c>
      <c r="D165" s="26">
        <v>2</v>
      </c>
      <c r="E165" s="26">
        <v>1</v>
      </c>
      <c r="F165" s="26"/>
      <c r="G165" s="26"/>
      <c r="H165" s="26">
        <v>154</v>
      </c>
      <c r="I165" s="26">
        <v>100</v>
      </c>
      <c r="J165" s="26">
        <v>2</v>
      </c>
      <c r="K165" s="26">
        <v>193</v>
      </c>
      <c r="L165" s="26"/>
      <c r="M165" s="26">
        <v>450</v>
      </c>
      <c r="N165" s="28">
        <v>61.642222222222223</v>
      </c>
      <c r="O165" s="26" t="s">
        <v>307</v>
      </c>
      <c r="P165" s="26">
        <f t="shared" si="47"/>
        <v>193</v>
      </c>
      <c r="Q165" s="26">
        <f t="shared" si="48"/>
        <v>154</v>
      </c>
      <c r="R165" s="26">
        <f t="shared" si="49"/>
        <v>100</v>
      </c>
      <c r="S165" s="26">
        <f t="shared" si="50"/>
        <v>3</v>
      </c>
      <c r="T165" s="26">
        <f t="shared" si="51"/>
        <v>450</v>
      </c>
      <c r="U165" s="27">
        <f t="shared" si="52"/>
        <v>0.42888888888888888</v>
      </c>
      <c r="V165" s="27">
        <f t="shared" si="53"/>
        <v>0.34222222222222221</v>
      </c>
      <c r="W165" s="27">
        <f t="shared" si="54"/>
        <v>0.22222222222222221</v>
      </c>
      <c r="X165" s="27">
        <f t="shared" si="55"/>
        <v>6.6666666666666671E-3</v>
      </c>
      <c r="Y165" s="28">
        <f t="shared" si="56"/>
        <v>61.642222222222223</v>
      </c>
    </row>
    <row r="166" spans="1:25" x14ac:dyDescent="0.25">
      <c r="A166" s="26" t="s">
        <v>360</v>
      </c>
      <c r="B166" s="26" t="s">
        <v>361</v>
      </c>
      <c r="C166" s="26" t="s">
        <v>237</v>
      </c>
      <c r="D166" s="26">
        <v>3</v>
      </c>
      <c r="E166" s="26"/>
      <c r="F166" s="26">
        <v>1</v>
      </c>
      <c r="G166" s="26">
        <v>1</v>
      </c>
      <c r="H166" s="26">
        <v>217</v>
      </c>
      <c r="I166" s="26">
        <v>151</v>
      </c>
      <c r="J166" s="26">
        <v>1</v>
      </c>
      <c r="K166" s="26">
        <v>259</v>
      </c>
      <c r="L166" s="26"/>
      <c r="M166" s="26">
        <v>630</v>
      </c>
      <c r="N166" s="28">
        <v>50.831746031746029</v>
      </c>
      <c r="O166" s="26" t="s">
        <v>307</v>
      </c>
      <c r="P166" s="26">
        <f t="shared" si="47"/>
        <v>259</v>
      </c>
      <c r="Q166" s="26">
        <f t="shared" si="48"/>
        <v>217</v>
      </c>
      <c r="R166" s="26">
        <f t="shared" si="49"/>
        <v>151</v>
      </c>
      <c r="S166" s="26">
        <f t="shared" si="50"/>
        <v>3</v>
      </c>
      <c r="T166" s="26">
        <f t="shared" si="51"/>
        <v>630</v>
      </c>
      <c r="U166" s="27">
        <f t="shared" si="52"/>
        <v>0.41111111111111109</v>
      </c>
      <c r="V166" s="27">
        <f t="shared" si="53"/>
        <v>0.34444444444444444</v>
      </c>
      <c r="W166" s="27">
        <f t="shared" si="54"/>
        <v>0.23968253968253969</v>
      </c>
      <c r="X166" s="27">
        <f t="shared" si="55"/>
        <v>4.7619047619047623E-3</v>
      </c>
      <c r="Y166" s="28">
        <f t="shared" si="56"/>
        <v>50.831746031746029</v>
      </c>
    </row>
    <row r="167" spans="1:25" x14ac:dyDescent="0.25">
      <c r="A167" s="26" t="s">
        <v>360</v>
      </c>
      <c r="B167" s="26" t="s">
        <v>361</v>
      </c>
      <c r="C167" s="26" t="s">
        <v>237</v>
      </c>
      <c r="D167" s="26">
        <v>4</v>
      </c>
      <c r="E167" s="26">
        <v>1</v>
      </c>
      <c r="F167" s="26"/>
      <c r="G167" s="26"/>
      <c r="H167" s="26">
        <v>203</v>
      </c>
      <c r="I167" s="26">
        <v>182</v>
      </c>
      <c r="J167" s="26">
        <v>1</v>
      </c>
      <c r="K167" s="26">
        <v>244</v>
      </c>
      <c r="L167" s="26"/>
      <c r="M167" s="26">
        <v>631</v>
      </c>
      <c r="N167" s="28">
        <v>41.299524564183834</v>
      </c>
      <c r="O167" s="26" t="s">
        <v>307</v>
      </c>
      <c r="P167" s="26">
        <f t="shared" si="47"/>
        <v>244</v>
      </c>
      <c r="Q167" s="26">
        <f t="shared" si="48"/>
        <v>203</v>
      </c>
      <c r="R167" s="26">
        <f t="shared" si="49"/>
        <v>182</v>
      </c>
      <c r="S167" s="26">
        <f t="shared" si="50"/>
        <v>2</v>
      </c>
      <c r="T167" s="26">
        <f t="shared" si="51"/>
        <v>631</v>
      </c>
      <c r="U167" s="27">
        <f t="shared" si="52"/>
        <v>0.3866877971473851</v>
      </c>
      <c r="V167" s="27">
        <f t="shared" si="53"/>
        <v>0.32171156893819336</v>
      </c>
      <c r="W167" s="27">
        <f t="shared" si="54"/>
        <v>0.28843106180665612</v>
      </c>
      <c r="X167" s="27">
        <f t="shared" si="55"/>
        <v>3.1695721077654518E-3</v>
      </c>
      <c r="Y167" s="28">
        <f t="shared" si="56"/>
        <v>41.299524564183834</v>
      </c>
    </row>
    <row r="168" spans="1:25" x14ac:dyDescent="0.25">
      <c r="A168" s="26" t="s">
        <v>360</v>
      </c>
      <c r="B168" s="26" t="s">
        <v>361</v>
      </c>
      <c r="C168" s="26" t="s">
        <v>237</v>
      </c>
      <c r="D168" s="26">
        <v>5</v>
      </c>
      <c r="E168" s="26"/>
      <c r="F168" s="26"/>
      <c r="G168" s="26"/>
      <c r="H168" s="26">
        <v>201</v>
      </c>
      <c r="I168" s="26">
        <v>192</v>
      </c>
      <c r="J168" s="26">
        <v>1</v>
      </c>
      <c r="K168" s="26">
        <v>237</v>
      </c>
      <c r="L168" s="26"/>
      <c r="M168" s="26">
        <v>631</v>
      </c>
      <c r="N168" s="28">
        <v>32.042789223454832</v>
      </c>
      <c r="O168" s="26" t="s">
        <v>307</v>
      </c>
      <c r="P168" s="26">
        <f t="shared" si="47"/>
        <v>237</v>
      </c>
      <c r="Q168" s="26">
        <f t="shared" si="48"/>
        <v>201</v>
      </c>
      <c r="R168" s="26">
        <f t="shared" si="49"/>
        <v>192</v>
      </c>
      <c r="S168" s="26">
        <f t="shared" si="50"/>
        <v>1</v>
      </c>
      <c r="T168" s="26">
        <f t="shared" si="51"/>
        <v>631</v>
      </c>
      <c r="U168" s="27">
        <f t="shared" si="52"/>
        <v>0.37559429477020601</v>
      </c>
      <c r="V168" s="27">
        <f t="shared" si="53"/>
        <v>0.31854199683042789</v>
      </c>
      <c r="W168" s="27">
        <f t="shared" si="54"/>
        <v>0.30427892234548337</v>
      </c>
      <c r="X168" s="27">
        <f t="shared" si="55"/>
        <v>1.5847860538827259E-3</v>
      </c>
      <c r="Y168" s="28">
        <f t="shared" si="56"/>
        <v>32.042789223454832</v>
      </c>
    </row>
    <row r="169" spans="1:25" x14ac:dyDescent="0.25">
      <c r="A169" s="26" t="s">
        <v>360</v>
      </c>
      <c r="B169" s="26" t="s">
        <v>361</v>
      </c>
      <c r="C169" s="26" t="s">
        <v>237</v>
      </c>
      <c r="D169" s="26">
        <v>6</v>
      </c>
      <c r="E169" s="26"/>
      <c r="F169" s="26"/>
      <c r="G169" s="26"/>
      <c r="H169" s="26">
        <v>158</v>
      </c>
      <c r="I169" s="26">
        <v>191</v>
      </c>
      <c r="J169" s="26">
        <v>1</v>
      </c>
      <c r="K169" s="26">
        <v>281</v>
      </c>
      <c r="L169" s="26"/>
      <c r="M169" s="26">
        <v>631</v>
      </c>
      <c r="N169" s="28">
        <v>22.649762282091917</v>
      </c>
      <c r="O169" s="26" t="s">
        <v>307</v>
      </c>
      <c r="P169" s="26">
        <f t="shared" si="47"/>
        <v>281</v>
      </c>
      <c r="Q169" s="26">
        <f t="shared" si="48"/>
        <v>158</v>
      </c>
      <c r="R169" s="26">
        <f t="shared" si="49"/>
        <v>191</v>
      </c>
      <c r="S169" s="26">
        <f t="shared" si="50"/>
        <v>1</v>
      </c>
      <c r="T169" s="26">
        <f t="shared" si="51"/>
        <v>631</v>
      </c>
      <c r="U169" s="27">
        <f t="shared" si="52"/>
        <v>0.44532488114104596</v>
      </c>
      <c r="V169" s="27">
        <f t="shared" si="53"/>
        <v>0.25039619651347067</v>
      </c>
      <c r="W169" s="27">
        <f t="shared" si="54"/>
        <v>0.30269413629160064</v>
      </c>
      <c r="X169" s="27">
        <f t="shared" si="55"/>
        <v>1.5847860538827259E-3</v>
      </c>
      <c r="Y169" s="28">
        <f t="shared" si="56"/>
        <v>22.649762282091917</v>
      </c>
    </row>
    <row r="170" spans="1:25" x14ac:dyDescent="0.25">
      <c r="A170" s="26" t="s">
        <v>362</v>
      </c>
      <c r="B170" s="26" t="s">
        <v>363</v>
      </c>
      <c r="C170" s="26" t="s">
        <v>239</v>
      </c>
      <c r="D170" s="26">
        <v>1</v>
      </c>
      <c r="E170" s="26"/>
      <c r="F170" s="26"/>
      <c r="G170" s="26"/>
      <c r="H170" s="26">
        <v>91</v>
      </c>
      <c r="I170" s="26">
        <v>70</v>
      </c>
      <c r="J170" s="26">
        <v>1</v>
      </c>
      <c r="K170" s="26">
        <v>288</v>
      </c>
      <c r="L170" s="26"/>
      <c r="M170" s="26">
        <v>450</v>
      </c>
      <c r="N170" s="28">
        <v>66.61333333333333</v>
      </c>
      <c r="O170" s="26" t="s">
        <v>307</v>
      </c>
      <c r="P170" s="26">
        <f t="shared" si="47"/>
        <v>288</v>
      </c>
      <c r="Q170" s="26">
        <f t="shared" si="48"/>
        <v>91</v>
      </c>
      <c r="R170" s="26">
        <f t="shared" si="49"/>
        <v>70</v>
      </c>
      <c r="S170" s="26">
        <f t="shared" si="50"/>
        <v>1</v>
      </c>
      <c r="T170" s="26">
        <f t="shared" si="51"/>
        <v>450</v>
      </c>
      <c r="U170" s="27">
        <f t="shared" si="52"/>
        <v>0.64</v>
      </c>
      <c r="V170" s="27">
        <f t="shared" si="53"/>
        <v>0.20222222222222222</v>
      </c>
      <c r="W170" s="27">
        <f t="shared" si="54"/>
        <v>0.15555555555555556</v>
      </c>
      <c r="X170" s="27">
        <f t="shared" si="55"/>
        <v>2.2222222222222222E-3</v>
      </c>
      <c r="Y170" s="28">
        <f t="shared" si="56"/>
        <v>66.61333333333333</v>
      </c>
    </row>
    <row r="171" spans="1:25" x14ac:dyDescent="0.25">
      <c r="A171" s="26" t="s">
        <v>362</v>
      </c>
      <c r="B171" s="26" t="s">
        <v>363</v>
      </c>
      <c r="C171" s="26" t="s">
        <v>239</v>
      </c>
      <c r="D171" s="26">
        <v>2</v>
      </c>
      <c r="E171" s="26"/>
      <c r="F171" s="26">
        <v>1</v>
      </c>
      <c r="G171" s="26"/>
      <c r="H171" s="26">
        <v>101</v>
      </c>
      <c r="I171" s="26">
        <v>102</v>
      </c>
      <c r="J171" s="26"/>
      <c r="K171" s="26">
        <v>421</v>
      </c>
      <c r="L171" s="26"/>
      <c r="M171" s="26">
        <v>625</v>
      </c>
      <c r="N171" s="28">
        <v>47.753599999999999</v>
      </c>
      <c r="O171" s="26" t="s">
        <v>307</v>
      </c>
      <c r="P171" s="26">
        <f t="shared" si="47"/>
        <v>421</v>
      </c>
      <c r="Q171" s="26">
        <f t="shared" si="48"/>
        <v>101</v>
      </c>
      <c r="R171" s="26">
        <f t="shared" si="49"/>
        <v>102</v>
      </c>
      <c r="S171" s="26">
        <f t="shared" si="50"/>
        <v>1</v>
      </c>
      <c r="T171" s="26">
        <f t="shared" si="51"/>
        <v>625</v>
      </c>
      <c r="U171" s="27">
        <f t="shared" si="52"/>
        <v>0.67359999999999998</v>
      </c>
      <c r="V171" s="27">
        <f t="shared" si="53"/>
        <v>0.16159999999999999</v>
      </c>
      <c r="W171" s="27">
        <f t="shared" si="54"/>
        <v>0.16320000000000001</v>
      </c>
      <c r="X171" s="27">
        <f t="shared" si="55"/>
        <v>1.6000000000000001E-3</v>
      </c>
      <c r="Y171" s="28">
        <f t="shared" si="56"/>
        <v>47.753599999999999</v>
      </c>
    </row>
    <row r="172" spans="1:25" x14ac:dyDescent="0.25">
      <c r="A172" s="26" t="s">
        <v>362</v>
      </c>
      <c r="B172" s="26" t="s">
        <v>363</v>
      </c>
      <c r="C172" s="26" t="s">
        <v>239</v>
      </c>
      <c r="D172" s="26">
        <v>3</v>
      </c>
      <c r="E172" s="26"/>
      <c r="F172" s="26"/>
      <c r="G172" s="26"/>
      <c r="H172" s="26">
        <v>49</v>
      </c>
      <c r="I172" s="26">
        <v>160</v>
      </c>
      <c r="J172" s="26"/>
      <c r="K172" s="26">
        <v>417</v>
      </c>
      <c r="L172" s="26"/>
      <c r="M172" s="26">
        <v>626</v>
      </c>
      <c r="N172" s="28">
        <v>28.156549520766774</v>
      </c>
      <c r="O172" s="26" t="s">
        <v>307</v>
      </c>
      <c r="P172" s="26">
        <f t="shared" si="47"/>
        <v>417</v>
      </c>
      <c r="Q172" s="26">
        <f t="shared" si="48"/>
        <v>49</v>
      </c>
      <c r="R172" s="26">
        <f t="shared" si="49"/>
        <v>160</v>
      </c>
      <c r="S172" s="26">
        <f t="shared" si="50"/>
        <v>0</v>
      </c>
      <c r="T172" s="26">
        <f t="shared" si="51"/>
        <v>626</v>
      </c>
      <c r="U172" s="27">
        <f t="shared" si="52"/>
        <v>0.66613418530351443</v>
      </c>
      <c r="V172" s="27">
        <f t="shared" si="53"/>
        <v>7.8274760383386585E-2</v>
      </c>
      <c r="W172" s="27">
        <f t="shared" si="54"/>
        <v>0.25559105431309903</v>
      </c>
      <c r="X172" s="27">
        <f t="shared" si="55"/>
        <v>0</v>
      </c>
      <c r="Y172" s="28">
        <f t="shared" si="56"/>
        <v>28.156549520766774</v>
      </c>
    </row>
    <row r="173" spans="1:25" x14ac:dyDescent="0.25">
      <c r="A173" s="26" t="s">
        <v>364</v>
      </c>
      <c r="B173" s="26" t="s">
        <v>365</v>
      </c>
      <c r="C173" s="26" t="s">
        <v>241</v>
      </c>
      <c r="D173" s="26">
        <v>1</v>
      </c>
      <c r="E173" s="26"/>
      <c r="F173" s="26"/>
      <c r="G173" s="26">
        <v>1</v>
      </c>
      <c r="H173" s="26">
        <v>61</v>
      </c>
      <c r="I173" s="26">
        <v>15</v>
      </c>
      <c r="J173" s="26">
        <v>1</v>
      </c>
      <c r="K173" s="26">
        <v>372</v>
      </c>
      <c r="L173" s="26"/>
      <c r="M173" s="26">
        <v>450</v>
      </c>
      <c r="N173" s="28">
        <v>68.348888888888894</v>
      </c>
      <c r="O173" s="26" t="s">
        <v>307</v>
      </c>
      <c r="P173" s="26">
        <f t="shared" si="47"/>
        <v>372</v>
      </c>
      <c r="Q173" s="26">
        <f t="shared" si="48"/>
        <v>61</v>
      </c>
      <c r="R173" s="26">
        <f t="shared" si="49"/>
        <v>15</v>
      </c>
      <c r="S173" s="26">
        <f t="shared" si="50"/>
        <v>2</v>
      </c>
      <c r="T173" s="26">
        <f t="shared" si="51"/>
        <v>450</v>
      </c>
      <c r="U173" s="27">
        <f t="shared" si="52"/>
        <v>0.82666666666666666</v>
      </c>
      <c r="V173" s="27">
        <f t="shared" si="53"/>
        <v>0.13555555555555557</v>
      </c>
      <c r="W173" s="27">
        <f t="shared" si="54"/>
        <v>3.3333333333333333E-2</v>
      </c>
      <c r="X173" s="27">
        <f t="shared" si="55"/>
        <v>4.4444444444444444E-3</v>
      </c>
      <c r="Y173" s="28">
        <f t="shared" si="56"/>
        <v>68.348888888888894</v>
      </c>
    </row>
    <row r="174" spans="1:25" x14ac:dyDescent="0.25">
      <c r="A174" s="26" t="s">
        <v>364</v>
      </c>
      <c r="B174" s="26" t="s">
        <v>365</v>
      </c>
      <c r="C174" s="26" t="s">
        <v>241</v>
      </c>
      <c r="D174" s="26">
        <v>2</v>
      </c>
      <c r="E174" s="26">
        <v>1</v>
      </c>
      <c r="F174" s="26">
        <v>1</v>
      </c>
      <c r="G174" s="26"/>
      <c r="H174" s="26">
        <v>35</v>
      </c>
      <c r="I174" s="26">
        <v>15</v>
      </c>
      <c r="J174" s="26"/>
      <c r="K174" s="26">
        <v>398</v>
      </c>
      <c r="L174" s="26"/>
      <c r="M174" s="26">
        <v>450</v>
      </c>
      <c r="N174" s="28">
        <v>48.955555555555556</v>
      </c>
      <c r="O174" s="26" t="s">
        <v>307</v>
      </c>
      <c r="P174" s="26">
        <f t="shared" si="47"/>
        <v>398</v>
      </c>
      <c r="Q174" s="26">
        <f t="shared" si="48"/>
        <v>35</v>
      </c>
      <c r="R174" s="26">
        <f t="shared" si="49"/>
        <v>15</v>
      </c>
      <c r="S174" s="26">
        <f t="shared" si="50"/>
        <v>2</v>
      </c>
      <c r="T174" s="26">
        <f t="shared" si="51"/>
        <v>450</v>
      </c>
      <c r="U174" s="27">
        <f t="shared" si="52"/>
        <v>0.88444444444444448</v>
      </c>
      <c r="V174" s="27">
        <f t="shared" si="53"/>
        <v>7.7777777777777779E-2</v>
      </c>
      <c r="W174" s="27">
        <f t="shared" si="54"/>
        <v>3.3333333333333333E-2</v>
      </c>
      <c r="X174" s="27">
        <f t="shared" si="55"/>
        <v>4.4444444444444444E-3</v>
      </c>
      <c r="Y174" s="28">
        <f t="shared" si="56"/>
        <v>48.955555555555556</v>
      </c>
    </row>
    <row r="175" spans="1:25" x14ac:dyDescent="0.25">
      <c r="A175" s="26" t="s">
        <v>364</v>
      </c>
      <c r="B175" s="26" t="s">
        <v>365</v>
      </c>
      <c r="C175" s="26" t="s">
        <v>241</v>
      </c>
      <c r="D175" s="26">
        <v>3</v>
      </c>
      <c r="E175" s="26"/>
      <c r="F175" s="26"/>
      <c r="G175" s="26"/>
      <c r="H175" s="26">
        <v>4</v>
      </c>
      <c r="I175" s="26">
        <v>26</v>
      </c>
      <c r="J175" s="26"/>
      <c r="K175" s="26">
        <v>421</v>
      </c>
      <c r="L175" s="26"/>
      <c r="M175" s="26">
        <v>451</v>
      </c>
      <c r="N175" s="28">
        <v>28.552106430155209</v>
      </c>
      <c r="O175" s="26" t="s">
        <v>307</v>
      </c>
      <c r="P175" s="26">
        <f t="shared" ref="P175:P233" si="58">K175</f>
        <v>421</v>
      </c>
      <c r="Q175" s="26">
        <f t="shared" ref="Q175:Q233" si="59">H175</f>
        <v>4</v>
      </c>
      <c r="R175" s="26">
        <f t="shared" ref="R175:R233" si="60">I175</f>
        <v>26</v>
      </c>
      <c r="S175" s="26">
        <f t="shared" ref="S175:S233" si="61">M175-SUM(P175:R175)</f>
        <v>0</v>
      </c>
      <c r="T175" s="26">
        <f t="shared" ref="T175:T233" si="62">SUM(P175:S175)</f>
        <v>451</v>
      </c>
      <c r="U175" s="27">
        <f t="shared" ref="U175:U233" si="63">P175/M175</f>
        <v>0.93348115299334811</v>
      </c>
      <c r="V175" s="27">
        <f t="shared" ref="V175:V233" si="64">Q175/M175</f>
        <v>8.869179600886918E-3</v>
      </c>
      <c r="W175" s="27">
        <f t="shared" ref="W175:W233" si="65">R175/M175</f>
        <v>5.7649667405764965E-2</v>
      </c>
      <c r="X175" s="27">
        <f t="shared" ref="X175:X233" si="66">S175/M175</f>
        <v>0</v>
      </c>
      <c r="Y175" s="28">
        <f t="shared" ref="Y175:Y233" si="67">N175</f>
        <v>28.552106430155209</v>
      </c>
    </row>
    <row r="176" spans="1:25" x14ac:dyDescent="0.25">
      <c r="A176" s="26" t="s">
        <v>366</v>
      </c>
      <c r="B176" s="26" t="s">
        <v>367</v>
      </c>
      <c r="C176" s="26" t="s">
        <v>243</v>
      </c>
      <c r="D176" s="26">
        <v>1</v>
      </c>
      <c r="E176" s="26"/>
      <c r="F176" s="26"/>
      <c r="G176" s="26"/>
      <c r="H176" s="26">
        <v>83</v>
      </c>
      <c r="I176" s="26">
        <v>205</v>
      </c>
      <c r="J176" s="26"/>
      <c r="K176" s="26">
        <v>35</v>
      </c>
      <c r="L176" s="26"/>
      <c r="M176" s="26">
        <v>323</v>
      </c>
      <c r="N176" s="28">
        <v>67.250773993808053</v>
      </c>
      <c r="O176" s="26" t="s">
        <v>307</v>
      </c>
      <c r="P176" s="26">
        <f t="shared" si="58"/>
        <v>35</v>
      </c>
      <c r="Q176" s="26">
        <f t="shared" si="59"/>
        <v>83</v>
      </c>
      <c r="R176" s="26">
        <f t="shared" si="60"/>
        <v>205</v>
      </c>
      <c r="S176" s="26">
        <f t="shared" si="61"/>
        <v>0</v>
      </c>
      <c r="T176" s="26">
        <f t="shared" si="62"/>
        <v>323</v>
      </c>
      <c r="U176" s="27">
        <f t="shared" si="63"/>
        <v>0.10835913312693499</v>
      </c>
      <c r="V176" s="27">
        <f t="shared" si="64"/>
        <v>0.25696594427244585</v>
      </c>
      <c r="W176" s="27">
        <f t="shared" si="65"/>
        <v>0.6346749226006192</v>
      </c>
      <c r="X176" s="27">
        <f t="shared" si="66"/>
        <v>0</v>
      </c>
      <c r="Y176" s="28">
        <f t="shared" si="67"/>
        <v>67.250773993808053</v>
      </c>
    </row>
    <row r="177" spans="1:25" x14ac:dyDescent="0.25">
      <c r="A177" s="26" t="s">
        <v>366</v>
      </c>
      <c r="B177" s="26" t="s">
        <v>367</v>
      </c>
      <c r="C177" s="26" t="s">
        <v>243</v>
      </c>
      <c r="D177" s="26">
        <v>2</v>
      </c>
      <c r="E177" s="26"/>
      <c r="F177" s="26"/>
      <c r="G177" s="26"/>
      <c r="H177" s="26">
        <v>27</v>
      </c>
      <c r="I177" s="26">
        <v>320</v>
      </c>
      <c r="J177" s="26"/>
      <c r="K177" s="26">
        <v>103</v>
      </c>
      <c r="L177" s="26"/>
      <c r="M177" s="26">
        <v>450</v>
      </c>
      <c r="N177" s="28">
        <v>37.595555555555556</v>
      </c>
      <c r="O177" s="26" t="s">
        <v>307</v>
      </c>
      <c r="P177" s="26">
        <f t="shared" si="58"/>
        <v>103</v>
      </c>
      <c r="Q177" s="26">
        <f t="shared" si="59"/>
        <v>27</v>
      </c>
      <c r="R177" s="26">
        <f t="shared" si="60"/>
        <v>320</v>
      </c>
      <c r="S177" s="26">
        <f t="shared" si="61"/>
        <v>0</v>
      </c>
      <c r="T177" s="26">
        <f t="shared" si="62"/>
        <v>450</v>
      </c>
      <c r="U177" s="27">
        <f t="shared" si="63"/>
        <v>0.22888888888888889</v>
      </c>
      <c r="V177" s="27">
        <f t="shared" si="64"/>
        <v>0.06</v>
      </c>
      <c r="W177" s="27">
        <f t="shared" si="65"/>
        <v>0.71111111111111114</v>
      </c>
      <c r="X177" s="27">
        <f t="shared" si="66"/>
        <v>0</v>
      </c>
      <c r="Y177" s="28">
        <f t="shared" si="67"/>
        <v>37.595555555555556</v>
      </c>
    </row>
    <row r="178" spans="1:25" x14ac:dyDescent="0.25">
      <c r="A178" s="26" t="s">
        <v>368</v>
      </c>
      <c r="B178" s="26" t="s">
        <v>369</v>
      </c>
      <c r="C178" s="26" t="s">
        <v>245</v>
      </c>
      <c r="D178" s="26">
        <v>1</v>
      </c>
      <c r="E178" s="26"/>
      <c r="F178" s="26">
        <v>1</v>
      </c>
      <c r="G178" s="26">
        <v>1</v>
      </c>
      <c r="H178" s="26">
        <v>188</v>
      </c>
      <c r="I178" s="26">
        <v>91</v>
      </c>
      <c r="J178" s="26"/>
      <c r="K178" s="26">
        <v>169</v>
      </c>
      <c r="L178" s="26"/>
      <c r="M178" s="26">
        <v>450</v>
      </c>
      <c r="N178" s="28">
        <v>73.362222222222229</v>
      </c>
      <c r="O178" s="26" t="s">
        <v>307</v>
      </c>
      <c r="P178" s="26">
        <f t="shared" si="58"/>
        <v>169</v>
      </c>
      <c r="Q178" s="26">
        <f t="shared" si="59"/>
        <v>188</v>
      </c>
      <c r="R178" s="26">
        <f t="shared" si="60"/>
        <v>91</v>
      </c>
      <c r="S178" s="26">
        <f t="shared" si="61"/>
        <v>2</v>
      </c>
      <c r="T178" s="26">
        <f t="shared" si="62"/>
        <v>450</v>
      </c>
      <c r="U178" s="27">
        <f t="shared" si="63"/>
        <v>0.37555555555555553</v>
      </c>
      <c r="V178" s="27">
        <f t="shared" si="64"/>
        <v>0.4177777777777778</v>
      </c>
      <c r="W178" s="27">
        <f t="shared" si="65"/>
        <v>0.20222222222222222</v>
      </c>
      <c r="X178" s="27">
        <f t="shared" si="66"/>
        <v>4.4444444444444444E-3</v>
      </c>
      <c r="Y178" s="28">
        <f t="shared" si="67"/>
        <v>73.362222222222229</v>
      </c>
    </row>
    <row r="179" spans="1:25" x14ac:dyDescent="0.25">
      <c r="A179" s="26" t="s">
        <v>368</v>
      </c>
      <c r="B179" s="26" t="s">
        <v>369</v>
      </c>
      <c r="C179" s="26" t="s">
        <v>245</v>
      </c>
      <c r="D179" s="26">
        <v>2</v>
      </c>
      <c r="E179" s="26"/>
      <c r="F179" s="26">
        <v>1</v>
      </c>
      <c r="G179" s="26"/>
      <c r="H179" s="26">
        <v>187</v>
      </c>
      <c r="I179" s="26">
        <v>86</v>
      </c>
      <c r="J179" s="26">
        <v>1</v>
      </c>
      <c r="K179" s="26">
        <v>175</v>
      </c>
      <c r="L179" s="26"/>
      <c r="M179" s="26">
        <v>450</v>
      </c>
      <c r="N179" s="28">
        <v>65.086666666666673</v>
      </c>
      <c r="O179" s="26" t="s">
        <v>307</v>
      </c>
      <c r="P179" s="26">
        <f t="shared" si="58"/>
        <v>175</v>
      </c>
      <c r="Q179" s="26">
        <f t="shared" si="59"/>
        <v>187</v>
      </c>
      <c r="R179" s="26">
        <f t="shared" si="60"/>
        <v>86</v>
      </c>
      <c r="S179" s="26">
        <f t="shared" si="61"/>
        <v>2</v>
      </c>
      <c r="T179" s="26">
        <f t="shared" si="62"/>
        <v>450</v>
      </c>
      <c r="U179" s="27">
        <f t="shared" si="63"/>
        <v>0.3888888888888889</v>
      </c>
      <c r="V179" s="27">
        <f t="shared" si="64"/>
        <v>0.41555555555555557</v>
      </c>
      <c r="W179" s="27">
        <f t="shared" si="65"/>
        <v>0.19111111111111112</v>
      </c>
      <c r="X179" s="27">
        <f t="shared" si="66"/>
        <v>4.4444444444444444E-3</v>
      </c>
      <c r="Y179" s="28">
        <f t="shared" si="67"/>
        <v>65.086666666666673</v>
      </c>
    </row>
    <row r="180" spans="1:25" x14ac:dyDescent="0.25">
      <c r="A180" s="26" t="s">
        <v>368</v>
      </c>
      <c r="B180" s="26" t="s">
        <v>369</v>
      </c>
      <c r="C180" s="26" t="s">
        <v>245</v>
      </c>
      <c r="D180" s="26">
        <v>3</v>
      </c>
      <c r="E180" s="26"/>
      <c r="F180" s="26">
        <v>1</v>
      </c>
      <c r="G180" s="26"/>
      <c r="H180" s="26">
        <v>141</v>
      </c>
      <c r="I180" s="26">
        <v>124</v>
      </c>
      <c r="J180" s="26"/>
      <c r="K180" s="26">
        <v>184</v>
      </c>
      <c r="L180" s="26"/>
      <c r="M180" s="26">
        <v>450</v>
      </c>
      <c r="N180" s="28">
        <v>56.282222222222224</v>
      </c>
      <c r="O180" s="26" t="s">
        <v>307</v>
      </c>
      <c r="P180" s="26">
        <f t="shared" si="58"/>
        <v>184</v>
      </c>
      <c r="Q180" s="26">
        <f t="shared" si="59"/>
        <v>141</v>
      </c>
      <c r="R180" s="26">
        <f t="shared" si="60"/>
        <v>124</v>
      </c>
      <c r="S180" s="26">
        <f t="shared" si="61"/>
        <v>1</v>
      </c>
      <c r="T180" s="26">
        <f t="shared" si="62"/>
        <v>450</v>
      </c>
      <c r="U180" s="27">
        <f t="shared" si="63"/>
        <v>0.40888888888888891</v>
      </c>
      <c r="V180" s="27">
        <f t="shared" si="64"/>
        <v>0.31333333333333335</v>
      </c>
      <c r="W180" s="27">
        <f t="shared" si="65"/>
        <v>0.27555555555555555</v>
      </c>
      <c r="X180" s="27">
        <f t="shared" si="66"/>
        <v>2.2222222222222222E-3</v>
      </c>
      <c r="Y180" s="28">
        <f t="shared" si="67"/>
        <v>56.282222222222224</v>
      </c>
    </row>
    <row r="181" spans="1:25" x14ac:dyDescent="0.25">
      <c r="A181" s="26" t="s">
        <v>368</v>
      </c>
      <c r="B181" s="26" t="s">
        <v>369</v>
      </c>
      <c r="C181" s="26" t="s">
        <v>245</v>
      </c>
      <c r="D181" s="26">
        <v>4</v>
      </c>
      <c r="E181" s="26"/>
      <c r="F181" s="26"/>
      <c r="G181" s="26"/>
      <c r="H181" s="26">
        <v>184</v>
      </c>
      <c r="I181" s="26">
        <v>143</v>
      </c>
      <c r="J181" s="26">
        <v>1</v>
      </c>
      <c r="K181" s="26">
        <v>246</v>
      </c>
      <c r="L181" s="26"/>
      <c r="M181" s="26">
        <v>574</v>
      </c>
      <c r="N181" s="28">
        <v>46.554006968641112</v>
      </c>
      <c r="O181" s="26" t="s">
        <v>307</v>
      </c>
      <c r="P181" s="26">
        <f t="shared" si="58"/>
        <v>246</v>
      </c>
      <c r="Q181" s="26">
        <f t="shared" si="59"/>
        <v>184</v>
      </c>
      <c r="R181" s="26">
        <f t="shared" si="60"/>
        <v>143</v>
      </c>
      <c r="S181" s="26">
        <f t="shared" si="61"/>
        <v>1</v>
      </c>
      <c r="T181" s="26">
        <f t="shared" si="62"/>
        <v>574</v>
      </c>
      <c r="U181" s="27">
        <f t="shared" si="63"/>
        <v>0.42857142857142855</v>
      </c>
      <c r="V181" s="27">
        <f t="shared" si="64"/>
        <v>0.32055749128919858</v>
      </c>
      <c r="W181" s="27">
        <f t="shared" si="65"/>
        <v>0.24912891986062718</v>
      </c>
      <c r="X181" s="27">
        <f t="shared" si="66"/>
        <v>1.7421602787456446E-3</v>
      </c>
      <c r="Y181" s="28">
        <f t="shared" si="67"/>
        <v>46.554006968641112</v>
      </c>
    </row>
    <row r="182" spans="1:25" x14ac:dyDescent="0.25">
      <c r="A182" s="26" t="s">
        <v>368</v>
      </c>
      <c r="B182" s="26" t="s">
        <v>369</v>
      </c>
      <c r="C182" s="26" t="s">
        <v>245</v>
      </c>
      <c r="D182" s="26">
        <v>5</v>
      </c>
      <c r="E182" s="26"/>
      <c r="F182" s="26">
        <v>1</v>
      </c>
      <c r="G182" s="26">
        <v>1</v>
      </c>
      <c r="H182" s="26">
        <v>161</v>
      </c>
      <c r="I182" s="26">
        <v>178</v>
      </c>
      <c r="J182" s="26">
        <v>2</v>
      </c>
      <c r="K182" s="26">
        <v>231</v>
      </c>
      <c r="L182" s="26"/>
      <c r="M182" s="26">
        <v>574</v>
      </c>
      <c r="N182" s="28">
        <v>36.264808362369337</v>
      </c>
      <c r="O182" s="26" t="s">
        <v>307</v>
      </c>
      <c r="P182" s="26">
        <f t="shared" si="58"/>
        <v>231</v>
      </c>
      <c r="Q182" s="26">
        <f t="shared" si="59"/>
        <v>161</v>
      </c>
      <c r="R182" s="26">
        <f t="shared" si="60"/>
        <v>178</v>
      </c>
      <c r="S182" s="26">
        <f t="shared" si="61"/>
        <v>4</v>
      </c>
      <c r="T182" s="26">
        <f t="shared" si="62"/>
        <v>574</v>
      </c>
      <c r="U182" s="27">
        <f t="shared" si="63"/>
        <v>0.40243902439024393</v>
      </c>
      <c r="V182" s="27">
        <f t="shared" si="64"/>
        <v>0.28048780487804881</v>
      </c>
      <c r="W182" s="27">
        <f t="shared" si="65"/>
        <v>0.31010452961672474</v>
      </c>
      <c r="X182" s="27">
        <f t="shared" si="66"/>
        <v>6.9686411149825784E-3</v>
      </c>
      <c r="Y182" s="28">
        <f t="shared" si="67"/>
        <v>36.264808362369337</v>
      </c>
    </row>
    <row r="183" spans="1:25" x14ac:dyDescent="0.25">
      <c r="A183" s="26" t="s">
        <v>368</v>
      </c>
      <c r="B183" s="26" t="s">
        <v>369</v>
      </c>
      <c r="C183" s="26" t="s">
        <v>245</v>
      </c>
      <c r="D183" s="26">
        <v>6</v>
      </c>
      <c r="E183" s="26"/>
      <c r="F183" s="26"/>
      <c r="G183" s="26"/>
      <c r="H183" s="26">
        <v>102</v>
      </c>
      <c r="I183" s="26">
        <v>219</v>
      </c>
      <c r="J183" s="26"/>
      <c r="K183" s="26">
        <v>253</v>
      </c>
      <c r="L183" s="26"/>
      <c r="M183" s="26">
        <v>574</v>
      </c>
      <c r="N183" s="28">
        <v>24.778745644599304</v>
      </c>
      <c r="O183" s="26" t="s">
        <v>307</v>
      </c>
      <c r="P183" s="26">
        <f t="shared" si="58"/>
        <v>253</v>
      </c>
      <c r="Q183" s="26">
        <f t="shared" si="59"/>
        <v>102</v>
      </c>
      <c r="R183" s="26">
        <f t="shared" si="60"/>
        <v>219</v>
      </c>
      <c r="S183" s="26">
        <f t="shared" si="61"/>
        <v>0</v>
      </c>
      <c r="T183" s="26">
        <f t="shared" si="62"/>
        <v>574</v>
      </c>
      <c r="U183" s="27">
        <f t="shared" si="63"/>
        <v>0.44076655052264807</v>
      </c>
      <c r="V183" s="27">
        <f t="shared" si="64"/>
        <v>0.17770034843205576</v>
      </c>
      <c r="W183" s="27">
        <f t="shared" si="65"/>
        <v>0.38153310104529614</v>
      </c>
      <c r="X183" s="27">
        <f t="shared" si="66"/>
        <v>0</v>
      </c>
      <c r="Y183" s="28">
        <f t="shared" si="67"/>
        <v>24.778745644599304</v>
      </c>
    </row>
    <row r="184" spans="1:25" x14ac:dyDescent="0.25">
      <c r="A184" s="26" t="s">
        <v>370</v>
      </c>
      <c r="B184" s="26" t="s">
        <v>371</v>
      </c>
      <c r="C184" s="26" t="s">
        <v>247</v>
      </c>
      <c r="D184" s="26">
        <v>1</v>
      </c>
      <c r="E184" s="26"/>
      <c r="F184" s="26"/>
      <c r="G184" s="26"/>
      <c r="H184" s="26">
        <v>55</v>
      </c>
      <c r="I184" s="26">
        <v>239</v>
      </c>
      <c r="J184" s="26">
        <v>2</v>
      </c>
      <c r="K184" s="26">
        <v>154</v>
      </c>
      <c r="L184" s="26"/>
      <c r="M184" s="26">
        <v>450</v>
      </c>
      <c r="N184" s="28">
        <v>67.63333333333334</v>
      </c>
      <c r="O184" s="26" t="s">
        <v>307</v>
      </c>
      <c r="P184" s="26">
        <f t="shared" si="58"/>
        <v>154</v>
      </c>
      <c r="Q184" s="26">
        <f t="shared" si="59"/>
        <v>55</v>
      </c>
      <c r="R184" s="26">
        <f t="shared" si="60"/>
        <v>239</v>
      </c>
      <c r="S184" s="26">
        <f t="shared" si="61"/>
        <v>2</v>
      </c>
      <c r="T184" s="26">
        <f t="shared" si="62"/>
        <v>450</v>
      </c>
      <c r="U184" s="27">
        <f t="shared" si="63"/>
        <v>0.34222222222222221</v>
      </c>
      <c r="V184" s="27">
        <f t="shared" si="64"/>
        <v>0.12222222222222222</v>
      </c>
      <c r="W184" s="27">
        <f t="shared" si="65"/>
        <v>0.53111111111111109</v>
      </c>
      <c r="X184" s="27">
        <f t="shared" si="66"/>
        <v>4.4444444444444444E-3</v>
      </c>
      <c r="Y184" s="28">
        <f t="shared" si="67"/>
        <v>67.63333333333334</v>
      </c>
    </row>
    <row r="185" spans="1:25" x14ac:dyDescent="0.25">
      <c r="A185" s="26" t="s">
        <v>370</v>
      </c>
      <c r="B185" s="26" t="s">
        <v>371</v>
      </c>
      <c r="C185" s="26" t="s">
        <v>247</v>
      </c>
      <c r="D185" s="26">
        <v>2</v>
      </c>
      <c r="E185" s="26"/>
      <c r="F185" s="26">
        <v>2</v>
      </c>
      <c r="G185" s="26">
        <v>1</v>
      </c>
      <c r="H185" s="26">
        <v>30</v>
      </c>
      <c r="I185" s="26">
        <v>304</v>
      </c>
      <c r="J185" s="26">
        <v>1</v>
      </c>
      <c r="K185" s="26">
        <v>276</v>
      </c>
      <c r="L185" s="26">
        <v>1</v>
      </c>
      <c r="M185" s="26">
        <v>615</v>
      </c>
      <c r="N185" s="28">
        <v>48.346341463414632</v>
      </c>
      <c r="O185" s="26" t="s">
        <v>307</v>
      </c>
      <c r="P185" s="26">
        <f t="shared" si="58"/>
        <v>276</v>
      </c>
      <c r="Q185" s="26">
        <f t="shared" si="59"/>
        <v>30</v>
      </c>
      <c r="R185" s="26">
        <f t="shared" si="60"/>
        <v>304</v>
      </c>
      <c r="S185" s="26">
        <f t="shared" si="61"/>
        <v>5</v>
      </c>
      <c r="T185" s="26">
        <f t="shared" si="62"/>
        <v>615</v>
      </c>
      <c r="U185" s="27">
        <f t="shared" si="63"/>
        <v>0.44878048780487806</v>
      </c>
      <c r="V185" s="27">
        <f t="shared" si="64"/>
        <v>4.878048780487805E-2</v>
      </c>
      <c r="W185" s="27">
        <f t="shared" si="65"/>
        <v>0.49430894308943091</v>
      </c>
      <c r="X185" s="27">
        <f t="shared" si="66"/>
        <v>8.130081300813009E-3</v>
      </c>
      <c r="Y185" s="28">
        <f t="shared" si="67"/>
        <v>48.346341463414632</v>
      </c>
    </row>
    <row r="186" spans="1:25" x14ac:dyDescent="0.25">
      <c r="A186" s="26" t="s">
        <v>370</v>
      </c>
      <c r="B186" s="26" t="s">
        <v>371</v>
      </c>
      <c r="C186" s="26" t="s">
        <v>247</v>
      </c>
      <c r="D186" s="26">
        <v>3</v>
      </c>
      <c r="E186" s="26"/>
      <c r="F186" s="26"/>
      <c r="G186" s="26">
        <v>1</v>
      </c>
      <c r="H186" s="26">
        <v>15</v>
      </c>
      <c r="I186" s="26">
        <v>307</v>
      </c>
      <c r="J186" s="26"/>
      <c r="K186" s="26">
        <v>293</v>
      </c>
      <c r="L186" s="26"/>
      <c r="M186" s="26">
        <v>616</v>
      </c>
      <c r="N186" s="28">
        <v>28.801948051948052</v>
      </c>
      <c r="O186" s="26" t="s">
        <v>307</v>
      </c>
      <c r="P186" s="26">
        <f t="shared" si="58"/>
        <v>293</v>
      </c>
      <c r="Q186" s="26">
        <f t="shared" si="59"/>
        <v>15</v>
      </c>
      <c r="R186" s="26">
        <f t="shared" si="60"/>
        <v>307</v>
      </c>
      <c r="S186" s="26">
        <f t="shared" si="61"/>
        <v>1</v>
      </c>
      <c r="T186" s="26">
        <f t="shared" si="62"/>
        <v>616</v>
      </c>
      <c r="U186" s="27">
        <f t="shared" si="63"/>
        <v>0.47564935064935066</v>
      </c>
      <c r="V186" s="27">
        <f t="shared" si="64"/>
        <v>2.4350649350649352E-2</v>
      </c>
      <c r="W186" s="27">
        <f t="shared" si="65"/>
        <v>0.49837662337662336</v>
      </c>
      <c r="X186" s="27">
        <f t="shared" si="66"/>
        <v>1.6233766233766235E-3</v>
      </c>
      <c r="Y186" s="28">
        <f t="shared" si="67"/>
        <v>28.801948051948052</v>
      </c>
    </row>
    <row r="187" spans="1:25" x14ac:dyDescent="0.25">
      <c r="A187" s="26" t="s">
        <v>372</v>
      </c>
      <c r="B187" s="26" t="s">
        <v>373</v>
      </c>
      <c r="C187" s="26" t="s">
        <v>249</v>
      </c>
      <c r="D187" s="26">
        <v>1</v>
      </c>
      <c r="E187" s="26"/>
      <c r="F187" s="26"/>
      <c r="G187" s="26">
        <v>2</v>
      </c>
      <c r="H187" s="26">
        <v>21</v>
      </c>
      <c r="I187" s="26">
        <v>114</v>
      </c>
      <c r="J187" s="26"/>
      <c r="K187" s="26">
        <v>313</v>
      </c>
      <c r="L187" s="26"/>
      <c r="M187" s="26">
        <v>450</v>
      </c>
      <c r="N187" s="28">
        <v>63.866666666666667</v>
      </c>
      <c r="O187" s="26" t="s">
        <v>307</v>
      </c>
      <c r="P187" s="26">
        <f t="shared" si="58"/>
        <v>313</v>
      </c>
      <c r="Q187" s="26">
        <f t="shared" si="59"/>
        <v>21</v>
      </c>
      <c r="R187" s="26">
        <f t="shared" si="60"/>
        <v>114</v>
      </c>
      <c r="S187" s="26">
        <f t="shared" si="61"/>
        <v>2</v>
      </c>
      <c r="T187" s="26">
        <f t="shared" si="62"/>
        <v>450</v>
      </c>
      <c r="U187" s="27">
        <f t="shared" si="63"/>
        <v>0.69555555555555559</v>
      </c>
      <c r="V187" s="27">
        <f t="shared" si="64"/>
        <v>4.6666666666666669E-2</v>
      </c>
      <c r="W187" s="27">
        <f t="shared" si="65"/>
        <v>0.25333333333333335</v>
      </c>
      <c r="X187" s="27">
        <f t="shared" si="66"/>
        <v>4.4444444444444444E-3</v>
      </c>
      <c r="Y187" s="28">
        <f t="shared" si="67"/>
        <v>63.866666666666667</v>
      </c>
    </row>
    <row r="188" spans="1:25" x14ac:dyDescent="0.25">
      <c r="A188" s="26" t="s">
        <v>372</v>
      </c>
      <c r="B188" s="26" t="s">
        <v>373</v>
      </c>
      <c r="C188" s="26" t="s">
        <v>249</v>
      </c>
      <c r="D188" s="26">
        <v>2</v>
      </c>
      <c r="E188" s="26"/>
      <c r="F188" s="26">
        <v>2</v>
      </c>
      <c r="G188" s="26"/>
      <c r="H188" s="26">
        <v>52</v>
      </c>
      <c r="I188" s="26">
        <v>252</v>
      </c>
      <c r="J188" s="26">
        <v>3</v>
      </c>
      <c r="K188" s="26">
        <v>293</v>
      </c>
      <c r="L188" s="26"/>
      <c r="M188" s="26">
        <v>602</v>
      </c>
      <c r="N188" s="28">
        <v>43.519933554817278</v>
      </c>
      <c r="O188" s="26" t="s">
        <v>307</v>
      </c>
      <c r="P188" s="26">
        <f t="shared" si="58"/>
        <v>293</v>
      </c>
      <c r="Q188" s="26">
        <f t="shared" si="59"/>
        <v>52</v>
      </c>
      <c r="R188" s="26">
        <f t="shared" si="60"/>
        <v>252</v>
      </c>
      <c r="S188" s="26">
        <f t="shared" si="61"/>
        <v>5</v>
      </c>
      <c r="T188" s="26">
        <f t="shared" si="62"/>
        <v>602</v>
      </c>
      <c r="U188" s="27">
        <f t="shared" si="63"/>
        <v>0.48671096345514953</v>
      </c>
      <c r="V188" s="27">
        <f t="shared" si="64"/>
        <v>8.6378737541528236E-2</v>
      </c>
      <c r="W188" s="27">
        <f t="shared" si="65"/>
        <v>0.41860465116279072</v>
      </c>
      <c r="X188" s="27">
        <f t="shared" si="66"/>
        <v>8.3056478405315621E-3</v>
      </c>
      <c r="Y188" s="28">
        <f t="shared" si="67"/>
        <v>43.519933554817278</v>
      </c>
    </row>
    <row r="189" spans="1:25" x14ac:dyDescent="0.25">
      <c r="A189" s="26" t="s">
        <v>372</v>
      </c>
      <c r="B189" s="26" t="s">
        <v>373</v>
      </c>
      <c r="C189" s="26" t="s">
        <v>249</v>
      </c>
      <c r="D189" s="26">
        <v>3</v>
      </c>
      <c r="E189" s="26"/>
      <c r="F189" s="26"/>
      <c r="G189" s="26"/>
      <c r="H189" s="26">
        <v>46</v>
      </c>
      <c r="I189" s="26">
        <v>295</v>
      </c>
      <c r="J189" s="26"/>
      <c r="K189" s="26">
        <v>262</v>
      </c>
      <c r="L189" s="26"/>
      <c r="M189" s="26">
        <v>603</v>
      </c>
      <c r="N189" s="28">
        <v>25.802653399668326</v>
      </c>
      <c r="O189" s="26" t="s">
        <v>307</v>
      </c>
      <c r="P189" s="26">
        <f t="shared" si="58"/>
        <v>262</v>
      </c>
      <c r="Q189" s="26">
        <f t="shared" si="59"/>
        <v>46</v>
      </c>
      <c r="R189" s="26">
        <f t="shared" si="60"/>
        <v>295</v>
      </c>
      <c r="S189" s="26">
        <f t="shared" si="61"/>
        <v>0</v>
      </c>
      <c r="T189" s="26">
        <f t="shared" si="62"/>
        <v>603</v>
      </c>
      <c r="U189" s="27">
        <f t="shared" si="63"/>
        <v>0.43449419568822556</v>
      </c>
      <c r="V189" s="27">
        <f t="shared" si="64"/>
        <v>7.6285240464344942E-2</v>
      </c>
      <c r="W189" s="27">
        <f t="shared" si="65"/>
        <v>0.48922056384742951</v>
      </c>
      <c r="X189" s="27">
        <f t="shared" si="66"/>
        <v>0</v>
      </c>
      <c r="Y189" s="28">
        <f t="shared" si="67"/>
        <v>25.802653399668326</v>
      </c>
    </row>
    <row r="190" spans="1:25" x14ac:dyDescent="0.25">
      <c r="A190" s="26" t="s">
        <v>374</v>
      </c>
      <c r="B190" s="26" t="s">
        <v>375</v>
      </c>
      <c r="C190" s="26" t="s">
        <v>251</v>
      </c>
      <c r="D190" s="26">
        <v>1</v>
      </c>
      <c r="E190" s="26"/>
      <c r="F190" s="26"/>
      <c r="G190" s="26">
        <v>1</v>
      </c>
      <c r="H190" s="26">
        <v>54</v>
      </c>
      <c r="I190" s="26">
        <v>136</v>
      </c>
      <c r="J190" s="26">
        <v>3</v>
      </c>
      <c r="K190" s="26">
        <v>256</v>
      </c>
      <c r="L190" s="26"/>
      <c r="M190" s="26">
        <v>450</v>
      </c>
      <c r="N190" s="28">
        <v>59.726666666666667</v>
      </c>
      <c r="O190" s="26" t="s">
        <v>307</v>
      </c>
      <c r="P190" s="26">
        <f t="shared" si="58"/>
        <v>256</v>
      </c>
      <c r="Q190" s="26">
        <f t="shared" si="59"/>
        <v>54</v>
      </c>
      <c r="R190" s="26">
        <f t="shared" si="60"/>
        <v>136</v>
      </c>
      <c r="S190" s="26">
        <f t="shared" si="61"/>
        <v>4</v>
      </c>
      <c r="T190" s="26">
        <f t="shared" si="62"/>
        <v>450</v>
      </c>
      <c r="U190" s="27">
        <f t="shared" si="63"/>
        <v>0.56888888888888889</v>
      </c>
      <c r="V190" s="27">
        <f t="shared" si="64"/>
        <v>0.12</v>
      </c>
      <c r="W190" s="27">
        <f t="shared" si="65"/>
        <v>0.30222222222222223</v>
      </c>
      <c r="X190" s="27">
        <f t="shared" si="66"/>
        <v>8.8888888888888889E-3</v>
      </c>
      <c r="Y190" s="28">
        <f t="shared" si="67"/>
        <v>59.726666666666667</v>
      </c>
    </row>
    <row r="191" spans="1:25" x14ac:dyDescent="0.25">
      <c r="A191" s="26" t="s">
        <v>374</v>
      </c>
      <c r="B191" s="26" t="s">
        <v>375</v>
      </c>
      <c r="C191" s="26" t="s">
        <v>251</v>
      </c>
      <c r="D191" s="26">
        <v>2</v>
      </c>
      <c r="E191" s="26"/>
      <c r="F191" s="26">
        <v>1</v>
      </c>
      <c r="G191" s="26">
        <v>3</v>
      </c>
      <c r="H191" s="26">
        <v>85</v>
      </c>
      <c r="I191" s="26">
        <v>198</v>
      </c>
      <c r="J191" s="26">
        <v>1</v>
      </c>
      <c r="K191" s="26">
        <v>351</v>
      </c>
      <c r="L191" s="26"/>
      <c r="M191" s="26">
        <v>639</v>
      </c>
      <c r="N191" s="28">
        <v>47.591549295774648</v>
      </c>
      <c r="O191" s="26" t="s">
        <v>307</v>
      </c>
      <c r="P191" s="26">
        <f t="shared" si="58"/>
        <v>351</v>
      </c>
      <c r="Q191" s="26">
        <f t="shared" si="59"/>
        <v>85</v>
      </c>
      <c r="R191" s="26">
        <f t="shared" si="60"/>
        <v>198</v>
      </c>
      <c r="S191" s="26">
        <f t="shared" si="61"/>
        <v>5</v>
      </c>
      <c r="T191" s="26">
        <f t="shared" si="62"/>
        <v>639</v>
      </c>
      <c r="U191" s="27">
        <f t="shared" si="63"/>
        <v>0.54929577464788737</v>
      </c>
      <c r="V191" s="27">
        <f t="shared" si="64"/>
        <v>0.13302034428794993</v>
      </c>
      <c r="W191" s="27">
        <f t="shared" si="65"/>
        <v>0.30985915492957744</v>
      </c>
      <c r="X191" s="27">
        <f t="shared" si="66"/>
        <v>7.8247261345852897E-3</v>
      </c>
      <c r="Y191" s="28">
        <f t="shared" si="67"/>
        <v>47.591549295774648</v>
      </c>
    </row>
    <row r="192" spans="1:25" x14ac:dyDescent="0.25">
      <c r="A192" s="26" t="s">
        <v>374</v>
      </c>
      <c r="B192" s="26" t="s">
        <v>375</v>
      </c>
      <c r="C192" s="26" t="s">
        <v>251</v>
      </c>
      <c r="D192" s="26">
        <v>3</v>
      </c>
      <c r="E192" s="26">
        <v>2</v>
      </c>
      <c r="F192" s="26"/>
      <c r="G192" s="26"/>
      <c r="H192" s="26">
        <v>100</v>
      </c>
      <c r="I192" s="26">
        <v>221</v>
      </c>
      <c r="J192" s="26">
        <v>2</v>
      </c>
      <c r="K192" s="26">
        <v>314</v>
      </c>
      <c r="L192" s="26"/>
      <c r="M192" s="26">
        <v>639</v>
      </c>
      <c r="N192" s="28">
        <v>35.721439749608763</v>
      </c>
      <c r="O192" s="26" t="s">
        <v>307</v>
      </c>
      <c r="P192" s="26">
        <f t="shared" si="58"/>
        <v>314</v>
      </c>
      <c r="Q192" s="26">
        <f t="shared" si="59"/>
        <v>100</v>
      </c>
      <c r="R192" s="26">
        <f t="shared" si="60"/>
        <v>221</v>
      </c>
      <c r="S192" s="26">
        <f t="shared" si="61"/>
        <v>4</v>
      </c>
      <c r="T192" s="26">
        <f t="shared" si="62"/>
        <v>639</v>
      </c>
      <c r="U192" s="27">
        <f t="shared" si="63"/>
        <v>0.49139280125195617</v>
      </c>
      <c r="V192" s="27">
        <f t="shared" si="64"/>
        <v>0.1564945226917058</v>
      </c>
      <c r="W192" s="27">
        <f t="shared" si="65"/>
        <v>0.34585289514866979</v>
      </c>
      <c r="X192" s="27">
        <f t="shared" si="66"/>
        <v>6.2597809076682318E-3</v>
      </c>
      <c r="Y192" s="28">
        <f t="shared" si="67"/>
        <v>35.721439749608763</v>
      </c>
    </row>
    <row r="193" spans="1:25" x14ac:dyDescent="0.25">
      <c r="A193" s="26" t="s">
        <v>374</v>
      </c>
      <c r="B193" s="26" t="s">
        <v>375</v>
      </c>
      <c r="C193" s="26" t="s">
        <v>251</v>
      </c>
      <c r="D193" s="26">
        <v>4</v>
      </c>
      <c r="E193" s="26"/>
      <c r="F193" s="26"/>
      <c r="G193" s="26"/>
      <c r="H193" s="26">
        <v>70</v>
      </c>
      <c r="I193" s="26">
        <v>169</v>
      </c>
      <c r="J193" s="26"/>
      <c r="K193" s="26">
        <v>400</v>
      </c>
      <c r="L193" s="26"/>
      <c r="M193" s="26">
        <v>639</v>
      </c>
      <c r="N193" s="28">
        <v>27.679186228482003</v>
      </c>
      <c r="O193" s="26" t="s">
        <v>307</v>
      </c>
      <c r="P193" s="26">
        <f t="shared" si="58"/>
        <v>400</v>
      </c>
      <c r="Q193" s="26">
        <f t="shared" si="59"/>
        <v>70</v>
      </c>
      <c r="R193" s="26">
        <f t="shared" si="60"/>
        <v>169</v>
      </c>
      <c r="S193" s="26">
        <f t="shared" si="61"/>
        <v>0</v>
      </c>
      <c r="T193" s="26">
        <f t="shared" si="62"/>
        <v>639</v>
      </c>
      <c r="U193" s="27">
        <f t="shared" si="63"/>
        <v>0.6259780907668232</v>
      </c>
      <c r="V193" s="27">
        <f t="shared" si="64"/>
        <v>0.10954616588419405</v>
      </c>
      <c r="W193" s="27">
        <f t="shared" si="65"/>
        <v>0.26447574334898277</v>
      </c>
      <c r="X193" s="27">
        <f t="shared" si="66"/>
        <v>0</v>
      </c>
      <c r="Y193" s="28">
        <f t="shared" si="67"/>
        <v>27.679186228482003</v>
      </c>
    </row>
    <row r="194" spans="1:25" x14ac:dyDescent="0.25">
      <c r="A194" s="26" t="s">
        <v>374</v>
      </c>
      <c r="B194" s="26" t="s">
        <v>375</v>
      </c>
      <c r="C194" s="26" t="s">
        <v>251</v>
      </c>
      <c r="D194" s="26">
        <v>5</v>
      </c>
      <c r="E194" s="26"/>
      <c r="F194" s="26"/>
      <c r="G194" s="26"/>
      <c r="H194" s="26">
        <v>56</v>
      </c>
      <c r="I194" s="26">
        <v>147</v>
      </c>
      <c r="J194" s="26"/>
      <c r="K194" s="26">
        <v>436</v>
      </c>
      <c r="L194" s="26"/>
      <c r="M194" s="26">
        <v>639</v>
      </c>
      <c r="N194" s="28">
        <v>21.103286384976524</v>
      </c>
      <c r="O194" s="26" t="s">
        <v>307</v>
      </c>
      <c r="P194" s="26">
        <f t="shared" si="58"/>
        <v>436</v>
      </c>
      <c r="Q194" s="26">
        <f t="shared" si="59"/>
        <v>56</v>
      </c>
      <c r="R194" s="26">
        <f t="shared" si="60"/>
        <v>147</v>
      </c>
      <c r="S194" s="26">
        <f t="shared" si="61"/>
        <v>0</v>
      </c>
      <c r="T194" s="26">
        <f t="shared" si="62"/>
        <v>639</v>
      </c>
      <c r="U194" s="27">
        <f t="shared" si="63"/>
        <v>0.68231611893583721</v>
      </c>
      <c r="V194" s="27">
        <f t="shared" si="64"/>
        <v>8.7636932707355245E-2</v>
      </c>
      <c r="W194" s="27">
        <f t="shared" si="65"/>
        <v>0.2300469483568075</v>
      </c>
      <c r="X194" s="27">
        <f t="shared" si="66"/>
        <v>0</v>
      </c>
      <c r="Y194" s="28">
        <f t="shared" si="67"/>
        <v>21.103286384976524</v>
      </c>
    </row>
    <row r="195" spans="1:25" x14ac:dyDescent="0.25">
      <c r="A195" s="26" t="s">
        <v>376</v>
      </c>
      <c r="B195" s="26" t="s">
        <v>377</v>
      </c>
      <c r="C195" s="26" t="s">
        <v>253</v>
      </c>
      <c r="D195" s="26">
        <v>1</v>
      </c>
      <c r="E195" s="26"/>
      <c r="F195" s="26"/>
      <c r="G195" s="26">
        <v>2</v>
      </c>
      <c r="H195" s="26">
        <v>181</v>
      </c>
      <c r="I195" s="26">
        <v>192</v>
      </c>
      <c r="J195" s="26"/>
      <c r="K195" s="26">
        <v>75</v>
      </c>
      <c r="L195" s="26"/>
      <c r="M195" s="26">
        <v>450</v>
      </c>
      <c r="N195" s="28">
        <v>63.346666666666664</v>
      </c>
      <c r="O195" s="26" t="s">
        <v>307</v>
      </c>
      <c r="P195" s="26">
        <f t="shared" si="58"/>
        <v>75</v>
      </c>
      <c r="Q195" s="26">
        <f t="shared" si="59"/>
        <v>181</v>
      </c>
      <c r="R195" s="26">
        <f t="shared" si="60"/>
        <v>192</v>
      </c>
      <c r="S195" s="26">
        <f t="shared" si="61"/>
        <v>2</v>
      </c>
      <c r="T195" s="26">
        <f t="shared" si="62"/>
        <v>450</v>
      </c>
      <c r="U195" s="27">
        <f t="shared" si="63"/>
        <v>0.16666666666666666</v>
      </c>
      <c r="V195" s="27">
        <f t="shared" si="64"/>
        <v>0.4022222222222222</v>
      </c>
      <c r="W195" s="27">
        <f t="shared" si="65"/>
        <v>0.42666666666666669</v>
      </c>
      <c r="X195" s="27">
        <f t="shared" si="66"/>
        <v>4.4444444444444444E-3</v>
      </c>
      <c r="Y195" s="28">
        <f t="shared" si="67"/>
        <v>63.346666666666664</v>
      </c>
    </row>
    <row r="196" spans="1:25" x14ac:dyDescent="0.25">
      <c r="A196" s="26" t="s">
        <v>376</v>
      </c>
      <c r="B196" s="26" t="s">
        <v>377</v>
      </c>
      <c r="C196" s="26" t="s">
        <v>253</v>
      </c>
      <c r="D196" s="26">
        <v>2</v>
      </c>
      <c r="E196" s="26">
        <v>1</v>
      </c>
      <c r="F196" s="26">
        <v>1</v>
      </c>
      <c r="G196" s="26">
        <v>2</v>
      </c>
      <c r="H196" s="26">
        <v>257</v>
      </c>
      <c r="I196" s="26">
        <v>199</v>
      </c>
      <c r="J196" s="26">
        <v>1</v>
      </c>
      <c r="K196" s="26">
        <v>150</v>
      </c>
      <c r="L196" s="26"/>
      <c r="M196" s="26">
        <v>611</v>
      </c>
      <c r="N196" s="28">
        <v>51.040916530278231</v>
      </c>
      <c r="O196" s="26" t="s">
        <v>307</v>
      </c>
      <c r="P196" s="26">
        <f t="shared" si="58"/>
        <v>150</v>
      </c>
      <c r="Q196" s="26">
        <f t="shared" si="59"/>
        <v>257</v>
      </c>
      <c r="R196" s="26">
        <f t="shared" si="60"/>
        <v>199</v>
      </c>
      <c r="S196" s="26">
        <f t="shared" si="61"/>
        <v>5</v>
      </c>
      <c r="T196" s="26">
        <f t="shared" si="62"/>
        <v>611</v>
      </c>
      <c r="U196" s="27">
        <f t="shared" si="63"/>
        <v>0.24549918166939444</v>
      </c>
      <c r="V196" s="27">
        <f t="shared" si="64"/>
        <v>0.42062193126022912</v>
      </c>
      <c r="W196" s="27">
        <f t="shared" si="65"/>
        <v>0.32569558101472995</v>
      </c>
      <c r="X196" s="27">
        <f t="shared" si="66"/>
        <v>8.1833060556464818E-3</v>
      </c>
      <c r="Y196" s="28">
        <f t="shared" si="67"/>
        <v>51.040916530278231</v>
      </c>
    </row>
    <row r="197" spans="1:25" x14ac:dyDescent="0.25">
      <c r="A197" s="26" t="s">
        <v>376</v>
      </c>
      <c r="B197" s="26" t="s">
        <v>377</v>
      </c>
      <c r="C197" s="26" t="s">
        <v>253</v>
      </c>
      <c r="D197" s="26">
        <v>3</v>
      </c>
      <c r="E197" s="26"/>
      <c r="F197" s="26">
        <v>1</v>
      </c>
      <c r="G197" s="26">
        <v>2</v>
      </c>
      <c r="H197" s="26">
        <v>251</v>
      </c>
      <c r="I197" s="26">
        <v>259</v>
      </c>
      <c r="J197" s="26"/>
      <c r="K197" s="26">
        <v>98</v>
      </c>
      <c r="L197" s="26"/>
      <c r="M197" s="26">
        <v>611</v>
      </c>
      <c r="N197" s="28">
        <v>41.173486088379704</v>
      </c>
      <c r="O197" s="26" t="s">
        <v>307</v>
      </c>
      <c r="P197" s="26">
        <f t="shared" si="58"/>
        <v>98</v>
      </c>
      <c r="Q197" s="26">
        <f t="shared" si="59"/>
        <v>251</v>
      </c>
      <c r="R197" s="26">
        <f t="shared" si="60"/>
        <v>259</v>
      </c>
      <c r="S197" s="26">
        <f t="shared" si="61"/>
        <v>3</v>
      </c>
      <c r="T197" s="26">
        <f t="shared" si="62"/>
        <v>611</v>
      </c>
      <c r="U197" s="27">
        <f t="shared" si="63"/>
        <v>0.16039279869067102</v>
      </c>
      <c r="V197" s="27">
        <f t="shared" si="64"/>
        <v>0.41080196399345337</v>
      </c>
      <c r="W197" s="27">
        <f t="shared" si="65"/>
        <v>0.4238952536824877</v>
      </c>
      <c r="X197" s="27">
        <f t="shared" si="66"/>
        <v>4.9099836333878887E-3</v>
      </c>
      <c r="Y197" s="28">
        <f t="shared" si="67"/>
        <v>41.173486088379704</v>
      </c>
    </row>
    <row r="198" spans="1:25" x14ac:dyDescent="0.25">
      <c r="A198" s="26" t="s">
        <v>376</v>
      </c>
      <c r="B198" s="26" t="s">
        <v>377</v>
      </c>
      <c r="C198" s="26" t="s">
        <v>253</v>
      </c>
      <c r="D198" s="26">
        <v>4</v>
      </c>
      <c r="E198" s="26"/>
      <c r="F198" s="26">
        <v>1</v>
      </c>
      <c r="G198" s="26"/>
      <c r="H198" s="26">
        <v>203</v>
      </c>
      <c r="I198" s="26">
        <v>252</v>
      </c>
      <c r="J198" s="26">
        <v>2</v>
      </c>
      <c r="K198" s="26">
        <v>153</v>
      </c>
      <c r="L198" s="26"/>
      <c r="M198" s="26">
        <v>611</v>
      </c>
      <c r="N198" s="28">
        <v>33.779050736497545</v>
      </c>
      <c r="O198" s="26" t="s">
        <v>307</v>
      </c>
      <c r="P198" s="26">
        <f t="shared" si="58"/>
        <v>153</v>
      </c>
      <c r="Q198" s="26">
        <f t="shared" si="59"/>
        <v>203</v>
      </c>
      <c r="R198" s="26">
        <f t="shared" si="60"/>
        <v>252</v>
      </c>
      <c r="S198" s="26">
        <f t="shared" si="61"/>
        <v>3</v>
      </c>
      <c r="T198" s="26">
        <f t="shared" si="62"/>
        <v>611</v>
      </c>
      <c r="U198" s="27">
        <f t="shared" si="63"/>
        <v>0.25040916530278234</v>
      </c>
      <c r="V198" s="27">
        <f t="shared" si="64"/>
        <v>0.33224222585924712</v>
      </c>
      <c r="W198" s="27">
        <f t="shared" si="65"/>
        <v>0.41243862520458263</v>
      </c>
      <c r="X198" s="27">
        <f t="shared" si="66"/>
        <v>4.9099836333878887E-3</v>
      </c>
      <c r="Y198" s="28">
        <f t="shared" si="67"/>
        <v>33.779050736497545</v>
      </c>
    </row>
    <row r="199" spans="1:25" x14ac:dyDescent="0.25">
      <c r="A199" s="26" t="s">
        <v>376</v>
      </c>
      <c r="B199" s="26" t="s">
        <v>377</v>
      </c>
      <c r="C199" s="26" t="s">
        <v>253</v>
      </c>
      <c r="D199" s="26">
        <v>5</v>
      </c>
      <c r="E199" s="26"/>
      <c r="F199" s="26"/>
      <c r="G199" s="26"/>
      <c r="H199" s="26">
        <v>204</v>
      </c>
      <c r="I199" s="26">
        <v>248</v>
      </c>
      <c r="J199" s="26"/>
      <c r="K199" s="26">
        <v>159</v>
      </c>
      <c r="L199" s="26"/>
      <c r="M199" s="26">
        <v>611</v>
      </c>
      <c r="N199" s="28">
        <v>27.135842880523732</v>
      </c>
      <c r="O199" s="26" t="s">
        <v>307</v>
      </c>
      <c r="P199" s="26">
        <f t="shared" si="58"/>
        <v>159</v>
      </c>
      <c r="Q199" s="26">
        <f t="shared" si="59"/>
        <v>204</v>
      </c>
      <c r="R199" s="26">
        <f t="shared" si="60"/>
        <v>248</v>
      </c>
      <c r="S199" s="26">
        <f t="shared" si="61"/>
        <v>0</v>
      </c>
      <c r="T199" s="26">
        <f t="shared" si="62"/>
        <v>611</v>
      </c>
      <c r="U199" s="27">
        <f t="shared" si="63"/>
        <v>0.2602291325695581</v>
      </c>
      <c r="V199" s="27">
        <f t="shared" si="64"/>
        <v>0.33387888707037644</v>
      </c>
      <c r="W199" s="27">
        <f t="shared" si="65"/>
        <v>0.40589198036006546</v>
      </c>
      <c r="X199" s="27">
        <f t="shared" si="66"/>
        <v>0</v>
      </c>
      <c r="Y199" s="28">
        <f t="shared" si="67"/>
        <v>27.135842880523732</v>
      </c>
    </row>
    <row r="200" spans="1:25" x14ac:dyDescent="0.25">
      <c r="A200" s="26" t="s">
        <v>376</v>
      </c>
      <c r="B200" s="26" t="s">
        <v>377</v>
      </c>
      <c r="C200" s="26" t="s">
        <v>253</v>
      </c>
      <c r="D200" s="26">
        <v>6</v>
      </c>
      <c r="E200" s="26"/>
      <c r="F200" s="26"/>
      <c r="G200" s="26"/>
      <c r="H200" s="26">
        <v>173</v>
      </c>
      <c r="I200" s="26">
        <v>257</v>
      </c>
      <c r="J200" s="26"/>
      <c r="K200" s="26">
        <v>185</v>
      </c>
      <c r="L200" s="26"/>
      <c r="M200" s="26">
        <v>615</v>
      </c>
      <c r="N200" s="28">
        <v>21.040650406504064</v>
      </c>
      <c r="O200" s="26" t="s">
        <v>307</v>
      </c>
      <c r="P200" s="26">
        <f t="shared" si="58"/>
        <v>185</v>
      </c>
      <c r="Q200" s="26">
        <f t="shared" si="59"/>
        <v>173</v>
      </c>
      <c r="R200" s="26">
        <f t="shared" si="60"/>
        <v>257</v>
      </c>
      <c r="S200" s="26">
        <f t="shared" si="61"/>
        <v>0</v>
      </c>
      <c r="T200" s="26">
        <f t="shared" si="62"/>
        <v>615</v>
      </c>
      <c r="U200" s="27">
        <f t="shared" si="63"/>
        <v>0.30081300813008133</v>
      </c>
      <c r="V200" s="27">
        <f t="shared" si="64"/>
        <v>0.28130081300813009</v>
      </c>
      <c r="W200" s="27">
        <f t="shared" si="65"/>
        <v>0.41788617886178864</v>
      </c>
      <c r="X200" s="27">
        <f t="shared" si="66"/>
        <v>0</v>
      </c>
      <c r="Y200" s="28">
        <f t="shared" si="67"/>
        <v>21.040650406504064</v>
      </c>
    </row>
    <row r="201" spans="1:25" x14ac:dyDescent="0.25">
      <c r="A201" s="26" t="s">
        <v>378</v>
      </c>
      <c r="B201" s="26" t="s">
        <v>379</v>
      </c>
      <c r="C201" s="26" t="s">
        <v>255</v>
      </c>
      <c r="D201" s="26">
        <v>1</v>
      </c>
      <c r="E201" s="26"/>
      <c r="F201" s="26">
        <v>1</v>
      </c>
      <c r="G201" s="26"/>
      <c r="H201" s="26">
        <v>12</v>
      </c>
      <c r="I201" s="26"/>
      <c r="J201" s="26"/>
      <c r="K201" s="26">
        <v>426</v>
      </c>
      <c r="L201" s="26">
        <v>11</v>
      </c>
      <c r="M201" s="26">
        <v>450</v>
      </c>
      <c r="N201" s="28">
        <v>65.864444444444445</v>
      </c>
      <c r="O201" s="26" t="s">
        <v>307</v>
      </c>
      <c r="P201" s="26">
        <f t="shared" si="58"/>
        <v>426</v>
      </c>
      <c r="Q201" s="26">
        <f t="shared" si="59"/>
        <v>12</v>
      </c>
      <c r="R201" s="26">
        <f t="shared" si="60"/>
        <v>0</v>
      </c>
      <c r="S201" s="26">
        <f t="shared" si="61"/>
        <v>12</v>
      </c>
      <c r="T201" s="26">
        <f t="shared" si="62"/>
        <v>450</v>
      </c>
      <c r="U201" s="27">
        <f t="shared" si="63"/>
        <v>0.94666666666666666</v>
      </c>
      <c r="V201" s="27">
        <f t="shared" si="64"/>
        <v>2.6666666666666668E-2</v>
      </c>
      <c r="W201" s="27">
        <f t="shared" si="65"/>
        <v>0</v>
      </c>
      <c r="X201" s="27">
        <f t="shared" si="66"/>
        <v>2.6666666666666668E-2</v>
      </c>
      <c r="Y201" s="28">
        <f t="shared" si="67"/>
        <v>65.864444444444445</v>
      </c>
    </row>
    <row r="202" spans="1:25" x14ac:dyDescent="0.25">
      <c r="A202" s="26" t="s">
        <v>378</v>
      </c>
      <c r="B202" s="26" t="s">
        <v>379</v>
      </c>
      <c r="C202" s="26" t="s">
        <v>255</v>
      </c>
      <c r="D202" s="26">
        <v>2</v>
      </c>
      <c r="E202" s="26">
        <v>3</v>
      </c>
      <c r="F202" s="26"/>
      <c r="G202" s="26"/>
      <c r="H202" s="26">
        <v>6</v>
      </c>
      <c r="I202" s="26">
        <v>5</v>
      </c>
      <c r="J202" s="26"/>
      <c r="K202" s="26">
        <v>637</v>
      </c>
      <c r="L202" s="26">
        <v>57</v>
      </c>
      <c r="M202" s="26">
        <v>708</v>
      </c>
      <c r="N202" s="28">
        <v>35.426553672316388</v>
      </c>
      <c r="O202" s="26" t="s">
        <v>307</v>
      </c>
      <c r="P202" s="26">
        <f t="shared" si="58"/>
        <v>637</v>
      </c>
      <c r="Q202" s="26">
        <f t="shared" si="59"/>
        <v>6</v>
      </c>
      <c r="R202" s="26">
        <f t="shared" si="60"/>
        <v>5</v>
      </c>
      <c r="S202" s="26">
        <f t="shared" si="61"/>
        <v>60</v>
      </c>
      <c r="T202" s="26">
        <f t="shared" si="62"/>
        <v>708</v>
      </c>
      <c r="U202" s="27">
        <f t="shared" si="63"/>
        <v>0.89971751412429379</v>
      </c>
      <c r="V202" s="27">
        <f t="shared" si="64"/>
        <v>8.4745762711864406E-3</v>
      </c>
      <c r="W202" s="27">
        <f t="shared" si="65"/>
        <v>7.0621468926553672E-3</v>
      </c>
      <c r="X202" s="27">
        <f t="shared" si="66"/>
        <v>8.4745762711864403E-2</v>
      </c>
      <c r="Y202" s="28">
        <f t="shared" si="67"/>
        <v>35.426553672316388</v>
      </c>
    </row>
    <row r="203" spans="1:25" x14ac:dyDescent="0.25">
      <c r="A203" s="26" t="s">
        <v>380</v>
      </c>
      <c r="B203" s="26" t="s">
        <v>381</v>
      </c>
      <c r="C203" s="26" t="s">
        <v>257</v>
      </c>
      <c r="D203" s="26">
        <v>1</v>
      </c>
      <c r="E203" s="26"/>
      <c r="F203" s="26">
        <v>1</v>
      </c>
      <c r="G203" s="26">
        <v>1</v>
      </c>
      <c r="H203" s="26">
        <v>17</v>
      </c>
      <c r="I203" s="26">
        <v>7</v>
      </c>
      <c r="J203" s="26"/>
      <c r="K203" s="26">
        <v>423</v>
      </c>
      <c r="L203" s="26">
        <v>1</v>
      </c>
      <c r="M203" s="26">
        <v>450</v>
      </c>
      <c r="N203" s="28">
        <v>68.12222222222222</v>
      </c>
      <c r="O203" s="26" t="s">
        <v>307</v>
      </c>
      <c r="P203" s="26">
        <f t="shared" si="58"/>
        <v>423</v>
      </c>
      <c r="Q203" s="26">
        <f t="shared" si="59"/>
        <v>17</v>
      </c>
      <c r="R203" s="26">
        <f t="shared" si="60"/>
        <v>7</v>
      </c>
      <c r="S203" s="26">
        <f t="shared" si="61"/>
        <v>3</v>
      </c>
      <c r="T203" s="26">
        <f t="shared" si="62"/>
        <v>450</v>
      </c>
      <c r="U203" s="27">
        <f t="shared" si="63"/>
        <v>0.94</v>
      </c>
      <c r="V203" s="27">
        <f t="shared" si="64"/>
        <v>3.7777777777777778E-2</v>
      </c>
      <c r="W203" s="27">
        <f t="shared" si="65"/>
        <v>1.5555555555555555E-2</v>
      </c>
      <c r="X203" s="27">
        <f t="shared" si="66"/>
        <v>6.6666666666666671E-3</v>
      </c>
      <c r="Y203" s="28">
        <f t="shared" si="67"/>
        <v>68.12222222222222</v>
      </c>
    </row>
    <row r="204" spans="1:25" x14ac:dyDescent="0.25">
      <c r="A204" s="26" t="s">
        <v>380</v>
      </c>
      <c r="B204" s="26" t="s">
        <v>381</v>
      </c>
      <c r="C204" s="26" t="s">
        <v>257</v>
      </c>
      <c r="D204" s="26">
        <v>2</v>
      </c>
      <c r="E204" s="26"/>
      <c r="F204" s="26"/>
      <c r="G204" s="26"/>
      <c r="H204" s="26">
        <v>28</v>
      </c>
      <c r="I204" s="26">
        <v>27</v>
      </c>
      <c r="J204" s="26"/>
      <c r="K204" s="26">
        <v>600</v>
      </c>
      <c r="L204" s="26"/>
      <c r="M204" s="26">
        <v>655</v>
      </c>
      <c r="N204" s="28">
        <v>48.558778625954197</v>
      </c>
      <c r="O204" s="26" t="s">
        <v>307</v>
      </c>
      <c r="P204" s="26">
        <f t="shared" si="58"/>
        <v>600</v>
      </c>
      <c r="Q204" s="26">
        <f t="shared" si="59"/>
        <v>28</v>
      </c>
      <c r="R204" s="26">
        <f t="shared" si="60"/>
        <v>27</v>
      </c>
      <c r="S204" s="26">
        <f t="shared" si="61"/>
        <v>0</v>
      </c>
      <c r="T204" s="26">
        <f t="shared" si="62"/>
        <v>655</v>
      </c>
      <c r="U204" s="27">
        <f t="shared" si="63"/>
        <v>0.91603053435114501</v>
      </c>
      <c r="V204" s="27">
        <f t="shared" si="64"/>
        <v>4.2748091603053436E-2</v>
      </c>
      <c r="W204" s="27">
        <f t="shared" si="65"/>
        <v>4.1221374045801527E-2</v>
      </c>
      <c r="X204" s="27">
        <f t="shared" si="66"/>
        <v>0</v>
      </c>
      <c r="Y204" s="28">
        <f t="shared" si="67"/>
        <v>48.558778625954197</v>
      </c>
    </row>
    <row r="205" spans="1:25" x14ac:dyDescent="0.25">
      <c r="A205" s="26" t="s">
        <v>380</v>
      </c>
      <c r="B205" s="26" t="s">
        <v>381</v>
      </c>
      <c r="C205" s="26" t="s">
        <v>257</v>
      </c>
      <c r="D205" s="26">
        <v>3</v>
      </c>
      <c r="E205" s="26"/>
      <c r="F205" s="26"/>
      <c r="G205" s="26"/>
      <c r="H205" s="26">
        <v>17</v>
      </c>
      <c r="I205" s="26">
        <v>22</v>
      </c>
      <c r="J205" s="26">
        <v>2</v>
      </c>
      <c r="K205" s="26">
        <v>614</v>
      </c>
      <c r="L205" s="26"/>
      <c r="M205" s="26">
        <v>655</v>
      </c>
      <c r="N205" s="28">
        <v>29.076335877862597</v>
      </c>
      <c r="O205" s="26" t="s">
        <v>307</v>
      </c>
      <c r="P205" s="26">
        <f t="shared" si="58"/>
        <v>614</v>
      </c>
      <c r="Q205" s="26">
        <f t="shared" si="59"/>
        <v>17</v>
      </c>
      <c r="R205" s="26">
        <f t="shared" si="60"/>
        <v>22</v>
      </c>
      <c r="S205" s="26">
        <f t="shared" si="61"/>
        <v>2</v>
      </c>
      <c r="T205" s="26">
        <f t="shared" si="62"/>
        <v>655</v>
      </c>
      <c r="U205" s="27">
        <f t="shared" si="63"/>
        <v>0.93740458015267181</v>
      </c>
      <c r="V205" s="27">
        <f t="shared" si="64"/>
        <v>2.5954198473282442E-2</v>
      </c>
      <c r="W205" s="27">
        <f t="shared" si="65"/>
        <v>3.3587786259541987E-2</v>
      </c>
      <c r="X205" s="27">
        <f t="shared" si="66"/>
        <v>3.0534351145038168E-3</v>
      </c>
      <c r="Y205" s="28">
        <f t="shared" si="67"/>
        <v>29.076335877862597</v>
      </c>
    </row>
    <row r="206" spans="1:25" x14ac:dyDescent="0.25">
      <c r="A206" s="26" t="s">
        <v>382</v>
      </c>
      <c r="B206" s="26" t="s">
        <v>383</v>
      </c>
      <c r="C206" s="26" t="s">
        <v>259</v>
      </c>
      <c r="D206" s="26">
        <v>1</v>
      </c>
      <c r="E206" s="26"/>
      <c r="F206" s="26"/>
      <c r="G206" s="26"/>
      <c r="H206" s="26">
        <v>9</v>
      </c>
      <c r="I206" s="26">
        <v>6</v>
      </c>
      <c r="J206" s="26"/>
      <c r="K206" s="26">
        <v>385</v>
      </c>
      <c r="L206" s="26"/>
      <c r="M206" s="26">
        <v>400</v>
      </c>
      <c r="N206" s="28">
        <v>62.842500000000001</v>
      </c>
      <c r="O206" s="26" t="s">
        <v>307</v>
      </c>
      <c r="P206" s="26">
        <f t="shared" si="58"/>
        <v>385</v>
      </c>
      <c r="Q206" s="26">
        <f t="shared" si="59"/>
        <v>9</v>
      </c>
      <c r="R206" s="26">
        <f t="shared" si="60"/>
        <v>6</v>
      </c>
      <c r="S206" s="26">
        <f t="shared" si="61"/>
        <v>0</v>
      </c>
      <c r="T206" s="26">
        <f t="shared" si="62"/>
        <v>400</v>
      </c>
      <c r="U206" s="27">
        <f t="shared" si="63"/>
        <v>0.96250000000000002</v>
      </c>
      <c r="V206" s="27">
        <f t="shared" si="64"/>
        <v>2.2499999999999999E-2</v>
      </c>
      <c r="W206" s="27">
        <f t="shared" si="65"/>
        <v>1.4999999999999999E-2</v>
      </c>
      <c r="X206" s="27">
        <f t="shared" si="66"/>
        <v>0</v>
      </c>
      <c r="Y206" s="28">
        <f t="shared" si="67"/>
        <v>62.842500000000001</v>
      </c>
    </row>
    <row r="207" spans="1:25" x14ac:dyDescent="0.25">
      <c r="A207" s="26" t="s">
        <v>382</v>
      </c>
      <c r="B207" s="26" t="s">
        <v>383</v>
      </c>
      <c r="C207" s="26" t="s">
        <v>259</v>
      </c>
      <c r="D207" s="26">
        <v>2</v>
      </c>
      <c r="E207" s="26"/>
      <c r="F207" s="26"/>
      <c r="G207" s="26"/>
      <c r="H207" s="26">
        <v>5</v>
      </c>
      <c r="I207" s="26">
        <v>15</v>
      </c>
      <c r="J207" s="26"/>
      <c r="K207" s="26">
        <v>467</v>
      </c>
      <c r="L207" s="26"/>
      <c r="M207" s="26">
        <v>487</v>
      </c>
      <c r="N207" s="28">
        <v>33.447638603696099</v>
      </c>
      <c r="O207" s="26" t="s">
        <v>307</v>
      </c>
      <c r="P207" s="26">
        <f t="shared" si="58"/>
        <v>467</v>
      </c>
      <c r="Q207" s="26">
        <f t="shared" si="59"/>
        <v>5</v>
      </c>
      <c r="R207" s="26">
        <f t="shared" si="60"/>
        <v>15</v>
      </c>
      <c r="S207" s="26">
        <f t="shared" si="61"/>
        <v>0</v>
      </c>
      <c r="T207" s="26">
        <f t="shared" si="62"/>
        <v>487</v>
      </c>
      <c r="U207" s="27">
        <f t="shared" si="63"/>
        <v>0.95893223819301843</v>
      </c>
      <c r="V207" s="27">
        <f t="shared" si="64"/>
        <v>1.0266940451745379E-2</v>
      </c>
      <c r="W207" s="27">
        <f t="shared" si="65"/>
        <v>3.0800821355236138E-2</v>
      </c>
      <c r="X207" s="27">
        <f t="shared" si="66"/>
        <v>0</v>
      </c>
      <c r="Y207" s="28">
        <f t="shared" si="67"/>
        <v>33.447638603696099</v>
      </c>
    </row>
    <row r="208" spans="1:25" x14ac:dyDescent="0.25">
      <c r="A208" s="26" t="s">
        <v>384</v>
      </c>
      <c r="B208" s="26" t="s">
        <v>385</v>
      </c>
      <c r="C208" s="26" t="s">
        <v>261</v>
      </c>
      <c r="D208" s="26">
        <v>1</v>
      </c>
      <c r="E208" s="26"/>
      <c r="F208" s="26"/>
      <c r="G208" s="26"/>
      <c r="H208" s="26">
        <v>7</v>
      </c>
      <c r="I208" s="26"/>
      <c r="J208" s="26"/>
      <c r="K208" s="26">
        <v>567</v>
      </c>
      <c r="L208" s="26"/>
      <c r="M208" s="26">
        <v>574</v>
      </c>
      <c r="N208" s="28">
        <v>46.907665505226483</v>
      </c>
      <c r="O208" s="26" t="s">
        <v>307</v>
      </c>
      <c r="P208" s="26">
        <f t="shared" si="58"/>
        <v>567</v>
      </c>
      <c r="Q208" s="26">
        <f t="shared" si="59"/>
        <v>7</v>
      </c>
      <c r="R208" s="26">
        <f t="shared" si="60"/>
        <v>0</v>
      </c>
      <c r="S208" s="26">
        <f t="shared" si="61"/>
        <v>0</v>
      </c>
      <c r="T208" s="26">
        <f t="shared" si="62"/>
        <v>574</v>
      </c>
      <c r="U208" s="27">
        <f t="shared" si="63"/>
        <v>0.98780487804878048</v>
      </c>
      <c r="V208" s="27">
        <f t="shared" si="64"/>
        <v>1.2195121951219513E-2</v>
      </c>
      <c r="W208" s="27">
        <f t="shared" si="65"/>
        <v>0</v>
      </c>
      <c r="X208" s="27">
        <f t="shared" si="66"/>
        <v>0</v>
      </c>
      <c r="Y208" s="28">
        <f t="shared" si="67"/>
        <v>46.907665505226483</v>
      </c>
    </row>
    <row r="209" spans="1:25" x14ac:dyDescent="0.25">
      <c r="A209" s="26" t="s">
        <v>386</v>
      </c>
      <c r="B209" s="26" t="s">
        <v>387</v>
      </c>
      <c r="C209" s="26" t="s">
        <v>263</v>
      </c>
      <c r="D209" s="26">
        <v>1</v>
      </c>
      <c r="E209" s="26"/>
      <c r="F209" s="26"/>
      <c r="G209" s="26"/>
      <c r="H209" s="26">
        <v>3</v>
      </c>
      <c r="I209" s="26">
        <v>8</v>
      </c>
      <c r="J209" s="26"/>
      <c r="K209" s="26">
        <v>564</v>
      </c>
      <c r="L209" s="26">
        <v>3</v>
      </c>
      <c r="M209" s="26">
        <v>578</v>
      </c>
      <c r="N209" s="28">
        <v>47.064013840830448</v>
      </c>
      <c r="O209" s="26" t="s">
        <v>307</v>
      </c>
      <c r="P209" s="26">
        <f t="shared" si="58"/>
        <v>564</v>
      </c>
      <c r="Q209" s="26">
        <f t="shared" si="59"/>
        <v>3</v>
      </c>
      <c r="R209" s="26">
        <f t="shared" si="60"/>
        <v>8</v>
      </c>
      <c r="S209" s="26">
        <f t="shared" si="61"/>
        <v>3</v>
      </c>
      <c r="T209" s="26">
        <f t="shared" si="62"/>
        <v>578</v>
      </c>
      <c r="U209" s="27">
        <f t="shared" si="63"/>
        <v>0.97577854671280273</v>
      </c>
      <c r="V209" s="27">
        <f t="shared" si="64"/>
        <v>5.1903114186851208E-3</v>
      </c>
      <c r="W209" s="27">
        <f t="shared" si="65"/>
        <v>1.384083044982699E-2</v>
      </c>
      <c r="X209" s="27">
        <f t="shared" si="66"/>
        <v>5.1903114186851208E-3</v>
      </c>
      <c r="Y209" s="28">
        <f t="shared" si="67"/>
        <v>47.064013840830448</v>
      </c>
    </row>
    <row r="210" spans="1:25" x14ac:dyDescent="0.25">
      <c r="A210" s="26" t="s">
        <v>388</v>
      </c>
      <c r="B210" s="26" t="s">
        <v>389</v>
      </c>
      <c r="C210" s="26" t="s">
        <v>265</v>
      </c>
      <c r="D210" s="26">
        <v>1</v>
      </c>
      <c r="E210" s="26"/>
      <c r="F210" s="26"/>
      <c r="G210" s="26"/>
      <c r="H210" s="26">
        <v>15</v>
      </c>
      <c r="I210" s="26">
        <v>7</v>
      </c>
      <c r="J210" s="26"/>
      <c r="K210" s="26">
        <v>416</v>
      </c>
      <c r="L210" s="26">
        <v>12</v>
      </c>
      <c r="M210" s="26">
        <v>450</v>
      </c>
      <c r="N210" s="28">
        <v>64.282222222222217</v>
      </c>
      <c r="O210" s="26" t="s">
        <v>307</v>
      </c>
      <c r="P210" s="26">
        <f t="shared" si="58"/>
        <v>416</v>
      </c>
      <c r="Q210" s="26">
        <f t="shared" si="59"/>
        <v>15</v>
      </c>
      <c r="R210" s="26">
        <f t="shared" si="60"/>
        <v>7</v>
      </c>
      <c r="S210" s="26">
        <f t="shared" si="61"/>
        <v>12</v>
      </c>
      <c r="T210" s="26">
        <f t="shared" si="62"/>
        <v>450</v>
      </c>
      <c r="U210" s="27">
        <f t="shared" si="63"/>
        <v>0.9244444444444444</v>
      </c>
      <c r="V210" s="27">
        <f t="shared" si="64"/>
        <v>3.3333333333333333E-2</v>
      </c>
      <c r="W210" s="27">
        <f t="shared" si="65"/>
        <v>1.5555555555555555E-2</v>
      </c>
      <c r="X210" s="27">
        <f t="shared" si="66"/>
        <v>2.6666666666666668E-2</v>
      </c>
      <c r="Y210" s="28">
        <f t="shared" si="67"/>
        <v>64.282222222222217</v>
      </c>
    </row>
    <row r="211" spans="1:25" x14ac:dyDescent="0.25">
      <c r="A211" s="26" t="s">
        <v>388</v>
      </c>
      <c r="B211" s="26" t="s">
        <v>389</v>
      </c>
      <c r="C211" s="26" t="s">
        <v>265</v>
      </c>
      <c r="D211" s="26">
        <v>2</v>
      </c>
      <c r="E211" s="26"/>
      <c r="F211" s="26">
        <v>1</v>
      </c>
      <c r="G211" s="26"/>
      <c r="H211" s="26">
        <v>31</v>
      </c>
      <c r="I211" s="26">
        <v>7</v>
      </c>
      <c r="J211" s="26"/>
      <c r="K211" s="26">
        <v>450</v>
      </c>
      <c r="L211" s="26">
        <v>20</v>
      </c>
      <c r="M211" s="26">
        <v>509</v>
      </c>
      <c r="N211" s="28">
        <v>43.79567779960707</v>
      </c>
      <c r="O211" s="26" t="s">
        <v>307</v>
      </c>
      <c r="P211" s="26">
        <f t="shared" si="58"/>
        <v>450</v>
      </c>
      <c r="Q211" s="26">
        <f t="shared" si="59"/>
        <v>31</v>
      </c>
      <c r="R211" s="26">
        <f t="shared" si="60"/>
        <v>7</v>
      </c>
      <c r="S211" s="26">
        <f t="shared" si="61"/>
        <v>21</v>
      </c>
      <c r="T211" s="26">
        <f t="shared" si="62"/>
        <v>509</v>
      </c>
      <c r="U211" s="27">
        <f t="shared" si="63"/>
        <v>0.88408644400785852</v>
      </c>
      <c r="V211" s="27">
        <f t="shared" si="64"/>
        <v>6.0903732809430254E-2</v>
      </c>
      <c r="W211" s="27">
        <f t="shared" si="65"/>
        <v>1.37524557956778E-2</v>
      </c>
      <c r="X211" s="27">
        <f t="shared" si="66"/>
        <v>4.1257367387033402E-2</v>
      </c>
      <c r="Y211" s="28">
        <f t="shared" si="67"/>
        <v>43.79567779960707</v>
      </c>
    </row>
    <row r="212" spans="1:25" x14ac:dyDescent="0.25">
      <c r="A212" s="26" t="s">
        <v>388</v>
      </c>
      <c r="B212" s="26" t="s">
        <v>389</v>
      </c>
      <c r="C212" s="26" t="s">
        <v>265</v>
      </c>
      <c r="D212" s="26">
        <v>3</v>
      </c>
      <c r="E212" s="26">
        <v>6</v>
      </c>
      <c r="F212" s="26"/>
      <c r="G212" s="26">
        <v>2</v>
      </c>
      <c r="H212" s="26">
        <v>18</v>
      </c>
      <c r="I212" s="26">
        <v>15</v>
      </c>
      <c r="J212" s="26"/>
      <c r="K212" s="26">
        <v>462</v>
      </c>
      <c r="L212" s="26">
        <v>7</v>
      </c>
      <c r="M212" s="26">
        <v>510</v>
      </c>
      <c r="N212" s="28">
        <v>26.666666666666668</v>
      </c>
      <c r="O212" s="26" t="s">
        <v>307</v>
      </c>
      <c r="P212" s="26">
        <f t="shared" si="58"/>
        <v>462</v>
      </c>
      <c r="Q212" s="26">
        <f t="shared" si="59"/>
        <v>18</v>
      </c>
      <c r="R212" s="26">
        <f t="shared" si="60"/>
        <v>15</v>
      </c>
      <c r="S212" s="26">
        <f t="shared" si="61"/>
        <v>15</v>
      </c>
      <c r="T212" s="26">
        <f t="shared" si="62"/>
        <v>510</v>
      </c>
      <c r="U212" s="27">
        <f t="shared" si="63"/>
        <v>0.90588235294117647</v>
      </c>
      <c r="V212" s="27">
        <f t="shared" si="64"/>
        <v>3.5294117647058823E-2</v>
      </c>
      <c r="W212" s="27">
        <f t="shared" si="65"/>
        <v>2.9411764705882353E-2</v>
      </c>
      <c r="X212" s="27">
        <f t="shared" si="66"/>
        <v>2.9411764705882353E-2</v>
      </c>
      <c r="Y212" s="28">
        <f t="shared" si="67"/>
        <v>26.666666666666668</v>
      </c>
    </row>
    <row r="213" spans="1:25" x14ac:dyDescent="0.25">
      <c r="A213" s="26" t="s">
        <v>390</v>
      </c>
      <c r="B213" s="26" t="s">
        <v>391</v>
      </c>
      <c r="C213" s="26" t="s">
        <v>273</v>
      </c>
      <c r="D213" s="26">
        <v>1</v>
      </c>
      <c r="E213" s="26"/>
      <c r="F213" s="26"/>
      <c r="G213" s="26"/>
      <c r="H213" s="26">
        <v>212</v>
      </c>
      <c r="I213" s="26">
        <v>62</v>
      </c>
      <c r="J213" s="26"/>
      <c r="K213" s="26">
        <v>176</v>
      </c>
      <c r="L213" s="26"/>
      <c r="M213" s="26">
        <v>450</v>
      </c>
      <c r="N213" s="28">
        <v>71.242222222222225</v>
      </c>
      <c r="O213" s="26" t="s">
        <v>307</v>
      </c>
      <c r="P213" s="26">
        <f t="shared" si="58"/>
        <v>176</v>
      </c>
      <c r="Q213" s="26">
        <f t="shared" si="59"/>
        <v>212</v>
      </c>
      <c r="R213" s="26">
        <f t="shared" si="60"/>
        <v>62</v>
      </c>
      <c r="S213" s="26">
        <f t="shared" si="61"/>
        <v>0</v>
      </c>
      <c r="T213" s="26">
        <f t="shared" si="62"/>
        <v>450</v>
      </c>
      <c r="U213" s="27">
        <f t="shared" si="63"/>
        <v>0.39111111111111113</v>
      </c>
      <c r="V213" s="27">
        <f t="shared" si="64"/>
        <v>0.47111111111111109</v>
      </c>
      <c r="W213" s="27">
        <f t="shared" si="65"/>
        <v>0.13777777777777778</v>
      </c>
      <c r="X213" s="27">
        <f t="shared" si="66"/>
        <v>0</v>
      </c>
      <c r="Y213" s="28">
        <f t="shared" si="67"/>
        <v>71.242222222222225</v>
      </c>
    </row>
    <row r="214" spans="1:25" x14ac:dyDescent="0.25">
      <c r="A214" s="26" t="s">
        <v>390</v>
      </c>
      <c r="B214" s="26" t="s">
        <v>391</v>
      </c>
      <c r="C214" s="26" t="s">
        <v>273</v>
      </c>
      <c r="D214" s="26">
        <v>2</v>
      </c>
      <c r="E214" s="26"/>
      <c r="F214" s="26"/>
      <c r="G214" s="26"/>
      <c r="H214" s="26">
        <v>180</v>
      </c>
      <c r="I214" s="26">
        <v>65</v>
      </c>
      <c r="J214" s="26"/>
      <c r="K214" s="26">
        <v>205</v>
      </c>
      <c r="L214" s="26"/>
      <c r="M214" s="26">
        <v>450</v>
      </c>
      <c r="N214" s="28">
        <v>56.113333333333337</v>
      </c>
      <c r="O214" s="26" t="s">
        <v>307</v>
      </c>
      <c r="P214" s="26">
        <f t="shared" si="58"/>
        <v>205</v>
      </c>
      <c r="Q214" s="26">
        <f t="shared" si="59"/>
        <v>180</v>
      </c>
      <c r="R214" s="26">
        <f t="shared" si="60"/>
        <v>65</v>
      </c>
      <c r="S214" s="26">
        <f t="shared" si="61"/>
        <v>0</v>
      </c>
      <c r="T214" s="26">
        <f t="shared" si="62"/>
        <v>450</v>
      </c>
      <c r="U214" s="27">
        <f t="shared" si="63"/>
        <v>0.45555555555555555</v>
      </c>
      <c r="V214" s="27">
        <f t="shared" si="64"/>
        <v>0.4</v>
      </c>
      <c r="W214" s="27">
        <f t="shared" si="65"/>
        <v>0.14444444444444443</v>
      </c>
      <c r="X214" s="27">
        <f t="shared" si="66"/>
        <v>0</v>
      </c>
      <c r="Y214" s="28">
        <f t="shared" si="67"/>
        <v>56.113333333333337</v>
      </c>
    </row>
    <row r="215" spans="1:25" x14ac:dyDescent="0.25">
      <c r="A215" s="26" t="s">
        <v>390</v>
      </c>
      <c r="B215" s="26" t="s">
        <v>391</v>
      </c>
      <c r="C215" s="26" t="s">
        <v>273</v>
      </c>
      <c r="D215" s="26">
        <v>3</v>
      </c>
      <c r="E215" s="26"/>
      <c r="F215" s="26">
        <v>1</v>
      </c>
      <c r="G215" s="26"/>
      <c r="H215" s="26">
        <v>216</v>
      </c>
      <c r="I215" s="26">
        <v>136</v>
      </c>
      <c r="J215" s="26">
        <v>2</v>
      </c>
      <c r="K215" s="26">
        <v>310</v>
      </c>
      <c r="L215" s="26"/>
      <c r="M215" s="26">
        <v>665</v>
      </c>
      <c r="N215" s="28">
        <v>41.670676691729327</v>
      </c>
      <c r="O215" s="26" t="s">
        <v>307</v>
      </c>
      <c r="P215" s="26">
        <f t="shared" si="58"/>
        <v>310</v>
      </c>
      <c r="Q215" s="26">
        <f t="shared" si="59"/>
        <v>216</v>
      </c>
      <c r="R215" s="26">
        <f t="shared" si="60"/>
        <v>136</v>
      </c>
      <c r="S215" s="26">
        <f t="shared" si="61"/>
        <v>3</v>
      </c>
      <c r="T215" s="26">
        <f t="shared" si="62"/>
        <v>665</v>
      </c>
      <c r="U215" s="27">
        <f t="shared" si="63"/>
        <v>0.46616541353383456</v>
      </c>
      <c r="V215" s="27">
        <f t="shared" si="64"/>
        <v>0.324812030075188</v>
      </c>
      <c r="W215" s="27">
        <f t="shared" si="65"/>
        <v>0.20451127819548873</v>
      </c>
      <c r="X215" s="27">
        <f t="shared" si="66"/>
        <v>4.5112781954887221E-3</v>
      </c>
      <c r="Y215" s="28">
        <f t="shared" si="67"/>
        <v>41.670676691729327</v>
      </c>
    </row>
    <row r="216" spans="1:25" x14ac:dyDescent="0.25">
      <c r="A216" s="26" t="s">
        <v>390</v>
      </c>
      <c r="B216" s="26" t="s">
        <v>391</v>
      </c>
      <c r="C216" s="26" t="s">
        <v>273</v>
      </c>
      <c r="D216" s="26">
        <v>4</v>
      </c>
      <c r="E216" s="26"/>
      <c r="F216" s="26"/>
      <c r="G216" s="26"/>
      <c r="H216" s="26">
        <v>152</v>
      </c>
      <c r="I216" s="26">
        <v>145</v>
      </c>
      <c r="J216" s="26">
        <v>1</v>
      </c>
      <c r="K216" s="26">
        <v>368</v>
      </c>
      <c r="L216" s="26"/>
      <c r="M216" s="26">
        <v>666</v>
      </c>
      <c r="N216" s="28">
        <v>26.448948948948949</v>
      </c>
      <c r="O216" s="26" t="s">
        <v>307</v>
      </c>
      <c r="P216" s="26">
        <f t="shared" si="58"/>
        <v>368</v>
      </c>
      <c r="Q216" s="26">
        <f t="shared" si="59"/>
        <v>152</v>
      </c>
      <c r="R216" s="26">
        <f t="shared" si="60"/>
        <v>145</v>
      </c>
      <c r="S216" s="26">
        <f t="shared" si="61"/>
        <v>1</v>
      </c>
      <c r="T216" s="26">
        <f t="shared" si="62"/>
        <v>666</v>
      </c>
      <c r="U216" s="27">
        <f t="shared" si="63"/>
        <v>0.55255255255255253</v>
      </c>
      <c r="V216" s="27">
        <f t="shared" si="64"/>
        <v>0.22822822822822822</v>
      </c>
      <c r="W216" s="27">
        <f t="shared" si="65"/>
        <v>0.21771771771771772</v>
      </c>
      <c r="X216" s="27">
        <f t="shared" si="66"/>
        <v>1.5015015015015015E-3</v>
      </c>
      <c r="Y216" s="28">
        <f t="shared" si="67"/>
        <v>26.448948948948949</v>
      </c>
    </row>
    <row r="217" spans="1:25" x14ac:dyDescent="0.25">
      <c r="A217" s="26" t="s">
        <v>392</v>
      </c>
      <c r="B217" s="26" t="s">
        <v>393</v>
      </c>
      <c r="C217" s="26" t="s">
        <v>274</v>
      </c>
      <c r="D217" s="26">
        <v>1</v>
      </c>
      <c r="E217" s="26"/>
      <c r="F217" s="26"/>
      <c r="G217" s="26"/>
      <c r="H217" s="26"/>
      <c r="I217" s="26">
        <v>5</v>
      </c>
      <c r="J217" s="26"/>
      <c r="K217" s="26">
        <v>316</v>
      </c>
      <c r="L217" s="26"/>
      <c r="M217" s="26">
        <v>321</v>
      </c>
      <c r="N217" s="28">
        <v>58.211838006230529</v>
      </c>
      <c r="O217" s="26" t="s">
        <v>307</v>
      </c>
      <c r="P217" s="26">
        <f t="shared" si="58"/>
        <v>316</v>
      </c>
      <c r="Q217" s="26">
        <f t="shared" si="59"/>
        <v>0</v>
      </c>
      <c r="R217" s="26">
        <f t="shared" si="60"/>
        <v>5</v>
      </c>
      <c r="S217" s="26">
        <f t="shared" si="61"/>
        <v>0</v>
      </c>
      <c r="T217" s="26">
        <f t="shared" si="62"/>
        <v>321</v>
      </c>
      <c r="U217" s="27">
        <f t="shared" si="63"/>
        <v>0.98442367601246106</v>
      </c>
      <c r="V217" s="27">
        <f t="shared" si="64"/>
        <v>0</v>
      </c>
      <c r="W217" s="27">
        <f t="shared" si="65"/>
        <v>1.5576323987538941E-2</v>
      </c>
      <c r="X217" s="27">
        <f t="shared" si="66"/>
        <v>0</v>
      </c>
      <c r="Y217" s="28">
        <f t="shared" si="67"/>
        <v>58.211838006230529</v>
      </c>
    </row>
    <row r="218" spans="1:25" x14ac:dyDescent="0.25">
      <c r="A218" s="26" t="s">
        <v>392</v>
      </c>
      <c r="B218" s="26" t="s">
        <v>393</v>
      </c>
      <c r="C218" s="26" t="s">
        <v>274</v>
      </c>
      <c r="D218" s="26">
        <v>2</v>
      </c>
      <c r="E218" s="26"/>
      <c r="F218" s="26"/>
      <c r="G218" s="26"/>
      <c r="H218" s="26"/>
      <c r="I218" s="26">
        <v>8</v>
      </c>
      <c r="J218" s="26"/>
      <c r="K218" s="26">
        <v>313</v>
      </c>
      <c r="L218" s="26"/>
      <c r="M218" s="26">
        <v>321</v>
      </c>
      <c r="N218" s="28">
        <v>29.856697819314643</v>
      </c>
      <c r="O218" s="26" t="s">
        <v>307</v>
      </c>
      <c r="P218" s="26">
        <f t="shared" si="58"/>
        <v>313</v>
      </c>
      <c r="Q218" s="26">
        <f t="shared" si="59"/>
        <v>0</v>
      </c>
      <c r="R218" s="26">
        <f t="shared" si="60"/>
        <v>8</v>
      </c>
      <c r="S218" s="26">
        <f t="shared" si="61"/>
        <v>0</v>
      </c>
      <c r="T218" s="26">
        <f t="shared" si="62"/>
        <v>321</v>
      </c>
      <c r="U218" s="27">
        <f t="shared" si="63"/>
        <v>0.97507788161993769</v>
      </c>
      <c r="V218" s="27">
        <f t="shared" si="64"/>
        <v>0</v>
      </c>
      <c r="W218" s="27">
        <f t="shared" si="65"/>
        <v>2.4922118380062305E-2</v>
      </c>
      <c r="X218" s="27">
        <f t="shared" si="66"/>
        <v>0</v>
      </c>
      <c r="Y218" s="28">
        <f t="shared" si="67"/>
        <v>29.856697819314643</v>
      </c>
    </row>
    <row r="219" spans="1:25" x14ac:dyDescent="0.25">
      <c r="A219" s="26" t="s">
        <v>394</v>
      </c>
      <c r="B219" s="26" t="s">
        <v>395</v>
      </c>
      <c r="C219" s="26" t="s">
        <v>275</v>
      </c>
      <c r="D219" s="26">
        <v>1</v>
      </c>
      <c r="E219" s="26"/>
      <c r="F219" s="26"/>
      <c r="G219" s="26"/>
      <c r="H219" s="26">
        <v>1</v>
      </c>
      <c r="I219" s="26"/>
      <c r="J219" s="26"/>
      <c r="K219" s="26">
        <v>443</v>
      </c>
      <c r="L219" s="26"/>
      <c r="M219" s="26">
        <v>444</v>
      </c>
      <c r="N219" s="28">
        <v>46.166666666666664</v>
      </c>
      <c r="O219" s="26" t="s">
        <v>307</v>
      </c>
      <c r="P219" s="26">
        <f t="shared" si="58"/>
        <v>443</v>
      </c>
      <c r="Q219" s="26">
        <f t="shared" si="59"/>
        <v>1</v>
      </c>
      <c r="R219" s="26">
        <f t="shared" si="60"/>
        <v>0</v>
      </c>
      <c r="S219" s="26">
        <f t="shared" si="61"/>
        <v>0</v>
      </c>
      <c r="T219" s="26">
        <f t="shared" si="62"/>
        <v>444</v>
      </c>
      <c r="U219" s="27">
        <f t="shared" si="63"/>
        <v>0.99774774774774777</v>
      </c>
      <c r="V219" s="27">
        <f t="shared" si="64"/>
        <v>2.2522522522522522E-3</v>
      </c>
      <c r="W219" s="27">
        <f t="shared" si="65"/>
        <v>0</v>
      </c>
      <c r="X219" s="27">
        <f t="shared" si="66"/>
        <v>0</v>
      </c>
      <c r="Y219" s="28">
        <f t="shared" si="67"/>
        <v>46.166666666666664</v>
      </c>
    </row>
    <row r="220" spans="1:25" x14ac:dyDescent="0.25">
      <c r="A220" s="26" t="s">
        <v>396</v>
      </c>
      <c r="B220" s="26" t="s">
        <v>397</v>
      </c>
      <c r="C220" s="26" t="s">
        <v>276</v>
      </c>
      <c r="D220" s="26">
        <v>1</v>
      </c>
      <c r="E220" s="26"/>
      <c r="F220" s="26"/>
      <c r="G220" s="26"/>
      <c r="H220" s="26">
        <v>31</v>
      </c>
      <c r="I220" s="26">
        <v>42</v>
      </c>
      <c r="J220" s="26"/>
      <c r="K220" s="26">
        <v>377</v>
      </c>
      <c r="L220" s="26"/>
      <c r="M220" s="26">
        <v>450</v>
      </c>
      <c r="N220" s="28">
        <v>67.86666666666666</v>
      </c>
      <c r="O220" s="26" t="s">
        <v>307</v>
      </c>
      <c r="P220" s="26">
        <f t="shared" si="58"/>
        <v>377</v>
      </c>
      <c r="Q220" s="26">
        <f t="shared" si="59"/>
        <v>31</v>
      </c>
      <c r="R220" s="26">
        <f t="shared" si="60"/>
        <v>42</v>
      </c>
      <c r="S220" s="26">
        <f t="shared" si="61"/>
        <v>0</v>
      </c>
      <c r="T220" s="26">
        <f t="shared" si="62"/>
        <v>450</v>
      </c>
      <c r="U220" s="27">
        <f t="shared" si="63"/>
        <v>0.83777777777777773</v>
      </c>
      <c r="V220" s="27">
        <f t="shared" si="64"/>
        <v>6.8888888888888888E-2</v>
      </c>
      <c r="W220" s="27">
        <f t="shared" si="65"/>
        <v>9.3333333333333338E-2</v>
      </c>
      <c r="X220" s="27">
        <f t="shared" si="66"/>
        <v>0</v>
      </c>
      <c r="Y220" s="28">
        <f t="shared" si="67"/>
        <v>67.86666666666666</v>
      </c>
    </row>
    <row r="221" spans="1:25" x14ac:dyDescent="0.25">
      <c r="A221" s="26" t="s">
        <v>396</v>
      </c>
      <c r="B221" s="26" t="s">
        <v>397</v>
      </c>
      <c r="C221" s="26" t="s">
        <v>276</v>
      </c>
      <c r="D221" s="26">
        <v>2</v>
      </c>
      <c r="E221" s="26"/>
      <c r="F221" s="26">
        <v>1</v>
      </c>
      <c r="G221" s="26">
        <v>1</v>
      </c>
      <c r="H221" s="26">
        <v>10</v>
      </c>
      <c r="I221" s="26">
        <v>34</v>
      </c>
      <c r="J221" s="26">
        <v>1</v>
      </c>
      <c r="K221" s="26">
        <v>403</v>
      </c>
      <c r="L221" s="26"/>
      <c r="M221" s="26">
        <v>450</v>
      </c>
      <c r="N221" s="28">
        <v>58.797777777777775</v>
      </c>
      <c r="O221" s="26" t="s">
        <v>307</v>
      </c>
      <c r="P221" s="26">
        <f t="shared" si="58"/>
        <v>403</v>
      </c>
      <c r="Q221" s="26">
        <f t="shared" si="59"/>
        <v>10</v>
      </c>
      <c r="R221" s="26">
        <f t="shared" si="60"/>
        <v>34</v>
      </c>
      <c r="S221" s="26">
        <f t="shared" si="61"/>
        <v>3</v>
      </c>
      <c r="T221" s="26">
        <f t="shared" si="62"/>
        <v>450</v>
      </c>
      <c r="U221" s="27">
        <f t="shared" si="63"/>
        <v>0.89555555555555555</v>
      </c>
      <c r="V221" s="27">
        <f t="shared" si="64"/>
        <v>2.2222222222222223E-2</v>
      </c>
      <c r="W221" s="27">
        <f t="shared" si="65"/>
        <v>7.5555555555555556E-2</v>
      </c>
      <c r="X221" s="27">
        <f t="shared" si="66"/>
        <v>6.6666666666666671E-3</v>
      </c>
      <c r="Y221" s="28">
        <f t="shared" si="67"/>
        <v>58.797777777777775</v>
      </c>
    </row>
    <row r="222" spans="1:25" x14ac:dyDescent="0.25">
      <c r="A222" s="26" t="s">
        <v>396</v>
      </c>
      <c r="B222" s="26" t="s">
        <v>397</v>
      </c>
      <c r="C222" s="26" t="s">
        <v>276</v>
      </c>
      <c r="D222" s="26">
        <v>3</v>
      </c>
      <c r="E222" s="26"/>
      <c r="F222" s="26"/>
      <c r="G222" s="26"/>
      <c r="H222" s="26">
        <v>9</v>
      </c>
      <c r="I222" s="26">
        <v>35</v>
      </c>
      <c r="J222" s="26">
        <v>3</v>
      </c>
      <c r="K222" s="26">
        <v>465</v>
      </c>
      <c r="L222" s="26"/>
      <c r="M222" s="26">
        <v>512</v>
      </c>
      <c r="N222" s="28">
        <v>45.193359375</v>
      </c>
      <c r="O222" s="26" t="s">
        <v>307</v>
      </c>
      <c r="P222" s="26">
        <f t="shared" si="58"/>
        <v>465</v>
      </c>
      <c r="Q222" s="26">
        <f t="shared" si="59"/>
        <v>9</v>
      </c>
      <c r="R222" s="26">
        <f t="shared" si="60"/>
        <v>35</v>
      </c>
      <c r="S222" s="26">
        <f t="shared" si="61"/>
        <v>3</v>
      </c>
      <c r="T222" s="26">
        <f t="shared" si="62"/>
        <v>512</v>
      </c>
      <c r="U222" s="27">
        <f t="shared" si="63"/>
        <v>0.908203125</v>
      </c>
      <c r="V222" s="27">
        <f t="shared" si="64"/>
        <v>1.7578125E-2</v>
      </c>
      <c r="W222" s="27">
        <f t="shared" si="65"/>
        <v>6.8359375E-2</v>
      </c>
      <c r="X222" s="27">
        <f t="shared" si="66"/>
        <v>5.859375E-3</v>
      </c>
      <c r="Y222" s="28">
        <f t="shared" si="67"/>
        <v>45.193359375</v>
      </c>
    </row>
    <row r="223" spans="1:25" x14ac:dyDescent="0.25">
      <c r="A223" s="26" t="s">
        <v>396</v>
      </c>
      <c r="B223" s="26" t="s">
        <v>397</v>
      </c>
      <c r="C223" s="26" t="s">
        <v>276</v>
      </c>
      <c r="D223" s="26">
        <v>4</v>
      </c>
      <c r="E223" s="26"/>
      <c r="F223" s="26"/>
      <c r="G223" s="26"/>
      <c r="H223" s="26">
        <v>4</v>
      </c>
      <c r="I223" s="26">
        <v>38</v>
      </c>
      <c r="J223" s="26">
        <v>2</v>
      </c>
      <c r="K223" s="26">
        <v>469</v>
      </c>
      <c r="L223" s="26"/>
      <c r="M223" s="26">
        <v>513</v>
      </c>
      <c r="N223" s="28">
        <v>33.787524366471736</v>
      </c>
      <c r="O223" s="26" t="s">
        <v>307</v>
      </c>
      <c r="P223" s="26">
        <f t="shared" si="58"/>
        <v>469</v>
      </c>
      <c r="Q223" s="26">
        <f t="shared" si="59"/>
        <v>4</v>
      </c>
      <c r="R223" s="26">
        <f t="shared" si="60"/>
        <v>38</v>
      </c>
      <c r="S223" s="26">
        <f t="shared" si="61"/>
        <v>2</v>
      </c>
      <c r="T223" s="26">
        <f t="shared" si="62"/>
        <v>513</v>
      </c>
      <c r="U223" s="27">
        <f t="shared" si="63"/>
        <v>0.91423001949317739</v>
      </c>
      <c r="V223" s="27">
        <f t="shared" si="64"/>
        <v>7.7972709551656916E-3</v>
      </c>
      <c r="W223" s="27">
        <f t="shared" si="65"/>
        <v>7.407407407407407E-2</v>
      </c>
      <c r="X223" s="27">
        <f t="shared" si="66"/>
        <v>3.8986354775828458E-3</v>
      </c>
      <c r="Y223" s="28">
        <f t="shared" si="67"/>
        <v>33.787524366471736</v>
      </c>
    </row>
    <row r="224" spans="1:25" x14ac:dyDescent="0.25">
      <c r="A224" s="26" t="s">
        <v>396</v>
      </c>
      <c r="B224" s="26" t="s">
        <v>397</v>
      </c>
      <c r="C224" s="26" t="s">
        <v>276</v>
      </c>
      <c r="D224" s="26">
        <v>5</v>
      </c>
      <c r="E224" s="26"/>
      <c r="F224" s="26"/>
      <c r="G224" s="26"/>
      <c r="H224" s="26">
        <v>2</v>
      </c>
      <c r="I224" s="26">
        <v>34</v>
      </c>
      <c r="J224" s="26"/>
      <c r="K224" s="26">
        <v>477</v>
      </c>
      <c r="L224" s="26"/>
      <c r="M224" s="26">
        <v>513</v>
      </c>
      <c r="N224" s="28">
        <v>23.799220272904485</v>
      </c>
      <c r="O224" s="26" t="s">
        <v>307</v>
      </c>
      <c r="P224" s="26">
        <f t="shared" si="58"/>
        <v>477</v>
      </c>
      <c r="Q224" s="26">
        <f t="shared" si="59"/>
        <v>2</v>
      </c>
      <c r="R224" s="26">
        <f t="shared" si="60"/>
        <v>34</v>
      </c>
      <c r="S224" s="26">
        <f t="shared" si="61"/>
        <v>0</v>
      </c>
      <c r="T224" s="26">
        <f t="shared" si="62"/>
        <v>513</v>
      </c>
      <c r="U224" s="27">
        <f t="shared" si="63"/>
        <v>0.92982456140350878</v>
      </c>
      <c r="V224" s="27">
        <f t="shared" si="64"/>
        <v>3.8986354775828458E-3</v>
      </c>
      <c r="W224" s="27">
        <f t="shared" si="65"/>
        <v>6.6276803118908378E-2</v>
      </c>
      <c r="X224" s="27">
        <f t="shared" si="66"/>
        <v>0</v>
      </c>
      <c r="Y224" s="28">
        <f t="shared" si="67"/>
        <v>23.799220272904485</v>
      </c>
    </row>
    <row r="225" spans="1:25" x14ac:dyDescent="0.25">
      <c r="A225" s="26" t="s">
        <v>398</v>
      </c>
      <c r="B225" s="26" t="s">
        <v>399</v>
      </c>
      <c r="C225" s="26" t="s">
        <v>277</v>
      </c>
      <c r="D225" s="26">
        <v>1</v>
      </c>
      <c r="E225" s="26"/>
      <c r="F225" s="26"/>
      <c r="G225" s="26"/>
      <c r="H225" s="26"/>
      <c r="I225" s="26">
        <v>2</v>
      </c>
      <c r="J225" s="26"/>
      <c r="K225" s="26">
        <v>448</v>
      </c>
      <c r="L225" s="26"/>
      <c r="M225" s="26">
        <v>450</v>
      </c>
      <c r="N225" s="28">
        <v>65.204444444444448</v>
      </c>
      <c r="O225" s="26" t="s">
        <v>307</v>
      </c>
      <c r="P225" s="26">
        <f t="shared" si="58"/>
        <v>448</v>
      </c>
      <c r="Q225" s="26">
        <f t="shared" si="59"/>
        <v>0</v>
      </c>
      <c r="R225" s="26">
        <f t="shared" si="60"/>
        <v>2</v>
      </c>
      <c r="S225" s="26">
        <f t="shared" si="61"/>
        <v>0</v>
      </c>
      <c r="T225" s="26">
        <f t="shared" si="62"/>
        <v>450</v>
      </c>
      <c r="U225" s="27">
        <f t="shared" si="63"/>
        <v>0.99555555555555553</v>
      </c>
      <c r="V225" s="27">
        <f t="shared" si="64"/>
        <v>0</v>
      </c>
      <c r="W225" s="27">
        <f t="shared" si="65"/>
        <v>4.4444444444444444E-3</v>
      </c>
      <c r="X225" s="27">
        <f t="shared" si="66"/>
        <v>0</v>
      </c>
      <c r="Y225" s="28">
        <f t="shared" si="67"/>
        <v>65.204444444444448</v>
      </c>
    </row>
    <row r="226" spans="1:25" x14ac:dyDescent="0.25">
      <c r="A226" s="26" t="s">
        <v>398</v>
      </c>
      <c r="B226" s="26" t="s">
        <v>399</v>
      </c>
      <c r="C226" s="26" t="s">
        <v>277</v>
      </c>
      <c r="D226" s="26">
        <v>2</v>
      </c>
      <c r="E226" s="26"/>
      <c r="F226" s="26">
        <v>1</v>
      </c>
      <c r="G226" s="26">
        <v>1</v>
      </c>
      <c r="H226" s="26"/>
      <c r="I226" s="26"/>
      <c r="J226" s="26"/>
      <c r="K226" s="26">
        <v>458</v>
      </c>
      <c r="L226" s="26"/>
      <c r="M226" s="26">
        <v>460</v>
      </c>
      <c r="N226" s="28">
        <v>44.834782608695654</v>
      </c>
      <c r="O226" s="26" t="s">
        <v>307</v>
      </c>
      <c r="P226" s="26">
        <f t="shared" si="58"/>
        <v>458</v>
      </c>
      <c r="Q226" s="26">
        <f t="shared" si="59"/>
        <v>0</v>
      </c>
      <c r="R226" s="26">
        <f t="shared" si="60"/>
        <v>0</v>
      </c>
      <c r="S226" s="26">
        <f t="shared" si="61"/>
        <v>2</v>
      </c>
      <c r="T226" s="26">
        <f t="shared" si="62"/>
        <v>460</v>
      </c>
      <c r="U226" s="27">
        <f t="shared" si="63"/>
        <v>0.9956521739130435</v>
      </c>
      <c r="V226" s="27">
        <f t="shared" si="64"/>
        <v>0</v>
      </c>
      <c r="W226" s="27">
        <f t="shared" si="65"/>
        <v>0</v>
      </c>
      <c r="X226" s="27">
        <f t="shared" si="66"/>
        <v>4.3478260869565218E-3</v>
      </c>
      <c r="Y226" s="28">
        <f t="shared" si="67"/>
        <v>44.834782608695654</v>
      </c>
    </row>
    <row r="227" spans="1:25" x14ac:dyDescent="0.25">
      <c r="A227" s="26" t="s">
        <v>398</v>
      </c>
      <c r="B227" s="26" t="s">
        <v>399</v>
      </c>
      <c r="C227" s="26" t="s">
        <v>277</v>
      </c>
      <c r="D227" s="26">
        <v>3</v>
      </c>
      <c r="E227" s="26"/>
      <c r="F227" s="26"/>
      <c r="G227" s="26"/>
      <c r="H227" s="26"/>
      <c r="I227" s="26"/>
      <c r="J227" s="26"/>
      <c r="K227" s="26">
        <v>460</v>
      </c>
      <c r="L227" s="26"/>
      <c r="M227" s="26">
        <v>460</v>
      </c>
      <c r="N227" s="28">
        <v>27.52391304347826</v>
      </c>
      <c r="O227" s="26" t="s">
        <v>307</v>
      </c>
      <c r="P227" s="26">
        <f t="shared" si="58"/>
        <v>460</v>
      </c>
      <c r="Q227" s="26">
        <f t="shared" si="59"/>
        <v>0</v>
      </c>
      <c r="R227" s="26">
        <f t="shared" si="60"/>
        <v>0</v>
      </c>
      <c r="S227" s="26">
        <f t="shared" si="61"/>
        <v>0</v>
      </c>
      <c r="T227" s="26">
        <f t="shared" si="62"/>
        <v>460</v>
      </c>
      <c r="U227" s="27">
        <f t="shared" si="63"/>
        <v>1</v>
      </c>
      <c r="V227" s="27">
        <f t="shared" si="64"/>
        <v>0</v>
      </c>
      <c r="W227" s="27">
        <f t="shared" si="65"/>
        <v>0</v>
      </c>
      <c r="X227" s="27">
        <f t="shared" si="66"/>
        <v>0</v>
      </c>
      <c r="Y227" s="28">
        <f t="shared" si="67"/>
        <v>27.52391304347826</v>
      </c>
    </row>
    <row r="228" spans="1:25" x14ac:dyDescent="0.25">
      <c r="A228" s="26" t="s">
        <v>400</v>
      </c>
      <c r="B228" s="26" t="s">
        <v>401</v>
      </c>
      <c r="C228" s="26" t="s">
        <v>278</v>
      </c>
      <c r="D228" s="26">
        <v>1</v>
      </c>
      <c r="E228" s="26"/>
      <c r="F228" s="26"/>
      <c r="G228" s="26"/>
      <c r="H228" s="26">
        <v>5</v>
      </c>
      <c r="I228" s="26">
        <v>3</v>
      </c>
      <c r="J228" s="26"/>
      <c r="K228" s="26">
        <v>558</v>
      </c>
      <c r="L228" s="26"/>
      <c r="M228" s="26">
        <v>566</v>
      </c>
      <c r="N228" s="28">
        <v>46.268551236749119</v>
      </c>
      <c r="O228" s="26" t="s">
        <v>307</v>
      </c>
      <c r="P228" s="26">
        <f t="shared" si="58"/>
        <v>558</v>
      </c>
      <c r="Q228" s="26">
        <f t="shared" si="59"/>
        <v>5</v>
      </c>
      <c r="R228" s="26">
        <f t="shared" si="60"/>
        <v>3</v>
      </c>
      <c r="S228" s="26">
        <f t="shared" si="61"/>
        <v>0</v>
      </c>
      <c r="T228" s="26">
        <f t="shared" si="62"/>
        <v>566</v>
      </c>
      <c r="U228" s="27">
        <f t="shared" si="63"/>
        <v>0.98586572438162545</v>
      </c>
      <c r="V228" s="27">
        <f t="shared" si="64"/>
        <v>8.8339222614840993E-3</v>
      </c>
      <c r="W228" s="27">
        <f t="shared" si="65"/>
        <v>5.3003533568904597E-3</v>
      </c>
      <c r="X228" s="27">
        <f t="shared" si="66"/>
        <v>0</v>
      </c>
      <c r="Y228" s="28">
        <f t="shared" si="67"/>
        <v>46.268551236749119</v>
      </c>
    </row>
    <row r="229" spans="1:25" x14ac:dyDescent="0.25">
      <c r="A229" s="26" t="s">
        <v>402</v>
      </c>
      <c r="B229" s="26" t="s">
        <v>403</v>
      </c>
      <c r="C229" s="26" t="s">
        <v>279</v>
      </c>
      <c r="D229" s="26">
        <v>1</v>
      </c>
      <c r="E229" s="26"/>
      <c r="F229" s="26"/>
      <c r="G229" s="26"/>
      <c r="H229" s="26">
        <v>79</v>
      </c>
      <c r="I229" s="26">
        <v>34</v>
      </c>
      <c r="J229" s="26">
        <v>2</v>
      </c>
      <c r="K229" s="26">
        <v>334</v>
      </c>
      <c r="L229" s="26">
        <v>1</v>
      </c>
      <c r="M229" s="26">
        <v>450</v>
      </c>
      <c r="N229" s="28">
        <v>61.764444444444443</v>
      </c>
      <c r="O229" s="26" t="s">
        <v>307</v>
      </c>
      <c r="P229" s="26">
        <f t="shared" si="58"/>
        <v>334</v>
      </c>
      <c r="Q229" s="26">
        <f t="shared" si="59"/>
        <v>79</v>
      </c>
      <c r="R229" s="26">
        <f t="shared" si="60"/>
        <v>34</v>
      </c>
      <c r="S229" s="26">
        <f t="shared" si="61"/>
        <v>3</v>
      </c>
      <c r="T229" s="26">
        <f t="shared" si="62"/>
        <v>450</v>
      </c>
      <c r="U229" s="27">
        <f t="shared" si="63"/>
        <v>0.74222222222222223</v>
      </c>
      <c r="V229" s="27">
        <f t="shared" si="64"/>
        <v>0.17555555555555555</v>
      </c>
      <c r="W229" s="27">
        <f t="shared" si="65"/>
        <v>7.5555555555555556E-2</v>
      </c>
      <c r="X229" s="27">
        <f t="shared" si="66"/>
        <v>6.6666666666666671E-3</v>
      </c>
      <c r="Y229" s="28">
        <f t="shared" si="67"/>
        <v>61.764444444444443</v>
      </c>
    </row>
    <row r="230" spans="1:25" x14ac:dyDescent="0.25">
      <c r="A230" s="26" t="s">
        <v>402</v>
      </c>
      <c r="B230" s="26" t="s">
        <v>403</v>
      </c>
      <c r="C230" s="26" t="s">
        <v>279</v>
      </c>
      <c r="D230" s="26">
        <v>2</v>
      </c>
      <c r="E230" s="26"/>
      <c r="F230" s="26"/>
      <c r="G230" s="26"/>
      <c r="H230" s="26">
        <v>47</v>
      </c>
      <c r="I230" s="26">
        <v>12</v>
      </c>
      <c r="J230" s="26"/>
      <c r="K230" s="26">
        <v>436</v>
      </c>
      <c r="L230" s="26"/>
      <c r="M230" s="26">
        <v>495</v>
      </c>
      <c r="N230" s="28">
        <v>33.303030303030305</v>
      </c>
      <c r="O230" s="26" t="s">
        <v>307</v>
      </c>
      <c r="P230" s="26">
        <f t="shared" si="58"/>
        <v>436</v>
      </c>
      <c r="Q230" s="26">
        <f t="shared" si="59"/>
        <v>47</v>
      </c>
      <c r="R230" s="26">
        <f t="shared" si="60"/>
        <v>12</v>
      </c>
      <c r="S230" s="26">
        <f t="shared" si="61"/>
        <v>0</v>
      </c>
      <c r="T230" s="26">
        <f t="shared" si="62"/>
        <v>495</v>
      </c>
      <c r="U230" s="27">
        <f t="shared" si="63"/>
        <v>0.88080808080808082</v>
      </c>
      <c r="V230" s="27">
        <f t="shared" si="64"/>
        <v>9.494949494949495E-2</v>
      </c>
      <c r="W230" s="27">
        <f t="shared" si="65"/>
        <v>2.4242424242424242E-2</v>
      </c>
      <c r="X230" s="27">
        <f t="shared" si="66"/>
        <v>0</v>
      </c>
      <c r="Y230" s="28">
        <f t="shared" si="67"/>
        <v>33.303030303030305</v>
      </c>
    </row>
    <row r="231" spans="1:25" x14ac:dyDescent="0.25">
      <c r="A231" s="26" t="s">
        <v>404</v>
      </c>
      <c r="B231" s="26" t="s">
        <v>405</v>
      </c>
      <c r="C231" s="26" t="s">
        <v>281</v>
      </c>
      <c r="D231" s="26">
        <v>1</v>
      </c>
      <c r="E231" s="26"/>
      <c r="F231" s="26"/>
      <c r="G231" s="26"/>
      <c r="H231" s="26"/>
      <c r="I231" s="26">
        <v>1</v>
      </c>
      <c r="J231" s="26"/>
      <c r="K231" s="26">
        <v>368</v>
      </c>
      <c r="L231" s="26"/>
      <c r="M231" s="26">
        <v>369</v>
      </c>
      <c r="N231" s="28">
        <v>63.146341463414636</v>
      </c>
      <c r="O231" s="26" t="s">
        <v>307</v>
      </c>
      <c r="P231" s="26">
        <f t="shared" si="58"/>
        <v>368</v>
      </c>
      <c r="Q231" s="26">
        <f t="shared" si="59"/>
        <v>0</v>
      </c>
      <c r="R231" s="26">
        <f t="shared" si="60"/>
        <v>1</v>
      </c>
      <c r="S231" s="26">
        <f t="shared" si="61"/>
        <v>0</v>
      </c>
      <c r="T231" s="26">
        <f t="shared" si="62"/>
        <v>369</v>
      </c>
      <c r="U231" s="27">
        <f t="shared" si="63"/>
        <v>0.99728997289972898</v>
      </c>
      <c r="V231" s="27">
        <f t="shared" si="64"/>
        <v>0</v>
      </c>
      <c r="W231" s="27">
        <f t="shared" si="65"/>
        <v>2.7100271002710027E-3</v>
      </c>
      <c r="X231" s="27">
        <f t="shared" si="66"/>
        <v>0</v>
      </c>
      <c r="Y231" s="28">
        <f t="shared" si="67"/>
        <v>63.146341463414636</v>
      </c>
    </row>
    <row r="232" spans="1:25" x14ac:dyDescent="0.25">
      <c r="A232" s="26" t="s">
        <v>404</v>
      </c>
      <c r="B232" s="26" t="s">
        <v>405</v>
      </c>
      <c r="C232" s="26" t="s">
        <v>281</v>
      </c>
      <c r="D232" s="26">
        <v>2</v>
      </c>
      <c r="E232" s="26"/>
      <c r="F232" s="26"/>
      <c r="G232" s="26"/>
      <c r="H232" s="26">
        <v>1</v>
      </c>
      <c r="I232" s="26"/>
      <c r="J232" s="26"/>
      <c r="K232" s="26">
        <v>368</v>
      </c>
      <c r="L232" s="26"/>
      <c r="M232" s="26">
        <v>369</v>
      </c>
      <c r="N232" s="28">
        <v>32.571815718157183</v>
      </c>
      <c r="O232" s="26" t="s">
        <v>307</v>
      </c>
      <c r="P232" s="26">
        <f t="shared" si="58"/>
        <v>368</v>
      </c>
      <c r="Q232" s="26">
        <f t="shared" si="59"/>
        <v>1</v>
      </c>
      <c r="R232" s="26">
        <f t="shared" si="60"/>
        <v>0</v>
      </c>
      <c r="S232" s="26">
        <f t="shared" si="61"/>
        <v>0</v>
      </c>
      <c r="T232" s="26">
        <f t="shared" si="62"/>
        <v>369</v>
      </c>
      <c r="U232" s="27">
        <f t="shared" si="63"/>
        <v>0.99728997289972898</v>
      </c>
      <c r="V232" s="27">
        <f t="shared" si="64"/>
        <v>2.7100271002710027E-3</v>
      </c>
      <c r="W232" s="27">
        <f t="shared" si="65"/>
        <v>0</v>
      </c>
      <c r="X232" s="27">
        <f t="shared" si="66"/>
        <v>0</v>
      </c>
      <c r="Y232" s="28">
        <f t="shared" si="67"/>
        <v>32.571815718157183</v>
      </c>
    </row>
    <row r="233" spans="1:25" x14ac:dyDescent="0.25">
      <c r="A233" s="26" t="s">
        <v>406</v>
      </c>
      <c r="B233" s="26" t="s">
        <v>407</v>
      </c>
      <c r="C233" s="26" t="s">
        <v>283</v>
      </c>
      <c r="D233" s="26">
        <v>1</v>
      </c>
      <c r="E233" s="26"/>
      <c r="F233" s="26">
        <v>1</v>
      </c>
      <c r="G233" s="26"/>
      <c r="H233" s="26"/>
      <c r="I233" s="26">
        <v>1</v>
      </c>
      <c r="J233" s="26"/>
      <c r="K233" s="26">
        <v>667</v>
      </c>
      <c r="L233" s="26"/>
      <c r="M233" s="26">
        <v>669</v>
      </c>
      <c r="N233" s="28">
        <v>46.699551569506724</v>
      </c>
      <c r="O233" s="26" t="s">
        <v>307</v>
      </c>
      <c r="P233" s="26">
        <f t="shared" si="58"/>
        <v>667</v>
      </c>
      <c r="Q233" s="26">
        <f t="shared" si="59"/>
        <v>0</v>
      </c>
      <c r="R233" s="26">
        <f t="shared" si="60"/>
        <v>1</v>
      </c>
      <c r="S233" s="26">
        <f t="shared" si="61"/>
        <v>1</v>
      </c>
      <c r="T233" s="26">
        <f t="shared" si="62"/>
        <v>669</v>
      </c>
      <c r="U233" s="27">
        <f t="shared" si="63"/>
        <v>0.99701046337817634</v>
      </c>
      <c r="V233" s="27">
        <f t="shared" si="64"/>
        <v>0</v>
      </c>
      <c r="W233" s="27">
        <f t="shared" si="65"/>
        <v>1.4947683109118087E-3</v>
      </c>
      <c r="X233" s="27">
        <f t="shared" si="66"/>
        <v>1.4947683109118087E-3</v>
      </c>
      <c r="Y233" s="28">
        <f t="shared" si="67"/>
        <v>46.699551569506724</v>
      </c>
    </row>
    <row r="234" spans="1:25" x14ac:dyDescent="0.25">
      <c r="A234" s="24"/>
      <c r="B234" s="24"/>
      <c r="C234" s="24"/>
      <c r="D234" s="24"/>
      <c r="E234" s="24">
        <v>53</v>
      </c>
      <c r="F234" s="24">
        <v>84</v>
      </c>
      <c r="G234" s="24">
        <v>129</v>
      </c>
      <c r="H234" s="24">
        <v>11660</v>
      </c>
      <c r="I234" s="24">
        <v>20590</v>
      </c>
      <c r="J234" s="24">
        <v>196</v>
      </c>
      <c r="K234" s="24">
        <v>100541</v>
      </c>
      <c r="L234" s="24">
        <v>302</v>
      </c>
      <c r="M234" s="24">
        <v>133555</v>
      </c>
      <c r="N234" s="30">
        <v>43.030803615511836</v>
      </c>
      <c r="O234" s="24"/>
      <c r="P234" s="26">
        <v>100541</v>
      </c>
      <c r="Q234" s="26">
        <v>11660</v>
      </c>
      <c r="R234" s="26">
        <v>20590</v>
      </c>
      <c r="S234" s="26">
        <v>764</v>
      </c>
      <c r="T234" s="26">
        <v>133555</v>
      </c>
      <c r="U234" s="27">
        <v>0.75280596009134815</v>
      </c>
      <c r="V234" s="27">
        <v>8.7304855677436261E-2</v>
      </c>
      <c r="W234" s="27">
        <v>0.1541686945453184</v>
      </c>
      <c r="X234" s="27">
        <v>5.7204896858971963E-3</v>
      </c>
      <c r="Y234" s="28">
        <v>43.030803615511836</v>
      </c>
    </row>
    <row r="236" spans="1:25" x14ac:dyDescent="0.25">
      <c r="A236" s="26" t="s">
        <v>304</v>
      </c>
      <c r="B236" s="26" t="s">
        <v>305</v>
      </c>
      <c r="C236" s="26" t="s">
        <v>306</v>
      </c>
      <c r="D236" s="26"/>
      <c r="E236" s="26"/>
      <c r="F236" s="26"/>
      <c r="G236" s="26"/>
      <c r="H236" s="26"/>
      <c r="I236" s="26"/>
      <c r="J236" s="26"/>
      <c r="K236" s="26">
        <v>2</v>
      </c>
      <c r="L236" s="26"/>
      <c r="M236" s="26">
        <v>2</v>
      </c>
      <c r="N236" s="28">
        <v>27.5</v>
      </c>
      <c r="O236" s="26" t="s">
        <v>307</v>
      </c>
      <c r="P236" s="26">
        <f t="shared" ref="P236" si="68">K236</f>
        <v>2</v>
      </c>
      <c r="Q236" s="26">
        <f t="shared" ref="Q236:R236" si="69">H236</f>
        <v>0</v>
      </c>
      <c r="R236" s="26">
        <f t="shared" si="69"/>
        <v>0</v>
      </c>
      <c r="S236" s="26">
        <f t="shared" ref="S236" si="70">M236-SUM(P236:R236)</f>
        <v>0</v>
      </c>
      <c r="T236" s="26">
        <f t="shared" ref="T236" si="71">SUM(P236:S236)</f>
        <v>2</v>
      </c>
      <c r="U236" s="27">
        <f t="shared" ref="U236" si="72">P236/M236</f>
        <v>1</v>
      </c>
      <c r="V236" s="27">
        <f t="shared" ref="V236" si="73">Q236/M236</f>
        <v>0</v>
      </c>
      <c r="W236" s="27">
        <f t="shared" ref="W236" si="74">R236/M236</f>
        <v>0</v>
      </c>
      <c r="X236" s="27">
        <f t="shared" ref="X236" si="75">S236/M236</f>
        <v>0</v>
      </c>
      <c r="Y236" s="28">
        <f t="shared" ref="Y236" si="76">N236</f>
        <v>27.5</v>
      </c>
    </row>
    <row r="237" spans="1:25" x14ac:dyDescent="0.25">
      <c r="A237" s="26" t="s">
        <v>308</v>
      </c>
      <c r="B237" s="26" t="s">
        <v>309</v>
      </c>
      <c r="C237" s="26" t="s">
        <v>306</v>
      </c>
      <c r="D237" s="26"/>
      <c r="E237" s="26"/>
      <c r="F237" s="26"/>
      <c r="G237" s="26"/>
      <c r="H237" s="26"/>
      <c r="I237" s="26"/>
      <c r="J237" s="26"/>
      <c r="K237" s="26">
        <v>2</v>
      </c>
      <c r="L237" s="26"/>
      <c r="M237" s="26">
        <v>2</v>
      </c>
      <c r="N237" s="28">
        <v>47</v>
      </c>
      <c r="O237" s="26" t="s">
        <v>307</v>
      </c>
      <c r="P237" s="26">
        <f t="shared" ref="P237:P250" si="77">K237</f>
        <v>2</v>
      </c>
      <c r="Q237" s="26">
        <f t="shared" ref="Q237:Q250" si="78">H237</f>
        <v>0</v>
      </c>
      <c r="R237" s="26">
        <f t="shared" ref="R237:R250" si="79">I237</f>
        <v>0</v>
      </c>
      <c r="S237" s="26">
        <f t="shared" ref="S237:S250" si="80">M237-SUM(P237:R237)</f>
        <v>0</v>
      </c>
      <c r="T237" s="26">
        <f t="shared" ref="T237:T250" si="81">SUM(P237:S237)</f>
        <v>2</v>
      </c>
      <c r="U237" s="27">
        <f t="shared" ref="U237:U250" si="82">P237/M237</f>
        <v>1</v>
      </c>
      <c r="V237" s="27">
        <f t="shared" ref="V237:V250" si="83">Q237/M237</f>
        <v>0</v>
      </c>
      <c r="W237" s="27">
        <f t="shared" ref="W237:W250" si="84">R237/M237</f>
        <v>0</v>
      </c>
      <c r="X237" s="27">
        <f t="shared" ref="X237:X250" si="85">S237/M237</f>
        <v>0</v>
      </c>
      <c r="Y237" s="28">
        <f t="shared" ref="Y237:Y250" si="86">N237</f>
        <v>47</v>
      </c>
    </row>
    <row r="238" spans="1:25" x14ac:dyDescent="0.25">
      <c r="A238" s="26" t="s">
        <v>310</v>
      </c>
      <c r="B238" s="26" t="s">
        <v>311</v>
      </c>
      <c r="C238" s="26" t="s">
        <v>306</v>
      </c>
      <c r="D238" s="26"/>
      <c r="E238" s="26"/>
      <c r="F238" s="26"/>
      <c r="G238" s="26"/>
      <c r="H238" s="26"/>
      <c r="I238" s="26"/>
      <c r="J238" s="26"/>
      <c r="K238" s="26">
        <v>2</v>
      </c>
      <c r="L238" s="26"/>
      <c r="M238" s="26">
        <v>2</v>
      </c>
      <c r="N238" s="28">
        <v>56</v>
      </c>
      <c r="O238" s="26" t="s">
        <v>307</v>
      </c>
      <c r="P238" s="26">
        <f t="shared" si="77"/>
        <v>2</v>
      </c>
      <c r="Q238" s="26">
        <f t="shared" si="78"/>
        <v>0</v>
      </c>
      <c r="R238" s="26">
        <f t="shared" si="79"/>
        <v>0</v>
      </c>
      <c r="S238" s="26">
        <f t="shared" si="80"/>
        <v>0</v>
      </c>
      <c r="T238" s="26">
        <f t="shared" si="81"/>
        <v>2</v>
      </c>
      <c r="U238" s="27">
        <f t="shared" si="82"/>
        <v>1</v>
      </c>
      <c r="V238" s="27">
        <f t="shared" si="83"/>
        <v>0</v>
      </c>
      <c r="W238" s="27">
        <f t="shared" si="84"/>
        <v>0</v>
      </c>
      <c r="X238" s="27">
        <f t="shared" si="85"/>
        <v>0</v>
      </c>
      <c r="Y238" s="28">
        <f t="shared" si="86"/>
        <v>56</v>
      </c>
    </row>
    <row r="239" spans="1:25" x14ac:dyDescent="0.25">
      <c r="A239" s="26" t="s">
        <v>316</v>
      </c>
      <c r="B239" s="26" t="s">
        <v>317</v>
      </c>
      <c r="C239" s="26" t="s">
        <v>306</v>
      </c>
      <c r="D239" s="26"/>
      <c r="E239" s="26"/>
      <c r="F239" s="26"/>
      <c r="G239" s="26"/>
      <c r="H239" s="26"/>
      <c r="I239" s="26"/>
      <c r="J239" s="26"/>
      <c r="K239" s="26">
        <v>3</v>
      </c>
      <c r="L239" s="26"/>
      <c r="M239" s="26">
        <v>3</v>
      </c>
      <c r="N239" s="28">
        <v>38.666666666666664</v>
      </c>
      <c r="O239" s="26" t="s">
        <v>307</v>
      </c>
      <c r="P239" s="26">
        <f t="shared" si="77"/>
        <v>3</v>
      </c>
      <c r="Q239" s="26">
        <f t="shared" si="78"/>
        <v>0</v>
      </c>
      <c r="R239" s="26">
        <f t="shared" si="79"/>
        <v>0</v>
      </c>
      <c r="S239" s="26">
        <f t="shared" si="80"/>
        <v>0</v>
      </c>
      <c r="T239" s="26">
        <f t="shared" si="81"/>
        <v>3</v>
      </c>
      <c r="U239" s="27">
        <f t="shared" si="82"/>
        <v>1</v>
      </c>
      <c r="V239" s="27">
        <f t="shared" si="83"/>
        <v>0</v>
      </c>
      <c r="W239" s="27">
        <f t="shared" si="84"/>
        <v>0</v>
      </c>
      <c r="X239" s="27">
        <f t="shared" si="85"/>
        <v>0</v>
      </c>
      <c r="Y239" s="28">
        <f t="shared" si="86"/>
        <v>38.666666666666664</v>
      </c>
    </row>
    <row r="240" spans="1:25" x14ac:dyDescent="0.25">
      <c r="A240" s="26" t="s">
        <v>318</v>
      </c>
      <c r="B240" s="26" t="s">
        <v>319</v>
      </c>
      <c r="C240" s="26" t="s">
        <v>306</v>
      </c>
      <c r="D240" s="26"/>
      <c r="E240" s="26"/>
      <c r="F240" s="26"/>
      <c r="G240" s="26"/>
      <c r="H240" s="26"/>
      <c r="I240" s="26"/>
      <c r="J240" s="26"/>
      <c r="K240" s="26">
        <v>3</v>
      </c>
      <c r="L240" s="26"/>
      <c r="M240" s="26">
        <v>3</v>
      </c>
      <c r="N240" s="28">
        <v>44</v>
      </c>
      <c r="O240" s="26" t="s">
        <v>307</v>
      </c>
      <c r="P240" s="26">
        <f t="shared" si="77"/>
        <v>3</v>
      </c>
      <c r="Q240" s="26">
        <f t="shared" si="78"/>
        <v>0</v>
      </c>
      <c r="R240" s="26">
        <f t="shared" si="79"/>
        <v>0</v>
      </c>
      <c r="S240" s="26">
        <f t="shared" si="80"/>
        <v>0</v>
      </c>
      <c r="T240" s="26">
        <f t="shared" si="81"/>
        <v>3</v>
      </c>
      <c r="U240" s="27">
        <f t="shared" si="82"/>
        <v>1</v>
      </c>
      <c r="V240" s="27">
        <f t="shared" si="83"/>
        <v>0</v>
      </c>
      <c r="W240" s="27">
        <f t="shared" si="84"/>
        <v>0</v>
      </c>
      <c r="X240" s="27">
        <f t="shared" si="85"/>
        <v>0</v>
      </c>
      <c r="Y240" s="28">
        <f t="shared" si="86"/>
        <v>44</v>
      </c>
    </row>
    <row r="241" spans="1:25" x14ac:dyDescent="0.25">
      <c r="A241" s="26" t="s">
        <v>320</v>
      </c>
      <c r="B241" s="26" t="s">
        <v>321</v>
      </c>
      <c r="C241" s="26" t="s">
        <v>306</v>
      </c>
      <c r="D241" s="26"/>
      <c r="E241" s="26"/>
      <c r="F241" s="26"/>
      <c r="G241" s="26"/>
      <c r="H241" s="26"/>
      <c r="I241" s="26"/>
      <c r="J241" s="26"/>
      <c r="K241" s="26">
        <v>2</v>
      </c>
      <c r="L241" s="26"/>
      <c r="M241" s="26">
        <v>2</v>
      </c>
      <c r="N241" s="28">
        <v>28.5</v>
      </c>
      <c r="O241" s="26" t="s">
        <v>307</v>
      </c>
      <c r="P241" s="26">
        <f t="shared" si="77"/>
        <v>2</v>
      </c>
      <c r="Q241" s="26">
        <f t="shared" si="78"/>
        <v>0</v>
      </c>
      <c r="R241" s="26">
        <f t="shared" si="79"/>
        <v>0</v>
      </c>
      <c r="S241" s="26">
        <f t="shared" si="80"/>
        <v>0</v>
      </c>
      <c r="T241" s="26">
        <f t="shared" si="81"/>
        <v>2</v>
      </c>
      <c r="U241" s="27">
        <f t="shared" si="82"/>
        <v>1</v>
      </c>
      <c r="V241" s="27">
        <f t="shared" si="83"/>
        <v>0</v>
      </c>
      <c r="W241" s="27">
        <f t="shared" si="84"/>
        <v>0</v>
      </c>
      <c r="X241" s="27">
        <f t="shared" si="85"/>
        <v>0</v>
      </c>
      <c r="Y241" s="28">
        <f t="shared" si="86"/>
        <v>28.5</v>
      </c>
    </row>
    <row r="242" spans="1:25" x14ac:dyDescent="0.25">
      <c r="A242" s="26" t="s">
        <v>324</v>
      </c>
      <c r="B242" s="26" t="s">
        <v>325</v>
      </c>
      <c r="C242" s="26" t="s">
        <v>306</v>
      </c>
      <c r="D242" s="26"/>
      <c r="E242" s="26"/>
      <c r="F242" s="26"/>
      <c r="G242" s="26"/>
      <c r="H242" s="26">
        <v>1</v>
      </c>
      <c r="I242" s="26"/>
      <c r="J242" s="26"/>
      <c r="K242" s="26">
        <v>1</v>
      </c>
      <c r="L242" s="26"/>
      <c r="M242" s="26">
        <v>2</v>
      </c>
      <c r="N242" s="28">
        <v>50</v>
      </c>
      <c r="O242" s="26" t="s">
        <v>307</v>
      </c>
      <c r="P242" s="26">
        <f t="shared" si="77"/>
        <v>1</v>
      </c>
      <c r="Q242" s="26">
        <f t="shared" si="78"/>
        <v>1</v>
      </c>
      <c r="R242" s="26">
        <f t="shared" si="79"/>
        <v>0</v>
      </c>
      <c r="S242" s="26">
        <f t="shared" si="80"/>
        <v>0</v>
      </c>
      <c r="T242" s="26">
        <f t="shared" si="81"/>
        <v>2</v>
      </c>
      <c r="U242" s="27">
        <f t="shared" si="82"/>
        <v>0.5</v>
      </c>
      <c r="V242" s="27">
        <f t="shared" si="83"/>
        <v>0.5</v>
      </c>
      <c r="W242" s="27">
        <f t="shared" si="84"/>
        <v>0</v>
      </c>
      <c r="X242" s="27">
        <f t="shared" si="85"/>
        <v>0</v>
      </c>
      <c r="Y242" s="28">
        <f t="shared" si="86"/>
        <v>50</v>
      </c>
    </row>
    <row r="243" spans="1:25" x14ac:dyDescent="0.25">
      <c r="A243" s="26" t="s">
        <v>328</v>
      </c>
      <c r="B243" s="26" t="s">
        <v>329</v>
      </c>
      <c r="C243" s="26" t="s">
        <v>306</v>
      </c>
      <c r="D243" s="26"/>
      <c r="E243" s="26"/>
      <c r="F243" s="26"/>
      <c r="G243" s="26"/>
      <c r="H243" s="26"/>
      <c r="I243" s="26"/>
      <c r="J243" s="26"/>
      <c r="K243" s="26">
        <v>1</v>
      </c>
      <c r="L243" s="26"/>
      <c r="M243" s="26">
        <v>1</v>
      </c>
      <c r="N243" s="28">
        <v>34</v>
      </c>
      <c r="O243" s="26" t="s">
        <v>307</v>
      </c>
      <c r="P243" s="26">
        <f t="shared" si="77"/>
        <v>1</v>
      </c>
      <c r="Q243" s="26">
        <f t="shared" si="78"/>
        <v>0</v>
      </c>
      <c r="R243" s="26">
        <f t="shared" si="79"/>
        <v>0</v>
      </c>
      <c r="S243" s="26">
        <f t="shared" si="80"/>
        <v>0</v>
      </c>
      <c r="T243" s="26">
        <f t="shared" si="81"/>
        <v>1</v>
      </c>
      <c r="U243" s="27">
        <f t="shared" si="82"/>
        <v>1</v>
      </c>
      <c r="V243" s="27">
        <f t="shared" si="83"/>
        <v>0</v>
      </c>
      <c r="W243" s="27">
        <f t="shared" si="84"/>
        <v>0</v>
      </c>
      <c r="X243" s="27">
        <f t="shared" si="85"/>
        <v>0</v>
      </c>
      <c r="Y243" s="28">
        <f t="shared" si="86"/>
        <v>34</v>
      </c>
    </row>
    <row r="244" spans="1:25" x14ac:dyDescent="0.25">
      <c r="A244" s="26" t="s">
        <v>340</v>
      </c>
      <c r="B244" s="26" t="s">
        <v>341</v>
      </c>
      <c r="C244" s="26" t="s">
        <v>306</v>
      </c>
      <c r="D244" s="26"/>
      <c r="E244" s="26"/>
      <c r="F244" s="26"/>
      <c r="G244" s="26"/>
      <c r="H244" s="26"/>
      <c r="I244" s="26"/>
      <c r="J244" s="26"/>
      <c r="K244" s="26">
        <v>3</v>
      </c>
      <c r="L244" s="26"/>
      <c r="M244" s="26">
        <v>3</v>
      </c>
      <c r="N244" s="28">
        <v>27.666666666666668</v>
      </c>
      <c r="O244" s="26" t="s">
        <v>307</v>
      </c>
      <c r="P244" s="26">
        <f t="shared" si="77"/>
        <v>3</v>
      </c>
      <c r="Q244" s="26">
        <f t="shared" si="78"/>
        <v>0</v>
      </c>
      <c r="R244" s="26">
        <f t="shared" si="79"/>
        <v>0</v>
      </c>
      <c r="S244" s="26">
        <f t="shared" si="80"/>
        <v>0</v>
      </c>
      <c r="T244" s="26">
        <f t="shared" si="81"/>
        <v>3</v>
      </c>
      <c r="U244" s="27">
        <f t="shared" si="82"/>
        <v>1</v>
      </c>
      <c r="V244" s="27">
        <f t="shared" si="83"/>
        <v>0</v>
      </c>
      <c r="W244" s="27">
        <f t="shared" si="84"/>
        <v>0</v>
      </c>
      <c r="X244" s="27">
        <f t="shared" si="85"/>
        <v>0</v>
      </c>
      <c r="Y244" s="28">
        <f t="shared" si="86"/>
        <v>27.666666666666668</v>
      </c>
    </row>
    <row r="245" spans="1:25" x14ac:dyDescent="0.25">
      <c r="A245" s="26" t="s">
        <v>348</v>
      </c>
      <c r="B245" s="26" t="s">
        <v>349</v>
      </c>
      <c r="C245" s="26" t="s">
        <v>306</v>
      </c>
      <c r="D245" s="26"/>
      <c r="E245" s="26"/>
      <c r="F245" s="26"/>
      <c r="G245" s="26"/>
      <c r="H245" s="26"/>
      <c r="I245" s="26"/>
      <c r="J245" s="26"/>
      <c r="K245" s="26">
        <v>2</v>
      </c>
      <c r="L245" s="26"/>
      <c r="M245" s="26">
        <v>2</v>
      </c>
      <c r="N245" s="28">
        <v>48.5</v>
      </c>
      <c r="O245" s="26" t="s">
        <v>307</v>
      </c>
      <c r="P245" s="26">
        <f t="shared" si="77"/>
        <v>2</v>
      </c>
      <c r="Q245" s="26">
        <f t="shared" si="78"/>
        <v>0</v>
      </c>
      <c r="R245" s="26">
        <f t="shared" si="79"/>
        <v>0</v>
      </c>
      <c r="S245" s="26">
        <f t="shared" si="80"/>
        <v>0</v>
      </c>
      <c r="T245" s="26">
        <f t="shared" si="81"/>
        <v>2</v>
      </c>
      <c r="U245" s="27">
        <f t="shared" si="82"/>
        <v>1</v>
      </c>
      <c r="V245" s="27">
        <f t="shared" si="83"/>
        <v>0</v>
      </c>
      <c r="W245" s="27">
        <f t="shared" si="84"/>
        <v>0</v>
      </c>
      <c r="X245" s="27">
        <f t="shared" si="85"/>
        <v>0</v>
      </c>
      <c r="Y245" s="28">
        <f t="shared" si="86"/>
        <v>48.5</v>
      </c>
    </row>
    <row r="246" spans="1:25" x14ac:dyDescent="0.25">
      <c r="A246" s="26" t="s">
        <v>352</v>
      </c>
      <c r="B246" s="26" t="s">
        <v>353</v>
      </c>
      <c r="C246" s="26" t="s">
        <v>306</v>
      </c>
      <c r="D246" s="26"/>
      <c r="E246" s="26"/>
      <c r="F246" s="26"/>
      <c r="G246" s="26"/>
      <c r="H246" s="26"/>
      <c r="I246" s="26"/>
      <c r="J246" s="26"/>
      <c r="K246" s="26">
        <v>4</v>
      </c>
      <c r="L246" s="26"/>
      <c r="M246" s="26">
        <v>4</v>
      </c>
      <c r="N246" s="28">
        <v>36.5</v>
      </c>
      <c r="O246" s="26" t="s">
        <v>307</v>
      </c>
      <c r="P246" s="26">
        <f t="shared" si="77"/>
        <v>4</v>
      </c>
      <c r="Q246" s="26">
        <f t="shared" si="78"/>
        <v>0</v>
      </c>
      <c r="R246" s="26">
        <f t="shared" si="79"/>
        <v>0</v>
      </c>
      <c r="S246" s="26">
        <f t="shared" si="80"/>
        <v>0</v>
      </c>
      <c r="T246" s="26">
        <f t="shared" si="81"/>
        <v>4</v>
      </c>
      <c r="U246" s="27">
        <f t="shared" si="82"/>
        <v>1</v>
      </c>
      <c r="V246" s="27">
        <f t="shared" si="83"/>
        <v>0</v>
      </c>
      <c r="W246" s="27">
        <f t="shared" si="84"/>
        <v>0</v>
      </c>
      <c r="X246" s="27">
        <f t="shared" si="85"/>
        <v>0</v>
      </c>
      <c r="Y246" s="28">
        <f t="shared" si="86"/>
        <v>36.5</v>
      </c>
    </row>
    <row r="247" spans="1:25" x14ac:dyDescent="0.25">
      <c r="A247" s="26" t="s">
        <v>382</v>
      </c>
      <c r="B247" s="26" t="s">
        <v>383</v>
      </c>
      <c r="C247" s="26" t="s">
        <v>306</v>
      </c>
      <c r="D247" s="26"/>
      <c r="E247" s="26"/>
      <c r="F247" s="26"/>
      <c r="G247" s="26"/>
      <c r="H247" s="26"/>
      <c r="I247" s="26"/>
      <c r="J247" s="26"/>
      <c r="K247" s="26">
        <v>1</v>
      </c>
      <c r="L247" s="26"/>
      <c r="M247" s="26">
        <v>1</v>
      </c>
      <c r="N247" s="28">
        <v>34</v>
      </c>
      <c r="O247" s="26" t="s">
        <v>307</v>
      </c>
      <c r="P247" s="26">
        <f t="shared" si="77"/>
        <v>1</v>
      </c>
      <c r="Q247" s="26">
        <f t="shared" si="78"/>
        <v>0</v>
      </c>
      <c r="R247" s="26">
        <f t="shared" si="79"/>
        <v>0</v>
      </c>
      <c r="S247" s="26">
        <f t="shared" si="80"/>
        <v>0</v>
      </c>
      <c r="T247" s="26">
        <f t="shared" si="81"/>
        <v>1</v>
      </c>
      <c r="U247" s="27">
        <f t="shared" si="82"/>
        <v>1</v>
      </c>
      <c r="V247" s="27">
        <f t="shared" si="83"/>
        <v>0</v>
      </c>
      <c r="W247" s="27">
        <f t="shared" si="84"/>
        <v>0</v>
      </c>
      <c r="X247" s="27">
        <f t="shared" si="85"/>
        <v>0</v>
      </c>
      <c r="Y247" s="28">
        <f t="shared" si="86"/>
        <v>34</v>
      </c>
    </row>
    <row r="248" spans="1:25" x14ac:dyDescent="0.25">
      <c r="A248" s="26" t="s">
        <v>402</v>
      </c>
      <c r="B248" s="26" t="s">
        <v>403</v>
      </c>
      <c r="C248" s="26" t="s">
        <v>306</v>
      </c>
      <c r="D248" s="26"/>
      <c r="E248" s="26"/>
      <c r="F248" s="26"/>
      <c r="G248" s="26"/>
      <c r="H248" s="26"/>
      <c r="I248" s="26"/>
      <c r="J248" s="26"/>
      <c r="K248" s="26">
        <v>1</v>
      </c>
      <c r="L248" s="26"/>
      <c r="M248" s="26">
        <v>1</v>
      </c>
      <c r="N248" s="28">
        <v>49</v>
      </c>
      <c r="O248" s="26" t="s">
        <v>307</v>
      </c>
      <c r="P248" s="26">
        <f t="shared" si="77"/>
        <v>1</v>
      </c>
      <c r="Q248" s="26">
        <f t="shared" si="78"/>
        <v>0</v>
      </c>
      <c r="R248" s="26">
        <f t="shared" si="79"/>
        <v>0</v>
      </c>
      <c r="S248" s="26">
        <f t="shared" si="80"/>
        <v>0</v>
      </c>
      <c r="T248" s="26">
        <f t="shared" si="81"/>
        <v>1</v>
      </c>
      <c r="U248" s="27">
        <f t="shared" si="82"/>
        <v>1</v>
      </c>
      <c r="V248" s="27">
        <f t="shared" si="83"/>
        <v>0</v>
      </c>
      <c r="W248" s="27">
        <f t="shared" si="84"/>
        <v>0</v>
      </c>
      <c r="X248" s="27">
        <f t="shared" si="85"/>
        <v>0</v>
      </c>
      <c r="Y248" s="28">
        <f t="shared" si="86"/>
        <v>49</v>
      </c>
    </row>
    <row r="249" spans="1:25" x14ac:dyDescent="0.25">
      <c r="A249" s="26" t="s">
        <v>406</v>
      </c>
      <c r="B249" s="26" t="s">
        <v>407</v>
      </c>
      <c r="C249" s="26" t="s">
        <v>306</v>
      </c>
      <c r="D249" s="26"/>
      <c r="E249" s="26"/>
      <c r="F249" s="26"/>
      <c r="G249" s="26"/>
      <c r="H249" s="26"/>
      <c r="I249" s="26"/>
      <c r="J249" s="26"/>
      <c r="K249" s="26">
        <v>2</v>
      </c>
      <c r="L249" s="26"/>
      <c r="M249" s="26">
        <v>2</v>
      </c>
      <c r="N249" s="28">
        <v>33</v>
      </c>
      <c r="O249" s="26" t="s">
        <v>307</v>
      </c>
      <c r="P249" s="26">
        <f t="shared" si="77"/>
        <v>2</v>
      </c>
      <c r="Q249" s="26">
        <f t="shared" si="78"/>
        <v>0</v>
      </c>
      <c r="R249" s="26">
        <f t="shared" si="79"/>
        <v>0</v>
      </c>
      <c r="S249" s="26">
        <f t="shared" si="80"/>
        <v>0</v>
      </c>
      <c r="T249" s="26">
        <f t="shared" si="81"/>
        <v>2</v>
      </c>
      <c r="U249" s="27">
        <f t="shared" si="82"/>
        <v>1</v>
      </c>
      <c r="V249" s="27">
        <f t="shared" si="83"/>
        <v>0</v>
      </c>
      <c r="W249" s="27">
        <f t="shared" si="84"/>
        <v>0</v>
      </c>
      <c r="X249" s="27">
        <f t="shared" si="85"/>
        <v>0</v>
      </c>
      <c r="Y249" s="28">
        <f t="shared" si="86"/>
        <v>33</v>
      </c>
    </row>
    <row r="250" spans="1:25" x14ac:dyDescent="0.25">
      <c r="A250" s="24"/>
      <c r="B250" s="24"/>
      <c r="C250" s="32" t="s">
        <v>418</v>
      </c>
      <c r="D250" s="24"/>
      <c r="E250" s="24">
        <f>SUM(E236:E249)</f>
        <v>0</v>
      </c>
      <c r="F250" s="24">
        <f t="shared" ref="F250:M250" si="87">SUM(F236:F249)</f>
        <v>0</v>
      </c>
      <c r="G250" s="24">
        <f t="shared" si="87"/>
        <v>0</v>
      </c>
      <c r="H250" s="24">
        <f t="shared" si="87"/>
        <v>1</v>
      </c>
      <c r="I250" s="24">
        <f t="shared" si="87"/>
        <v>0</v>
      </c>
      <c r="J250" s="24">
        <f t="shared" si="87"/>
        <v>0</v>
      </c>
      <c r="K250" s="24">
        <f t="shared" si="87"/>
        <v>29</v>
      </c>
      <c r="L250" s="24">
        <f t="shared" si="87"/>
        <v>0</v>
      </c>
      <c r="M250" s="24">
        <f t="shared" si="87"/>
        <v>30</v>
      </c>
      <c r="N250" s="30">
        <f>AVERAGE(N236:N249)</f>
        <v>39.595238095238088</v>
      </c>
      <c r="O250" s="24"/>
      <c r="P250" s="26">
        <f t="shared" si="77"/>
        <v>29</v>
      </c>
      <c r="Q250" s="26">
        <f t="shared" si="78"/>
        <v>1</v>
      </c>
      <c r="R250" s="26">
        <f t="shared" si="79"/>
        <v>0</v>
      </c>
      <c r="S250" s="26">
        <f t="shared" si="80"/>
        <v>0</v>
      </c>
      <c r="T250" s="26">
        <f t="shared" si="81"/>
        <v>30</v>
      </c>
      <c r="U250" s="27">
        <f t="shared" si="82"/>
        <v>0.96666666666666667</v>
      </c>
      <c r="V250" s="27">
        <f t="shared" si="83"/>
        <v>3.3333333333333333E-2</v>
      </c>
      <c r="W250" s="27">
        <f t="shared" si="84"/>
        <v>0</v>
      </c>
      <c r="X250" s="27">
        <f t="shared" si="85"/>
        <v>0</v>
      </c>
      <c r="Y250" s="28">
        <f t="shared" si="86"/>
        <v>39.595238095238088</v>
      </c>
    </row>
    <row r="252" spans="1:25" x14ac:dyDescent="0.25">
      <c r="A252" s="26" t="s">
        <v>310</v>
      </c>
      <c r="B252" s="26" t="s">
        <v>311</v>
      </c>
      <c r="C252" s="26" t="s">
        <v>162</v>
      </c>
      <c r="D252" s="26">
        <v>1</v>
      </c>
      <c r="E252" s="26"/>
      <c r="F252" s="26"/>
      <c r="G252" s="26">
        <v>1</v>
      </c>
      <c r="H252" s="26"/>
      <c r="I252" s="26"/>
      <c r="J252" s="26"/>
      <c r="K252" s="26">
        <v>367</v>
      </c>
      <c r="L252" s="26"/>
      <c r="M252" s="26">
        <v>368</v>
      </c>
      <c r="N252" s="28">
        <v>29.682065217391305</v>
      </c>
      <c r="O252" s="26" t="s">
        <v>307</v>
      </c>
      <c r="P252" s="26">
        <f t="shared" ref="P252:P264" si="88">K252</f>
        <v>367</v>
      </c>
      <c r="Q252" s="26">
        <f t="shared" ref="Q252:Q264" si="89">H252</f>
        <v>0</v>
      </c>
      <c r="R252" s="26">
        <f t="shared" ref="R252:R264" si="90">I252</f>
        <v>0</v>
      </c>
      <c r="S252" s="26">
        <f t="shared" ref="S252:S264" si="91">M252-SUM(P252:R252)</f>
        <v>1</v>
      </c>
      <c r="T252" s="26">
        <f t="shared" ref="T252:T264" si="92">SUM(P252:S252)</f>
        <v>368</v>
      </c>
      <c r="U252" s="27">
        <f t="shared" ref="U252:U264" si="93">P252/M252</f>
        <v>0.99728260869565222</v>
      </c>
      <c r="V252" s="27">
        <f t="shared" ref="V252:V264" si="94">Q252/M252</f>
        <v>0</v>
      </c>
      <c r="W252" s="27">
        <f t="shared" ref="W252:W264" si="95">R252/M252</f>
        <v>0</v>
      </c>
      <c r="X252" s="27">
        <f t="shared" ref="X252:X264" si="96">S252/M252</f>
        <v>2.717391304347826E-3</v>
      </c>
      <c r="Y252" s="28">
        <f t="shared" ref="Y252:Y264" si="97">N252</f>
        <v>29.682065217391305</v>
      </c>
    </row>
    <row r="253" spans="1:25" x14ac:dyDescent="0.25">
      <c r="A253" s="26" t="s">
        <v>310</v>
      </c>
      <c r="B253" s="26" t="s">
        <v>311</v>
      </c>
      <c r="C253" s="26" t="s">
        <v>162</v>
      </c>
      <c r="D253" s="26">
        <v>2</v>
      </c>
      <c r="E253" s="26"/>
      <c r="F253" s="26">
        <v>1</v>
      </c>
      <c r="G253" s="26"/>
      <c r="H253" s="26"/>
      <c r="I253" s="26"/>
      <c r="J253" s="26"/>
      <c r="K253" s="26">
        <v>367</v>
      </c>
      <c r="L253" s="26"/>
      <c r="M253" s="26">
        <v>368</v>
      </c>
      <c r="N253" s="28">
        <v>31.347826086956523</v>
      </c>
      <c r="O253" s="26" t="s">
        <v>307</v>
      </c>
      <c r="P253" s="26">
        <f t="shared" si="88"/>
        <v>367</v>
      </c>
      <c r="Q253" s="26">
        <f t="shared" si="89"/>
        <v>0</v>
      </c>
      <c r="R253" s="26">
        <f t="shared" si="90"/>
        <v>0</v>
      </c>
      <c r="S253" s="26">
        <f t="shared" si="91"/>
        <v>1</v>
      </c>
      <c r="T253" s="26">
        <f t="shared" si="92"/>
        <v>368</v>
      </c>
      <c r="U253" s="27">
        <f t="shared" si="93"/>
        <v>0.99728260869565222</v>
      </c>
      <c r="V253" s="27">
        <f t="shared" si="94"/>
        <v>0</v>
      </c>
      <c r="W253" s="27">
        <f t="shared" si="95"/>
        <v>0</v>
      </c>
      <c r="X253" s="27">
        <f t="shared" si="96"/>
        <v>2.717391304347826E-3</v>
      </c>
      <c r="Y253" s="28">
        <f t="shared" si="97"/>
        <v>31.347826086956523</v>
      </c>
    </row>
    <row r="254" spans="1:25" x14ac:dyDescent="0.25">
      <c r="A254" s="26" t="s">
        <v>320</v>
      </c>
      <c r="B254" s="26" t="s">
        <v>321</v>
      </c>
      <c r="C254" s="26" t="s">
        <v>163</v>
      </c>
      <c r="D254" s="26">
        <v>1</v>
      </c>
      <c r="E254" s="26"/>
      <c r="F254" s="26">
        <v>4</v>
      </c>
      <c r="G254" s="26">
        <v>2</v>
      </c>
      <c r="H254" s="26"/>
      <c r="I254" s="26">
        <v>5</v>
      </c>
      <c r="J254" s="26"/>
      <c r="K254" s="26">
        <v>133</v>
      </c>
      <c r="L254" s="26"/>
      <c r="M254" s="26">
        <v>144</v>
      </c>
      <c r="N254" s="28">
        <v>34.340277777777779</v>
      </c>
      <c r="O254" s="26" t="s">
        <v>307</v>
      </c>
      <c r="P254" s="26">
        <f t="shared" si="88"/>
        <v>133</v>
      </c>
      <c r="Q254" s="26">
        <f t="shared" si="89"/>
        <v>0</v>
      </c>
      <c r="R254" s="26">
        <f t="shared" si="90"/>
        <v>5</v>
      </c>
      <c r="S254" s="26">
        <f t="shared" si="91"/>
        <v>6</v>
      </c>
      <c r="T254" s="26">
        <f t="shared" si="92"/>
        <v>144</v>
      </c>
      <c r="U254" s="27">
        <f t="shared" si="93"/>
        <v>0.92361111111111116</v>
      </c>
      <c r="V254" s="27">
        <f t="shared" si="94"/>
        <v>0</v>
      </c>
      <c r="W254" s="27">
        <f t="shared" si="95"/>
        <v>3.4722222222222224E-2</v>
      </c>
      <c r="X254" s="27">
        <f t="shared" si="96"/>
        <v>4.1666666666666664E-2</v>
      </c>
      <c r="Y254" s="28">
        <f t="shared" si="97"/>
        <v>34.340277777777779</v>
      </c>
    </row>
    <row r="255" spans="1:25" x14ac:dyDescent="0.25">
      <c r="A255" s="26" t="s">
        <v>334</v>
      </c>
      <c r="B255" s="26" t="s">
        <v>335</v>
      </c>
      <c r="C255" s="26" t="s">
        <v>165</v>
      </c>
      <c r="D255" s="26">
        <v>1</v>
      </c>
      <c r="E255" s="26">
        <v>2</v>
      </c>
      <c r="F255" s="26"/>
      <c r="G255" s="26">
        <v>6</v>
      </c>
      <c r="H255" s="26">
        <v>1</v>
      </c>
      <c r="I255" s="26">
        <v>11</v>
      </c>
      <c r="J255" s="26"/>
      <c r="K255" s="26">
        <v>259</v>
      </c>
      <c r="L255" s="26"/>
      <c r="M255" s="26">
        <v>279</v>
      </c>
      <c r="N255" s="28">
        <v>36.763440860215056</v>
      </c>
      <c r="O255" s="26" t="s">
        <v>307</v>
      </c>
      <c r="P255" s="26">
        <f t="shared" si="88"/>
        <v>259</v>
      </c>
      <c r="Q255" s="26">
        <f t="shared" si="89"/>
        <v>1</v>
      </c>
      <c r="R255" s="26">
        <f t="shared" si="90"/>
        <v>11</v>
      </c>
      <c r="S255" s="26">
        <f t="shared" si="91"/>
        <v>8</v>
      </c>
      <c r="T255" s="26">
        <f t="shared" si="92"/>
        <v>279</v>
      </c>
      <c r="U255" s="27">
        <f t="shared" si="93"/>
        <v>0.92831541218637992</v>
      </c>
      <c r="V255" s="27">
        <f t="shared" si="94"/>
        <v>3.5842293906810036E-3</v>
      </c>
      <c r="W255" s="27">
        <f t="shared" si="95"/>
        <v>3.9426523297491037E-2</v>
      </c>
      <c r="X255" s="27">
        <f t="shared" si="96"/>
        <v>2.8673835125448029E-2</v>
      </c>
      <c r="Y255" s="28">
        <f t="shared" si="97"/>
        <v>36.763440860215056</v>
      </c>
    </row>
    <row r="256" spans="1:25" x14ac:dyDescent="0.25">
      <c r="A256" s="26" t="s">
        <v>336</v>
      </c>
      <c r="B256" s="26" t="s">
        <v>337</v>
      </c>
      <c r="C256" s="26" t="s">
        <v>165</v>
      </c>
      <c r="D256" s="26">
        <v>1</v>
      </c>
      <c r="E256" s="26"/>
      <c r="F256" s="26"/>
      <c r="G256" s="26"/>
      <c r="H256" s="26"/>
      <c r="I256" s="26"/>
      <c r="J256" s="26"/>
      <c r="K256" s="26">
        <v>16</v>
      </c>
      <c r="L256" s="26"/>
      <c r="M256" s="26">
        <v>16</v>
      </c>
      <c r="N256" s="28">
        <v>38.1875</v>
      </c>
      <c r="O256" s="26" t="s">
        <v>307</v>
      </c>
      <c r="P256" s="26">
        <f t="shared" si="88"/>
        <v>16</v>
      </c>
      <c r="Q256" s="26">
        <f t="shared" si="89"/>
        <v>0</v>
      </c>
      <c r="R256" s="26">
        <f t="shared" si="90"/>
        <v>0</v>
      </c>
      <c r="S256" s="26">
        <f t="shared" si="91"/>
        <v>0</v>
      </c>
      <c r="T256" s="26">
        <f t="shared" si="92"/>
        <v>16</v>
      </c>
      <c r="U256" s="27">
        <f t="shared" si="93"/>
        <v>1</v>
      </c>
      <c r="V256" s="27">
        <f t="shared" si="94"/>
        <v>0</v>
      </c>
      <c r="W256" s="27">
        <f t="shared" si="95"/>
        <v>0</v>
      </c>
      <c r="X256" s="27">
        <f t="shared" si="96"/>
        <v>0</v>
      </c>
      <c r="Y256" s="28">
        <f t="shared" si="97"/>
        <v>38.1875</v>
      </c>
    </row>
    <row r="257" spans="1:25" x14ac:dyDescent="0.25">
      <c r="A257" s="26" t="s">
        <v>340</v>
      </c>
      <c r="B257" s="26" t="s">
        <v>341</v>
      </c>
      <c r="C257" s="26" t="s">
        <v>165</v>
      </c>
      <c r="D257" s="26">
        <v>1</v>
      </c>
      <c r="E257" s="26"/>
      <c r="F257" s="26"/>
      <c r="G257" s="26"/>
      <c r="H257" s="26"/>
      <c r="I257" s="26">
        <v>2</v>
      </c>
      <c r="J257" s="26"/>
      <c r="K257" s="26">
        <v>30</v>
      </c>
      <c r="L257" s="26"/>
      <c r="M257" s="26">
        <v>32</v>
      </c>
      <c r="N257" s="28">
        <v>39.625</v>
      </c>
      <c r="O257" s="26" t="s">
        <v>307</v>
      </c>
      <c r="P257" s="26">
        <f t="shared" si="88"/>
        <v>30</v>
      </c>
      <c r="Q257" s="26">
        <f t="shared" si="89"/>
        <v>0</v>
      </c>
      <c r="R257" s="26">
        <f t="shared" si="90"/>
        <v>2</v>
      </c>
      <c r="S257" s="26">
        <f t="shared" si="91"/>
        <v>0</v>
      </c>
      <c r="T257" s="26">
        <f t="shared" si="92"/>
        <v>32</v>
      </c>
      <c r="U257" s="27">
        <f t="shared" si="93"/>
        <v>0.9375</v>
      </c>
      <c r="V257" s="27">
        <f t="shared" si="94"/>
        <v>0</v>
      </c>
      <c r="W257" s="27">
        <f t="shared" si="95"/>
        <v>6.25E-2</v>
      </c>
      <c r="X257" s="27">
        <f t="shared" si="96"/>
        <v>0</v>
      </c>
      <c r="Y257" s="28">
        <f t="shared" si="97"/>
        <v>39.625</v>
      </c>
    </row>
    <row r="258" spans="1:25" x14ac:dyDescent="0.25">
      <c r="A258" s="24"/>
      <c r="B258" s="24"/>
      <c r="C258" s="24" t="str">
        <f>C257</f>
        <v>RUANG A, DEWAN IPD REMBAU (DUN CHEMBONG)</v>
      </c>
      <c r="D258" s="24">
        <f>D257</f>
        <v>1</v>
      </c>
      <c r="E258" s="24">
        <f>SUM(E255:E257)</f>
        <v>2</v>
      </c>
      <c r="F258" s="24">
        <f t="shared" ref="F258:M258" si="98">SUM(F255:F257)</f>
        <v>0</v>
      </c>
      <c r="G258" s="24">
        <f t="shared" si="98"/>
        <v>6</v>
      </c>
      <c r="H258" s="24">
        <f t="shared" si="98"/>
        <v>1</v>
      </c>
      <c r="I258" s="24">
        <f t="shared" si="98"/>
        <v>13</v>
      </c>
      <c r="J258" s="24">
        <f t="shared" si="98"/>
        <v>0</v>
      </c>
      <c r="K258" s="24">
        <f t="shared" si="98"/>
        <v>305</v>
      </c>
      <c r="L258" s="24">
        <f t="shared" si="98"/>
        <v>0</v>
      </c>
      <c r="M258" s="24">
        <f t="shared" si="98"/>
        <v>327</v>
      </c>
      <c r="N258" s="30">
        <f>AVERAGE(N255:N257)</f>
        <v>38.19198028673835</v>
      </c>
      <c r="O258" s="24"/>
      <c r="P258" s="26">
        <f t="shared" si="88"/>
        <v>305</v>
      </c>
      <c r="Q258" s="26">
        <f t="shared" si="89"/>
        <v>1</v>
      </c>
      <c r="R258" s="26">
        <f t="shared" si="90"/>
        <v>13</v>
      </c>
      <c r="S258" s="26">
        <f t="shared" si="91"/>
        <v>8</v>
      </c>
      <c r="T258" s="26">
        <f t="shared" si="92"/>
        <v>327</v>
      </c>
      <c r="U258" s="27">
        <f t="shared" si="93"/>
        <v>0.93272171253822633</v>
      </c>
      <c r="V258" s="27">
        <f t="shared" si="94"/>
        <v>3.0581039755351682E-3</v>
      </c>
      <c r="W258" s="27">
        <f t="shared" si="95"/>
        <v>3.9755351681957186E-2</v>
      </c>
      <c r="X258" s="27">
        <f t="shared" si="96"/>
        <v>2.4464831804281346E-2</v>
      </c>
      <c r="Y258" s="28">
        <f t="shared" si="97"/>
        <v>38.19198028673835</v>
      </c>
    </row>
    <row r="259" spans="1:25" x14ac:dyDescent="0.25">
      <c r="A259" s="26" t="s">
        <v>352</v>
      </c>
      <c r="B259" s="26" t="s">
        <v>353</v>
      </c>
      <c r="C259" s="26" t="s">
        <v>167</v>
      </c>
      <c r="D259" s="26">
        <v>1</v>
      </c>
      <c r="E259" s="26">
        <v>2</v>
      </c>
      <c r="F259" s="26">
        <v>4</v>
      </c>
      <c r="G259" s="26">
        <v>13</v>
      </c>
      <c r="H259" s="26">
        <v>4</v>
      </c>
      <c r="I259" s="26">
        <v>9</v>
      </c>
      <c r="J259" s="26"/>
      <c r="K259" s="26">
        <v>453</v>
      </c>
      <c r="L259" s="26"/>
      <c r="M259" s="26">
        <v>485</v>
      </c>
      <c r="N259" s="28">
        <v>33.643298969072163</v>
      </c>
      <c r="O259" s="26" t="s">
        <v>307</v>
      </c>
      <c r="P259" s="26">
        <f t="shared" si="88"/>
        <v>453</v>
      </c>
      <c r="Q259" s="26">
        <f t="shared" si="89"/>
        <v>4</v>
      </c>
      <c r="R259" s="26">
        <f t="shared" si="90"/>
        <v>9</v>
      </c>
      <c r="S259" s="26">
        <f t="shared" si="91"/>
        <v>19</v>
      </c>
      <c r="T259" s="26">
        <f t="shared" si="92"/>
        <v>485</v>
      </c>
      <c r="U259" s="27">
        <f t="shared" si="93"/>
        <v>0.93402061855670104</v>
      </c>
      <c r="V259" s="27">
        <f t="shared" si="94"/>
        <v>8.2474226804123713E-3</v>
      </c>
      <c r="W259" s="27">
        <f t="shared" si="95"/>
        <v>1.8556701030927835E-2</v>
      </c>
      <c r="X259" s="27">
        <f t="shared" si="96"/>
        <v>3.9175257731958762E-2</v>
      </c>
      <c r="Y259" s="28">
        <f t="shared" si="97"/>
        <v>33.643298969072163</v>
      </c>
    </row>
    <row r="260" spans="1:25" x14ac:dyDescent="0.25">
      <c r="A260" s="26" t="s">
        <v>352</v>
      </c>
      <c r="B260" s="26" t="s">
        <v>353</v>
      </c>
      <c r="C260" s="26" t="s">
        <v>167</v>
      </c>
      <c r="D260" s="26">
        <v>2</v>
      </c>
      <c r="E260" s="26">
        <v>3</v>
      </c>
      <c r="F260" s="26">
        <v>1</v>
      </c>
      <c r="G260" s="26">
        <v>3</v>
      </c>
      <c r="H260" s="26">
        <v>3</v>
      </c>
      <c r="I260" s="26">
        <v>18</v>
      </c>
      <c r="J260" s="26">
        <v>2</v>
      </c>
      <c r="K260" s="26">
        <v>455</v>
      </c>
      <c r="L260" s="26"/>
      <c r="M260" s="26">
        <v>485</v>
      </c>
      <c r="N260" s="28">
        <v>33.55876288659794</v>
      </c>
      <c r="O260" s="26" t="s">
        <v>307</v>
      </c>
      <c r="P260" s="26">
        <f t="shared" si="88"/>
        <v>455</v>
      </c>
      <c r="Q260" s="26">
        <f t="shared" si="89"/>
        <v>3</v>
      </c>
      <c r="R260" s="26">
        <f t="shared" si="90"/>
        <v>18</v>
      </c>
      <c r="S260" s="26">
        <f t="shared" si="91"/>
        <v>9</v>
      </c>
      <c r="T260" s="26">
        <f t="shared" si="92"/>
        <v>485</v>
      </c>
      <c r="U260" s="27">
        <f t="shared" si="93"/>
        <v>0.93814432989690721</v>
      </c>
      <c r="V260" s="27">
        <f t="shared" si="94"/>
        <v>6.1855670103092781E-3</v>
      </c>
      <c r="W260" s="27">
        <f t="shared" si="95"/>
        <v>3.711340206185567E-2</v>
      </c>
      <c r="X260" s="27">
        <f t="shared" si="96"/>
        <v>1.8556701030927835E-2</v>
      </c>
      <c r="Y260" s="28">
        <f t="shared" si="97"/>
        <v>33.55876288659794</v>
      </c>
    </row>
    <row r="261" spans="1:25" x14ac:dyDescent="0.25">
      <c r="A261" s="26" t="s">
        <v>360</v>
      </c>
      <c r="B261" s="26" t="s">
        <v>361</v>
      </c>
      <c r="C261" s="26" t="s">
        <v>168</v>
      </c>
      <c r="D261" s="26">
        <v>1</v>
      </c>
      <c r="E261" s="26"/>
      <c r="F261" s="26">
        <v>1</v>
      </c>
      <c r="G261" s="26"/>
      <c r="H261" s="26"/>
      <c r="I261" s="26"/>
      <c r="J261" s="26"/>
      <c r="K261" s="26">
        <v>12</v>
      </c>
      <c r="L261" s="26"/>
      <c r="M261" s="26">
        <v>13</v>
      </c>
      <c r="N261" s="28">
        <v>39.384615384615387</v>
      </c>
      <c r="O261" s="26" t="s">
        <v>307</v>
      </c>
      <c r="P261" s="26">
        <f t="shared" si="88"/>
        <v>12</v>
      </c>
      <c r="Q261" s="26">
        <f t="shared" si="89"/>
        <v>0</v>
      </c>
      <c r="R261" s="26">
        <f t="shared" si="90"/>
        <v>0</v>
      </c>
      <c r="S261" s="26">
        <f t="shared" si="91"/>
        <v>1</v>
      </c>
      <c r="T261" s="26">
        <f t="shared" si="92"/>
        <v>13</v>
      </c>
      <c r="U261" s="27">
        <f t="shared" si="93"/>
        <v>0.92307692307692313</v>
      </c>
      <c r="V261" s="27">
        <f t="shared" si="94"/>
        <v>0</v>
      </c>
      <c r="W261" s="27">
        <f t="shared" si="95"/>
        <v>0</v>
      </c>
      <c r="X261" s="27">
        <f t="shared" si="96"/>
        <v>7.6923076923076927E-2</v>
      </c>
      <c r="Y261" s="28">
        <f t="shared" si="97"/>
        <v>39.384615384615387</v>
      </c>
    </row>
    <row r="262" spans="1:25" x14ac:dyDescent="0.25">
      <c r="A262" s="26" t="s">
        <v>368</v>
      </c>
      <c r="B262" s="26" t="s">
        <v>369</v>
      </c>
      <c r="C262" s="26" t="s">
        <v>168</v>
      </c>
      <c r="D262" s="26">
        <v>1</v>
      </c>
      <c r="E262" s="26"/>
      <c r="F262" s="26"/>
      <c r="G262" s="26"/>
      <c r="H262" s="26"/>
      <c r="I262" s="26"/>
      <c r="J262" s="26"/>
      <c r="K262" s="26">
        <v>14</v>
      </c>
      <c r="L262" s="26"/>
      <c r="M262" s="26">
        <v>14</v>
      </c>
      <c r="N262" s="28">
        <v>37.571428571428569</v>
      </c>
      <c r="O262" s="26" t="s">
        <v>307</v>
      </c>
      <c r="P262" s="26">
        <f t="shared" si="88"/>
        <v>14</v>
      </c>
      <c r="Q262" s="26">
        <f t="shared" si="89"/>
        <v>0</v>
      </c>
      <c r="R262" s="26">
        <f t="shared" si="90"/>
        <v>0</v>
      </c>
      <c r="S262" s="26">
        <f t="shared" si="91"/>
        <v>0</v>
      </c>
      <c r="T262" s="26">
        <f t="shared" si="92"/>
        <v>14</v>
      </c>
      <c r="U262" s="27">
        <f t="shared" si="93"/>
        <v>1</v>
      </c>
      <c r="V262" s="27">
        <f t="shared" si="94"/>
        <v>0</v>
      </c>
      <c r="W262" s="27">
        <f t="shared" si="95"/>
        <v>0</v>
      </c>
      <c r="X262" s="27">
        <f t="shared" si="96"/>
        <v>0</v>
      </c>
      <c r="Y262" s="28">
        <f t="shared" si="97"/>
        <v>37.571428571428569</v>
      </c>
    </row>
    <row r="263" spans="1:25" x14ac:dyDescent="0.25">
      <c r="A263" s="26"/>
      <c r="B263" s="26"/>
      <c r="C263" s="26" t="str">
        <f>C262</f>
        <v>BALAI POLIS RANTAU (DUN RANTAU)</v>
      </c>
      <c r="D263" s="26">
        <f>D262</f>
        <v>1</v>
      </c>
      <c r="E263" s="26">
        <f>SUM(E261:E262)</f>
        <v>0</v>
      </c>
      <c r="F263" s="26">
        <f t="shared" ref="F263:M263" si="99">SUM(F261:F262)</f>
        <v>1</v>
      </c>
      <c r="G263" s="26">
        <f t="shared" si="99"/>
        <v>0</v>
      </c>
      <c r="H263" s="26">
        <f t="shared" si="99"/>
        <v>0</v>
      </c>
      <c r="I263" s="26">
        <f t="shared" si="99"/>
        <v>0</v>
      </c>
      <c r="J263" s="26">
        <f t="shared" si="99"/>
        <v>0</v>
      </c>
      <c r="K263" s="26">
        <f t="shared" si="99"/>
        <v>26</v>
      </c>
      <c r="L263" s="26">
        <f t="shared" si="99"/>
        <v>0</v>
      </c>
      <c r="M263" s="26">
        <f t="shared" si="99"/>
        <v>27</v>
      </c>
      <c r="N263" s="28">
        <f>AVERAGE(N261:N262)</f>
        <v>38.478021978021978</v>
      </c>
      <c r="O263" s="26"/>
      <c r="P263" s="26">
        <f t="shared" si="88"/>
        <v>26</v>
      </c>
      <c r="Q263" s="26">
        <f t="shared" si="89"/>
        <v>0</v>
      </c>
      <c r="R263" s="26">
        <f t="shared" si="90"/>
        <v>0</v>
      </c>
      <c r="S263" s="26">
        <f t="shared" si="91"/>
        <v>1</v>
      </c>
      <c r="T263" s="26">
        <f t="shared" si="92"/>
        <v>27</v>
      </c>
      <c r="U263" s="27">
        <f t="shared" si="93"/>
        <v>0.96296296296296291</v>
      </c>
      <c r="V263" s="27">
        <f t="shared" si="94"/>
        <v>0</v>
      </c>
      <c r="W263" s="27">
        <f t="shared" si="95"/>
        <v>0</v>
      </c>
      <c r="X263" s="27">
        <f t="shared" si="96"/>
        <v>3.7037037037037035E-2</v>
      </c>
      <c r="Y263" s="28">
        <f t="shared" si="97"/>
        <v>38.478021978021978</v>
      </c>
    </row>
    <row r="264" spans="1:25" x14ac:dyDescent="0.25">
      <c r="A264" s="26" t="s">
        <v>390</v>
      </c>
      <c r="B264" s="26" t="s">
        <v>391</v>
      </c>
      <c r="C264" s="26" t="s">
        <v>170</v>
      </c>
      <c r="D264" s="26">
        <v>1</v>
      </c>
      <c r="E264" s="26"/>
      <c r="F264" s="26"/>
      <c r="G264" s="26"/>
      <c r="H264" s="26"/>
      <c r="I264" s="26"/>
      <c r="J264" s="26"/>
      <c r="K264" s="26">
        <v>13</v>
      </c>
      <c r="L264" s="26"/>
      <c r="M264" s="26">
        <v>13</v>
      </c>
      <c r="N264" s="28">
        <v>36.384615384615387</v>
      </c>
      <c r="O264" s="26" t="s">
        <v>307</v>
      </c>
      <c r="P264" s="26">
        <f t="shared" si="88"/>
        <v>13</v>
      </c>
      <c r="Q264" s="26">
        <f t="shared" si="89"/>
        <v>0</v>
      </c>
      <c r="R264" s="26">
        <f t="shared" si="90"/>
        <v>0</v>
      </c>
      <c r="S264" s="26">
        <f t="shared" si="91"/>
        <v>0</v>
      </c>
      <c r="T264" s="26">
        <f t="shared" si="92"/>
        <v>13</v>
      </c>
      <c r="U264" s="27">
        <f t="shared" si="93"/>
        <v>1</v>
      </c>
      <c r="V264" s="27">
        <f t="shared" si="94"/>
        <v>0</v>
      </c>
      <c r="W264" s="27">
        <f t="shared" si="95"/>
        <v>0</v>
      </c>
      <c r="X264" s="27">
        <f t="shared" si="96"/>
        <v>0</v>
      </c>
      <c r="Y264" s="28">
        <f t="shared" si="97"/>
        <v>36.384615384615387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workbookViewId="0">
      <selection activeCell="A2" sqref="A2:M21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9"/>
    </row>
    <row r="2" spans="1:13" ht="18" customHeight="1" x14ac:dyDescent="0.25">
      <c r="A2" s="60" t="s">
        <v>1</v>
      </c>
      <c r="B2" s="60" t="s">
        <v>2</v>
      </c>
      <c r="C2" s="60" t="s">
        <v>3</v>
      </c>
      <c r="D2" s="63" t="s">
        <v>4</v>
      </c>
      <c r="E2" s="66" t="s">
        <v>5</v>
      </c>
      <c r="F2" s="69" t="s">
        <v>6</v>
      </c>
      <c r="G2" s="70"/>
      <c r="H2" s="70"/>
      <c r="I2" s="70"/>
      <c r="J2" s="70"/>
      <c r="K2" s="71"/>
      <c r="L2" s="63" t="s">
        <v>7</v>
      </c>
      <c r="M2" s="66" t="s">
        <v>8</v>
      </c>
    </row>
    <row r="3" spans="1:13" ht="37.950000000000003" customHeight="1" x14ac:dyDescent="0.25">
      <c r="A3" s="61"/>
      <c r="B3" s="61"/>
      <c r="C3" s="61"/>
      <c r="D3" s="64"/>
      <c r="E3" s="67"/>
      <c r="F3" s="1" t="s">
        <v>9</v>
      </c>
      <c r="G3" s="1" t="s">
        <v>10</v>
      </c>
      <c r="H3" s="1" t="s">
        <v>11</v>
      </c>
      <c r="I3" s="1" t="s">
        <v>12</v>
      </c>
      <c r="J3" s="2" t="s">
        <v>13</v>
      </c>
      <c r="K3" s="72" t="s">
        <v>14</v>
      </c>
      <c r="L3" s="64"/>
      <c r="M3" s="67"/>
    </row>
    <row r="4" spans="1:13" ht="28.5" customHeight="1" x14ac:dyDescent="0.25">
      <c r="A4" s="62"/>
      <c r="B4" s="62"/>
      <c r="C4" s="62"/>
      <c r="D4" s="65"/>
      <c r="E4" s="68"/>
      <c r="F4" s="3" t="s">
        <v>151</v>
      </c>
      <c r="G4" s="3" t="s">
        <v>152</v>
      </c>
      <c r="H4" s="3" t="s">
        <v>153</v>
      </c>
      <c r="I4" s="3" t="s">
        <v>154</v>
      </c>
      <c r="J4" s="3" t="s">
        <v>155</v>
      </c>
      <c r="K4" s="73"/>
      <c r="L4" s="65"/>
      <c r="M4" s="68"/>
    </row>
    <row r="5" spans="1:13" ht="19.05" customHeight="1" x14ac:dyDescent="0.25">
      <c r="A5" s="4">
        <v>1</v>
      </c>
      <c r="B5" s="55" t="s">
        <v>15</v>
      </c>
      <c r="C5" s="56"/>
      <c r="D5" s="3"/>
      <c r="E5" s="6">
        <v>2858</v>
      </c>
      <c r="F5" s="7">
        <v>471</v>
      </c>
      <c r="G5" s="6">
        <v>1538</v>
      </c>
      <c r="H5" s="7">
        <v>431</v>
      </c>
      <c r="I5" s="7">
        <v>8</v>
      </c>
      <c r="J5" s="7">
        <v>5</v>
      </c>
      <c r="K5" s="8">
        <v>2453</v>
      </c>
      <c r="L5" s="9">
        <v>86</v>
      </c>
      <c r="M5" s="10">
        <v>319</v>
      </c>
    </row>
    <row r="6" spans="1:13" ht="19.05" customHeight="1" x14ac:dyDescent="0.25">
      <c r="A6" s="49" t="s">
        <v>16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1"/>
    </row>
    <row r="7" spans="1:13" ht="17.25" customHeight="1" x14ac:dyDescent="0.25">
      <c r="A7" s="41">
        <v>2</v>
      </c>
      <c r="B7" s="44" t="s">
        <v>17</v>
      </c>
      <c r="C7" s="47" t="s">
        <v>18</v>
      </c>
      <c r="D7" s="9">
        <v>1</v>
      </c>
      <c r="E7" s="7">
        <v>292</v>
      </c>
      <c r="F7" s="7">
        <v>82</v>
      </c>
      <c r="G7" s="7">
        <v>206</v>
      </c>
      <c r="H7" s="7">
        <v>4</v>
      </c>
      <c r="I7" s="7">
        <v>0</v>
      </c>
      <c r="J7" s="7">
        <v>0</v>
      </c>
      <c r="K7" s="10">
        <v>292</v>
      </c>
      <c r="L7" s="12">
        <v>0</v>
      </c>
      <c r="M7" s="10">
        <v>0</v>
      </c>
    </row>
    <row r="8" spans="1:13" ht="17.25" customHeight="1" x14ac:dyDescent="0.25">
      <c r="A8" s="42"/>
      <c r="B8" s="45"/>
      <c r="C8" s="48"/>
      <c r="D8" s="9">
        <v>2</v>
      </c>
      <c r="E8" s="7">
        <v>320</v>
      </c>
      <c r="F8" s="7">
        <v>105</v>
      </c>
      <c r="G8" s="7">
        <v>202</v>
      </c>
      <c r="H8" s="7">
        <v>8</v>
      </c>
      <c r="I8" s="7">
        <v>1</v>
      </c>
      <c r="J8" s="7">
        <v>2</v>
      </c>
      <c r="K8" s="10">
        <v>318</v>
      </c>
      <c r="L8" s="12">
        <v>2</v>
      </c>
      <c r="M8" s="10">
        <v>0</v>
      </c>
    </row>
    <row r="9" spans="1:13" ht="23.7" customHeight="1" x14ac:dyDescent="0.25">
      <c r="A9" s="43"/>
      <c r="B9" s="46"/>
      <c r="C9" s="13" t="s">
        <v>19</v>
      </c>
      <c r="D9" s="9">
        <v>1</v>
      </c>
      <c r="E9" s="7">
        <v>129</v>
      </c>
      <c r="F9" s="7">
        <v>40</v>
      </c>
      <c r="G9" s="7">
        <v>81</v>
      </c>
      <c r="H9" s="7">
        <v>7</v>
      </c>
      <c r="I9" s="7">
        <v>0</v>
      </c>
      <c r="J9" s="7">
        <v>0</v>
      </c>
      <c r="K9" s="10">
        <v>128</v>
      </c>
      <c r="L9" s="12">
        <v>1</v>
      </c>
      <c r="M9" s="10">
        <v>0</v>
      </c>
    </row>
    <row r="10" spans="1:13" ht="32.700000000000003" customHeight="1" x14ac:dyDescent="0.25">
      <c r="A10" s="14">
        <v>3</v>
      </c>
      <c r="B10" s="15" t="s">
        <v>20</v>
      </c>
      <c r="C10" s="5" t="s">
        <v>21</v>
      </c>
      <c r="D10" s="9">
        <v>1</v>
      </c>
      <c r="E10" s="7">
        <v>300</v>
      </c>
      <c r="F10" s="7">
        <v>52</v>
      </c>
      <c r="G10" s="7">
        <v>242</v>
      </c>
      <c r="H10" s="7">
        <v>6</v>
      </c>
      <c r="I10" s="7">
        <v>0</v>
      </c>
      <c r="J10" s="7">
        <v>0</v>
      </c>
      <c r="K10" s="10">
        <v>300</v>
      </c>
      <c r="L10" s="12">
        <v>0</v>
      </c>
      <c r="M10" s="10">
        <v>0</v>
      </c>
    </row>
    <row r="11" spans="1:13" ht="17.25" customHeight="1" x14ac:dyDescent="0.25">
      <c r="A11" s="41">
        <v>4</v>
      </c>
      <c r="B11" s="44" t="s">
        <v>22</v>
      </c>
      <c r="C11" s="47" t="s">
        <v>23</v>
      </c>
      <c r="D11" s="9">
        <v>1</v>
      </c>
      <c r="E11" s="7">
        <v>416</v>
      </c>
      <c r="F11" s="7">
        <v>201</v>
      </c>
      <c r="G11" s="7">
        <v>185</v>
      </c>
      <c r="H11" s="7">
        <v>26</v>
      </c>
      <c r="I11" s="7">
        <v>0</v>
      </c>
      <c r="J11" s="7">
        <v>3</v>
      </c>
      <c r="K11" s="10">
        <v>415</v>
      </c>
      <c r="L11" s="12">
        <v>1</v>
      </c>
      <c r="M11" s="10">
        <v>0</v>
      </c>
    </row>
    <row r="12" spans="1:13" ht="25.5" customHeight="1" x14ac:dyDescent="0.25">
      <c r="A12" s="42"/>
      <c r="B12" s="45"/>
      <c r="C12" s="48"/>
      <c r="D12" s="9">
        <v>2</v>
      </c>
      <c r="E12" s="7">
        <v>432</v>
      </c>
      <c r="F12" s="7">
        <v>197</v>
      </c>
      <c r="G12" s="7">
        <v>194</v>
      </c>
      <c r="H12" s="7">
        <v>35</v>
      </c>
      <c r="I12" s="7">
        <v>0</v>
      </c>
      <c r="J12" s="7">
        <v>6</v>
      </c>
      <c r="K12" s="10">
        <v>432</v>
      </c>
      <c r="L12" s="12">
        <v>0</v>
      </c>
      <c r="M12" s="10">
        <v>0</v>
      </c>
    </row>
    <row r="13" spans="1:13" ht="23.7" customHeight="1" x14ac:dyDescent="0.25">
      <c r="A13" s="43"/>
      <c r="B13" s="46"/>
      <c r="C13" s="16" t="s">
        <v>24</v>
      </c>
      <c r="D13" s="9">
        <v>1</v>
      </c>
      <c r="E13" s="7">
        <v>24</v>
      </c>
      <c r="F13" s="7">
        <v>1</v>
      </c>
      <c r="G13" s="7">
        <v>23</v>
      </c>
      <c r="H13" s="7">
        <v>0</v>
      </c>
      <c r="I13" s="7">
        <v>0</v>
      </c>
      <c r="J13" s="7">
        <v>0</v>
      </c>
      <c r="K13" s="10">
        <v>24</v>
      </c>
      <c r="L13" s="12">
        <v>0</v>
      </c>
      <c r="M13" s="10">
        <v>0</v>
      </c>
    </row>
    <row r="14" spans="1:13" ht="23.7" customHeight="1" x14ac:dyDescent="0.25">
      <c r="A14" s="4">
        <v>5</v>
      </c>
      <c r="B14" s="15" t="s">
        <v>25</v>
      </c>
      <c r="C14" s="16" t="s">
        <v>26</v>
      </c>
      <c r="D14" s="9">
        <v>1</v>
      </c>
      <c r="E14" s="7">
        <v>12</v>
      </c>
      <c r="F14" s="7">
        <v>2</v>
      </c>
      <c r="G14" s="7">
        <v>10</v>
      </c>
      <c r="H14" s="7">
        <v>0</v>
      </c>
      <c r="I14" s="7">
        <v>0</v>
      </c>
      <c r="J14" s="7">
        <v>0</v>
      </c>
      <c r="K14" s="10">
        <v>12</v>
      </c>
      <c r="L14" s="12">
        <v>0</v>
      </c>
      <c r="M14" s="10">
        <v>0</v>
      </c>
    </row>
    <row r="15" spans="1:13" ht="19.05" customHeight="1" x14ac:dyDescent="0.25">
      <c r="A15" s="49" t="s">
        <v>27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1"/>
    </row>
    <row r="16" spans="1:13" ht="17.25" customHeight="1" x14ac:dyDescent="0.25">
      <c r="A16" s="41">
        <v>6</v>
      </c>
      <c r="B16" s="44" t="s">
        <v>28</v>
      </c>
      <c r="C16" s="52" t="s">
        <v>29</v>
      </c>
      <c r="D16" s="9">
        <v>1</v>
      </c>
      <c r="E16" s="7">
        <v>364</v>
      </c>
      <c r="F16" s="7">
        <v>73</v>
      </c>
      <c r="G16" s="7">
        <v>176</v>
      </c>
      <c r="H16" s="7">
        <v>110</v>
      </c>
      <c r="I16" s="7">
        <v>1</v>
      </c>
      <c r="J16" s="7">
        <v>3</v>
      </c>
      <c r="K16" s="10">
        <v>363</v>
      </c>
      <c r="L16" s="12">
        <v>1</v>
      </c>
      <c r="M16" s="10">
        <v>0</v>
      </c>
    </row>
    <row r="17" spans="1:13" ht="17.25" customHeight="1" x14ac:dyDescent="0.25">
      <c r="A17" s="42"/>
      <c r="B17" s="45"/>
      <c r="C17" s="53"/>
      <c r="D17" s="9">
        <v>2</v>
      </c>
      <c r="E17" s="7">
        <v>388</v>
      </c>
      <c r="F17" s="7">
        <v>90</v>
      </c>
      <c r="G17" s="7">
        <v>174</v>
      </c>
      <c r="H17" s="7">
        <v>118</v>
      </c>
      <c r="I17" s="7">
        <v>0</v>
      </c>
      <c r="J17" s="7">
        <v>4</v>
      </c>
      <c r="K17" s="10">
        <v>386</v>
      </c>
      <c r="L17" s="12">
        <v>2</v>
      </c>
      <c r="M17" s="10">
        <v>0</v>
      </c>
    </row>
    <row r="18" spans="1:13" ht="17.25" customHeight="1" x14ac:dyDescent="0.25">
      <c r="A18" s="42"/>
      <c r="B18" s="45"/>
      <c r="C18" s="53"/>
      <c r="D18" s="9">
        <v>3</v>
      </c>
      <c r="E18" s="7">
        <v>488</v>
      </c>
      <c r="F18" s="7">
        <v>128</v>
      </c>
      <c r="G18" s="7">
        <v>219</v>
      </c>
      <c r="H18" s="7">
        <v>134</v>
      </c>
      <c r="I18" s="7">
        <v>3</v>
      </c>
      <c r="J18" s="7">
        <v>4</v>
      </c>
      <c r="K18" s="10">
        <v>488</v>
      </c>
      <c r="L18" s="12">
        <v>0</v>
      </c>
      <c r="M18" s="10">
        <v>0</v>
      </c>
    </row>
    <row r="19" spans="1:13" ht="17.25" customHeight="1" x14ac:dyDescent="0.25">
      <c r="A19" s="42"/>
      <c r="B19" s="45"/>
      <c r="C19" s="53"/>
      <c r="D19" s="9">
        <v>4</v>
      </c>
      <c r="E19" s="7">
        <v>472</v>
      </c>
      <c r="F19" s="7">
        <v>133</v>
      </c>
      <c r="G19" s="7">
        <v>186</v>
      </c>
      <c r="H19" s="7">
        <v>142</v>
      </c>
      <c r="I19" s="7">
        <v>2</v>
      </c>
      <c r="J19" s="7">
        <v>6</v>
      </c>
      <c r="K19" s="10">
        <v>469</v>
      </c>
      <c r="L19" s="12">
        <v>3</v>
      </c>
      <c r="M19" s="10">
        <v>0</v>
      </c>
    </row>
    <row r="20" spans="1:13" ht="17.25" customHeight="1" x14ac:dyDescent="0.25">
      <c r="A20" s="42"/>
      <c r="B20" s="45"/>
      <c r="C20" s="53"/>
      <c r="D20" s="9">
        <v>5</v>
      </c>
      <c r="E20" s="7">
        <v>513</v>
      </c>
      <c r="F20" s="7">
        <v>104</v>
      </c>
      <c r="G20" s="7">
        <v>182</v>
      </c>
      <c r="H20" s="7">
        <v>220</v>
      </c>
      <c r="I20" s="7">
        <v>2</v>
      </c>
      <c r="J20" s="7">
        <v>5</v>
      </c>
      <c r="K20" s="10">
        <v>513</v>
      </c>
      <c r="L20" s="12">
        <v>0</v>
      </c>
      <c r="M20" s="10">
        <v>0</v>
      </c>
    </row>
    <row r="21" spans="1:13" ht="17.25" customHeight="1" x14ac:dyDescent="0.25">
      <c r="A21" s="43"/>
      <c r="B21" s="46"/>
      <c r="C21" s="54"/>
      <c r="D21" s="9">
        <v>6</v>
      </c>
      <c r="E21" s="7">
        <v>541</v>
      </c>
      <c r="F21" s="7">
        <v>154</v>
      </c>
      <c r="G21" s="7">
        <v>158</v>
      </c>
      <c r="H21" s="7">
        <v>221</v>
      </c>
      <c r="I21" s="7">
        <v>1</v>
      </c>
      <c r="J21" s="7">
        <v>6</v>
      </c>
      <c r="K21" s="10">
        <v>540</v>
      </c>
      <c r="L21" s="12">
        <v>1</v>
      </c>
      <c r="M21" s="10">
        <v>0</v>
      </c>
    </row>
    <row r="22" spans="1:13" ht="37.950000000000003" customHeight="1" x14ac:dyDescent="0.25"/>
    <row r="23" spans="1:13" ht="19.05" customHeight="1" x14ac:dyDescent="0.25"/>
    <row r="24" spans="1:13" ht="178.05" customHeight="1" x14ac:dyDescent="0.25"/>
    <row r="25" spans="1:13" ht="178.05" customHeight="1" x14ac:dyDescent="0.25"/>
    <row r="26" spans="1:13" ht="97.95" customHeight="1" x14ac:dyDescent="0.25"/>
    <row r="27" spans="1:13" ht="97.95" customHeight="1" x14ac:dyDescent="0.25"/>
  </sheetData>
  <mergeCells count="22"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  <mergeCell ref="B5:C5"/>
    <mergeCell ref="A6:M6"/>
    <mergeCell ref="A7:A9"/>
    <mergeCell ref="B7:B9"/>
    <mergeCell ref="C7:C8"/>
    <mergeCell ref="A11:A13"/>
    <mergeCell ref="B11:B13"/>
    <mergeCell ref="C11:C12"/>
    <mergeCell ref="A15:M15"/>
    <mergeCell ref="A16:A21"/>
    <mergeCell ref="B16:B21"/>
    <mergeCell ref="C16:C2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7"/>
  <sheetViews>
    <sheetView topLeftCell="A5" workbookViewId="0">
      <selection activeCell="A5" sqref="A5:M24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57" t="s">
        <v>30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9"/>
    </row>
    <row r="2" spans="1:13" ht="18" customHeight="1" x14ac:dyDescent="0.25">
      <c r="A2" s="60" t="s">
        <v>1</v>
      </c>
      <c r="B2" s="60" t="s">
        <v>2</v>
      </c>
      <c r="C2" s="60" t="s">
        <v>3</v>
      </c>
      <c r="D2" s="63" t="s">
        <v>4</v>
      </c>
      <c r="E2" s="66" t="s">
        <v>5</v>
      </c>
      <c r="F2" s="69" t="s">
        <v>6</v>
      </c>
      <c r="G2" s="70"/>
      <c r="H2" s="70"/>
      <c r="I2" s="70"/>
      <c r="J2" s="70"/>
      <c r="K2" s="71"/>
      <c r="L2" s="63" t="s">
        <v>7</v>
      </c>
      <c r="M2" s="66" t="s">
        <v>8</v>
      </c>
    </row>
    <row r="3" spans="1:13" ht="37.950000000000003" customHeight="1" x14ac:dyDescent="0.25">
      <c r="A3" s="61"/>
      <c r="B3" s="61"/>
      <c r="C3" s="61"/>
      <c r="D3" s="64"/>
      <c r="E3" s="67"/>
      <c r="F3" s="1" t="s">
        <v>9</v>
      </c>
      <c r="G3" s="17" t="s">
        <v>10</v>
      </c>
      <c r="H3" s="1" t="s">
        <v>11</v>
      </c>
      <c r="I3" s="1" t="s">
        <v>12</v>
      </c>
      <c r="J3" s="2" t="s">
        <v>13</v>
      </c>
      <c r="K3" s="72" t="s">
        <v>14</v>
      </c>
      <c r="L3" s="64"/>
      <c r="M3" s="67"/>
    </row>
    <row r="4" spans="1:13" ht="28.2" customHeight="1" x14ac:dyDescent="0.25">
      <c r="A4" s="62"/>
      <c r="B4" s="62"/>
      <c r="C4" s="62"/>
      <c r="D4" s="65"/>
      <c r="E4" s="68"/>
      <c r="F4" s="3"/>
      <c r="G4" s="3"/>
      <c r="H4" s="3"/>
      <c r="I4" s="3"/>
      <c r="J4" s="3"/>
      <c r="K4" s="73"/>
      <c r="L4" s="65"/>
      <c r="M4" s="68"/>
    </row>
    <row r="5" spans="1:13" ht="17.25" customHeight="1" x14ac:dyDescent="0.25">
      <c r="A5" s="41">
        <v>7</v>
      </c>
      <c r="B5" s="74" t="s">
        <v>31</v>
      </c>
      <c r="C5" s="52" t="s">
        <v>32</v>
      </c>
      <c r="D5" s="9">
        <v>1</v>
      </c>
      <c r="E5" s="7">
        <v>369</v>
      </c>
      <c r="F5" s="7">
        <v>74</v>
      </c>
      <c r="G5" s="9">
        <v>206</v>
      </c>
      <c r="H5" s="7">
        <v>82</v>
      </c>
      <c r="I5" s="7">
        <v>4</v>
      </c>
      <c r="J5" s="7">
        <v>0</v>
      </c>
      <c r="K5" s="10">
        <v>366</v>
      </c>
      <c r="L5" s="18">
        <v>3</v>
      </c>
      <c r="M5" s="10">
        <v>0</v>
      </c>
    </row>
    <row r="6" spans="1:13" ht="17.25" customHeight="1" x14ac:dyDescent="0.25">
      <c r="A6" s="42"/>
      <c r="B6" s="75"/>
      <c r="C6" s="53"/>
      <c r="D6" s="9">
        <v>2</v>
      </c>
      <c r="E6" s="7">
        <v>398</v>
      </c>
      <c r="F6" s="7">
        <v>112</v>
      </c>
      <c r="G6" s="9">
        <v>196</v>
      </c>
      <c r="H6" s="7">
        <v>81</v>
      </c>
      <c r="I6" s="7">
        <v>2</v>
      </c>
      <c r="J6" s="7">
        <v>2</v>
      </c>
      <c r="K6" s="10">
        <v>393</v>
      </c>
      <c r="L6" s="18">
        <v>5</v>
      </c>
      <c r="M6" s="10">
        <v>0</v>
      </c>
    </row>
    <row r="7" spans="1:13" ht="17.25" customHeight="1" x14ac:dyDescent="0.25">
      <c r="A7" s="42"/>
      <c r="B7" s="75"/>
      <c r="C7" s="53"/>
      <c r="D7" s="9">
        <v>3</v>
      </c>
      <c r="E7" s="7">
        <v>533</v>
      </c>
      <c r="F7" s="7">
        <v>176</v>
      </c>
      <c r="G7" s="9">
        <v>215</v>
      </c>
      <c r="H7" s="7">
        <v>134</v>
      </c>
      <c r="I7" s="7">
        <v>2</v>
      </c>
      <c r="J7" s="7">
        <v>4</v>
      </c>
      <c r="K7" s="10">
        <v>531</v>
      </c>
      <c r="L7" s="18">
        <v>2</v>
      </c>
      <c r="M7" s="10">
        <v>0</v>
      </c>
    </row>
    <row r="8" spans="1:13" ht="17.25" customHeight="1" x14ac:dyDescent="0.25">
      <c r="A8" s="42"/>
      <c r="B8" s="75"/>
      <c r="C8" s="53"/>
      <c r="D8" s="9">
        <v>4</v>
      </c>
      <c r="E8" s="7">
        <v>489</v>
      </c>
      <c r="F8" s="7">
        <v>166</v>
      </c>
      <c r="G8" s="9">
        <v>239</v>
      </c>
      <c r="H8" s="7">
        <v>77</v>
      </c>
      <c r="I8" s="7">
        <v>2</v>
      </c>
      <c r="J8" s="7">
        <v>2</v>
      </c>
      <c r="K8" s="10">
        <v>486</v>
      </c>
      <c r="L8" s="18">
        <v>3</v>
      </c>
      <c r="M8" s="10">
        <v>0</v>
      </c>
    </row>
    <row r="9" spans="1:13" ht="17.25" customHeight="1" x14ac:dyDescent="0.25">
      <c r="A9" s="42"/>
      <c r="B9" s="75"/>
      <c r="C9" s="53"/>
      <c r="D9" s="9">
        <v>5</v>
      </c>
      <c r="E9" s="7">
        <v>500</v>
      </c>
      <c r="F9" s="7">
        <v>159</v>
      </c>
      <c r="G9" s="9">
        <v>234</v>
      </c>
      <c r="H9" s="7">
        <v>104</v>
      </c>
      <c r="I9" s="7">
        <v>1</v>
      </c>
      <c r="J9" s="7">
        <v>0</v>
      </c>
      <c r="K9" s="10">
        <v>498</v>
      </c>
      <c r="L9" s="18">
        <v>2</v>
      </c>
      <c r="M9" s="10">
        <v>0</v>
      </c>
    </row>
    <row r="10" spans="1:13" ht="17.25" customHeight="1" x14ac:dyDescent="0.25">
      <c r="A10" s="42"/>
      <c r="B10" s="75"/>
      <c r="C10" s="53"/>
      <c r="D10" s="9">
        <v>6</v>
      </c>
      <c r="E10" s="7">
        <v>509</v>
      </c>
      <c r="F10" s="7">
        <v>145</v>
      </c>
      <c r="G10" s="9">
        <v>220</v>
      </c>
      <c r="H10" s="7">
        <v>136</v>
      </c>
      <c r="I10" s="7">
        <v>1</v>
      </c>
      <c r="J10" s="7">
        <v>2</v>
      </c>
      <c r="K10" s="10">
        <v>504</v>
      </c>
      <c r="L10" s="18">
        <v>5</v>
      </c>
      <c r="M10" s="10">
        <v>0</v>
      </c>
    </row>
    <row r="11" spans="1:13" ht="17.25" customHeight="1" x14ac:dyDescent="0.25">
      <c r="A11" s="42"/>
      <c r="B11" s="75"/>
      <c r="C11" s="53"/>
      <c r="D11" s="9">
        <v>7</v>
      </c>
      <c r="E11" s="7">
        <v>540</v>
      </c>
      <c r="F11" s="7">
        <v>182</v>
      </c>
      <c r="G11" s="9">
        <v>195</v>
      </c>
      <c r="H11" s="7">
        <v>162</v>
      </c>
      <c r="I11" s="7">
        <v>1</v>
      </c>
      <c r="J11" s="7">
        <v>0</v>
      </c>
      <c r="K11" s="10">
        <v>540</v>
      </c>
      <c r="L11" s="18">
        <v>0</v>
      </c>
      <c r="M11" s="10">
        <v>0</v>
      </c>
    </row>
    <row r="12" spans="1:13" ht="17.25" customHeight="1" x14ac:dyDescent="0.25">
      <c r="A12" s="42"/>
      <c r="B12" s="75"/>
      <c r="C12" s="54"/>
      <c r="D12" s="9">
        <v>8</v>
      </c>
      <c r="E12" s="7">
        <v>549</v>
      </c>
      <c r="F12" s="7">
        <v>218</v>
      </c>
      <c r="G12" s="9">
        <v>204</v>
      </c>
      <c r="H12" s="7">
        <v>124</v>
      </c>
      <c r="I12" s="7">
        <v>1</v>
      </c>
      <c r="J12" s="7">
        <v>1</v>
      </c>
      <c r="K12" s="10">
        <v>548</v>
      </c>
      <c r="L12" s="18">
        <v>1</v>
      </c>
      <c r="M12" s="10">
        <v>0</v>
      </c>
    </row>
    <row r="13" spans="1:13" ht="17.25" customHeight="1" x14ac:dyDescent="0.25">
      <c r="A13" s="42"/>
      <c r="B13" s="75"/>
      <c r="C13" s="52" t="s">
        <v>33</v>
      </c>
      <c r="D13" s="9">
        <v>1</v>
      </c>
      <c r="E13" s="7">
        <v>376</v>
      </c>
      <c r="F13" s="7">
        <v>73</v>
      </c>
      <c r="G13" s="9">
        <v>225</v>
      </c>
      <c r="H13" s="7">
        <v>70</v>
      </c>
      <c r="I13" s="7">
        <v>4</v>
      </c>
      <c r="J13" s="7">
        <v>2</v>
      </c>
      <c r="K13" s="10">
        <v>374</v>
      </c>
      <c r="L13" s="18">
        <v>2</v>
      </c>
      <c r="M13" s="10">
        <v>0</v>
      </c>
    </row>
    <row r="14" spans="1:13" ht="17.25" customHeight="1" x14ac:dyDescent="0.25">
      <c r="A14" s="42"/>
      <c r="B14" s="75"/>
      <c r="C14" s="53"/>
      <c r="D14" s="9">
        <v>2</v>
      </c>
      <c r="E14" s="7">
        <v>400</v>
      </c>
      <c r="F14" s="7">
        <v>115</v>
      </c>
      <c r="G14" s="9">
        <v>186</v>
      </c>
      <c r="H14" s="7">
        <v>90</v>
      </c>
      <c r="I14" s="7">
        <v>0</v>
      </c>
      <c r="J14" s="7">
        <v>7</v>
      </c>
      <c r="K14" s="10">
        <v>398</v>
      </c>
      <c r="L14" s="18">
        <v>2</v>
      </c>
      <c r="M14" s="10">
        <v>0</v>
      </c>
    </row>
    <row r="15" spans="1:13" ht="17.25" customHeight="1" x14ac:dyDescent="0.25">
      <c r="A15" s="42"/>
      <c r="B15" s="75"/>
      <c r="C15" s="53"/>
      <c r="D15" s="9">
        <v>3</v>
      </c>
      <c r="E15" s="7">
        <v>518</v>
      </c>
      <c r="F15" s="7">
        <v>158</v>
      </c>
      <c r="G15" s="9">
        <v>211</v>
      </c>
      <c r="H15" s="7">
        <v>137</v>
      </c>
      <c r="I15" s="7">
        <v>2</v>
      </c>
      <c r="J15" s="7">
        <v>6</v>
      </c>
      <c r="K15" s="10">
        <v>514</v>
      </c>
      <c r="L15" s="18">
        <v>4</v>
      </c>
      <c r="M15" s="10">
        <v>0</v>
      </c>
    </row>
    <row r="16" spans="1:13" ht="17.25" customHeight="1" x14ac:dyDescent="0.25">
      <c r="A16" s="42"/>
      <c r="B16" s="75"/>
      <c r="C16" s="53"/>
      <c r="D16" s="9">
        <v>4</v>
      </c>
      <c r="E16" s="7">
        <v>504</v>
      </c>
      <c r="F16" s="7">
        <v>148</v>
      </c>
      <c r="G16" s="9">
        <v>231</v>
      </c>
      <c r="H16" s="7">
        <v>121</v>
      </c>
      <c r="I16" s="7">
        <v>0</v>
      </c>
      <c r="J16" s="7">
        <v>4</v>
      </c>
      <c r="K16" s="10">
        <v>504</v>
      </c>
      <c r="L16" s="18">
        <v>0</v>
      </c>
      <c r="M16" s="10">
        <v>0</v>
      </c>
    </row>
    <row r="17" spans="1:13" ht="17.25" customHeight="1" x14ac:dyDescent="0.25">
      <c r="A17" s="42"/>
      <c r="B17" s="75"/>
      <c r="C17" s="53"/>
      <c r="D17" s="9">
        <v>5</v>
      </c>
      <c r="E17" s="7">
        <v>534</v>
      </c>
      <c r="F17" s="7">
        <v>159</v>
      </c>
      <c r="G17" s="9">
        <v>250</v>
      </c>
      <c r="H17" s="7">
        <v>125</v>
      </c>
      <c r="I17" s="7">
        <v>0</v>
      </c>
      <c r="J17" s="7">
        <v>0</v>
      </c>
      <c r="K17" s="10">
        <v>534</v>
      </c>
      <c r="L17" s="18">
        <v>0</v>
      </c>
      <c r="M17" s="10">
        <v>0</v>
      </c>
    </row>
    <row r="18" spans="1:13" ht="17.25" customHeight="1" x14ac:dyDescent="0.25">
      <c r="A18" s="42"/>
      <c r="B18" s="75"/>
      <c r="C18" s="53"/>
      <c r="D18" s="9">
        <v>6</v>
      </c>
      <c r="E18" s="7">
        <v>539</v>
      </c>
      <c r="F18" s="7">
        <v>144</v>
      </c>
      <c r="G18" s="9">
        <v>227</v>
      </c>
      <c r="H18" s="7">
        <v>163</v>
      </c>
      <c r="I18" s="7">
        <v>0</v>
      </c>
      <c r="J18" s="7">
        <v>1</v>
      </c>
      <c r="K18" s="10">
        <v>535</v>
      </c>
      <c r="L18" s="18">
        <v>3</v>
      </c>
      <c r="M18" s="10">
        <v>1</v>
      </c>
    </row>
    <row r="19" spans="1:13" ht="17.25" customHeight="1" x14ac:dyDescent="0.25">
      <c r="A19" s="43"/>
      <c r="B19" s="76"/>
      <c r="C19" s="54"/>
      <c r="D19" s="9">
        <v>7</v>
      </c>
      <c r="E19" s="7">
        <v>544</v>
      </c>
      <c r="F19" s="7">
        <v>215</v>
      </c>
      <c r="G19" s="9">
        <v>187</v>
      </c>
      <c r="H19" s="7">
        <v>138</v>
      </c>
      <c r="I19" s="7">
        <v>1</v>
      </c>
      <c r="J19" s="7">
        <v>1</v>
      </c>
      <c r="K19" s="10">
        <v>542</v>
      </c>
      <c r="L19" s="18">
        <v>2</v>
      </c>
      <c r="M19" s="10">
        <v>0</v>
      </c>
    </row>
    <row r="20" spans="1:13" ht="17.25" customHeight="1" x14ac:dyDescent="0.25">
      <c r="A20" s="41">
        <v>8</v>
      </c>
      <c r="B20" s="47" t="s">
        <v>34</v>
      </c>
      <c r="C20" s="47" t="s">
        <v>35</v>
      </c>
      <c r="D20" s="9">
        <v>1</v>
      </c>
      <c r="E20" s="7">
        <v>340</v>
      </c>
      <c r="F20" s="7">
        <v>28</v>
      </c>
      <c r="G20" s="9">
        <v>213</v>
      </c>
      <c r="H20" s="7">
        <v>89</v>
      </c>
      <c r="I20" s="7">
        <v>2</v>
      </c>
      <c r="J20" s="7">
        <v>4</v>
      </c>
      <c r="K20" s="10">
        <v>336</v>
      </c>
      <c r="L20" s="18">
        <v>4</v>
      </c>
      <c r="M20" s="10">
        <v>0</v>
      </c>
    </row>
    <row r="21" spans="1:13" ht="17.25" customHeight="1" x14ac:dyDescent="0.25">
      <c r="A21" s="42"/>
      <c r="B21" s="77"/>
      <c r="C21" s="77"/>
      <c r="D21" s="9">
        <v>2</v>
      </c>
      <c r="E21" s="7">
        <v>399</v>
      </c>
      <c r="F21" s="7">
        <v>59</v>
      </c>
      <c r="G21" s="9">
        <v>181</v>
      </c>
      <c r="H21" s="7">
        <v>145</v>
      </c>
      <c r="I21" s="7">
        <v>4</v>
      </c>
      <c r="J21" s="7">
        <v>5</v>
      </c>
      <c r="K21" s="10">
        <v>394</v>
      </c>
      <c r="L21" s="18">
        <v>5</v>
      </c>
      <c r="M21" s="10">
        <v>0</v>
      </c>
    </row>
    <row r="22" spans="1:13" ht="17.25" customHeight="1" x14ac:dyDescent="0.25">
      <c r="A22" s="42"/>
      <c r="B22" s="77"/>
      <c r="C22" s="77"/>
      <c r="D22" s="9">
        <v>3</v>
      </c>
      <c r="E22" s="7">
        <v>467</v>
      </c>
      <c r="F22" s="7">
        <v>139</v>
      </c>
      <c r="G22" s="9">
        <v>186</v>
      </c>
      <c r="H22" s="7">
        <v>135</v>
      </c>
      <c r="I22" s="7">
        <v>3</v>
      </c>
      <c r="J22" s="7">
        <v>0</v>
      </c>
      <c r="K22" s="10">
        <v>463</v>
      </c>
      <c r="L22" s="18">
        <v>4</v>
      </c>
      <c r="M22" s="10">
        <v>0</v>
      </c>
    </row>
    <row r="23" spans="1:13" ht="17.25" customHeight="1" x14ac:dyDescent="0.25">
      <c r="A23" s="42"/>
      <c r="B23" s="77"/>
      <c r="C23" s="77"/>
      <c r="D23" s="9">
        <v>4</v>
      </c>
      <c r="E23" s="7">
        <v>419</v>
      </c>
      <c r="F23" s="7">
        <v>110</v>
      </c>
      <c r="G23" s="9">
        <v>199</v>
      </c>
      <c r="H23" s="7">
        <v>99</v>
      </c>
      <c r="I23" s="7">
        <v>4</v>
      </c>
      <c r="J23" s="7">
        <v>3</v>
      </c>
      <c r="K23" s="10">
        <v>415</v>
      </c>
      <c r="L23" s="18">
        <v>4</v>
      </c>
      <c r="M23" s="10">
        <v>0</v>
      </c>
    </row>
    <row r="24" spans="1:13" ht="17.25" customHeight="1" x14ac:dyDescent="0.25">
      <c r="A24" s="43"/>
      <c r="B24" s="48"/>
      <c r="C24" s="48"/>
      <c r="D24" s="9">
        <v>5</v>
      </c>
      <c r="E24" s="7">
        <v>443</v>
      </c>
      <c r="F24" s="7">
        <v>88</v>
      </c>
      <c r="G24" s="9">
        <v>212</v>
      </c>
      <c r="H24" s="7">
        <v>140</v>
      </c>
      <c r="I24" s="7">
        <v>2</v>
      </c>
      <c r="J24" s="7">
        <v>1</v>
      </c>
      <c r="K24" s="10">
        <v>443</v>
      </c>
      <c r="L24" s="18">
        <v>0</v>
      </c>
      <c r="M24" s="10">
        <v>0</v>
      </c>
    </row>
    <row r="25" spans="1:13" ht="37.950000000000003" customHeight="1" x14ac:dyDescent="0.25"/>
    <row r="26" spans="1:13" ht="325.95" customHeight="1" x14ac:dyDescent="0.25"/>
    <row r="27" spans="1:13" ht="325.95" customHeight="1" x14ac:dyDescent="0.25"/>
  </sheetData>
  <mergeCells count="17"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  <mergeCell ref="A5:A19"/>
    <mergeCell ref="B5:B19"/>
    <mergeCell ref="C5:C12"/>
    <mergeCell ref="C13:C19"/>
    <mergeCell ref="A20:A24"/>
    <mergeCell ref="B20:B24"/>
    <mergeCell ref="C20:C2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topLeftCell="A5" workbookViewId="0">
      <selection activeCell="A5" sqref="A5:M21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57" t="s">
        <v>36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9"/>
    </row>
    <row r="2" spans="1:13" ht="18" customHeight="1" x14ac:dyDescent="0.25">
      <c r="A2" s="60" t="s">
        <v>1</v>
      </c>
      <c r="B2" s="60" t="s">
        <v>2</v>
      </c>
      <c r="C2" s="60" t="s">
        <v>3</v>
      </c>
      <c r="D2" s="63" t="s">
        <v>4</v>
      </c>
      <c r="E2" s="66" t="s">
        <v>5</v>
      </c>
      <c r="F2" s="69" t="s">
        <v>6</v>
      </c>
      <c r="G2" s="70"/>
      <c r="H2" s="70"/>
      <c r="I2" s="70"/>
      <c r="J2" s="70"/>
      <c r="K2" s="71"/>
      <c r="L2" s="63" t="s">
        <v>7</v>
      </c>
      <c r="M2" s="66" t="s">
        <v>8</v>
      </c>
    </row>
    <row r="3" spans="1:13" ht="37.950000000000003" customHeight="1" x14ac:dyDescent="0.25">
      <c r="A3" s="61"/>
      <c r="B3" s="61"/>
      <c r="C3" s="61"/>
      <c r="D3" s="64"/>
      <c r="E3" s="67"/>
      <c r="F3" s="1" t="s">
        <v>9</v>
      </c>
      <c r="G3" s="17" t="s">
        <v>10</v>
      </c>
      <c r="H3" s="1" t="s">
        <v>11</v>
      </c>
      <c r="I3" s="1" t="s">
        <v>12</v>
      </c>
      <c r="J3" s="2" t="s">
        <v>13</v>
      </c>
      <c r="K3" s="72" t="s">
        <v>14</v>
      </c>
      <c r="L3" s="64"/>
      <c r="M3" s="67"/>
    </row>
    <row r="4" spans="1:13" ht="28.2" customHeight="1" x14ac:dyDescent="0.25">
      <c r="A4" s="62"/>
      <c r="B4" s="62"/>
      <c r="C4" s="62"/>
      <c r="D4" s="65"/>
      <c r="E4" s="68"/>
      <c r="F4" s="3"/>
      <c r="G4" s="3"/>
      <c r="H4" s="3"/>
      <c r="I4" s="3"/>
      <c r="J4" s="3"/>
      <c r="K4" s="73"/>
      <c r="L4" s="65"/>
      <c r="M4" s="68"/>
    </row>
    <row r="5" spans="1:13" ht="17.25" customHeight="1" x14ac:dyDescent="0.25">
      <c r="A5" s="41">
        <v>8</v>
      </c>
      <c r="B5" s="83" t="s">
        <v>34</v>
      </c>
      <c r="C5" s="83" t="s">
        <v>37</v>
      </c>
      <c r="D5" s="9">
        <v>1</v>
      </c>
      <c r="E5" s="7">
        <v>379</v>
      </c>
      <c r="F5" s="7">
        <v>49</v>
      </c>
      <c r="G5" s="9">
        <v>212</v>
      </c>
      <c r="H5" s="7">
        <v>113</v>
      </c>
      <c r="I5" s="7">
        <v>0</v>
      </c>
      <c r="J5" s="7">
        <v>0</v>
      </c>
      <c r="K5" s="10">
        <v>374</v>
      </c>
      <c r="L5" s="12">
        <v>5</v>
      </c>
      <c r="M5" s="10">
        <v>0</v>
      </c>
    </row>
    <row r="6" spans="1:13" ht="17.25" customHeight="1" x14ac:dyDescent="0.25">
      <c r="A6" s="42"/>
      <c r="B6" s="84"/>
      <c r="C6" s="84"/>
      <c r="D6" s="9">
        <v>2</v>
      </c>
      <c r="E6" s="7">
        <v>344</v>
      </c>
      <c r="F6" s="7">
        <v>72</v>
      </c>
      <c r="G6" s="9">
        <v>145</v>
      </c>
      <c r="H6" s="7">
        <v>117</v>
      </c>
      <c r="I6" s="7">
        <v>6</v>
      </c>
      <c r="J6" s="7">
        <v>2</v>
      </c>
      <c r="K6" s="10">
        <v>342</v>
      </c>
      <c r="L6" s="12">
        <v>2</v>
      </c>
      <c r="M6" s="10">
        <v>0</v>
      </c>
    </row>
    <row r="7" spans="1:13" ht="17.25" customHeight="1" x14ac:dyDescent="0.25">
      <c r="A7" s="42"/>
      <c r="B7" s="84"/>
      <c r="C7" s="84"/>
      <c r="D7" s="9">
        <v>3</v>
      </c>
      <c r="E7" s="7">
        <v>480</v>
      </c>
      <c r="F7" s="7">
        <v>107</v>
      </c>
      <c r="G7" s="9">
        <v>233</v>
      </c>
      <c r="H7" s="7">
        <v>130</v>
      </c>
      <c r="I7" s="7">
        <v>2</v>
      </c>
      <c r="J7" s="7">
        <v>4</v>
      </c>
      <c r="K7" s="10">
        <v>476</v>
      </c>
      <c r="L7" s="12">
        <v>4</v>
      </c>
      <c r="M7" s="10">
        <v>0</v>
      </c>
    </row>
    <row r="8" spans="1:13" ht="17.25" customHeight="1" x14ac:dyDescent="0.25">
      <c r="A8" s="42"/>
      <c r="B8" s="84"/>
      <c r="C8" s="84"/>
      <c r="D8" s="9">
        <v>4</v>
      </c>
      <c r="E8" s="7">
        <v>478</v>
      </c>
      <c r="F8" s="7">
        <v>105</v>
      </c>
      <c r="G8" s="9">
        <v>235</v>
      </c>
      <c r="H8" s="7">
        <v>132</v>
      </c>
      <c r="I8" s="7">
        <v>3</v>
      </c>
      <c r="J8" s="7">
        <v>3</v>
      </c>
      <c r="K8" s="10">
        <v>478</v>
      </c>
      <c r="L8" s="12">
        <v>0</v>
      </c>
      <c r="M8" s="10">
        <v>0</v>
      </c>
    </row>
    <row r="9" spans="1:13" ht="17.25" customHeight="1" x14ac:dyDescent="0.25">
      <c r="A9" s="42"/>
      <c r="B9" s="84"/>
      <c r="C9" s="84"/>
      <c r="D9" s="9">
        <v>5</v>
      </c>
      <c r="E9" s="7">
        <v>493</v>
      </c>
      <c r="F9" s="7">
        <v>100</v>
      </c>
      <c r="G9" s="9">
        <v>218</v>
      </c>
      <c r="H9" s="7">
        <v>163</v>
      </c>
      <c r="I9" s="7">
        <v>8</v>
      </c>
      <c r="J9" s="7">
        <v>2</v>
      </c>
      <c r="K9" s="10">
        <v>491</v>
      </c>
      <c r="L9" s="12">
        <v>2</v>
      </c>
      <c r="M9" s="10">
        <v>0</v>
      </c>
    </row>
    <row r="10" spans="1:13" ht="17.25" customHeight="1" x14ac:dyDescent="0.25">
      <c r="A10" s="43"/>
      <c r="B10" s="85"/>
      <c r="C10" s="85"/>
      <c r="D10" s="9">
        <v>6</v>
      </c>
      <c r="E10" s="7">
        <v>497</v>
      </c>
      <c r="F10" s="7">
        <v>119</v>
      </c>
      <c r="G10" s="9">
        <v>191</v>
      </c>
      <c r="H10" s="7">
        <v>167</v>
      </c>
      <c r="I10" s="7">
        <v>8</v>
      </c>
      <c r="J10" s="7">
        <v>6</v>
      </c>
      <c r="K10" s="10">
        <v>491</v>
      </c>
      <c r="L10" s="12">
        <v>6</v>
      </c>
      <c r="M10" s="10">
        <v>0</v>
      </c>
    </row>
    <row r="11" spans="1:13" ht="17.25" customHeight="1" x14ac:dyDescent="0.25">
      <c r="A11" s="41">
        <v>9</v>
      </c>
      <c r="B11" s="80" t="s">
        <v>38</v>
      </c>
      <c r="C11" s="86" t="s">
        <v>39</v>
      </c>
      <c r="D11" s="9">
        <v>1</v>
      </c>
      <c r="E11" s="7">
        <v>341</v>
      </c>
      <c r="F11" s="7">
        <v>14</v>
      </c>
      <c r="G11" s="7">
        <v>82</v>
      </c>
      <c r="H11" s="7">
        <v>211</v>
      </c>
      <c r="I11" s="7">
        <v>7</v>
      </c>
      <c r="J11" s="7">
        <v>3</v>
      </c>
      <c r="K11" s="10">
        <v>317</v>
      </c>
      <c r="L11" s="9">
        <v>24</v>
      </c>
      <c r="M11" s="10">
        <v>0</v>
      </c>
    </row>
    <row r="12" spans="1:13" ht="17.25" customHeight="1" x14ac:dyDescent="0.25">
      <c r="A12" s="43"/>
      <c r="B12" s="81"/>
      <c r="C12" s="87"/>
      <c r="D12" s="9">
        <v>2</v>
      </c>
      <c r="E12" s="7">
        <v>581</v>
      </c>
      <c r="F12" s="7">
        <v>10</v>
      </c>
      <c r="G12" s="7">
        <v>86</v>
      </c>
      <c r="H12" s="7">
        <v>465</v>
      </c>
      <c r="I12" s="7">
        <v>13</v>
      </c>
      <c r="J12" s="7">
        <v>1</v>
      </c>
      <c r="K12" s="10">
        <v>575</v>
      </c>
      <c r="L12" s="12">
        <v>6</v>
      </c>
      <c r="M12" s="10">
        <v>0</v>
      </c>
    </row>
    <row r="13" spans="1:13" ht="17.25" customHeight="1" x14ac:dyDescent="0.25">
      <c r="A13" s="78">
        <v>10</v>
      </c>
      <c r="B13" s="80" t="s">
        <v>40</v>
      </c>
      <c r="C13" s="47" t="s">
        <v>41</v>
      </c>
      <c r="D13" s="9">
        <v>1</v>
      </c>
      <c r="E13" s="7">
        <v>262</v>
      </c>
      <c r="F13" s="7">
        <v>9</v>
      </c>
      <c r="G13" s="7">
        <v>56</v>
      </c>
      <c r="H13" s="7">
        <v>182</v>
      </c>
      <c r="I13" s="7">
        <v>9</v>
      </c>
      <c r="J13" s="7">
        <v>0</v>
      </c>
      <c r="K13" s="10">
        <v>256</v>
      </c>
      <c r="L13" s="12">
        <v>6</v>
      </c>
      <c r="M13" s="10">
        <v>0</v>
      </c>
    </row>
    <row r="14" spans="1:13" ht="17.25" customHeight="1" x14ac:dyDescent="0.25">
      <c r="A14" s="79"/>
      <c r="B14" s="81"/>
      <c r="C14" s="48"/>
      <c r="D14" s="9">
        <v>2</v>
      </c>
      <c r="E14" s="7">
        <v>352</v>
      </c>
      <c r="F14" s="7">
        <v>14</v>
      </c>
      <c r="G14" s="7">
        <v>63</v>
      </c>
      <c r="H14" s="7">
        <v>271</v>
      </c>
      <c r="I14" s="7">
        <v>2</v>
      </c>
      <c r="J14" s="7">
        <v>0</v>
      </c>
      <c r="K14" s="10">
        <v>350</v>
      </c>
      <c r="L14" s="12">
        <v>2</v>
      </c>
      <c r="M14" s="10">
        <v>0</v>
      </c>
    </row>
    <row r="15" spans="1:13" ht="17.25" customHeight="1" x14ac:dyDescent="0.25">
      <c r="A15" s="78">
        <v>11</v>
      </c>
      <c r="B15" s="52" t="s">
        <v>42</v>
      </c>
      <c r="C15" s="52" t="s">
        <v>43</v>
      </c>
      <c r="D15" s="9">
        <v>1</v>
      </c>
      <c r="E15" s="7">
        <v>359</v>
      </c>
      <c r="F15" s="7">
        <v>83</v>
      </c>
      <c r="G15" s="9">
        <v>182</v>
      </c>
      <c r="H15" s="7">
        <v>86</v>
      </c>
      <c r="I15" s="7">
        <v>0</v>
      </c>
      <c r="J15" s="7">
        <v>4</v>
      </c>
      <c r="K15" s="10">
        <v>355</v>
      </c>
      <c r="L15" s="12">
        <v>4</v>
      </c>
      <c r="M15" s="10">
        <v>0</v>
      </c>
    </row>
    <row r="16" spans="1:13" ht="17.25" customHeight="1" x14ac:dyDescent="0.25">
      <c r="A16" s="82"/>
      <c r="B16" s="53"/>
      <c r="C16" s="53"/>
      <c r="D16" s="9">
        <v>2</v>
      </c>
      <c r="E16" s="7">
        <v>393</v>
      </c>
      <c r="F16" s="7">
        <v>91</v>
      </c>
      <c r="G16" s="9">
        <v>196</v>
      </c>
      <c r="H16" s="7">
        <v>100</v>
      </c>
      <c r="I16" s="7">
        <v>1</v>
      </c>
      <c r="J16" s="7">
        <v>3</v>
      </c>
      <c r="K16" s="10">
        <v>391</v>
      </c>
      <c r="L16" s="12">
        <v>2</v>
      </c>
      <c r="M16" s="10">
        <v>0</v>
      </c>
    </row>
    <row r="17" spans="1:13" ht="17.25" customHeight="1" x14ac:dyDescent="0.25">
      <c r="A17" s="82"/>
      <c r="B17" s="53"/>
      <c r="C17" s="53"/>
      <c r="D17" s="9">
        <v>3</v>
      </c>
      <c r="E17" s="7">
        <v>498</v>
      </c>
      <c r="F17" s="7">
        <v>180</v>
      </c>
      <c r="G17" s="9">
        <v>186</v>
      </c>
      <c r="H17" s="7">
        <v>123</v>
      </c>
      <c r="I17" s="7">
        <v>1</v>
      </c>
      <c r="J17" s="7">
        <v>7</v>
      </c>
      <c r="K17" s="10">
        <v>497</v>
      </c>
      <c r="L17" s="12">
        <v>1</v>
      </c>
      <c r="M17" s="10">
        <v>0</v>
      </c>
    </row>
    <row r="18" spans="1:13" ht="17.25" customHeight="1" x14ac:dyDescent="0.25">
      <c r="A18" s="82"/>
      <c r="B18" s="53"/>
      <c r="C18" s="53"/>
      <c r="D18" s="9">
        <v>4</v>
      </c>
      <c r="E18" s="7">
        <v>468</v>
      </c>
      <c r="F18" s="7">
        <v>129</v>
      </c>
      <c r="G18" s="9">
        <v>217</v>
      </c>
      <c r="H18" s="7">
        <v>117</v>
      </c>
      <c r="I18" s="7">
        <v>1</v>
      </c>
      <c r="J18" s="7">
        <v>2</v>
      </c>
      <c r="K18" s="10">
        <v>466</v>
      </c>
      <c r="L18" s="12">
        <v>2</v>
      </c>
      <c r="M18" s="10">
        <v>0</v>
      </c>
    </row>
    <row r="19" spans="1:13" ht="17.25" customHeight="1" x14ac:dyDescent="0.25">
      <c r="A19" s="82"/>
      <c r="B19" s="53"/>
      <c r="C19" s="53"/>
      <c r="D19" s="9">
        <v>5</v>
      </c>
      <c r="E19" s="7">
        <v>464</v>
      </c>
      <c r="F19" s="7">
        <v>128</v>
      </c>
      <c r="G19" s="9">
        <v>216</v>
      </c>
      <c r="H19" s="7">
        <v>112</v>
      </c>
      <c r="I19" s="7">
        <v>4</v>
      </c>
      <c r="J19" s="7">
        <v>2</v>
      </c>
      <c r="K19" s="10">
        <v>462</v>
      </c>
      <c r="L19" s="12">
        <v>2</v>
      </c>
      <c r="M19" s="10">
        <v>0</v>
      </c>
    </row>
    <row r="20" spans="1:13" ht="17.25" customHeight="1" x14ac:dyDescent="0.25">
      <c r="A20" s="82"/>
      <c r="B20" s="53"/>
      <c r="C20" s="53"/>
      <c r="D20" s="9">
        <v>6</v>
      </c>
      <c r="E20" s="7">
        <v>480</v>
      </c>
      <c r="F20" s="7">
        <v>134</v>
      </c>
      <c r="G20" s="9">
        <v>202</v>
      </c>
      <c r="H20" s="7">
        <v>142</v>
      </c>
      <c r="I20" s="7">
        <v>1</v>
      </c>
      <c r="J20" s="7">
        <v>1</v>
      </c>
      <c r="K20" s="10">
        <v>480</v>
      </c>
      <c r="L20" s="12">
        <v>0</v>
      </c>
      <c r="M20" s="10">
        <v>0</v>
      </c>
    </row>
    <row r="21" spans="1:13" ht="17.25" customHeight="1" x14ac:dyDescent="0.25">
      <c r="A21" s="79"/>
      <c r="B21" s="54"/>
      <c r="C21" s="54"/>
      <c r="D21" s="9">
        <v>7</v>
      </c>
      <c r="E21" s="7">
        <v>511</v>
      </c>
      <c r="F21" s="7">
        <v>193</v>
      </c>
      <c r="G21" s="9">
        <v>200</v>
      </c>
      <c r="H21" s="7">
        <v>113</v>
      </c>
      <c r="I21" s="7">
        <v>1</v>
      </c>
      <c r="J21" s="7">
        <v>1</v>
      </c>
      <c r="K21" s="10">
        <v>508</v>
      </c>
      <c r="L21" s="12">
        <v>3</v>
      </c>
      <c r="M21" s="10">
        <v>0</v>
      </c>
    </row>
    <row r="22" spans="1:13" ht="37.950000000000003" customHeight="1" x14ac:dyDescent="0.25"/>
    <row r="23" spans="1:13" ht="277.05" customHeight="1" x14ac:dyDescent="0.25"/>
    <row r="24" spans="1:13" ht="277.05" customHeight="1" x14ac:dyDescent="0.25"/>
  </sheetData>
  <mergeCells count="22"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  <mergeCell ref="A5:A10"/>
    <mergeCell ref="B5:B10"/>
    <mergeCell ref="C5:C10"/>
    <mergeCell ref="A11:A12"/>
    <mergeCell ref="B11:B12"/>
    <mergeCell ref="C11:C12"/>
    <mergeCell ref="A13:A14"/>
    <mergeCell ref="B13:B14"/>
    <mergeCell ref="C13:C14"/>
    <mergeCell ref="A15:A21"/>
    <mergeCell ref="B15:B21"/>
    <mergeCell ref="C15:C2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topLeftCell="A5" workbookViewId="0">
      <selection activeCell="A5" sqref="A5:M21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57" t="s">
        <v>44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9"/>
    </row>
    <row r="2" spans="1:13" ht="18" customHeight="1" x14ac:dyDescent="0.25">
      <c r="A2" s="60" t="s">
        <v>1</v>
      </c>
      <c r="B2" s="60" t="s">
        <v>2</v>
      </c>
      <c r="C2" s="60" t="s">
        <v>3</v>
      </c>
      <c r="D2" s="63" t="s">
        <v>4</v>
      </c>
      <c r="E2" s="66" t="s">
        <v>5</v>
      </c>
      <c r="F2" s="69" t="s">
        <v>6</v>
      </c>
      <c r="G2" s="70"/>
      <c r="H2" s="70"/>
      <c r="I2" s="70"/>
      <c r="J2" s="70"/>
      <c r="K2" s="71"/>
      <c r="L2" s="63" t="s">
        <v>7</v>
      </c>
      <c r="M2" s="66" t="s">
        <v>8</v>
      </c>
    </row>
    <row r="3" spans="1:13" ht="37.950000000000003" customHeight="1" x14ac:dyDescent="0.25">
      <c r="A3" s="61"/>
      <c r="B3" s="61"/>
      <c r="C3" s="61"/>
      <c r="D3" s="64"/>
      <c r="E3" s="67"/>
      <c r="F3" s="1" t="s">
        <v>9</v>
      </c>
      <c r="G3" s="17" t="s">
        <v>10</v>
      </c>
      <c r="H3" s="1" t="s">
        <v>11</v>
      </c>
      <c r="I3" s="1" t="s">
        <v>12</v>
      </c>
      <c r="J3" s="2" t="s">
        <v>13</v>
      </c>
      <c r="K3" s="72" t="s">
        <v>14</v>
      </c>
      <c r="L3" s="64"/>
      <c r="M3" s="67"/>
    </row>
    <row r="4" spans="1:13" ht="28.2" customHeight="1" x14ac:dyDescent="0.25">
      <c r="A4" s="62"/>
      <c r="B4" s="62"/>
      <c r="C4" s="62"/>
      <c r="D4" s="65"/>
      <c r="E4" s="68"/>
      <c r="F4" s="3"/>
      <c r="G4" s="3"/>
      <c r="H4" s="3"/>
      <c r="I4" s="3"/>
      <c r="J4" s="3"/>
      <c r="K4" s="73"/>
      <c r="L4" s="65"/>
      <c r="M4" s="68"/>
    </row>
    <row r="5" spans="1:13" ht="17.25" customHeight="1" x14ac:dyDescent="0.25">
      <c r="A5" s="78">
        <v>11</v>
      </c>
      <c r="B5" s="52" t="s">
        <v>42</v>
      </c>
      <c r="C5" s="52" t="s">
        <v>45</v>
      </c>
      <c r="D5" s="9">
        <v>1</v>
      </c>
      <c r="E5" s="7">
        <v>362</v>
      </c>
      <c r="F5" s="7">
        <v>67</v>
      </c>
      <c r="G5" s="9">
        <v>238</v>
      </c>
      <c r="H5" s="7">
        <v>45</v>
      </c>
      <c r="I5" s="7">
        <v>0</v>
      </c>
      <c r="J5" s="7">
        <v>6</v>
      </c>
      <c r="K5" s="10">
        <v>356</v>
      </c>
      <c r="L5" s="12">
        <v>6</v>
      </c>
      <c r="M5" s="10">
        <v>0</v>
      </c>
    </row>
    <row r="6" spans="1:13" ht="17.25" customHeight="1" x14ac:dyDescent="0.25">
      <c r="A6" s="82"/>
      <c r="B6" s="53"/>
      <c r="C6" s="53"/>
      <c r="D6" s="9">
        <v>2</v>
      </c>
      <c r="E6" s="7">
        <v>557</v>
      </c>
      <c r="F6" s="7">
        <v>170</v>
      </c>
      <c r="G6" s="9">
        <v>290</v>
      </c>
      <c r="H6" s="7">
        <v>92</v>
      </c>
      <c r="I6" s="7">
        <v>1</v>
      </c>
      <c r="J6" s="7">
        <v>2</v>
      </c>
      <c r="K6" s="10">
        <v>555</v>
      </c>
      <c r="L6" s="12">
        <v>2</v>
      </c>
      <c r="M6" s="10">
        <v>0</v>
      </c>
    </row>
    <row r="7" spans="1:13" ht="17.25" customHeight="1" x14ac:dyDescent="0.25">
      <c r="A7" s="82"/>
      <c r="B7" s="53"/>
      <c r="C7" s="53"/>
      <c r="D7" s="9">
        <v>3</v>
      </c>
      <c r="E7" s="7">
        <v>527</v>
      </c>
      <c r="F7" s="7">
        <v>154</v>
      </c>
      <c r="G7" s="9">
        <v>276</v>
      </c>
      <c r="H7" s="7">
        <v>89</v>
      </c>
      <c r="I7" s="7">
        <v>0</v>
      </c>
      <c r="J7" s="7">
        <v>5</v>
      </c>
      <c r="K7" s="10">
        <v>524</v>
      </c>
      <c r="L7" s="12">
        <v>3</v>
      </c>
      <c r="M7" s="10">
        <v>0</v>
      </c>
    </row>
    <row r="8" spans="1:13" ht="17.25" customHeight="1" x14ac:dyDescent="0.25">
      <c r="A8" s="79"/>
      <c r="B8" s="54"/>
      <c r="C8" s="54"/>
      <c r="D8" s="9">
        <v>4</v>
      </c>
      <c r="E8" s="7">
        <v>581</v>
      </c>
      <c r="F8" s="7">
        <v>196</v>
      </c>
      <c r="G8" s="9">
        <v>268</v>
      </c>
      <c r="H8" s="7">
        <v>113</v>
      </c>
      <c r="I8" s="7">
        <v>0</v>
      </c>
      <c r="J8" s="7">
        <v>1</v>
      </c>
      <c r="K8" s="10">
        <v>578</v>
      </c>
      <c r="L8" s="12">
        <v>3</v>
      </c>
      <c r="M8" s="10">
        <v>0</v>
      </c>
    </row>
    <row r="9" spans="1:13" ht="17.25" customHeight="1" x14ac:dyDescent="0.25">
      <c r="A9" s="78">
        <v>12</v>
      </c>
      <c r="B9" s="83" t="s">
        <v>46</v>
      </c>
      <c r="C9" s="52" t="s">
        <v>47</v>
      </c>
      <c r="D9" s="9">
        <v>1</v>
      </c>
      <c r="E9" s="7">
        <v>348</v>
      </c>
      <c r="F9" s="7">
        <v>55</v>
      </c>
      <c r="G9" s="9">
        <v>143</v>
      </c>
      <c r="H9" s="7">
        <v>121</v>
      </c>
      <c r="I9" s="7">
        <v>4</v>
      </c>
      <c r="J9" s="7">
        <v>10</v>
      </c>
      <c r="K9" s="10">
        <v>333</v>
      </c>
      <c r="L9" s="9">
        <v>15</v>
      </c>
      <c r="M9" s="10">
        <v>0</v>
      </c>
    </row>
    <row r="10" spans="1:13" ht="17.25" customHeight="1" x14ac:dyDescent="0.25">
      <c r="A10" s="82"/>
      <c r="B10" s="84"/>
      <c r="C10" s="53"/>
      <c r="D10" s="9">
        <v>2</v>
      </c>
      <c r="E10" s="7">
        <v>400</v>
      </c>
      <c r="F10" s="7">
        <v>79</v>
      </c>
      <c r="G10" s="9">
        <v>164</v>
      </c>
      <c r="H10" s="7">
        <v>145</v>
      </c>
      <c r="I10" s="7">
        <v>6</v>
      </c>
      <c r="J10" s="7">
        <v>2</v>
      </c>
      <c r="K10" s="10">
        <v>396</v>
      </c>
      <c r="L10" s="12">
        <v>4</v>
      </c>
      <c r="M10" s="10">
        <v>0</v>
      </c>
    </row>
    <row r="11" spans="1:13" ht="17.25" customHeight="1" x14ac:dyDescent="0.25">
      <c r="A11" s="82"/>
      <c r="B11" s="84"/>
      <c r="C11" s="53"/>
      <c r="D11" s="9">
        <v>3</v>
      </c>
      <c r="E11" s="7">
        <v>567</v>
      </c>
      <c r="F11" s="7">
        <v>157</v>
      </c>
      <c r="G11" s="9">
        <v>217</v>
      </c>
      <c r="H11" s="7">
        <v>182</v>
      </c>
      <c r="I11" s="7">
        <v>6</v>
      </c>
      <c r="J11" s="7">
        <v>3</v>
      </c>
      <c r="K11" s="10">
        <v>565</v>
      </c>
      <c r="L11" s="12">
        <v>1</v>
      </c>
      <c r="M11" s="10">
        <v>1</v>
      </c>
    </row>
    <row r="12" spans="1:13" ht="17.25" customHeight="1" x14ac:dyDescent="0.25">
      <c r="A12" s="82"/>
      <c r="B12" s="84"/>
      <c r="C12" s="53"/>
      <c r="D12" s="9">
        <v>4</v>
      </c>
      <c r="E12" s="7">
        <v>544</v>
      </c>
      <c r="F12" s="7">
        <v>111</v>
      </c>
      <c r="G12" s="9">
        <v>248</v>
      </c>
      <c r="H12" s="7">
        <v>179</v>
      </c>
      <c r="I12" s="7">
        <v>3</v>
      </c>
      <c r="J12" s="7">
        <v>1</v>
      </c>
      <c r="K12" s="10">
        <v>542</v>
      </c>
      <c r="L12" s="12">
        <v>2</v>
      </c>
      <c r="M12" s="10">
        <v>0</v>
      </c>
    </row>
    <row r="13" spans="1:13" ht="17.25" customHeight="1" x14ac:dyDescent="0.25">
      <c r="A13" s="82"/>
      <c r="B13" s="84"/>
      <c r="C13" s="53"/>
      <c r="D13" s="9">
        <v>5</v>
      </c>
      <c r="E13" s="7">
        <v>580</v>
      </c>
      <c r="F13" s="7">
        <v>115</v>
      </c>
      <c r="G13" s="9">
        <v>244</v>
      </c>
      <c r="H13" s="7">
        <v>207</v>
      </c>
      <c r="I13" s="7">
        <v>9</v>
      </c>
      <c r="J13" s="7">
        <v>5</v>
      </c>
      <c r="K13" s="10">
        <v>580</v>
      </c>
      <c r="L13" s="12">
        <v>0</v>
      </c>
      <c r="M13" s="10">
        <v>0</v>
      </c>
    </row>
    <row r="14" spans="1:13" ht="17.25" customHeight="1" x14ac:dyDescent="0.25">
      <c r="A14" s="82"/>
      <c r="B14" s="84"/>
      <c r="C14" s="54"/>
      <c r="D14" s="9">
        <v>6</v>
      </c>
      <c r="E14" s="7">
        <v>599</v>
      </c>
      <c r="F14" s="7">
        <v>185</v>
      </c>
      <c r="G14" s="9">
        <v>208</v>
      </c>
      <c r="H14" s="7">
        <v>195</v>
      </c>
      <c r="I14" s="7">
        <v>7</v>
      </c>
      <c r="J14" s="7">
        <v>2</v>
      </c>
      <c r="K14" s="10">
        <v>597</v>
      </c>
      <c r="L14" s="12">
        <v>2</v>
      </c>
      <c r="M14" s="10">
        <v>0</v>
      </c>
    </row>
    <row r="15" spans="1:13" ht="17.25" customHeight="1" x14ac:dyDescent="0.25">
      <c r="A15" s="82"/>
      <c r="B15" s="84"/>
      <c r="C15" s="83" t="s">
        <v>48</v>
      </c>
      <c r="D15" s="9">
        <v>1</v>
      </c>
      <c r="E15" s="7">
        <v>353</v>
      </c>
      <c r="F15" s="7">
        <v>47</v>
      </c>
      <c r="G15" s="9">
        <v>142</v>
      </c>
      <c r="H15" s="7">
        <v>145</v>
      </c>
      <c r="I15" s="7">
        <v>5</v>
      </c>
      <c r="J15" s="7">
        <v>2</v>
      </c>
      <c r="K15" s="10">
        <v>341</v>
      </c>
      <c r="L15" s="9">
        <v>12</v>
      </c>
      <c r="M15" s="10">
        <v>0</v>
      </c>
    </row>
    <row r="16" spans="1:13" ht="17.25" customHeight="1" x14ac:dyDescent="0.25">
      <c r="A16" s="82"/>
      <c r="B16" s="84"/>
      <c r="C16" s="84"/>
      <c r="D16" s="9">
        <v>2</v>
      </c>
      <c r="E16" s="7">
        <v>614</v>
      </c>
      <c r="F16" s="7">
        <v>139</v>
      </c>
      <c r="G16" s="9">
        <v>200</v>
      </c>
      <c r="H16" s="7">
        <v>263</v>
      </c>
      <c r="I16" s="7">
        <v>8</v>
      </c>
      <c r="J16" s="7">
        <v>2</v>
      </c>
      <c r="K16" s="10">
        <v>612</v>
      </c>
      <c r="L16" s="12">
        <v>2</v>
      </c>
      <c r="M16" s="10">
        <v>0</v>
      </c>
    </row>
    <row r="17" spans="1:13" ht="17.25" customHeight="1" x14ac:dyDescent="0.25">
      <c r="A17" s="82"/>
      <c r="B17" s="84"/>
      <c r="C17" s="84"/>
      <c r="D17" s="9">
        <v>3</v>
      </c>
      <c r="E17" s="7">
        <v>544</v>
      </c>
      <c r="F17" s="7">
        <v>95</v>
      </c>
      <c r="G17" s="9">
        <v>120</v>
      </c>
      <c r="H17" s="7">
        <v>317</v>
      </c>
      <c r="I17" s="7">
        <v>8</v>
      </c>
      <c r="J17" s="7">
        <v>1</v>
      </c>
      <c r="K17" s="10">
        <v>541</v>
      </c>
      <c r="L17" s="12">
        <v>3</v>
      </c>
      <c r="M17" s="10">
        <v>0</v>
      </c>
    </row>
    <row r="18" spans="1:13" ht="17.25" customHeight="1" x14ac:dyDescent="0.25">
      <c r="A18" s="82"/>
      <c r="B18" s="84"/>
      <c r="C18" s="84"/>
      <c r="D18" s="9">
        <v>4</v>
      </c>
      <c r="E18" s="7">
        <v>530</v>
      </c>
      <c r="F18" s="7">
        <v>108</v>
      </c>
      <c r="G18" s="9">
        <v>162</v>
      </c>
      <c r="H18" s="7">
        <v>254</v>
      </c>
      <c r="I18" s="7">
        <v>4</v>
      </c>
      <c r="J18" s="7">
        <v>2</v>
      </c>
      <c r="K18" s="10">
        <v>530</v>
      </c>
      <c r="L18" s="12">
        <v>0</v>
      </c>
      <c r="M18" s="10">
        <v>0</v>
      </c>
    </row>
    <row r="19" spans="1:13" ht="17.25" customHeight="1" x14ac:dyDescent="0.25">
      <c r="A19" s="82"/>
      <c r="B19" s="84"/>
      <c r="C19" s="84"/>
      <c r="D19" s="9">
        <v>5</v>
      </c>
      <c r="E19" s="7">
        <v>542</v>
      </c>
      <c r="F19" s="7">
        <v>110</v>
      </c>
      <c r="G19" s="9">
        <v>174</v>
      </c>
      <c r="H19" s="7">
        <v>250</v>
      </c>
      <c r="I19" s="7">
        <v>4</v>
      </c>
      <c r="J19" s="7">
        <v>2</v>
      </c>
      <c r="K19" s="10">
        <v>540</v>
      </c>
      <c r="L19" s="12">
        <v>2</v>
      </c>
      <c r="M19" s="10">
        <v>0</v>
      </c>
    </row>
    <row r="20" spans="1:13" ht="17.25" customHeight="1" x14ac:dyDescent="0.25">
      <c r="A20" s="82"/>
      <c r="B20" s="84"/>
      <c r="C20" s="84"/>
      <c r="D20" s="9">
        <v>6</v>
      </c>
      <c r="E20" s="7">
        <v>589</v>
      </c>
      <c r="F20" s="7">
        <v>146</v>
      </c>
      <c r="G20" s="9">
        <v>159</v>
      </c>
      <c r="H20" s="7">
        <v>281</v>
      </c>
      <c r="I20" s="7">
        <v>2</v>
      </c>
      <c r="J20" s="7">
        <v>0</v>
      </c>
      <c r="K20" s="10">
        <v>588</v>
      </c>
      <c r="L20" s="12">
        <v>1</v>
      </c>
      <c r="M20" s="10">
        <v>0</v>
      </c>
    </row>
    <row r="21" spans="1:13" ht="17.25" customHeight="1" x14ac:dyDescent="0.25">
      <c r="A21" s="79"/>
      <c r="B21" s="85"/>
      <c r="C21" s="85"/>
      <c r="D21" s="9">
        <v>7</v>
      </c>
      <c r="E21" s="7">
        <v>593</v>
      </c>
      <c r="F21" s="7">
        <v>168</v>
      </c>
      <c r="G21" s="9">
        <v>160</v>
      </c>
      <c r="H21" s="7">
        <v>258</v>
      </c>
      <c r="I21" s="7">
        <v>2</v>
      </c>
      <c r="J21" s="7">
        <v>1</v>
      </c>
      <c r="K21" s="10">
        <v>589</v>
      </c>
      <c r="L21" s="12">
        <v>4</v>
      </c>
      <c r="M21" s="10">
        <v>0</v>
      </c>
    </row>
    <row r="22" spans="1:13" ht="37.950000000000003" customHeight="1" x14ac:dyDescent="0.25"/>
    <row r="23" spans="1:13" ht="277.05" customHeight="1" x14ac:dyDescent="0.25"/>
    <row r="24" spans="1:13" ht="277.05" customHeight="1" x14ac:dyDescent="0.25"/>
  </sheetData>
  <mergeCells count="17"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  <mergeCell ref="A5:A8"/>
    <mergeCell ref="B5:B8"/>
    <mergeCell ref="C5:C8"/>
    <mergeCell ref="A9:A21"/>
    <mergeCell ref="B9:B21"/>
    <mergeCell ref="C9:C14"/>
    <mergeCell ref="C15:C2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8"/>
  <sheetViews>
    <sheetView topLeftCell="A5" workbookViewId="0">
      <selection activeCell="A5" sqref="A5:M25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57" t="s">
        <v>49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9"/>
    </row>
    <row r="2" spans="1:13" ht="18" customHeight="1" x14ac:dyDescent="0.25">
      <c r="A2" s="60" t="s">
        <v>1</v>
      </c>
      <c r="B2" s="60" t="s">
        <v>2</v>
      </c>
      <c r="C2" s="60" t="s">
        <v>3</v>
      </c>
      <c r="D2" s="63" t="s">
        <v>4</v>
      </c>
      <c r="E2" s="66" t="s">
        <v>5</v>
      </c>
      <c r="F2" s="69" t="s">
        <v>6</v>
      </c>
      <c r="G2" s="70"/>
      <c r="H2" s="70"/>
      <c r="I2" s="70"/>
      <c r="J2" s="70"/>
      <c r="K2" s="71"/>
      <c r="L2" s="63" t="s">
        <v>7</v>
      </c>
      <c r="M2" s="66" t="s">
        <v>8</v>
      </c>
    </row>
    <row r="3" spans="1:13" ht="37.950000000000003" customHeight="1" x14ac:dyDescent="0.25">
      <c r="A3" s="61"/>
      <c r="B3" s="61"/>
      <c r="C3" s="61"/>
      <c r="D3" s="64"/>
      <c r="E3" s="67"/>
      <c r="F3" s="1" t="s">
        <v>9</v>
      </c>
      <c r="G3" s="17" t="s">
        <v>10</v>
      </c>
      <c r="H3" s="1" t="s">
        <v>11</v>
      </c>
      <c r="I3" s="1" t="s">
        <v>12</v>
      </c>
      <c r="J3" s="2" t="s">
        <v>13</v>
      </c>
      <c r="K3" s="72" t="s">
        <v>14</v>
      </c>
      <c r="L3" s="64"/>
      <c r="M3" s="67"/>
    </row>
    <row r="4" spans="1:13" ht="28.2" customHeight="1" x14ac:dyDescent="0.25">
      <c r="A4" s="62"/>
      <c r="B4" s="62"/>
      <c r="C4" s="62"/>
      <c r="D4" s="65"/>
      <c r="E4" s="68"/>
      <c r="F4" s="3"/>
      <c r="G4" s="3"/>
      <c r="H4" s="3"/>
      <c r="I4" s="3"/>
      <c r="J4" s="3"/>
      <c r="K4" s="73"/>
      <c r="L4" s="65"/>
      <c r="M4" s="68"/>
    </row>
    <row r="5" spans="1:13" ht="17.25" customHeight="1" x14ac:dyDescent="0.25">
      <c r="A5" s="78">
        <v>12</v>
      </c>
      <c r="B5" s="47" t="s">
        <v>46</v>
      </c>
      <c r="C5" s="47" t="s">
        <v>50</v>
      </c>
      <c r="D5" s="9">
        <v>1</v>
      </c>
      <c r="E5" s="7">
        <v>386</v>
      </c>
      <c r="F5" s="7">
        <v>89</v>
      </c>
      <c r="G5" s="9">
        <v>216</v>
      </c>
      <c r="H5" s="7">
        <v>78</v>
      </c>
      <c r="I5" s="7">
        <v>0</v>
      </c>
      <c r="J5" s="7">
        <v>2</v>
      </c>
      <c r="K5" s="10">
        <v>385</v>
      </c>
      <c r="L5" s="18">
        <v>1</v>
      </c>
      <c r="M5" s="10">
        <v>0</v>
      </c>
    </row>
    <row r="6" spans="1:13" ht="17.25" customHeight="1" x14ac:dyDescent="0.25">
      <c r="A6" s="82"/>
      <c r="B6" s="77"/>
      <c r="C6" s="77"/>
      <c r="D6" s="9">
        <v>2</v>
      </c>
      <c r="E6" s="7">
        <v>575</v>
      </c>
      <c r="F6" s="7">
        <v>184</v>
      </c>
      <c r="G6" s="9">
        <v>229</v>
      </c>
      <c r="H6" s="7">
        <v>155</v>
      </c>
      <c r="I6" s="7">
        <v>1</v>
      </c>
      <c r="J6" s="7">
        <v>4</v>
      </c>
      <c r="K6" s="10">
        <v>573</v>
      </c>
      <c r="L6" s="18">
        <v>2</v>
      </c>
      <c r="M6" s="10">
        <v>0</v>
      </c>
    </row>
    <row r="7" spans="1:13" ht="17.25" customHeight="1" x14ac:dyDescent="0.25">
      <c r="A7" s="82"/>
      <c r="B7" s="77"/>
      <c r="C7" s="77"/>
      <c r="D7" s="9">
        <v>3</v>
      </c>
      <c r="E7" s="7">
        <v>556</v>
      </c>
      <c r="F7" s="7">
        <v>149</v>
      </c>
      <c r="G7" s="9">
        <v>245</v>
      </c>
      <c r="H7" s="7">
        <v>154</v>
      </c>
      <c r="I7" s="7">
        <v>2</v>
      </c>
      <c r="J7" s="7">
        <v>6</v>
      </c>
      <c r="K7" s="10">
        <v>556</v>
      </c>
      <c r="L7" s="18">
        <v>0</v>
      </c>
      <c r="M7" s="10">
        <v>0</v>
      </c>
    </row>
    <row r="8" spans="1:13" ht="17.25" customHeight="1" x14ac:dyDescent="0.25">
      <c r="A8" s="82"/>
      <c r="B8" s="77"/>
      <c r="C8" s="77"/>
      <c r="D8" s="9">
        <v>4</v>
      </c>
      <c r="E8" s="7">
        <v>569</v>
      </c>
      <c r="F8" s="7">
        <v>155</v>
      </c>
      <c r="G8" s="9">
        <v>224</v>
      </c>
      <c r="H8" s="7">
        <v>181</v>
      </c>
      <c r="I8" s="7">
        <v>2</v>
      </c>
      <c r="J8" s="7">
        <v>5</v>
      </c>
      <c r="K8" s="10">
        <v>567</v>
      </c>
      <c r="L8" s="18">
        <v>2</v>
      </c>
      <c r="M8" s="10">
        <v>0</v>
      </c>
    </row>
    <row r="9" spans="1:13" ht="17.25" customHeight="1" x14ac:dyDescent="0.25">
      <c r="A9" s="79"/>
      <c r="B9" s="48"/>
      <c r="C9" s="48"/>
      <c r="D9" s="9">
        <v>5</v>
      </c>
      <c r="E9" s="7">
        <v>592</v>
      </c>
      <c r="F9" s="7">
        <v>201</v>
      </c>
      <c r="G9" s="9">
        <v>214</v>
      </c>
      <c r="H9" s="7">
        <v>168</v>
      </c>
      <c r="I9" s="7">
        <v>5</v>
      </c>
      <c r="J9" s="7">
        <v>2</v>
      </c>
      <c r="K9" s="10">
        <v>590</v>
      </c>
      <c r="L9" s="18">
        <v>2</v>
      </c>
      <c r="M9" s="10">
        <v>0</v>
      </c>
    </row>
    <row r="10" spans="1:13" ht="17.25" customHeight="1" x14ac:dyDescent="0.25">
      <c r="A10" s="78">
        <v>13</v>
      </c>
      <c r="B10" s="74" t="s">
        <v>51</v>
      </c>
      <c r="C10" s="52" t="s">
        <v>52</v>
      </c>
      <c r="D10" s="9">
        <v>1</v>
      </c>
      <c r="E10" s="7">
        <v>354</v>
      </c>
      <c r="F10" s="7">
        <v>48</v>
      </c>
      <c r="G10" s="9">
        <v>206</v>
      </c>
      <c r="H10" s="7">
        <v>83</v>
      </c>
      <c r="I10" s="7">
        <v>4</v>
      </c>
      <c r="J10" s="7">
        <v>8</v>
      </c>
      <c r="K10" s="10">
        <v>349</v>
      </c>
      <c r="L10" s="18">
        <v>5</v>
      </c>
      <c r="M10" s="10">
        <v>0</v>
      </c>
    </row>
    <row r="11" spans="1:13" ht="17.25" customHeight="1" x14ac:dyDescent="0.25">
      <c r="A11" s="82"/>
      <c r="B11" s="75"/>
      <c r="C11" s="53"/>
      <c r="D11" s="9">
        <v>2</v>
      </c>
      <c r="E11" s="7">
        <v>402</v>
      </c>
      <c r="F11" s="7">
        <v>56</v>
      </c>
      <c r="G11" s="9">
        <v>213</v>
      </c>
      <c r="H11" s="7">
        <v>119</v>
      </c>
      <c r="I11" s="7">
        <v>3</v>
      </c>
      <c r="J11" s="7">
        <v>4</v>
      </c>
      <c r="K11" s="10">
        <v>395</v>
      </c>
      <c r="L11" s="18">
        <v>7</v>
      </c>
      <c r="M11" s="10">
        <v>0</v>
      </c>
    </row>
    <row r="12" spans="1:13" ht="17.25" customHeight="1" x14ac:dyDescent="0.25">
      <c r="A12" s="82"/>
      <c r="B12" s="75"/>
      <c r="C12" s="53"/>
      <c r="D12" s="9">
        <v>3</v>
      </c>
      <c r="E12" s="7">
        <v>628</v>
      </c>
      <c r="F12" s="7">
        <v>159</v>
      </c>
      <c r="G12" s="9">
        <v>275</v>
      </c>
      <c r="H12" s="7">
        <v>181</v>
      </c>
      <c r="I12" s="7">
        <v>4</v>
      </c>
      <c r="J12" s="7">
        <v>3</v>
      </c>
      <c r="K12" s="10">
        <v>622</v>
      </c>
      <c r="L12" s="18">
        <v>6</v>
      </c>
      <c r="M12" s="10">
        <v>0</v>
      </c>
    </row>
    <row r="13" spans="1:13" ht="17.25" customHeight="1" x14ac:dyDescent="0.25">
      <c r="A13" s="82"/>
      <c r="B13" s="75"/>
      <c r="C13" s="53"/>
      <c r="D13" s="9">
        <v>4</v>
      </c>
      <c r="E13" s="7">
        <v>570</v>
      </c>
      <c r="F13" s="7">
        <v>181</v>
      </c>
      <c r="G13" s="9">
        <v>217</v>
      </c>
      <c r="H13" s="7">
        <v>160</v>
      </c>
      <c r="I13" s="7">
        <v>3</v>
      </c>
      <c r="J13" s="7">
        <v>6</v>
      </c>
      <c r="K13" s="10">
        <v>567</v>
      </c>
      <c r="L13" s="18">
        <v>3</v>
      </c>
      <c r="M13" s="10">
        <v>0</v>
      </c>
    </row>
    <row r="14" spans="1:13" ht="17.25" customHeight="1" x14ac:dyDescent="0.25">
      <c r="A14" s="82"/>
      <c r="B14" s="75"/>
      <c r="C14" s="53"/>
      <c r="D14" s="9">
        <v>5</v>
      </c>
      <c r="E14" s="7">
        <v>568</v>
      </c>
      <c r="F14" s="7">
        <v>163</v>
      </c>
      <c r="G14" s="9">
        <v>255</v>
      </c>
      <c r="H14" s="7">
        <v>144</v>
      </c>
      <c r="I14" s="7">
        <v>2</v>
      </c>
      <c r="J14" s="7">
        <v>0</v>
      </c>
      <c r="K14" s="10">
        <v>564</v>
      </c>
      <c r="L14" s="18">
        <v>4</v>
      </c>
      <c r="M14" s="10">
        <v>0</v>
      </c>
    </row>
    <row r="15" spans="1:13" ht="17.25" customHeight="1" x14ac:dyDescent="0.25">
      <c r="A15" s="82"/>
      <c r="B15" s="75"/>
      <c r="C15" s="53"/>
      <c r="D15" s="9">
        <v>6</v>
      </c>
      <c r="E15" s="7">
        <v>582</v>
      </c>
      <c r="F15" s="7">
        <v>163</v>
      </c>
      <c r="G15" s="9">
        <v>262</v>
      </c>
      <c r="H15" s="7">
        <v>152</v>
      </c>
      <c r="I15" s="7">
        <v>4</v>
      </c>
      <c r="J15" s="7">
        <v>1</v>
      </c>
      <c r="K15" s="10">
        <v>582</v>
      </c>
      <c r="L15" s="18">
        <v>0</v>
      </c>
      <c r="M15" s="10">
        <v>0</v>
      </c>
    </row>
    <row r="16" spans="1:13" ht="17.25" customHeight="1" x14ac:dyDescent="0.25">
      <c r="A16" s="82"/>
      <c r="B16" s="75"/>
      <c r="C16" s="53"/>
      <c r="D16" s="9">
        <v>7</v>
      </c>
      <c r="E16" s="7">
        <v>598</v>
      </c>
      <c r="F16" s="7">
        <v>155</v>
      </c>
      <c r="G16" s="9">
        <v>249</v>
      </c>
      <c r="H16" s="7">
        <v>188</v>
      </c>
      <c r="I16" s="7">
        <v>3</v>
      </c>
      <c r="J16" s="7">
        <v>2</v>
      </c>
      <c r="K16" s="10">
        <v>597</v>
      </c>
      <c r="L16" s="18">
        <v>1</v>
      </c>
      <c r="M16" s="10">
        <v>0</v>
      </c>
    </row>
    <row r="17" spans="1:13" ht="17.25" customHeight="1" x14ac:dyDescent="0.25">
      <c r="A17" s="82"/>
      <c r="B17" s="75"/>
      <c r="C17" s="53"/>
      <c r="D17" s="9">
        <v>8</v>
      </c>
      <c r="E17" s="7">
        <v>614</v>
      </c>
      <c r="F17" s="7">
        <v>173</v>
      </c>
      <c r="G17" s="9">
        <v>252</v>
      </c>
      <c r="H17" s="7">
        <v>184</v>
      </c>
      <c r="I17" s="7">
        <v>0</v>
      </c>
      <c r="J17" s="7">
        <v>3</v>
      </c>
      <c r="K17" s="10">
        <v>612</v>
      </c>
      <c r="L17" s="18">
        <v>2</v>
      </c>
      <c r="M17" s="10">
        <v>0</v>
      </c>
    </row>
    <row r="18" spans="1:13" ht="17.25" customHeight="1" x14ac:dyDescent="0.25">
      <c r="A18" s="79"/>
      <c r="B18" s="76"/>
      <c r="C18" s="54"/>
      <c r="D18" s="9">
        <v>9</v>
      </c>
      <c r="E18" s="7">
        <v>637</v>
      </c>
      <c r="F18" s="7">
        <v>191</v>
      </c>
      <c r="G18" s="9">
        <v>245</v>
      </c>
      <c r="H18" s="7">
        <v>195</v>
      </c>
      <c r="I18" s="7">
        <v>2</v>
      </c>
      <c r="J18" s="7">
        <v>2</v>
      </c>
      <c r="K18" s="10">
        <v>635</v>
      </c>
      <c r="L18" s="18">
        <v>2</v>
      </c>
      <c r="M18" s="10">
        <v>0</v>
      </c>
    </row>
    <row r="19" spans="1:13" ht="17.25" customHeight="1" x14ac:dyDescent="0.25">
      <c r="A19" s="78">
        <v>14</v>
      </c>
      <c r="B19" s="52" t="s">
        <v>53</v>
      </c>
      <c r="C19" s="52" t="s">
        <v>54</v>
      </c>
      <c r="D19" s="9">
        <v>1</v>
      </c>
      <c r="E19" s="7">
        <v>322</v>
      </c>
      <c r="F19" s="7">
        <v>28</v>
      </c>
      <c r="G19" s="9">
        <v>125</v>
      </c>
      <c r="H19" s="7">
        <v>157</v>
      </c>
      <c r="I19" s="7">
        <v>4</v>
      </c>
      <c r="J19" s="7">
        <v>2</v>
      </c>
      <c r="K19" s="10">
        <v>316</v>
      </c>
      <c r="L19" s="18">
        <v>6</v>
      </c>
      <c r="M19" s="10">
        <v>0</v>
      </c>
    </row>
    <row r="20" spans="1:13" ht="17.25" customHeight="1" x14ac:dyDescent="0.25">
      <c r="A20" s="82"/>
      <c r="B20" s="53"/>
      <c r="C20" s="53"/>
      <c r="D20" s="9">
        <v>2</v>
      </c>
      <c r="E20" s="7">
        <v>368</v>
      </c>
      <c r="F20" s="7">
        <v>46</v>
      </c>
      <c r="G20" s="9">
        <v>141</v>
      </c>
      <c r="H20" s="7">
        <v>165</v>
      </c>
      <c r="I20" s="7">
        <v>7</v>
      </c>
      <c r="J20" s="7">
        <v>0</v>
      </c>
      <c r="K20" s="10">
        <v>359</v>
      </c>
      <c r="L20" s="18">
        <v>9</v>
      </c>
      <c r="M20" s="10">
        <v>0</v>
      </c>
    </row>
    <row r="21" spans="1:13" ht="17.25" customHeight="1" x14ac:dyDescent="0.25">
      <c r="A21" s="82"/>
      <c r="B21" s="53"/>
      <c r="C21" s="53"/>
      <c r="D21" s="9">
        <v>3</v>
      </c>
      <c r="E21" s="7">
        <v>634</v>
      </c>
      <c r="F21" s="7">
        <v>112</v>
      </c>
      <c r="G21" s="9">
        <v>247</v>
      </c>
      <c r="H21" s="7">
        <v>257</v>
      </c>
      <c r="I21" s="7">
        <v>4</v>
      </c>
      <c r="J21" s="7">
        <v>6</v>
      </c>
      <c r="K21" s="10">
        <v>626</v>
      </c>
      <c r="L21" s="18">
        <v>8</v>
      </c>
      <c r="M21" s="10">
        <v>0</v>
      </c>
    </row>
    <row r="22" spans="1:13" ht="17.25" customHeight="1" x14ac:dyDescent="0.25">
      <c r="A22" s="82"/>
      <c r="B22" s="53"/>
      <c r="C22" s="53"/>
      <c r="D22" s="9">
        <v>4</v>
      </c>
      <c r="E22" s="7">
        <v>594</v>
      </c>
      <c r="F22" s="7">
        <v>118</v>
      </c>
      <c r="G22" s="9">
        <v>223</v>
      </c>
      <c r="H22" s="7">
        <v>245</v>
      </c>
      <c r="I22" s="7">
        <v>5</v>
      </c>
      <c r="J22" s="7">
        <v>1</v>
      </c>
      <c r="K22" s="10">
        <v>592</v>
      </c>
      <c r="L22" s="18">
        <v>2</v>
      </c>
      <c r="M22" s="10">
        <v>0</v>
      </c>
    </row>
    <row r="23" spans="1:13" ht="17.25" customHeight="1" x14ac:dyDescent="0.25">
      <c r="A23" s="82"/>
      <c r="B23" s="53"/>
      <c r="C23" s="53"/>
      <c r="D23" s="9">
        <v>5</v>
      </c>
      <c r="E23" s="7">
        <v>555</v>
      </c>
      <c r="F23" s="7">
        <v>112</v>
      </c>
      <c r="G23" s="9">
        <v>202</v>
      </c>
      <c r="H23" s="7">
        <v>235</v>
      </c>
      <c r="I23" s="7">
        <v>4</v>
      </c>
      <c r="J23" s="7">
        <v>0</v>
      </c>
      <c r="K23" s="10">
        <v>553</v>
      </c>
      <c r="L23" s="18">
        <v>2</v>
      </c>
      <c r="M23" s="10">
        <v>0</v>
      </c>
    </row>
    <row r="24" spans="1:13" ht="17.25" customHeight="1" x14ac:dyDescent="0.25">
      <c r="A24" s="82"/>
      <c r="B24" s="53"/>
      <c r="C24" s="53"/>
      <c r="D24" s="9">
        <v>6</v>
      </c>
      <c r="E24" s="7">
        <v>573</v>
      </c>
      <c r="F24" s="7">
        <v>133</v>
      </c>
      <c r="G24" s="9">
        <v>270</v>
      </c>
      <c r="H24" s="7">
        <v>163</v>
      </c>
      <c r="I24" s="7">
        <v>2</v>
      </c>
      <c r="J24" s="7">
        <v>3</v>
      </c>
      <c r="K24" s="10">
        <v>571</v>
      </c>
      <c r="L24" s="18">
        <v>2</v>
      </c>
      <c r="M24" s="10">
        <v>0</v>
      </c>
    </row>
    <row r="25" spans="1:13" ht="17.25" customHeight="1" x14ac:dyDescent="0.25">
      <c r="A25" s="79"/>
      <c r="B25" s="54"/>
      <c r="C25" s="54"/>
      <c r="D25" s="9">
        <v>7</v>
      </c>
      <c r="E25" s="7">
        <v>621</v>
      </c>
      <c r="F25" s="7">
        <v>201</v>
      </c>
      <c r="G25" s="9">
        <v>268</v>
      </c>
      <c r="H25" s="7">
        <v>147</v>
      </c>
      <c r="I25" s="7">
        <v>2</v>
      </c>
      <c r="J25" s="7">
        <v>2</v>
      </c>
      <c r="K25" s="10">
        <v>620</v>
      </c>
      <c r="L25" s="18">
        <v>1</v>
      </c>
      <c r="M25" s="10">
        <v>0</v>
      </c>
    </row>
    <row r="26" spans="1:13" ht="37.950000000000003" customHeight="1" x14ac:dyDescent="0.25"/>
    <row r="27" spans="1:13" ht="342" customHeight="1" x14ac:dyDescent="0.25"/>
    <row r="28" spans="1:13" ht="342" customHeight="1" x14ac:dyDescent="0.25"/>
  </sheetData>
  <mergeCells count="19"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  <mergeCell ref="A19:A25"/>
    <mergeCell ref="B19:B25"/>
    <mergeCell ref="C19:C25"/>
    <mergeCell ref="A5:A9"/>
    <mergeCell ref="B5:B9"/>
    <mergeCell ref="C5:C9"/>
    <mergeCell ref="A10:A18"/>
    <mergeCell ref="B10:B18"/>
    <mergeCell ref="C10:C1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6"/>
  <sheetViews>
    <sheetView topLeftCell="A5" workbookViewId="0">
      <selection activeCell="A5" sqref="A5:M23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57" t="s">
        <v>55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9"/>
    </row>
    <row r="2" spans="1:13" ht="18" customHeight="1" x14ac:dyDescent="0.25">
      <c r="A2" s="60" t="s">
        <v>1</v>
      </c>
      <c r="B2" s="60" t="s">
        <v>2</v>
      </c>
      <c r="C2" s="60" t="s">
        <v>3</v>
      </c>
      <c r="D2" s="63" t="s">
        <v>4</v>
      </c>
      <c r="E2" s="66" t="s">
        <v>5</v>
      </c>
      <c r="F2" s="69" t="s">
        <v>6</v>
      </c>
      <c r="G2" s="70"/>
      <c r="H2" s="70"/>
      <c r="I2" s="70"/>
      <c r="J2" s="70"/>
      <c r="K2" s="71"/>
      <c r="L2" s="63" t="s">
        <v>7</v>
      </c>
      <c r="M2" s="66" t="s">
        <v>8</v>
      </c>
    </row>
    <row r="3" spans="1:13" ht="37.950000000000003" customHeight="1" x14ac:dyDescent="0.25">
      <c r="A3" s="61"/>
      <c r="B3" s="61"/>
      <c r="C3" s="61"/>
      <c r="D3" s="64"/>
      <c r="E3" s="67"/>
      <c r="F3" s="1" t="s">
        <v>9</v>
      </c>
      <c r="G3" s="17" t="s">
        <v>10</v>
      </c>
      <c r="H3" s="1" t="s">
        <v>11</v>
      </c>
      <c r="I3" s="1" t="s">
        <v>12</v>
      </c>
      <c r="J3" s="2" t="s">
        <v>13</v>
      </c>
      <c r="K3" s="72" t="s">
        <v>14</v>
      </c>
      <c r="L3" s="64"/>
      <c r="M3" s="67"/>
    </row>
    <row r="4" spans="1:13" ht="28.2" customHeight="1" x14ac:dyDescent="0.25">
      <c r="A4" s="62"/>
      <c r="B4" s="62"/>
      <c r="C4" s="62"/>
      <c r="D4" s="65"/>
      <c r="E4" s="68"/>
      <c r="F4" s="3"/>
      <c r="G4" s="3"/>
      <c r="H4" s="3"/>
      <c r="I4" s="3"/>
      <c r="J4" s="3"/>
      <c r="K4" s="73"/>
      <c r="L4" s="65"/>
      <c r="M4" s="68"/>
    </row>
    <row r="5" spans="1:13" ht="17.25" customHeight="1" x14ac:dyDescent="0.25">
      <c r="A5" s="78">
        <v>14</v>
      </c>
      <c r="B5" s="52" t="s">
        <v>53</v>
      </c>
      <c r="C5" s="52" t="s">
        <v>56</v>
      </c>
      <c r="D5" s="9">
        <v>1</v>
      </c>
      <c r="E5" s="7">
        <v>359</v>
      </c>
      <c r="F5" s="7">
        <v>70</v>
      </c>
      <c r="G5" s="9">
        <v>196</v>
      </c>
      <c r="H5" s="7">
        <v>76</v>
      </c>
      <c r="I5" s="7">
        <v>3</v>
      </c>
      <c r="J5" s="7">
        <v>7</v>
      </c>
      <c r="K5" s="10">
        <v>352</v>
      </c>
      <c r="L5" s="12">
        <v>7</v>
      </c>
      <c r="M5" s="10">
        <v>0</v>
      </c>
    </row>
    <row r="6" spans="1:13" ht="17.25" customHeight="1" x14ac:dyDescent="0.25">
      <c r="A6" s="82"/>
      <c r="B6" s="53"/>
      <c r="C6" s="53"/>
      <c r="D6" s="9">
        <v>2</v>
      </c>
      <c r="E6" s="7">
        <v>609</v>
      </c>
      <c r="F6" s="7">
        <v>162</v>
      </c>
      <c r="G6" s="9">
        <v>270</v>
      </c>
      <c r="H6" s="7">
        <v>170</v>
      </c>
      <c r="I6" s="7">
        <v>2</v>
      </c>
      <c r="J6" s="7">
        <v>2</v>
      </c>
      <c r="K6" s="10">
        <v>606</v>
      </c>
      <c r="L6" s="12">
        <v>3</v>
      </c>
      <c r="M6" s="10">
        <v>0</v>
      </c>
    </row>
    <row r="7" spans="1:13" ht="17.25" customHeight="1" x14ac:dyDescent="0.25">
      <c r="A7" s="82"/>
      <c r="B7" s="53"/>
      <c r="C7" s="53"/>
      <c r="D7" s="9">
        <v>3</v>
      </c>
      <c r="E7" s="7">
        <v>582</v>
      </c>
      <c r="F7" s="7">
        <v>200</v>
      </c>
      <c r="G7" s="9">
        <v>226</v>
      </c>
      <c r="H7" s="7">
        <v>146</v>
      </c>
      <c r="I7" s="7">
        <v>3</v>
      </c>
      <c r="J7" s="7">
        <v>2</v>
      </c>
      <c r="K7" s="10">
        <v>577</v>
      </c>
      <c r="L7" s="12">
        <v>5</v>
      </c>
      <c r="M7" s="10">
        <v>0</v>
      </c>
    </row>
    <row r="8" spans="1:13" ht="17.25" customHeight="1" x14ac:dyDescent="0.25">
      <c r="A8" s="82"/>
      <c r="B8" s="53"/>
      <c r="C8" s="53"/>
      <c r="D8" s="9">
        <v>4</v>
      </c>
      <c r="E8" s="7">
        <v>567</v>
      </c>
      <c r="F8" s="7">
        <v>156</v>
      </c>
      <c r="G8" s="9">
        <v>239</v>
      </c>
      <c r="H8" s="7">
        <v>166</v>
      </c>
      <c r="I8" s="7">
        <v>2</v>
      </c>
      <c r="J8" s="7">
        <v>4</v>
      </c>
      <c r="K8" s="10">
        <v>567</v>
      </c>
      <c r="L8" s="12">
        <v>0</v>
      </c>
      <c r="M8" s="10">
        <v>0</v>
      </c>
    </row>
    <row r="9" spans="1:13" ht="17.25" customHeight="1" x14ac:dyDescent="0.25">
      <c r="A9" s="82"/>
      <c r="B9" s="53"/>
      <c r="C9" s="53"/>
      <c r="D9" s="9">
        <v>5</v>
      </c>
      <c r="E9" s="7">
        <v>591</v>
      </c>
      <c r="F9" s="7">
        <v>171</v>
      </c>
      <c r="G9" s="9">
        <v>241</v>
      </c>
      <c r="H9" s="7">
        <v>175</v>
      </c>
      <c r="I9" s="7">
        <v>1</v>
      </c>
      <c r="J9" s="7">
        <v>3</v>
      </c>
      <c r="K9" s="10">
        <v>591</v>
      </c>
      <c r="L9" s="12">
        <v>0</v>
      </c>
      <c r="M9" s="10">
        <v>0</v>
      </c>
    </row>
    <row r="10" spans="1:13" ht="17.25" customHeight="1" x14ac:dyDescent="0.25">
      <c r="A10" s="79"/>
      <c r="B10" s="54"/>
      <c r="C10" s="54"/>
      <c r="D10" s="9">
        <v>6</v>
      </c>
      <c r="E10" s="7">
        <v>592</v>
      </c>
      <c r="F10" s="7">
        <v>191</v>
      </c>
      <c r="G10" s="9">
        <v>242</v>
      </c>
      <c r="H10" s="7">
        <v>153</v>
      </c>
      <c r="I10" s="7">
        <v>2</v>
      </c>
      <c r="J10" s="7">
        <v>4</v>
      </c>
      <c r="K10" s="10">
        <v>592</v>
      </c>
      <c r="L10" s="12">
        <v>0</v>
      </c>
      <c r="M10" s="10">
        <v>0</v>
      </c>
    </row>
    <row r="11" spans="1:13" ht="17.25" customHeight="1" x14ac:dyDescent="0.25">
      <c r="A11" s="78">
        <v>15</v>
      </c>
      <c r="B11" s="74" t="s">
        <v>57</v>
      </c>
      <c r="C11" s="83" t="s">
        <v>58</v>
      </c>
      <c r="D11" s="9">
        <v>1</v>
      </c>
      <c r="E11" s="7">
        <v>301</v>
      </c>
      <c r="F11" s="7">
        <v>32</v>
      </c>
      <c r="G11" s="9">
        <v>139</v>
      </c>
      <c r="H11" s="7">
        <v>125</v>
      </c>
      <c r="I11" s="7">
        <v>1</v>
      </c>
      <c r="J11" s="7">
        <v>0</v>
      </c>
      <c r="K11" s="10">
        <v>297</v>
      </c>
      <c r="L11" s="12">
        <v>4</v>
      </c>
      <c r="M11" s="10">
        <v>0</v>
      </c>
    </row>
    <row r="12" spans="1:13" ht="17.25" customHeight="1" x14ac:dyDescent="0.25">
      <c r="A12" s="82"/>
      <c r="B12" s="75"/>
      <c r="C12" s="84"/>
      <c r="D12" s="9">
        <v>2</v>
      </c>
      <c r="E12" s="7">
        <v>384</v>
      </c>
      <c r="F12" s="7">
        <v>51</v>
      </c>
      <c r="G12" s="9">
        <v>155</v>
      </c>
      <c r="H12" s="7">
        <v>174</v>
      </c>
      <c r="I12" s="7">
        <v>1</v>
      </c>
      <c r="J12" s="7">
        <v>0</v>
      </c>
      <c r="K12" s="10">
        <v>381</v>
      </c>
      <c r="L12" s="12">
        <v>3</v>
      </c>
      <c r="M12" s="10">
        <v>0</v>
      </c>
    </row>
    <row r="13" spans="1:13" ht="17.25" customHeight="1" x14ac:dyDescent="0.25">
      <c r="A13" s="82"/>
      <c r="B13" s="75"/>
      <c r="C13" s="84"/>
      <c r="D13" s="9">
        <v>3</v>
      </c>
      <c r="E13" s="7">
        <v>388</v>
      </c>
      <c r="F13" s="7">
        <v>48</v>
      </c>
      <c r="G13" s="9">
        <v>127</v>
      </c>
      <c r="H13" s="7">
        <v>205</v>
      </c>
      <c r="I13" s="7">
        <v>2</v>
      </c>
      <c r="J13" s="7">
        <v>2</v>
      </c>
      <c r="K13" s="10">
        <v>384</v>
      </c>
      <c r="L13" s="12">
        <v>4</v>
      </c>
      <c r="M13" s="10">
        <v>0</v>
      </c>
    </row>
    <row r="14" spans="1:13" ht="17.25" customHeight="1" x14ac:dyDescent="0.25">
      <c r="A14" s="82"/>
      <c r="B14" s="75"/>
      <c r="C14" s="84"/>
      <c r="D14" s="9">
        <v>4</v>
      </c>
      <c r="E14" s="7">
        <v>611</v>
      </c>
      <c r="F14" s="7">
        <v>121</v>
      </c>
      <c r="G14" s="9">
        <v>184</v>
      </c>
      <c r="H14" s="7">
        <v>295</v>
      </c>
      <c r="I14" s="7">
        <v>1</v>
      </c>
      <c r="J14" s="7">
        <v>8</v>
      </c>
      <c r="K14" s="10">
        <v>609</v>
      </c>
      <c r="L14" s="12">
        <v>2</v>
      </c>
      <c r="M14" s="10">
        <v>0</v>
      </c>
    </row>
    <row r="15" spans="1:13" ht="17.25" customHeight="1" x14ac:dyDescent="0.25">
      <c r="A15" s="82"/>
      <c r="B15" s="75"/>
      <c r="C15" s="84"/>
      <c r="D15" s="9">
        <v>5</v>
      </c>
      <c r="E15" s="7">
        <v>585</v>
      </c>
      <c r="F15" s="7">
        <v>136</v>
      </c>
      <c r="G15" s="9">
        <v>177</v>
      </c>
      <c r="H15" s="7">
        <v>256</v>
      </c>
      <c r="I15" s="7">
        <v>2</v>
      </c>
      <c r="J15" s="7">
        <v>6</v>
      </c>
      <c r="K15" s="10">
        <v>577</v>
      </c>
      <c r="L15" s="12">
        <v>8</v>
      </c>
      <c r="M15" s="10">
        <v>0</v>
      </c>
    </row>
    <row r="16" spans="1:13" ht="17.25" customHeight="1" x14ac:dyDescent="0.25">
      <c r="A16" s="82"/>
      <c r="B16" s="75"/>
      <c r="C16" s="84"/>
      <c r="D16" s="9">
        <v>6</v>
      </c>
      <c r="E16" s="7">
        <v>573</v>
      </c>
      <c r="F16" s="7">
        <v>133</v>
      </c>
      <c r="G16" s="9">
        <v>218</v>
      </c>
      <c r="H16" s="7">
        <v>216</v>
      </c>
      <c r="I16" s="7">
        <v>1</v>
      </c>
      <c r="J16" s="7">
        <v>4</v>
      </c>
      <c r="K16" s="10">
        <v>572</v>
      </c>
      <c r="L16" s="12">
        <v>1</v>
      </c>
      <c r="M16" s="10">
        <v>0</v>
      </c>
    </row>
    <row r="17" spans="1:13" ht="17.25" customHeight="1" x14ac:dyDescent="0.25">
      <c r="A17" s="82"/>
      <c r="B17" s="75"/>
      <c r="C17" s="84"/>
      <c r="D17" s="9">
        <v>7</v>
      </c>
      <c r="E17" s="7">
        <v>568</v>
      </c>
      <c r="F17" s="7">
        <v>133</v>
      </c>
      <c r="G17" s="9">
        <v>212</v>
      </c>
      <c r="H17" s="7">
        <v>218</v>
      </c>
      <c r="I17" s="7">
        <v>1</v>
      </c>
      <c r="J17" s="7">
        <v>3</v>
      </c>
      <c r="K17" s="10">
        <v>567</v>
      </c>
      <c r="L17" s="12">
        <v>1</v>
      </c>
      <c r="M17" s="10">
        <v>0</v>
      </c>
    </row>
    <row r="18" spans="1:13" ht="17.25" customHeight="1" x14ac:dyDescent="0.25">
      <c r="A18" s="82"/>
      <c r="B18" s="75"/>
      <c r="C18" s="84"/>
      <c r="D18" s="9">
        <v>8</v>
      </c>
      <c r="E18" s="7">
        <v>574</v>
      </c>
      <c r="F18" s="7">
        <v>136</v>
      </c>
      <c r="G18" s="9">
        <v>204</v>
      </c>
      <c r="H18" s="7">
        <v>228</v>
      </c>
      <c r="I18" s="7">
        <v>2</v>
      </c>
      <c r="J18" s="7">
        <v>2</v>
      </c>
      <c r="K18" s="10">
        <v>572</v>
      </c>
      <c r="L18" s="12">
        <v>2</v>
      </c>
      <c r="M18" s="10">
        <v>0</v>
      </c>
    </row>
    <row r="19" spans="1:13" ht="17.25" customHeight="1" x14ac:dyDescent="0.25">
      <c r="A19" s="79"/>
      <c r="B19" s="76"/>
      <c r="C19" s="85"/>
      <c r="D19" s="9">
        <v>9</v>
      </c>
      <c r="E19" s="7">
        <v>614</v>
      </c>
      <c r="F19" s="7">
        <v>173</v>
      </c>
      <c r="G19" s="9">
        <v>207</v>
      </c>
      <c r="H19" s="7">
        <v>227</v>
      </c>
      <c r="I19" s="7">
        <v>3</v>
      </c>
      <c r="J19" s="7">
        <v>1</v>
      </c>
      <c r="K19" s="10">
        <v>611</v>
      </c>
      <c r="L19" s="12">
        <v>3</v>
      </c>
      <c r="M19" s="10">
        <v>0</v>
      </c>
    </row>
    <row r="20" spans="1:13" ht="17.25" customHeight="1" x14ac:dyDescent="0.25">
      <c r="A20" s="78">
        <v>16</v>
      </c>
      <c r="B20" s="80" t="s">
        <v>59</v>
      </c>
      <c r="C20" s="86" t="s">
        <v>60</v>
      </c>
      <c r="D20" s="9">
        <v>1</v>
      </c>
      <c r="E20" s="7">
        <v>262</v>
      </c>
      <c r="F20" s="7">
        <v>10</v>
      </c>
      <c r="G20" s="9">
        <v>110</v>
      </c>
      <c r="H20" s="7">
        <v>111</v>
      </c>
      <c r="I20" s="7">
        <v>16</v>
      </c>
      <c r="J20" s="7">
        <v>3</v>
      </c>
      <c r="K20" s="10">
        <v>250</v>
      </c>
      <c r="L20" s="9">
        <v>12</v>
      </c>
      <c r="M20" s="10">
        <v>0</v>
      </c>
    </row>
    <row r="21" spans="1:13" ht="17.25" customHeight="1" x14ac:dyDescent="0.25">
      <c r="A21" s="79"/>
      <c r="B21" s="81"/>
      <c r="C21" s="87"/>
      <c r="D21" s="9">
        <v>2</v>
      </c>
      <c r="E21" s="7">
        <v>287</v>
      </c>
      <c r="F21" s="7">
        <v>32</v>
      </c>
      <c r="G21" s="9">
        <v>100</v>
      </c>
      <c r="H21" s="7">
        <v>142</v>
      </c>
      <c r="I21" s="7">
        <v>9</v>
      </c>
      <c r="J21" s="7">
        <v>0</v>
      </c>
      <c r="K21" s="10">
        <v>283</v>
      </c>
      <c r="L21" s="12">
        <v>4</v>
      </c>
      <c r="M21" s="10">
        <v>0</v>
      </c>
    </row>
    <row r="22" spans="1:13" ht="17.25" customHeight="1" x14ac:dyDescent="0.25">
      <c r="A22" s="78">
        <v>17</v>
      </c>
      <c r="B22" s="80" t="s">
        <v>61</v>
      </c>
      <c r="C22" s="86" t="s">
        <v>62</v>
      </c>
      <c r="D22" s="9">
        <v>1</v>
      </c>
      <c r="E22" s="7">
        <v>354</v>
      </c>
      <c r="F22" s="7">
        <v>50</v>
      </c>
      <c r="G22" s="9">
        <v>259</v>
      </c>
      <c r="H22" s="7">
        <v>40</v>
      </c>
      <c r="I22" s="7">
        <v>1</v>
      </c>
      <c r="J22" s="7">
        <v>1</v>
      </c>
      <c r="K22" s="10">
        <v>351</v>
      </c>
      <c r="L22" s="12">
        <v>3</v>
      </c>
      <c r="M22" s="10">
        <v>0</v>
      </c>
    </row>
    <row r="23" spans="1:13" ht="17.25" customHeight="1" x14ac:dyDescent="0.25">
      <c r="A23" s="79"/>
      <c r="B23" s="81"/>
      <c r="C23" s="87"/>
      <c r="D23" s="9">
        <v>2</v>
      </c>
      <c r="E23" s="7">
        <v>469</v>
      </c>
      <c r="F23" s="7">
        <v>141</v>
      </c>
      <c r="G23" s="9">
        <v>281</v>
      </c>
      <c r="H23" s="7">
        <v>44</v>
      </c>
      <c r="I23" s="7">
        <v>0</v>
      </c>
      <c r="J23" s="7">
        <v>1</v>
      </c>
      <c r="K23" s="10">
        <v>467</v>
      </c>
      <c r="L23" s="12">
        <v>2</v>
      </c>
      <c r="M23" s="10">
        <v>0</v>
      </c>
    </row>
    <row r="24" spans="1:13" ht="37.950000000000003" customHeight="1" x14ac:dyDescent="0.25"/>
    <row r="25" spans="1:13" ht="310.05" customHeight="1" x14ac:dyDescent="0.25"/>
    <row r="26" spans="1:13" ht="310.05" customHeight="1" x14ac:dyDescent="0.25"/>
  </sheetData>
  <mergeCells count="22"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  <mergeCell ref="A5:A10"/>
    <mergeCell ref="B5:B10"/>
    <mergeCell ref="C5:C10"/>
    <mergeCell ref="A11:A19"/>
    <mergeCell ref="B11:B19"/>
    <mergeCell ref="C11:C19"/>
    <mergeCell ref="A20:A21"/>
    <mergeCell ref="B20:B21"/>
    <mergeCell ref="C20:C21"/>
    <mergeCell ref="A22:A23"/>
    <mergeCell ref="B22:B23"/>
    <mergeCell ref="C22:C2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4"/>
  <sheetViews>
    <sheetView workbookViewId="0">
      <selection activeCell="A5" sqref="A5:M21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57" t="s">
        <v>63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9"/>
    </row>
    <row r="2" spans="1:13" ht="18" customHeight="1" x14ac:dyDescent="0.25">
      <c r="A2" s="60" t="s">
        <v>1</v>
      </c>
      <c r="B2" s="60" t="s">
        <v>2</v>
      </c>
      <c r="C2" s="60" t="s">
        <v>3</v>
      </c>
      <c r="D2" s="63" t="s">
        <v>4</v>
      </c>
      <c r="E2" s="66" t="s">
        <v>5</v>
      </c>
      <c r="F2" s="69" t="s">
        <v>6</v>
      </c>
      <c r="G2" s="70"/>
      <c r="H2" s="70"/>
      <c r="I2" s="70"/>
      <c r="J2" s="70"/>
      <c r="K2" s="71"/>
      <c r="L2" s="63" t="s">
        <v>7</v>
      </c>
      <c r="M2" s="66" t="s">
        <v>8</v>
      </c>
    </row>
    <row r="3" spans="1:13" ht="37.950000000000003" customHeight="1" x14ac:dyDescent="0.25">
      <c r="A3" s="61"/>
      <c r="B3" s="61"/>
      <c r="C3" s="61"/>
      <c r="D3" s="64"/>
      <c r="E3" s="67"/>
      <c r="F3" s="1" t="s">
        <v>9</v>
      </c>
      <c r="G3" s="17" t="s">
        <v>10</v>
      </c>
      <c r="H3" s="1" t="s">
        <v>11</v>
      </c>
      <c r="I3" s="1" t="s">
        <v>12</v>
      </c>
      <c r="J3" s="2" t="s">
        <v>13</v>
      </c>
      <c r="K3" s="72" t="s">
        <v>14</v>
      </c>
      <c r="L3" s="64"/>
      <c r="M3" s="67"/>
    </row>
    <row r="4" spans="1:13" ht="28.2" customHeight="1" x14ac:dyDescent="0.25">
      <c r="A4" s="62"/>
      <c r="B4" s="62"/>
      <c r="C4" s="62"/>
      <c r="D4" s="65"/>
      <c r="E4" s="68"/>
      <c r="F4" s="3"/>
      <c r="G4" s="3"/>
      <c r="H4" s="3"/>
      <c r="I4" s="3"/>
      <c r="J4" s="3"/>
      <c r="K4" s="73"/>
      <c r="L4" s="65"/>
      <c r="M4" s="68"/>
    </row>
    <row r="5" spans="1:13" ht="17.25" customHeight="1" x14ac:dyDescent="0.25">
      <c r="A5" s="78">
        <v>18</v>
      </c>
      <c r="B5" s="80" t="s">
        <v>64</v>
      </c>
      <c r="C5" s="52" t="s">
        <v>65</v>
      </c>
      <c r="D5" s="9">
        <v>1</v>
      </c>
      <c r="E5" s="7">
        <v>343</v>
      </c>
      <c r="F5" s="7">
        <v>52</v>
      </c>
      <c r="G5" s="9">
        <v>241</v>
      </c>
      <c r="H5" s="7">
        <v>45</v>
      </c>
      <c r="I5" s="7">
        <v>2</v>
      </c>
      <c r="J5" s="7">
        <v>2</v>
      </c>
      <c r="K5" s="10">
        <v>342</v>
      </c>
      <c r="L5" s="18">
        <v>1</v>
      </c>
      <c r="M5" s="10">
        <v>0</v>
      </c>
    </row>
    <row r="6" spans="1:13" ht="17.25" customHeight="1" x14ac:dyDescent="0.25">
      <c r="A6" s="82"/>
      <c r="B6" s="88"/>
      <c r="C6" s="53"/>
      <c r="D6" s="9">
        <v>2</v>
      </c>
      <c r="E6" s="7">
        <v>379</v>
      </c>
      <c r="F6" s="7">
        <v>80</v>
      </c>
      <c r="G6" s="9">
        <v>248</v>
      </c>
      <c r="H6" s="7">
        <v>45</v>
      </c>
      <c r="I6" s="7">
        <v>0</v>
      </c>
      <c r="J6" s="7">
        <v>1</v>
      </c>
      <c r="K6" s="10">
        <v>374</v>
      </c>
      <c r="L6" s="18">
        <v>5</v>
      </c>
      <c r="M6" s="10">
        <v>0</v>
      </c>
    </row>
    <row r="7" spans="1:13" ht="17.25" customHeight="1" x14ac:dyDescent="0.25">
      <c r="A7" s="79"/>
      <c r="B7" s="81"/>
      <c r="C7" s="54"/>
      <c r="D7" s="9">
        <v>3</v>
      </c>
      <c r="E7" s="7">
        <v>338</v>
      </c>
      <c r="F7" s="7">
        <v>87</v>
      </c>
      <c r="G7" s="9">
        <v>195</v>
      </c>
      <c r="H7" s="7">
        <v>53</v>
      </c>
      <c r="I7" s="7">
        <v>0</v>
      </c>
      <c r="J7" s="7">
        <v>1</v>
      </c>
      <c r="K7" s="10">
        <v>336</v>
      </c>
      <c r="L7" s="18">
        <v>2</v>
      </c>
      <c r="M7" s="10">
        <v>0</v>
      </c>
    </row>
    <row r="8" spans="1:13" ht="17.25" customHeight="1" x14ac:dyDescent="0.25">
      <c r="A8" s="78">
        <v>19</v>
      </c>
      <c r="B8" s="47" t="s">
        <v>66</v>
      </c>
      <c r="C8" s="86" t="s">
        <v>67</v>
      </c>
      <c r="D8" s="9">
        <v>1</v>
      </c>
      <c r="E8" s="7">
        <v>361</v>
      </c>
      <c r="F8" s="7">
        <v>52</v>
      </c>
      <c r="G8" s="9">
        <v>256</v>
      </c>
      <c r="H8" s="7">
        <v>49</v>
      </c>
      <c r="I8" s="7">
        <v>1</v>
      </c>
      <c r="J8" s="7">
        <v>1</v>
      </c>
      <c r="K8" s="10">
        <v>359</v>
      </c>
      <c r="L8" s="18">
        <v>2</v>
      </c>
      <c r="M8" s="10">
        <v>0</v>
      </c>
    </row>
    <row r="9" spans="1:13" ht="17.25" customHeight="1" x14ac:dyDescent="0.25">
      <c r="A9" s="79"/>
      <c r="B9" s="48"/>
      <c r="C9" s="87"/>
      <c r="D9" s="9">
        <v>2</v>
      </c>
      <c r="E9" s="7">
        <v>480</v>
      </c>
      <c r="F9" s="7">
        <v>117</v>
      </c>
      <c r="G9" s="9">
        <v>277</v>
      </c>
      <c r="H9" s="7">
        <v>84</v>
      </c>
      <c r="I9" s="7">
        <v>0</v>
      </c>
      <c r="J9" s="7">
        <v>2</v>
      </c>
      <c r="K9" s="10">
        <v>480</v>
      </c>
      <c r="L9" s="18">
        <v>0</v>
      </c>
      <c r="M9" s="10">
        <v>0</v>
      </c>
    </row>
    <row r="10" spans="1:13" ht="17.25" customHeight="1" x14ac:dyDescent="0.25">
      <c r="A10" s="78">
        <v>20</v>
      </c>
      <c r="B10" s="44" t="s">
        <v>68</v>
      </c>
      <c r="C10" s="52" t="s">
        <v>69</v>
      </c>
      <c r="D10" s="9">
        <v>1</v>
      </c>
      <c r="E10" s="7">
        <v>334</v>
      </c>
      <c r="F10" s="7">
        <v>38</v>
      </c>
      <c r="G10" s="9">
        <v>206</v>
      </c>
      <c r="H10" s="7">
        <v>76</v>
      </c>
      <c r="I10" s="7">
        <v>5</v>
      </c>
      <c r="J10" s="7">
        <v>0</v>
      </c>
      <c r="K10" s="10">
        <v>325</v>
      </c>
      <c r="L10" s="18">
        <v>9</v>
      </c>
      <c r="M10" s="10">
        <v>0</v>
      </c>
    </row>
    <row r="11" spans="1:13" ht="17.25" customHeight="1" x14ac:dyDescent="0.25">
      <c r="A11" s="82"/>
      <c r="B11" s="45"/>
      <c r="C11" s="53"/>
      <c r="D11" s="9">
        <v>2</v>
      </c>
      <c r="E11" s="7">
        <v>390</v>
      </c>
      <c r="F11" s="7">
        <v>64</v>
      </c>
      <c r="G11" s="9">
        <v>220</v>
      </c>
      <c r="H11" s="7">
        <v>90</v>
      </c>
      <c r="I11" s="7">
        <v>4</v>
      </c>
      <c r="J11" s="7">
        <v>7</v>
      </c>
      <c r="K11" s="10">
        <v>385</v>
      </c>
      <c r="L11" s="18">
        <v>4</v>
      </c>
      <c r="M11" s="10">
        <v>1</v>
      </c>
    </row>
    <row r="12" spans="1:13" ht="17.25" customHeight="1" x14ac:dyDescent="0.25">
      <c r="A12" s="82"/>
      <c r="B12" s="45"/>
      <c r="C12" s="53"/>
      <c r="D12" s="9">
        <v>3</v>
      </c>
      <c r="E12" s="7">
        <v>542</v>
      </c>
      <c r="F12" s="7">
        <v>111</v>
      </c>
      <c r="G12" s="9">
        <v>281</v>
      </c>
      <c r="H12" s="7">
        <v>140</v>
      </c>
      <c r="I12" s="7">
        <v>3</v>
      </c>
      <c r="J12" s="7">
        <v>2</v>
      </c>
      <c r="K12" s="10">
        <v>537</v>
      </c>
      <c r="L12" s="18">
        <v>5</v>
      </c>
      <c r="M12" s="10">
        <v>0</v>
      </c>
    </row>
    <row r="13" spans="1:13" ht="17.25" customHeight="1" x14ac:dyDescent="0.25">
      <c r="A13" s="82"/>
      <c r="B13" s="45"/>
      <c r="C13" s="53"/>
      <c r="D13" s="9">
        <v>4</v>
      </c>
      <c r="E13" s="7">
        <v>464</v>
      </c>
      <c r="F13" s="7">
        <v>108</v>
      </c>
      <c r="G13" s="9">
        <v>219</v>
      </c>
      <c r="H13" s="7">
        <v>124</v>
      </c>
      <c r="I13" s="7">
        <v>10</v>
      </c>
      <c r="J13" s="7">
        <v>1</v>
      </c>
      <c r="K13" s="10">
        <v>462</v>
      </c>
      <c r="L13" s="18">
        <v>2</v>
      </c>
      <c r="M13" s="10">
        <v>0</v>
      </c>
    </row>
    <row r="14" spans="1:13" ht="17.25" customHeight="1" x14ac:dyDescent="0.25">
      <c r="A14" s="82"/>
      <c r="B14" s="45"/>
      <c r="C14" s="53"/>
      <c r="D14" s="9">
        <v>5</v>
      </c>
      <c r="E14" s="7">
        <v>485</v>
      </c>
      <c r="F14" s="7">
        <v>101</v>
      </c>
      <c r="G14" s="9">
        <v>256</v>
      </c>
      <c r="H14" s="7">
        <v>121</v>
      </c>
      <c r="I14" s="7">
        <v>6</v>
      </c>
      <c r="J14" s="7">
        <v>1</v>
      </c>
      <c r="K14" s="10">
        <v>485</v>
      </c>
      <c r="L14" s="18">
        <v>0</v>
      </c>
      <c r="M14" s="10">
        <v>0</v>
      </c>
    </row>
    <row r="15" spans="1:13" ht="17.25" customHeight="1" x14ac:dyDescent="0.25">
      <c r="A15" s="82"/>
      <c r="B15" s="45"/>
      <c r="C15" s="53"/>
      <c r="D15" s="9">
        <v>6</v>
      </c>
      <c r="E15" s="7">
        <v>522</v>
      </c>
      <c r="F15" s="7">
        <v>108</v>
      </c>
      <c r="G15" s="9">
        <v>260</v>
      </c>
      <c r="H15" s="7">
        <v>147</v>
      </c>
      <c r="I15" s="7">
        <v>6</v>
      </c>
      <c r="J15" s="7">
        <v>0</v>
      </c>
      <c r="K15" s="10">
        <v>521</v>
      </c>
      <c r="L15" s="18">
        <v>1</v>
      </c>
      <c r="M15" s="10">
        <v>0</v>
      </c>
    </row>
    <row r="16" spans="1:13" ht="17.25" customHeight="1" x14ac:dyDescent="0.25">
      <c r="A16" s="79"/>
      <c r="B16" s="46"/>
      <c r="C16" s="54"/>
      <c r="D16" s="9">
        <v>7</v>
      </c>
      <c r="E16" s="7">
        <v>538</v>
      </c>
      <c r="F16" s="7">
        <v>105</v>
      </c>
      <c r="G16" s="9">
        <v>287</v>
      </c>
      <c r="H16" s="7">
        <v>131</v>
      </c>
      <c r="I16" s="7">
        <v>5</v>
      </c>
      <c r="J16" s="7">
        <v>4</v>
      </c>
      <c r="K16" s="10">
        <v>532</v>
      </c>
      <c r="L16" s="18">
        <v>6</v>
      </c>
      <c r="M16" s="10">
        <v>0</v>
      </c>
    </row>
    <row r="17" spans="1:13" ht="17.25" customHeight="1" x14ac:dyDescent="0.25">
      <c r="A17" s="78">
        <v>21</v>
      </c>
      <c r="B17" s="74" t="s">
        <v>70</v>
      </c>
      <c r="C17" s="47" t="s">
        <v>71</v>
      </c>
      <c r="D17" s="9">
        <v>1</v>
      </c>
      <c r="E17" s="7">
        <v>337</v>
      </c>
      <c r="F17" s="7">
        <v>19</v>
      </c>
      <c r="G17" s="9">
        <v>192</v>
      </c>
      <c r="H17" s="7">
        <v>111</v>
      </c>
      <c r="I17" s="7">
        <v>11</v>
      </c>
      <c r="J17" s="7">
        <v>1</v>
      </c>
      <c r="K17" s="10">
        <v>334</v>
      </c>
      <c r="L17" s="18">
        <v>3</v>
      </c>
      <c r="M17" s="10">
        <v>0</v>
      </c>
    </row>
    <row r="18" spans="1:13" ht="17.25" customHeight="1" x14ac:dyDescent="0.25">
      <c r="A18" s="82"/>
      <c r="B18" s="75"/>
      <c r="C18" s="77"/>
      <c r="D18" s="9">
        <v>2</v>
      </c>
      <c r="E18" s="7">
        <v>378</v>
      </c>
      <c r="F18" s="7">
        <v>35</v>
      </c>
      <c r="G18" s="9">
        <v>176</v>
      </c>
      <c r="H18" s="7">
        <v>144</v>
      </c>
      <c r="I18" s="7">
        <v>12</v>
      </c>
      <c r="J18" s="7">
        <v>3</v>
      </c>
      <c r="K18" s="10">
        <v>370</v>
      </c>
      <c r="L18" s="18">
        <v>8</v>
      </c>
      <c r="M18" s="10">
        <v>0</v>
      </c>
    </row>
    <row r="19" spans="1:13" ht="17.25" customHeight="1" x14ac:dyDescent="0.25">
      <c r="A19" s="82"/>
      <c r="B19" s="75"/>
      <c r="C19" s="77"/>
      <c r="D19" s="9">
        <v>3</v>
      </c>
      <c r="E19" s="7">
        <v>538</v>
      </c>
      <c r="F19" s="7">
        <v>68</v>
      </c>
      <c r="G19" s="9">
        <v>206</v>
      </c>
      <c r="H19" s="7">
        <v>241</v>
      </c>
      <c r="I19" s="7">
        <v>18</v>
      </c>
      <c r="J19" s="7">
        <v>1</v>
      </c>
      <c r="K19" s="10">
        <v>534</v>
      </c>
      <c r="L19" s="18">
        <v>4</v>
      </c>
      <c r="M19" s="10">
        <v>0</v>
      </c>
    </row>
    <row r="20" spans="1:13" ht="17.25" customHeight="1" x14ac:dyDescent="0.25">
      <c r="A20" s="82"/>
      <c r="B20" s="75"/>
      <c r="C20" s="77"/>
      <c r="D20" s="9">
        <v>4</v>
      </c>
      <c r="E20" s="7">
        <v>507</v>
      </c>
      <c r="F20" s="7">
        <v>71</v>
      </c>
      <c r="G20" s="9">
        <v>202</v>
      </c>
      <c r="H20" s="7">
        <v>212</v>
      </c>
      <c r="I20" s="7">
        <v>19</v>
      </c>
      <c r="J20" s="7">
        <v>0</v>
      </c>
      <c r="K20" s="10">
        <v>504</v>
      </c>
      <c r="L20" s="18">
        <v>3</v>
      </c>
      <c r="M20" s="10">
        <v>0</v>
      </c>
    </row>
    <row r="21" spans="1:13" ht="17.25" customHeight="1" x14ac:dyDescent="0.25">
      <c r="A21" s="79"/>
      <c r="B21" s="76"/>
      <c r="C21" s="48"/>
      <c r="D21" s="9">
        <v>5</v>
      </c>
      <c r="E21" s="7">
        <v>498</v>
      </c>
      <c r="F21" s="7">
        <v>79</v>
      </c>
      <c r="G21" s="9">
        <v>204</v>
      </c>
      <c r="H21" s="7">
        <v>200</v>
      </c>
      <c r="I21" s="7">
        <v>12</v>
      </c>
      <c r="J21" s="7">
        <v>2</v>
      </c>
      <c r="K21" s="10">
        <v>497</v>
      </c>
      <c r="L21" s="18">
        <v>1</v>
      </c>
      <c r="M21" s="10">
        <v>0</v>
      </c>
    </row>
    <row r="22" spans="1:13" ht="37.950000000000003" customHeight="1" x14ac:dyDescent="0.25"/>
    <row r="23" spans="1:13" ht="277.05" customHeight="1" x14ac:dyDescent="0.25"/>
    <row r="24" spans="1:13" ht="277.05" customHeight="1" x14ac:dyDescent="0.25"/>
  </sheetData>
  <mergeCells count="22"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  <mergeCell ref="A5:A7"/>
    <mergeCell ref="B5:B7"/>
    <mergeCell ref="C5:C7"/>
    <mergeCell ref="A8:A9"/>
    <mergeCell ref="B8:B9"/>
    <mergeCell ref="C8:C9"/>
    <mergeCell ref="A10:A16"/>
    <mergeCell ref="B10:B16"/>
    <mergeCell ref="C10:C16"/>
    <mergeCell ref="A17:A21"/>
    <mergeCell ref="B17:B21"/>
    <mergeCell ref="C17:C2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7"/>
  <sheetViews>
    <sheetView topLeftCell="A5" workbookViewId="0">
      <selection activeCell="A5" sqref="A5:M24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57" t="s">
        <v>72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9"/>
    </row>
    <row r="2" spans="1:13" ht="18" customHeight="1" x14ac:dyDescent="0.25">
      <c r="A2" s="60" t="s">
        <v>1</v>
      </c>
      <c r="B2" s="60" t="s">
        <v>2</v>
      </c>
      <c r="C2" s="60" t="s">
        <v>3</v>
      </c>
      <c r="D2" s="63" t="s">
        <v>4</v>
      </c>
      <c r="E2" s="66" t="s">
        <v>5</v>
      </c>
      <c r="F2" s="69" t="s">
        <v>6</v>
      </c>
      <c r="G2" s="70"/>
      <c r="H2" s="70"/>
      <c r="I2" s="70"/>
      <c r="J2" s="70"/>
      <c r="K2" s="71"/>
      <c r="L2" s="63" t="s">
        <v>7</v>
      </c>
      <c r="M2" s="66" t="s">
        <v>8</v>
      </c>
    </row>
    <row r="3" spans="1:13" ht="37.950000000000003" customHeight="1" x14ac:dyDescent="0.25">
      <c r="A3" s="61"/>
      <c r="B3" s="61"/>
      <c r="C3" s="61"/>
      <c r="D3" s="64"/>
      <c r="E3" s="67"/>
      <c r="F3" s="1" t="s">
        <v>9</v>
      </c>
      <c r="G3" s="17" t="s">
        <v>10</v>
      </c>
      <c r="H3" s="1" t="s">
        <v>11</v>
      </c>
      <c r="I3" s="1" t="s">
        <v>12</v>
      </c>
      <c r="J3" s="2" t="s">
        <v>13</v>
      </c>
      <c r="K3" s="72" t="s">
        <v>14</v>
      </c>
      <c r="L3" s="64"/>
      <c r="M3" s="67"/>
    </row>
    <row r="4" spans="1:13" ht="28.2" customHeight="1" x14ac:dyDescent="0.25">
      <c r="A4" s="62"/>
      <c r="B4" s="62"/>
      <c r="C4" s="62"/>
      <c r="D4" s="65"/>
      <c r="E4" s="68"/>
      <c r="F4" s="3"/>
      <c r="G4" s="3"/>
      <c r="H4" s="3"/>
      <c r="I4" s="3"/>
      <c r="J4" s="3"/>
      <c r="K4" s="73"/>
      <c r="L4" s="65"/>
      <c r="M4" s="68"/>
    </row>
    <row r="5" spans="1:13" ht="17.25" customHeight="1" x14ac:dyDescent="0.25">
      <c r="A5" s="78">
        <v>22</v>
      </c>
      <c r="B5" s="86" t="s">
        <v>73</v>
      </c>
      <c r="C5" s="52" t="s">
        <v>74</v>
      </c>
      <c r="D5" s="9">
        <v>1</v>
      </c>
      <c r="E5" s="7">
        <v>345</v>
      </c>
      <c r="F5" s="7">
        <v>22</v>
      </c>
      <c r="G5" s="9">
        <v>238</v>
      </c>
      <c r="H5" s="7">
        <v>72</v>
      </c>
      <c r="I5" s="7">
        <v>3</v>
      </c>
      <c r="J5" s="7">
        <v>2</v>
      </c>
      <c r="K5" s="10">
        <v>337</v>
      </c>
      <c r="L5" s="12">
        <v>8</v>
      </c>
      <c r="M5" s="10">
        <v>0</v>
      </c>
    </row>
    <row r="6" spans="1:13" ht="17.25" customHeight="1" x14ac:dyDescent="0.25">
      <c r="A6" s="82"/>
      <c r="B6" s="91"/>
      <c r="C6" s="53"/>
      <c r="D6" s="9">
        <v>2</v>
      </c>
      <c r="E6" s="7">
        <v>399</v>
      </c>
      <c r="F6" s="7">
        <v>66</v>
      </c>
      <c r="G6" s="9">
        <v>270</v>
      </c>
      <c r="H6" s="7">
        <v>55</v>
      </c>
      <c r="I6" s="7">
        <v>1</v>
      </c>
      <c r="J6" s="7">
        <v>4</v>
      </c>
      <c r="K6" s="10">
        <v>396</v>
      </c>
      <c r="L6" s="12">
        <v>3</v>
      </c>
      <c r="M6" s="10">
        <v>0</v>
      </c>
    </row>
    <row r="7" spans="1:13" ht="17.25" customHeight="1" x14ac:dyDescent="0.25">
      <c r="A7" s="82"/>
      <c r="B7" s="91"/>
      <c r="C7" s="53"/>
      <c r="D7" s="9">
        <v>3</v>
      </c>
      <c r="E7" s="7">
        <v>558</v>
      </c>
      <c r="F7" s="7">
        <v>133</v>
      </c>
      <c r="G7" s="9">
        <v>324</v>
      </c>
      <c r="H7" s="7">
        <v>84</v>
      </c>
      <c r="I7" s="7">
        <v>1</v>
      </c>
      <c r="J7" s="7">
        <v>6</v>
      </c>
      <c r="K7" s="10">
        <v>548</v>
      </c>
      <c r="L7" s="9">
        <v>10</v>
      </c>
      <c r="M7" s="10">
        <v>0</v>
      </c>
    </row>
    <row r="8" spans="1:13" ht="17.25" customHeight="1" x14ac:dyDescent="0.25">
      <c r="A8" s="82"/>
      <c r="B8" s="91"/>
      <c r="C8" s="53"/>
      <c r="D8" s="9">
        <v>4</v>
      </c>
      <c r="E8" s="7">
        <v>523</v>
      </c>
      <c r="F8" s="7">
        <v>140</v>
      </c>
      <c r="G8" s="9">
        <v>318</v>
      </c>
      <c r="H8" s="7">
        <v>61</v>
      </c>
      <c r="I8" s="7">
        <v>2</v>
      </c>
      <c r="J8" s="7">
        <v>2</v>
      </c>
      <c r="K8" s="10">
        <v>523</v>
      </c>
      <c r="L8" s="12">
        <v>0</v>
      </c>
      <c r="M8" s="10">
        <v>0</v>
      </c>
    </row>
    <row r="9" spans="1:13" ht="17.25" customHeight="1" x14ac:dyDescent="0.25">
      <c r="A9" s="79"/>
      <c r="B9" s="87"/>
      <c r="C9" s="54"/>
      <c r="D9" s="9">
        <v>5</v>
      </c>
      <c r="E9" s="7">
        <v>559</v>
      </c>
      <c r="F9" s="7">
        <v>159</v>
      </c>
      <c r="G9" s="9">
        <v>299</v>
      </c>
      <c r="H9" s="7">
        <v>96</v>
      </c>
      <c r="I9" s="7">
        <v>1</v>
      </c>
      <c r="J9" s="7">
        <v>3</v>
      </c>
      <c r="K9" s="10">
        <v>558</v>
      </c>
      <c r="L9" s="12">
        <v>1</v>
      </c>
      <c r="M9" s="10">
        <v>0</v>
      </c>
    </row>
    <row r="10" spans="1:13" ht="17.25" customHeight="1" x14ac:dyDescent="0.25">
      <c r="A10" s="78">
        <v>23</v>
      </c>
      <c r="B10" s="52" t="s">
        <v>75</v>
      </c>
      <c r="C10" s="47" t="s">
        <v>76</v>
      </c>
      <c r="D10" s="9">
        <v>1</v>
      </c>
      <c r="E10" s="7">
        <v>380</v>
      </c>
      <c r="F10" s="7">
        <v>77</v>
      </c>
      <c r="G10" s="9">
        <v>238</v>
      </c>
      <c r="H10" s="7">
        <v>62</v>
      </c>
      <c r="I10" s="7">
        <v>0</v>
      </c>
      <c r="J10" s="7">
        <v>1</v>
      </c>
      <c r="K10" s="10">
        <v>378</v>
      </c>
      <c r="L10" s="12">
        <v>2</v>
      </c>
      <c r="M10" s="10">
        <v>0</v>
      </c>
    </row>
    <row r="11" spans="1:13" ht="17.25" customHeight="1" x14ac:dyDescent="0.25">
      <c r="A11" s="82"/>
      <c r="B11" s="53"/>
      <c r="C11" s="77"/>
      <c r="D11" s="9">
        <v>2</v>
      </c>
      <c r="E11" s="7">
        <v>595</v>
      </c>
      <c r="F11" s="7">
        <v>149</v>
      </c>
      <c r="G11" s="9">
        <v>325</v>
      </c>
      <c r="H11" s="7">
        <v>114</v>
      </c>
      <c r="I11" s="7">
        <v>0</v>
      </c>
      <c r="J11" s="7">
        <v>6</v>
      </c>
      <c r="K11" s="10">
        <v>594</v>
      </c>
      <c r="L11" s="12">
        <v>1</v>
      </c>
      <c r="M11" s="10">
        <v>0</v>
      </c>
    </row>
    <row r="12" spans="1:13" ht="17.25" customHeight="1" x14ac:dyDescent="0.25">
      <c r="A12" s="82"/>
      <c r="B12" s="53"/>
      <c r="C12" s="77"/>
      <c r="D12" s="9">
        <v>3</v>
      </c>
      <c r="E12" s="7">
        <v>560</v>
      </c>
      <c r="F12" s="7">
        <v>144</v>
      </c>
      <c r="G12" s="9">
        <v>257</v>
      </c>
      <c r="H12" s="7">
        <v>159</v>
      </c>
      <c r="I12" s="7">
        <v>0</v>
      </c>
      <c r="J12" s="7">
        <v>0</v>
      </c>
      <c r="K12" s="10">
        <v>560</v>
      </c>
      <c r="L12" s="12">
        <v>0</v>
      </c>
      <c r="M12" s="10">
        <v>0</v>
      </c>
    </row>
    <row r="13" spans="1:13" ht="17.25" customHeight="1" x14ac:dyDescent="0.25">
      <c r="A13" s="82"/>
      <c r="B13" s="53"/>
      <c r="C13" s="77"/>
      <c r="D13" s="9">
        <v>4</v>
      </c>
      <c r="E13" s="7">
        <v>580</v>
      </c>
      <c r="F13" s="7">
        <v>154</v>
      </c>
      <c r="G13" s="9">
        <v>237</v>
      </c>
      <c r="H13" s="7">
        <v>184</v>
      </c>
      <c r="I13" s="7">
        <v>3</v>
      </c>
      <c r="J13" s="7">
        <v>0</v>
      </c>
      <c r="K13" s="10">
        <v>578</v>
      </c>
      <c r="L13" s="12">
        <v>2</v>
      </c>
      <c r="M13" s="10">
        <v>0</v>
      </c>
    </row>
    <row r="14" spans="1:13" ht="17.25" customHeight="1" x14ac:dyDescent="0.25">
      <c r="A14" s="82"/>
      <c r="B14" s="53"/>
      <c r="C14" s="48"/>
      <c r="D14" s="9">
        <v>5</v>
      </c>
      <c r="E14" s="7">
        <v>615</v>
      </c>
      <c r="F14" s="7">
        <v>222</v>
      </c>
      <c r="G14" s="9">
        <v>247</v>
      </c>
      <c r="H14" s="7">
        <v>144</v>
      </c>
      <c r="I14" s="7">
        <v>0</v>
      </c>
      <c r="J14" s="7">
        <v>1</v>
      </c>
      <c r="K14" s="10">
        <v>614</v>
      </c>
      <c r="L14" s="12">
        <v>1</v>
      </c>
      <c r="M14" s="10">
        <v>0</v>
      </c>
    </row>
    <row r="15" spans="1:13" ht="17.25" customHeight="1" x14ac:dyDescent="0.25">
      <c r="A15" s="82"/>
      <c r="B15" s="53"/>
      <c r="C15" s="52" t="s">
        <v>77</v>
      </c>
      <c r="D15" s="9">
        <v>1</v>
      </c>
      <c r="E15" s="7">
        <v>304</v>
      </c>
      <c r="F15" s="7">
        <v>23</v>
      </c>
      <c r="G15" s="9">
        <v>175</v>
      </c>
      <c r="H15" s="7">
        <v>95</v>
      </c>
      <c r="I15" s="7">
        <v>2</v>
      </c>
      <c r="J15" s="7">
        <v>0</v>
      </c>
      <c r="K15" s="10">
        <v>295</v>
      </c>
      <c r="L15" s="12">
        <v>9</v>
      </c>
      <c r="M15" s="10">
        <v>0</v>
      </c>
    </row>
    <row r="16" spans="1:13" ht="17.25" customHeight="1" x14ac:dyDescent="0.25">
      <c r="A16" s="82"/>
      <c r="B16" s="53"/>
      <c r="C16" s="53"/>
      <c r="D16" s="9">
        <v>2</v>
      </c>
      <c r="E16" s="7">
        <v>369</v>
      </c>
      <c r="F16" s="7">
        <v>46</v>
      </c>
      <c r="G16" s="9">
        <v>204</v>
      </c>
      <c r="H16" s="7">
        <v>113</v>
      </c>
      <c r="I16" s="7">
        <v>2</v>
      </c>
      <c r="J16" s="7">
        <v>3</v>
      </c>
      <c r="K16" s="10">
        <v>368</v>
      </c>
      <c r="L16" s="12">
        <v>1</v>
      </c>
      <c r="M16" s="10">
        <v>0</v>
      </c>
    </row>
    <row r="17" spans="1:13" ht="17.25" customHeight="1" x14ac:dyDescent="0.25">
      <c r="A17" s="82"/>
      <c r="B17" s="53"/>
      <c r="C17" s="53"/>
      <c r="D17" s="9">
        <v>3</v>
      </c>
      <c r="E17" s="7">
        <v>492</v>
      </c>
      <c r="F17" s="7">
        <v>90</v>
      </c>
      <c r="G17" s="9">
        <v>208</v>
      </c>
      <c r="H17" s="7">
        <v>179</v>
      </c>
      <c r="I17" s="7">
        <v>9</v>
      </c>
      <c r="J17" s="7">
        <v>3</v>
      </c>
      <c r="K17" s="10">
        <v>489</v>
      </c>
      <c r="L17" s="12">
        <v>3</v>
      </c>
      <c r="M17" s="10">
        <v>0</v>
      </c>
    </row>
    <row r="18" spans="1:13" ht="17.25" customHeight="1" x14ac:dyDescent="0.25">
      <c r="A18" s="79"/>
      <c r="B18" s="54"/>
      <c r="C18" s="54"/>
      <c r="D18" s="9">
        <v>4</v>
      </c>
      <c r="E18" s="7">
        <v>493</v>
      </c>
      <c r="F18" s="7">
        <v>97</v>
      </c>
      <c r="G18" s="9">
        <v>223</v>
      </c>
      <c r="H18" s="7">
        <v>164</v>
      </c>
      <c r="I18" s="7">
        <v>3</v>
      </c>
      <c r="J18" s="7">
        <v>3</v>
      </c>
      <c r="K18" s="10">
        <v>490</v>
      </c>
      <c r="L18" s="12">
        <v>3</v>
      </c>
      <c r="M18" s="10">
        <v>0</v>
      </c>
    </row>
    <row r="19" spans="1:13" ht="17.25" customHeight="1" x14ac:dyDescent="0.25">
      <c r="A19" s="78">
        <v>24</v>
      </c>
      <c r="B19" s="89" t="s">
        <v>78</v>
      </c>
      <c r="C19" s="47" t="s">
        <v>79</v>
      </c>
      <c r="D19" s="9">
        <v>1</v>
      </c>
      <c r="E19" s="7">
        <v>256</v>
      </c>
      <c r="F19" s="7">
        <v>20</v>
      </c>
      <c r="G19" s="9">
        <v>167</v>
      </c>
      <c r="H19" s="7">
        <v>66</v>
      </c>
      <c r="I19" s="7">
        <v>0</v>
      </c>
      <c r="J19" s="7">
        <v>2</v>
      </c>
      <c r="K19" s="10">
        <v>255</v>
      </c>
      <c r="L19" s="12">
        <v>1</v>
      </c>
      <c r="M19" s="10">
        <v>0</v>
      </c>
    </row>
    <row r="20" spans="1:13" ht="17.25" customHeight="1" x14ac:dyDescent="0.25">
      <c r="A20" s="79"/>
      <c r="B20" s="90"/>
      <c r="C20" s="48"/>
      <c r="D20" s="9">
        <v>2</v>
      </c>
      <c r="E20" s="7">
        <v>363</v>
      </c>
      <c r="F20" s="7">
        <v>85</v>
      </c>
      <c r="G20" s="9">
        <v>205</v>
      </c>
      <c r="H20" s="7">
        <v>67</v>
      </c>
      <c r="I20" s="7">
        <v>0</v>
      </c>
      <c r="J20" s="7">
        <v>4</v>
      </c>
      <c r="K20" s="10">
        <v>361</v>
      </c>
      <c r="L20" s="12">
        <v>2</v>
      </c>
      <c r="M20" s="10">
        <v>0</v>
      </c>
    </row>
    <row r="21" spans="1:13" ht="17.25" customHeight="1" x14ac:dyDescent="0.25">
      <c r="A21" s="78">
        <v>25</v>
      </c>
      <c r="B21" s="80" t="s">
        <v>80</v>
      </c>
      <c r="C21" s="80" t="s">
        <v>81</v>
      </c>
      <c r="D21" s="9">
        <v>1</v>
      </c>
      <c r="E21" s="7">
        <v>353</v>
      </c>
      <c r="F21" s="7">
        <v>51</v>
      </c>
      <c r="G21" s="9">
        <v>255</v>
      </c>
      <c r="H21" s="7">
        <v>42</v>
      </c>
      <c r="I21" s="7">
        <v>0</v>
      </c>
      <c r="J21" s="7">
        <v>2</v>
      </c>
      <c r="K21" s="10">
        <v>350</v>
      </c>
      <c r="L21" s="12">
        <v>3</v>
      </c>
      <c r="M21" s="10">
        <v>0</v>
      </c>
    </row>
    <row r="22" spans="1:13" ht="17.25" customHeight="1" x14ac:dyDescent="0.25">
      <c r="A22" s="79"/>
      <c r="B22" s="81"/>
      <c r="C22" s="81"/>
      <c r="D22" s="9">
        <v>2</v>
      </c>
      <c r="E22" s="7">
        <v>509</v>
      </c>
      <c r="F22" s="7">
        <v>131</v>
      </c>
      <c r="G22" s="9">
        <v>300</v>
      </c>
      <c r="H22" s="7">
        <v>77</v>
      </c>
      <c r="I22" s="7">
        <v>0</v>
      </c>
      <c r="J22" s="7">
        <v>1</v>
      </c>
      <c r="K22" s="10">
        <v>509</v>
      </c>
      <c r="L22" s="12">
        <v>0</v>
      </c>
      <c r="M22" s="10">
        <v>0</v>
      </c>
    </row>
    <row r="23" spans="1:13" ht="17.25" customHeight="1" x14ac:dyDescent="0.25">
      <c r="A23" s="78">
        <v>26</v>
      </c>
      <c r="B23" s="80" t="s">
        <v>82</v>
      </c>
      <c r="C23" s="86" t="s">
        <v>83</v>
      </c>
      <c r="D23" s="9">
        <v>1</v>
      </c>
      <c r="E23" s="7">
        <v>381</v>
      </c>
      <c r="F23" s="7">
        <v>41</v>
      </c>
      <c r="G23" s="9">
        <v>274</v>
      </c>
      <c r="H23" s="7">
        <v>50</v>
      </c>
      <c r="I23" s="7">
        <v>1</v>
      </c>
      <c r="J23" s="7">
        <v>10</v>
      </c>
      <c r="K23" s="10">
        <v>376</v>
      </c>
      <c r="L23" s="12">
        <v>5</v>
      </c>
      <c r="M23" s="10">
        <v>0</v>
      </c>
    </row>
    <row r="24" spans="1:13" ht="17.25" customHeight="1" x14ac:dyDescent="0.25">
      <c r="A24" s="79"/>
      <c r="B24" s="81"/>
      <c r="C24" s="87"/>
      <c r="D24" s="9">
        <v>2</v>
      </c>
      <c r="E24" s="7">
        <v>589</v>
      </c>
      <c r="F24" s="7">
        <v>157</v>
      </c>
      <c r="G24" s="9">
        <v>329</v>
      </c>
      <c r="H24" s="7">
        <v>95</v>
      </c>
      <c r="I24" s="7">
        <v>0</v>
      </c>
      <c r="J24" s="7">
        <v>4</v>
      </c>
      <c r="K24" s="10">
        <v>585</v>
      </c>
      <c r="L24" s="12">
        <v>4</v>
      </c>
      <c r="M24" s="10">
        <v>0</v>
      </c>
    </row>
    <row r="25" spans="1:13" ht="37.950000000000003" customHeight="1" x14ac:dyDescent="0.25"/>
    <row r="26" spans="1:13" ht="325.95" customHeight="1" x14ac:dyDescent="0.25"/>
    <row r="27" spans="1:13" ht="325.95" customHeight="1" x14ac:dyDescent="0.25"/>
  </sheetData>
  <mergeCells count="26"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  <mergeCell ref="A5:A9"/>
    <mergeCell ref="B5:B9"/>
    <mergeCell ref="C5:C9"/>
    <mergeCell ref="A10:A18"/>
    <mergeCell ref="B10:B18"/>
    <mergeCell ref="C10:C14"/>
    <mergeCell ref="C15:C18"/>
    <mergeCell ref="A23:A24"/>
    <mergeCell ref="B23:B24"/>
    <mergeCell ref="C23:C24"/>
    <mergeCell ref="A19:A20"/>
    <mergeCell ref="B19:B20"/>
    <mergeCell ref="C19:C20"/>
    <mergeCell ref="A21:A22"/>
    <mergeCell ref="B21:B22"/>
    <mergeCell ref="C21:C2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8"/>
  <sheetViews>
    <sheetView topLeftCell="A5" workbookViewId="0">
      <selection activeCell="A5" sqref="A5:M25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57" t="s">
        <v>84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9"/>
    </row>
    <row r="2" spans="1:13" ht="18" customHeight="1" x14ac:dyDescent="0.25">
      <c r="A2" s="60" t="s">
        <v>1</v>
      </c>
      <c r="B2" s="60" t="s">
        <v>2</v>
      </c>
      <c r="C2" s="60" t="s">
        <v>3</v>
      </c>
      <c r="D2" s="63" t="s">
        <v>4</v>
      </c>
      <c r="E2" s="66" t="s">
        <v>5</v>
      </c>
      <c r="F2" s="69" t="s">
        <v>6</v>
      </c>
      <c r="G2" s="70"/>
      <c r="H2" s="70"/>
      <c r="I2" s="70"/>
      <c r="J2" s="70"/>
      <c r="K2" s="71"/>
      <c r="L2" s="63" t="s">
        <v>7</v>
      </c>
      <c r="M2" s="66" t="s">
        <v>8</v>
      </c>
    </row>
    <row r="3" spans="1:13" ht="37.950000000000003" customHeight="1" x14ac:dyDescent="0.25">
      <c r="A3" s="61"/>
      <c r="B3" s="61"/>
      <c r="C3" s="61"/>
      <c r="D3" s="64"/>
      <c r="E3" s="67"/>
      <c r="F3" s="1" t="s">
        <v>9</v>
      </c>
      <c r="G3" s="17" t="s">
        <v>10</v>
      </c>
      <c r="H3" s="1" t="s">
        <v>11</v>
      </c>
      <c r="I3" s="1" t="s">
        <v>12</v>
      </c>
      <c r="J3" s="2" t="s">
        <v>13</v>
      </c>
      <c r="K3" s="72" t="s">
        <v>14</v>
      </c>
      <c r="L3" s="64"/>
      <c r="M3" s="67"/>
    </row>
    <row r="4" spans="1:13" ht="28.2" customHeight="1" x14ac:dyDescent="0.25">
      <c r="A4" s="62"/>
      <c r="B4" s="62"/>
      <c r="C4" s="62"/>
      <c r="D4" s="65"/>
      <c r="E4" s="68"/>
      <c r="F4" s="3"/>
      <c r="G4" s="3"/>
      <c r="H4" s="3"/>
      <c r="I4" s="3"/>
      <c r="J4" s="3"/>
      <c r="K4" s="73"/>
      <c r="L4" s="65"/>
      <c r="M4" s="68"/>
    </row>
    <row r="5" spans="1:13" ht="17.25" customHeight="1" x14ac:dyDescent="0.25">
      <c r="A5" s="78">
        <v>27</v>
      </c>
      <c r="B5" s="44" t="s">
        <v>85</v>
      </c>
      <c r="C5" s="52" t="s">
        <v>86</v>
      </c>
      <c r="D5" s="9">
        <v>1</v>
      </c>
      <c r="E5" s="7">
        <v>364</v>
      </c>
      <c r="F5" s="7">
        <v>32</v>
      </c>
      <c r="G5" s="9">
        <v>266</v>
      </c>
      <c r="H5" s="7">
        <v>49</v>
      </c>
      <c r="I5" s="7">
        <v>1</v>
      </c>
      <c r="J5" s="7">
        <v>3</v>
      </c>
      <c r="K5" s="10">
        <v>351</v>
      </c>
      <c r="L5" s="9">
        <v>13</v>
      </c>
      <c r="M5" s="10">
        <v>0</v>
      </c>
    </row>
    <row r="6" spans="1:13" ht="17.25" customHeight="1" x14ac:dyDescent="0.25">
      <c r="A6" s="82"/>
      <c r="B6" s="45"/>
      <c r="C6" s="53"/>
      <c r="D6" s="9">
        <v>2</v>
      </c>
      <c r="E6" s="7">
        <v>391</v>
      </c>
      <c r="F6" s="7">
        <v>59</v>
      </c>
      <c r="G6" s="9">
        <v>293</v>
      </c>
      <c r="H6" s="7">
        <v>37</v>
      </c>
      <c r="I6" s="7">
        <v>1</v>
      </c>
      <c r="J6" s="7">
        <v>1</v>
      </c>
      <c r="K6" s="10">
        <v>391</v>
      </c>
      <c r="L6" s="12">
        <v>0</v>
      </c>
      <c r="M6" s="10">
        <v>0</v>
      </c>
    </row>
    <row r="7" spans="1:13" ht="17.25" customHeight="1" x14ac:dyDescent="0.25">
      <c r="A7" s="82"/>
      <c r="B7" s="45"/>
      <c r="C7" s="53"/>
      <c r="D7" s="9">
        <v>3</v>
      </c>
      <c r="E7" s="7">
        <v>404</v>
      </c>
      <c r="F7" s="7">
        <v>91</v>
      </c>
      <c r="G7" s="9">
        <v>256</v>
      </c>
      <c r="H7" s="7">
        <v>51</v>
      </c>
      <c r="I7" s="7">
        <v>0</v>
      </c>
      <c r="J7" s="7">
        <v>1</v>
      </c>
      <c r="K7" s="10">
        <v>399</v>
      </c>
      <c r="L7" s="12">
        <v>5</v>
      </c>
      <c r="M7" s="10">
        <v>0</v>
      </c>
    </row>
    <row r="8" spans="1:13" ht="17.25" customHeight="1" x14ac:dyDescent="0.25">
      <c r="A8" s="82"/>
      <c r="B8" s="45"/>
      <c r="C8" s="53"/>
      <c r="D8" s="9">
        <v>4</v>
      </c>
      <c r="E8" s="7">
        <v>399</v>
      </c>
      <c r="F8" s="7">
        <v>108</v>
      </c>
      <c r="G8" s="9">
        <v>234</v>
      </c>
      <c r="H8" s="7">
        <v>56</v>
      </c>
      <c r="I8" s="7">
        <v>0</v>
      </c>
      <c r="J8" s="7">
        <v>0</v>
      </c>
      <c r="K8" s="10">
        <v>398</v>
      </c>
      <c r="L8" s="12">
        <v>1</v>
      </c>
      <c r="M8" s="10">
        <v>0</v>
      </c>
    </row>
    <row r="9" spans="1:13" ht="17.25" customHeight="1" x14ac:dyDescent="0.25">
      <c r="A9" s="79"/>
      <c r="B9" s="46"/>
      <c r="C9" s="54"/>
      <c r="D9" s="9">
        <v>5</v>
      </c>
      <c r="E9" s="7">
        <v>434</v>
      </c>
      <c r="F9" s="7">
        <v>103</v>
      </c>
      <c r="G9" s="9">
        <v>274</v>
      </c>
      <c r="H9" s="7">
        <v>56</v>
      </c>
      <c r="I9" s="7">
        <v>0</v>
      </c>
      <c r="J9" s="7">
        <v>0</v>
      </c>
      <c r="K9" s="10">
        <v>433</v>
      </c>
      <c r="L9" s="12">
        <v>1</v>
      </c>
      <c r="M9" s="10">
        <v>0</v>
      </c>
    </row>
    <row r="10" spans="1:13" ht="17.25" customHeight="1" x14ac:dyDescent="0.25">
      <c r="A10" s="78">
        <v>28</v>
      </c>
      <c r="B10" s="80" t="s">
        <v>87</v>
      </c>
      <c r="C10" s="47" t="s">
        <v>88</v>
      </c>
      <c r="D10" s="9">
        <v>1</v>
      </c>
      <c r="E10" s="7">
        <v>380</v>
      </c>
      <c r="F10" s="7">
        <v>71</v>
      </c>
      <c r="G10" s="9">
        <v>198</v>
      </c>
      <c r="H10" s="7">
        <v>102</v>
      </c>
      <c r="I10" s="7">
        <v>0</v>
      </c>
      <c r="J10" s="7">
        <v>5</v>
      </c>
      <c r="K10" s="10">
        <v>376</v>
      </c>
      <c r="L10" s="12">
        <v>4</v>
      </c>
      <c r="M10" s="10">
        <v>0</v>
      </c>
    </row>
    <row r="11" spans="1:13" ht="17.25" customHeight="1" x14ac:dyDescent="0.25">
      <c r="A11" s="82"/>
      <c r="B11" s="88"/>
      <c r="C11" s="77"/>
      <c r="D11" s="9">
        <v>2</v>
      </c>
      <c r="E11" s="7">
        <v>488</v>
      </c>
      <c r="F11" s="7">
        <v>116</v>
      </c>
      <c r="G11" s="9">
        <v>252</v>
      </c>
      <c r="H11" s="7">
        <v>114</v>
      </c>
      <c r="I11" s="7">
        <v>3</v>
      </c>
      <c r="J11" s="7">
        <v>2</v>
      </c>
      <c r="K11" s="10">
        <v>487</v>
      </c>
      <c r="L11" s="12">
        <v>1</v>
      </c>
      <c r="M11" s="10">
        <v>0</v>
      </c>
    </row>
    <row r="12" spans="1:13" ht="17.25" customHeight="1" x14ac:dyDescent="0.25">
      <c r="A12" s="82"/>
      <c r="B12" s="88"/>
      <c r="C12" s="77"/>
      <c r="D12" s="9">
        <v>3</v>
      </c>
      <c r="E12" s="7">
        <v>450</v>
      </c>
      <c r="F12" s="7">
        <v>86</v>
      </c>
      <c r="G12" s="9">
        <v>214</v>
      </c>
      <c r="H12" s="7">
        <v>143</v>
      </c>
      <c r="I12" s="7">
        <v>3</v>
      </c>
      <c r="J12" s="7">
        <v>1</v>
      </c>
      <c r="K12" s="10">
        <v>447</v>
      </c>
      <c r="L12" s="12">
        <v>3</v>
      </c>
      <c r="M12" s="10">
        <v>0</v>
      </c>
    </row>
    <row r="13" spans="1:13" ht="17.25" customHeight="1" x14ac:dyDescent="0.25">
      <c r="A13" s="82"/>
      <c r="B13" s="88"/>
      <c r="C13" s="77"/>
      <c r="D13" s="9">
        <v>4</v>
      </c>
      <c r="E13" s="7">
        <v>438</v>
      </c>
      <c r="F13" s="7">
        <v>108</v>
      </c>
      <c r="G13" s="9">
        <v>183</v>
      </c>
      <c r="H13" s="7">
        <v>145</v>
      </c>
      <c r="I13" s="7">
        <v>1</v>
      </c>
      <c r="J13" s="7">
        <v>1</v>
      </c>
      <c r="K13" s="10">
        <v>438</v>
      </c>
      <c r="L13" s="12">
        <v>0</v>
      </c>
      <c r="M13" s="10">
        <v>0</v>
      </c>
    </row>
    <row r="14" spans="1:13" ht="17.25" customHeight="1" x14ac:dyDescent="0.25">
      <c r="A14" s="79"/>
      <c r="B14" s="81"/>
      <c r="C14" s="48"/>
      <c r="D14" s="9">
        <v>5</v>
      </c>
      <c r="E14" s="7">
        <v>420</v>
      </c>
      <c r="F14" s="7">
        <v>118</v>
      </c>
      <c r="G14" s="9">
        <v>183</v>
      </c>
      <c r="H14" s="7">
        <v>113</v>
      </c>
      <c r="I14" s="7">
        <v>1</v>
      </c>
      <c r="J14" s="7">
        <v>4</v>
      </c>
      <c r="K14" s="10">
        <v>419</v>
      </c>
      <c r="L14" s="12">
        <v>1</v>
      </c>
      <c r="M14" s="10">
        <v>0</v>
      </c>
    </row>
    <row r="15" spans="1:13" ht="17.25" customHeight="1" x14ac:dyDescent="0.25">
      <c r="A15" s="78">
        <v>29</v>
      </c>
      <c r="B15" s="44" t="s">
        <v>89</v>
      </c>
      <c r="C15" s="83" t="s">
        <v>90</v>
      </c>
      <c r="D15" s="9">
        <v>1</v>
      </c>
      <c r="E15" s="7">
        <v>345</v>
      </c>
      <c r="F15" s="7">
        <v>29</v>
      </c>
      <c r="G15" s="9">
        <v>229</v>
      </c>
      <c r="H15" s="7">
        <v>74</v>
      </c>
      <c r="I15" s="7">
        <v>2</v>
      </c>
      <c r="J15" s="7">
        <v>3</v>
      </c>
      <c r="K15" s="10">
        <v>337</v>
      </c>
      <c r="L15" s="12">
        <v>8</v>
      </c>
      <c r="M15" s="10">
        <v>0</v>
      </c>
    </row>
    <row r="16" spans="1:13" ht="17.25" customHeight="1" x14ac:dyDescent="0.25">
      <c r="A16" s="82"/>
      <c r="B16" s="45"/>
      <c r="C16" s="84"/>
      <c r="D16" s="9">
        <v>2</v>
      </c>
      <c r="E16" s="7">
        <v>382</v>
      </c>
      <c r="F16" s="7">
        <v>39</v>
      </c>
      <c r="G16" s="9">
        <v>230</v>
      </c>
      <c r="H16" s="7">
        <v>105</v>
      </c>
      <c r="I16" s="7">
        <v>0</v>
      </c>
      <c r="J16" s="7">
        <v>3</v>
      </c>
      <c r="K16" s="10">
        <v>377</v>
      </c>
      <c r="L16" s="12">
        <v>5</v>
      </c>
      <c r="M16" s="10">
        <v>0</v>
      </c>
    </row>
    <row r="17" spans="1:13" ht="17.25" customHeight="1" x14ac:dyDescent="0.25">
      <c r="A17" s="82"/>
      <c r="B17" s="45"/>
      <c r="C17" s="84"/>
      <c r="D17" s="9">
        <v>3</v>
      </c>
      <c r="E17" s="7">
        <v>579</v>
      </c>
      <c r="F17" s="7">
        <v>99</v>
      </c>
      <c r="G17" s="9">
        <v>349</v>
      </c>
      <c r="H17" s="7">
        <v>125</v>
      </c>
      <c r="I17" s="7">
        <v>0</v>
      </c>
      <c r="J17" s="7">
        <v>4</v>
      </c>
      <c r="K17" s="10">
        <v>577</v>
      </c>
      <c r="L17" s="12">
        <v>2</v>
      </c>
      <c r="M17" s="10">
        <v>0</v>
      </c>
    </row>
    <row r="18" spans="1:13" ht="17.25" customHeight="1" x14ac:dyDescent="0.25">
      <c r="A18" s="82"/>
      <c r="B18" s="45"/>
      <c r="C18" s="84"/>
      <c r="D18" s="9">
        <v>4</v>
      </c>
      <c r="E18" s="7">
        <v>538</v>
      </c>
      <c r="F18" s="7">
        <v>102</v>
      </c>
      <c r="G18" s="9">
        <v>267</v>
      </c>
      <c r="H18" s="7">
        <v>167</v>
      </c>
      <c r="I18" s="7">
        <v>0</v>
      </c>
      <c r="J18" s="7">
        <v>1</v>
      </c>
      <c r="K18" s="10">
        <v>537</v>
      </c>
      <c r="L18" s="12">
        <v>1</v>
      </c>
      <c r="M18" s="10">
        <v>0</v>
      </c>
    </row>
    <row r="19" spans="1:13" ht="17.25" customHeight="1" x14ac:dyDescent="0.25">
      <c r="A19" s="82"/>
      <c r="B19" s="45"/>
      <c r="C19" s="84"/>
      <c r="D19" s="9">
        <v>5</v>
      </c>
      <c r="E19" s="7">
        <v>529</v>
      </c>
      <c r="F19" s="7">
        <v>83</v>
      </c>
      <c r="G19" s="9">
        <v>278</v>
      </c>
      <c r="H19" s="7">
        <v>164</v>
      </c>
      <c r="I19" s="7">
        <v>0</v>
      </c>
      <c r="J19" s="7">
        <v>4</v>
      </c>
      <c r="K19" s="10">
        <v>529</v>
      </c>
      <c r="L19" s="12">
        <v>0</v>
      </c>
      <c r="M19" s="10">
        <v>0</v>
      </c>
    </row>
    <row r="20" spans="1:13" ht="17.25" customHeight="1" x14ac:dyDescent="0.25">
      <c r="A20" s="82"/>
      <c r="B20" s="45"/>
      <c r="C20" s="84"/>
      <c r="D20" s="9">
        <v>6</v>
      </c>
      <c r="E20" s="7">
        <v>528</v>
      </c>
      <c r="F20" s="7">
        <v>103</v>
      </c>
      <c r="G20" s="9">
        <v>258</v>
      </c>
      <c r="H20" s="7">
        <v>161</v>
      </c>
      <c r="I20" s="7">
        <v>1</v>
      </c>
      <c r="J20" s="7">
        <v>1</v>
      </c>
      <c r="K20" s="10">
        <v>524</v>
      </c>
      <c r="L20" s="12">
        <v>4</v>
      </c>
      <c r="M20" s="10">
        <v>0</v>
      </c>
    </row>
    <row r="21" spans="1:13" ht="17.25" customHeight="1" x14ac:dyDescent="0.25">
      <c r="A21" s="79"/>
      <c r="B21" s="46"/>
      <c r="C21" s="85"/>
      <c r="D21" s="9">
        <v>7</v>
      </c>
      <c r="E21" s="7">
        <v>558</v>
      </c>
      <c r="F21" s="7">
        <v>117</v>
      </c>
      <c r="G21" s="9">
        <v>272</v>
      </c>
      <c r="H21" s="7">
        <v>160</v>
      </c>
      <c r="I21" s="7">
        <v>0</v>
      </c>
      <c r="J21" s="7">
        <v>8</v>
      </c>
      <c r="K21" s="10">
        <v>557</v>
      </c>
      <c r="L21" s="12">
        <v>1</v>
      </c>
      <c r="M21" s="10">
        <v>0</v>
      </c>
    </row>
    <row r="22" spans="1:13" ht="17.25" customHeight="1" x14ac:dyDescent="0.25">
      <c r="A22" s="78">
        <v>30</v>
      </c>
      <c r="B22" s="47" t="s">
        <v>91</v>
      </c>
      <c r="C22" s="47" t="s">
        <v>92</v>
      </c>
      <c r="D22" s="9">
        <v>1</v>
      </c>
      <c r="E22" s="7">
        <v>394</v>
      </c>
      <c r="F22" s="7">
        <v>28</v>
      </c>
      <c r="G22" s="9">
        <v>255</v>
      </c>
      <c r="H22" s="7">
        <v>99</v>
      </c>
      <c r="I22" s="7">
        <v>1</v>
      </c>
      <c r="J22" s="7">
        <v>1</v>
      </c>
      <c r="K22" s="10">
        <v>384</v>
      </c>
      <c r="L22" s="9">
        <v>10</v>
      </c>
      <c r="M22" s="10">
        <v>0</v>
      </c>
    </row>
    <row r="23" spans="1:13" ht="17.25" customHeight="1" x14ac:dyDescent="0.25">
      <c r="A23" s="82"/>
      <c r="B23" s="77"/>
      <c r="C23" s="77"/>
      <c r="D23" s="9">
        <v>2</v>
      </c>
      <c r="E23" s="7">
        <v>637</v>
      </c>
      <c r="F23" s="7">
        <v>73</v>
      </c>
      <c r="G23" s="9">
        <v>300</v>
      </c>
      <c r="H23" s="7">
        <v>250</v>
      </c>
      <c r="I23" s="7">
        <v>8</v>
      </c>
      <c r="J23" s="7">
        <v>3</v>
      </c>
      <c r="K23" s="10">
        <v>634</v>
      </c>
      <c r="L23" s="12">
        <v>3</v>
      </c>
      <c r="M23" s="10">
        <v>0</v>
      </c>
    </row>
    <row r="24" spans="1:13" ht="17.25" customHeight="1" x14ac:dyDescent="0.25">
      <c r="A24" s="82"/>
      <c r="B24" s="77"/>
      <c r="C24" s="77"/>
      <c r="D24" s="9">
        <v>3</v>
      </c>
      <c r="E24" s="7">
        <v>591</v>
      </c>
      <c r="F24" s="7">
        <v>65</v>
      </c>
      <c r="G24" s="9">
        <v>310</v>
      </c>
      <c r="H24" s="7">
        <v>209</v>
      </c>
      <c r="I24" s="7">
        <v>1</v>
      </c>
      <c r="J24" s="7">
        <v>1</v>
      </c>
      <c r="K24" s="10">
        <v>586</v>
      </c>
      <c r="L24" s="12">
        <v>5</v>
      </c>
      <c r="M24" s="10">
        <v>0</v>
      </c>
    </row>
    <row r="25" spans="1:13" ht="17.25" customHeight="1" x14ac:dyDescent="0.25">
      <c r="A25" s="79"/>
      <c r="B25" s="48"/>
      <c r="C25" s="48"/>
      <c r="D25" s="9">
        <v>4</v>
      </c>
      <c r="E25" s="7">
        <v>611</v>
      </c>
      <c r="F25" s="7">
        <v>97</v>
      </c>
      <c r="G25" s="9">
        <v>310</v>
      </c>
      <c r="H25" s="7">
        <v>201</v>
      </c>
      <c r="I25" s="7">
        <v>2</v>
      </c>
      <c r="J25" s="7">
        <v>1</v>
      </c>
      <c r="K25" s="10">
        <v>611</v>
      </c>
      <c r="L25" s="12">
        <v>0</v>
      </c>
      <c r="M25" s="10">
        <v>0</v>
      </c>
    </row>
    <row r="26" spans="1:13" ht="37.950000000000003" customHeight="1" x14ac:dyDescent="0.25"/>
    <row r="27" spans="1:13" ht="342" customHeight="1" x14ac:dyDescent="0.25"/>
    <row r="28" spans="1:13" ht="342" customHeight="1" x14ac:dyDescent="0.25"/>
  </sheetData>
  <mergeCells count="22"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  <mergeCell ref="A5:A9"/>
    <mergeCell ref="B5:B9"/>
    <mergeCell ref="C5:C9"/>
    <mergeCell ref="A10:A14"/>
    <mergeCell ref="B10:B14"/>
    <mergeCell ref="C10:C14"/>
    <mergeCell ref="A15:A21"/>
    <mergeCell ref="B15:B21"/>
    <mergeCell ref="C15:C21"/>
    <mergeCell ref="A22:A25"/>
    <mergeCell ref="B22:B25"/>
    <mergeCell ref="C22:C2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5"/>
  <sheetViews>
    <sheetView topLeftCell="A3" workbookViewId="0">
      <selection activeCell="A5" sqref="A5:M22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57" t="s">
        <v>93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9"/>
    </row>
    <row r="2" spans="1:13" ht="18" customHeight="1" x14ac:dyDescent="0.25">
      <c r="A2" s="60" t="s">
        <v>1</v>
      </c>
      <c r="B2" s="60" t="s">
        <v>2</v>
      </c>
      <c r="C2" s="60" t="s">
        <v>3</v>
      </c>
      <c r="D2" s="63" t="s">
        <v>4</v>
      </c>
      <c r="E2" s="66" t="s">
        <v>5</v>
      </c>
      <c r="F2" s="69" t="s">
        <v>6</v>
      </c>
      <c r="G2" s="70"/>
      <c r="H2" s="70"/>
      <c r="I2" s="70"/>
      <c r="J2" s="70"/>
      <c r="K2" s="71"/>
      <c r="L2" s="63" t="s">
        <v>7</v>
      </c>
      <c r="M2" s="66" t="s">
        <v>8</v>
      </c>
    </row>
    <row r="3" spans="1:13" ht="37.950000000000003" customHeight="1" x14ac:dyDescent="0.25">
      <c r="A3" s="61"/>
      <c r="B3" s="61"/>
      <c r="C3" s="61"/>
      <c r="D3" s="64"/>
      <c r="E3" s="67"/>
      <c r="F3" s="1" t="s">
        <v>9</v>
      </c>
      <c r="G3" s="17" t="s">
        <v>10</v>
      </c>
      <c r="H3" s="1" t="s">
        <v>11</v>
      </c>
      <c r="I3" s="1" t="s">
        <v>12</v>
      </c>
      <c r="J3" s="2" t="s">
        <v>13</v>
      </c>
      <c r="K3" s="72" t="s">
        <v>14</v>
      </c>
      <c r="L3" s="64"/>
      <c r="M3" s="67"/>
    </row>
    <row r="4" spans="1:13" ht="28.2" customHeight="1" x14ac:dyDescent="0.25">
      <c r="A4" s="62"/>
      <c r="B4" s="62"/>
      <c r="C4" s="62"/>
      <c r="D4" s="65"/>
      <c r="E4" s="68"/>
      <c r="F4" s="3"/>
      <c r="G4" s="3"/>
      <c r="H4" s="3"/>
      <c r="I4" s="3"/>
      <c r="J4" s="3"/>
      <c r="K4" s="73"/>
      <c r="L4" s="65"/>
      <c r="M4" s="68"/>
    </row>
    <row r="5" spans="1:13" ht="17.25" customHeight="1" x14ac:dyDescent="0.25">
      <c r="A5" s="78">
        <v>31</v>
      </c>
      <c r="B5" s="80" t="s">
        <v>94</v>
      </c>
      <c r="C5" s="86" t="s">
        <v>95</v>
      </c>
      <c r="D5" s="9">
        <v>1</v>
      </c>
      <c r="E5" s="7">
        <v>284</v>
      </c>
      <c r="F5" s="7">
        <v>20</v>
      </c>
      <c r="G5" s="9">
        <v>143</v>
      </c>
      <c r="H5" s="7">
        <v>115</v>
      </c>
      <c r="I5" s="7">
        <v>2</v>
      </c>
      <c r="J5" s="7">
        <v>0</v>
      </c>
      <c r="K5" s="10">
        <v>280</v>
      </c>
      <c r="L5" s="18">
        <v>4</v>
      </c>
      <c r="M5" s="10">
        <v>0</v>
      </c>
    </row>
    <row r="6" spans="1:13" ht="17.25" customHeight="1" x14ac:dyDescent="0.25">
      <c r="A6" s="79"/>
      <c r="B6" s="81"/>
      <c r="C6" s="87"/>
      <c r="D6" s="9">
        <v>2</v>
      </c>
      <c r="E6" s="7">
        <v>282</v>
      </c>
      <c r="F6" s="7">
        <v>32</v>
      </c>
      <c r="G6" s="9">
        <v>111</v>
      </c>
      <c r="H6" s="7">
        <v>137</v>
      </c>
      <c r="I6" s="7">
        <v>1</v>
      </c>
      <c r="J6" s="7">
        <v>0</v>
      </c>
      <c r="K6" s="10">
        <v>281</v>
      </c>
      <c r="L6" s="18">
        <v>1</v>
      </c>
      <c r="M6" s="10">
        <v>0</v>
      </c>
    </row>
    <row r="7" spans="1:13" ht="17.25" customHeight="1" x14ac:dyDescent="0.25">
      <c r="A7" s="92">
        <v>32</v>
      </c>
      <c r="B7" s="80" t="s">
        <v>96</v>
      </c>
      <c r="C7" s="47" t="s">
        <v>97</v>
      </c>
      <c r="D7" s="9">
        <v>1</v>
      </c>
      <c r="E7" s="7">
        <v>241</v>
      </c>
      <c r="F7" s="7">
        <v>26</v>
      </c>
      <c r="G7" s="9">
        <v>155</v>
      </c>
      <c r="H7" s="7">
        <v>57</v>
      </c>
      <c r="I7" s="7">
        <v>0</v>
      </c>
      <c r="J7" s="7">
        <v>1</v>
      </c>
      <c r="K7" s="10">
        <v>239</v>
      </c>
      <c r="L7" s="18">
        <v>2</v>
      </c>
      <c r="M7" s="10">
        <v>0</v>
      </c>
    </row>
    <row r="8" spans="1:13" ht="25.5" customHeight="1" x14ac:dyDescent="0.25">
      <c r="A8" s="93"/>
      <c r="B8" s="81"/>
      <c r="C8" s="48"/>
      <c r="D8" s="9">
        <v>2</v>
      </c>
      <c r="E8" s="7">
        <v>249</v>
      </c>
      <c r="F8" s="7">
        <v>34</v>
      </c>
      <c r="G8" s="9">
        <v>183</v>
      </c>
      <c r="H8" s="7">
        <v>31</v>
      </c>
      <c r="I8" s="7">
        <v>0</v>
      </c>
      <c r="J8" s="7">
        <v>1</v>
      </c>
      <c r="K8" s="10">
        <v>249</v>
      </c>
      <c r="L8" s="18">
        <v>0</v>
      </c>
      <c r="M8" s="10">
        <v>0</v>
      </c>
    </row>
    <row r="9" spans="1:13" ht="17.25" customHeight="1" x14ac:dyDescent="0.25">
      <c r="A9" s="78">
        <v>33</v>
      </c>
      <c r="B9" s="74" t="s">
        <v>98</v>
      </c>
      <c r="C9" s="52" t="s">
        <v>99</v>
      </c>
      <c r="D9" s="9">
        <v>1</v>
      </c>
      <c r="E9" s="7">
        <v>324</v>
      </c>
      <c r="F9" s="7">
        <v>9</v>
      </c>
      <c r="G9" s="9">
        <v>165</v>
      </c>
      <c r="H9" s="7">
        <v>134</v>
      </c>
      <c r="I9" s="7">
        <v>5</v>
      </c>
      <c r="J9" s="7">
        <v>0</v>
      </c>
      <c r="K9" s="10">
        <v>313</v>
      </c>
      <c r="L9" s="19">
        <v>11</v>
      </c>
      <c r="M9" s="10">
        <v>0</v>
      </c>
    </row>
    <row r="10" spans="1:13" ht="17.25" customHeight="1" x14ac:dyDescent="0.25">
      <c r="A10" s="82"/>
      <c r="B10" s="75"/>
      <c r="C10" s="53"/>
      <c r="D10" s="9">
        <v>2</v>
      </c>
      <c r="E10" s="7">
        <v>370</v>
      </c>
      <c r="F10" s="7">
        <v>19</v>
      </c>
      <c r="G10" s="9">
        <v>171</v>
      </c>
      <c r="H10" s="7">
        <v>171</v>
      </c>
      <c r="I10" s="7">
        <v>3</v>
      </c>
      <c r="J10" s="7">
        <v>1</v>
      </c>
      <c r="K10" s="10">
        <v>365</v>
      </c>
      <c r="L10" s="18">
        <v>5</v>
      </c>
      <c r="M10" s="10">
        <v>0</v>
      </c>
    </row>
    <row r="11" spans="1:13" ht="17.25" customHeight="1" x14ac:dyDescent="0.25">
      <c r="A11" s="82"/>
      <c r="B11" s="75"/>
      <c r="C11" s="53"/>
      <c r="D11" s="9">
        <v>3</v>
      </c>
      <c r="E11" s="7">
        <v>523</v>
      </c>
      <c r="F11" s="7">
        <v>37</v>
      </c>
      <c r="G11" s="9">
        <v>211</v>
      </c>
      <c r="H11" s="7">
        <v>264</v>
      </c>
      <c r="I11" s="7">
        <v>6</v>
      </c>
      <c r="J11" s="7">
        <v>2</v>
      </c>
      <c r="K11" s="10">
        <v>520</v>
      </c>
      <c r="L11" s="18">
        <v>3</v>
      </c>
      <c r="M11" s="10">
        <v>0</v>
      </c>
    </row>
    <row r="12" spans="1:13" ht="17.25" customHeight="1" x14ac:dyDescent="0.25">
      <c r="A12" s="82"/>
      <c r="B12" s="75"/>
      <c r="C12" s="53"/>
      <c r="D12" s="9">
        <v>4</v>
      </c>
      <c r="E12" s="7">
        <v>496</v>
      </c>
      <c r="F12" s="7">
        <v>29</v>
      </c>
      <c r="G12" s="9">
        <v>188</v>
      </c>
      <c r="H12" s="7">
        <v>270</v>
      </c>
      <c r="I12" s="7">
        <v>7</v>
      </c>
      <c r="J12" s="7">
        <v>0</v>
      </c>
      <c r="K12" s="10">
        <v>494</v>
      </c>
      <c r="L12" s="18">
        <v>2</v>
      </c>
      <c r="M12" s="10">
        <v>0</v>
      </c>
    </row>
    <row r="13" spans="1:13" ht="17.25" customHeight="1" x14ac:dyDescent="0.25">
      <c r="A13" s="82"/>
      <c r="B13" s="75"/>
      <c r="C13" s="53"/>
      <c r="D13" s="9">
        <v>5</v>
      </c>
      <c r="E13" s="7">
        <v>507</v>
      </c>
      <c r="F13" s="7">
        <v>29</v>
      </c>
      <c r="G13" s="9">
        <v>173</v>
      </c>
      <c r="H13" s="7">
        <v>296</v>
      </c>
      <c r="I13" s="7">
        <v>5</v>
      </c>
      <c r="J13" s="7">
        <v>2</v>
      </c>
      <c r="K13" s="10">
        <v>505</v>
      </c>
      <c r="L13" s="18">
        <v>2</v>
      </c>
      <c r="M13" s="10">
        <v>0</v>
      </c>
    </row>
    <row r="14" spans="1:13" ht="17.25" customHeight="1" x14ac:dyDescent="0.25">
      <c r="A14" s="79"/>
      <c r="B14" s="76"/>
      <c r="C14" s="54"/>
      <c r="D14" s="9">
        <v>6</v>
      </c>
      <c r="E14" s="7">
        <v>529</v>
      </c>
      <c r="F14" s="7">
        <v>50</v>
      </c>
      <c r="G14" s="9">
        <v>202</v>
      </c>
      <c r="H14" s="7">
        <v>270</v>
      </c>
      <c r="I14" s="7">
        <v>5</v>
      </c>
      <c r="J14" s="7">
        <v>0</v>
      </c>
      <c r="K14" s="10">
        <v>527</v>
      </c>
      <c r="L14" s="18">
        <v>1</v>
      </c>
      <c r="M14" s="10">
        <v>1</v>
      </c>
    </row>
    <row r="15" spans="1:13" ht="17.25" customHeight="1" x14ac:dyDescent="0.25">
      <c r="A15" s="78">
        <v>34</v>
      </c>
      <c r="B15" s="47" t="s">
        <v>100</v>
      </c>
      <c r="C15" s="52" t="s">
        <v>101</v>
      </c>
      <c r="D15" s="9">
        <v>1</v>
      </c>
      <c r="E15" s="7">
        <v>349</v>
      </c>
      <c r="F15" s="7">
        <v>18</v>
      </c>
      <c r="G15" s="9">
        <v>217</v>
      </c>
      <c r="H15" s="7">
        <v>105</v>
      </c>
      <c r="I15" s="7">
        <v>4</v>
      </c>
      <c r="J15" s="7">
        <v>1</v>
      </c>
      <c r="K15" s="10">
        <v>345</v>
      </c>
      <c r="L15" s="18">
        <v>4</v>
      </c>
      <c r="M15" s="10">
        <v>0</v>
      </c>
    </row>
    <row r="16" spans="1:13" ht="17.25" customHeight="1" x14ac:dyDescent="0.25">
      <c r="A16" s="82"/>
      <c r="B16" s="77"/>
      <c r="C16" s="53"/>
      <c r="D16" s="9">
        <v>2</v>
      </c>
      <c r="E16" s="7">
        <v>510</v>
      </c>
      <c r="F16" s="7">
        <v>45</v>
      </c>
      <c r="G16" s="9">
        <v>317</v>
      </c>
      <c r="H16" s="7">
        <v>141</v>
      </c>
      <c r="I16" s="7">
        <v>4</v>
      </c>
      <c r="J16" s="7">
        <v>2</v>
      </c>
      <c r="K16" s="10">
        <v>509</v>
      </c>
      <c r="L16" s="18">
        <v>1</v>
      </c>
      <c r="M16" s="10">
        <v>0</v>
      </c>
    </row>
    <row r="17" spans="1:13" ht="17.25" customHeight="1" x14ac:dyDescent="0.25">
      <c r="A17" s="79"/>
      <c r="B17" s="48"/>
      <c r="C17" s="54"/>
      <c r="D17" s="9">
        <v>3</v>
      </c>
      <c r="E17" s="7">
        <v>503</v>
      </c>
      <c r="F17" s="7">
        <v>52</v>
      </c>
      <c r="G17" s="9">
        <v>277</v>
      </c>
      <c r="H17" s="7">
        <v>165</v>
      </c>
      <c r="I17" s="7">
        <v>7</v>
      </c>
      <c r="J17" s="7">
        <v>0</v>
      </c>
      <c r="K17" s="10">
        <v>501</v>
      </c>
      <c r="L17" s="18">
        <v>2</v>
      </c>
      <c r="M17" s="10">
        <v>0</v>
      </c>
    </row>
    <row r="18" spans="1:13" ht="17.25" customHeight="1" x14ac:dyDescent="0.25">
      <c r="A18" s="78">
        <v>35</v>
      </c>
      <c r="B18" s="52" t="s">
        <v>102</v>
      </c>
      <c r="C18" s="52" t="s">
        <v>103</v>
      </c>
      <c r="D18" s="9">
        <v>1</v>
      </c>
      <c r="E18" s="7">
        <v>355</v>
      </c>
      <c r="F18" s="7">
        <v>18</v>
      </c>
      <c r="G18" s="9">
        <v>271</v>
      </c>
      <c r="H18" s="7">
        <v>62</v>
      </c>
      <c r="I18" s="7">
        <v>3</v>
      </c>
      <c r="J18" s="7">
        <v>0</v>
      </c>
      <c r="K18" s="10">
        <v>354</v>
      </c>
      <c r="L18" s="18">
        <v>1</v>
      </c>
      <c r="M18" s="10">
        <v>0</v>
      </c>
    </row>
    <row r="19" spans="1:13" ht="17.25" customHeight="1" x14ac:dyDescent="0.25">
      <c r="A19" s="82"/>
      <c r="B19" s="53"/>
      <c r="C19" s="53"/>
      <c r="D19" s="9">
        <v>2</v>
      </c>
      <c r="E19" s="7">
        <v>377</v>
      </c>
      <c r="F19" s="7">
        <v>32</v>
      </c>
      <c r="G19" s="9">
        <v>276</v>
      </c>
      <c r="H19" s="7">
        <v>67</v>
      </c>
      <c r="I19" s="7">
        <v>1</v>
      </c>
      <c r="J19" s="7">
        <v>1</v>
      </c>
      <c r="K19" s="10">
        <v>377</v>
      </c>
      <c r="L19" s="18">
        <v>0</v>
      </c>
      <c r="M19" s="10">
        <v>0</v>
      </c>
    </row>
    <row r="20" spans="1:13" ht="17.25" customHeight="1" x14ac:dyDescent="0.25">
      <c r="A20" s="79"/>
      <c r="B20" s="54"/>
      <c r="C20" s="54"/>
      <c r="D20" s="9">
        <v>3</v>
      </c>
      <c r="E20" s="7">
        <v>376</v>
      </c>
      <c r="F20" s="7">
        <v>51</v>
      </c>
      <c r="G20" s="9">
        <v>274</v>
      </c>
      <c r="H20" s="7">
        <v>50</v>
      </c>
      <c r="I20" s="7">
        <v>0</v>
      </c>
      <c r="J20" s="7">
        <v>1</v>
      </c>
      <c r="K20" s="10">
        <v>376</v>
      </c>
      <c r="L20" s="18">
        <v>0</v>
      </c>
      <c r="M20" s="10">
        <v>0</v>
      </c>
    </row>
    <row r="21" spans="1:13" ht="17.25" customHeight="1" x14ac:dyDescent="0.25">
      <c r="A21" s="78">
        <v>36</v>
      </c>
      <c r="B21" s="89" t="s">
        <v>104</v>
      </c>
      <c r="C21" s="47" t="s">
        <v>105</v>
      </c>
      <c r="D21" s="9">
        <v>1</v>
      </c>
      <c r="E21" s="7">
        <v>250</v>
      </c>
      <c r="F21" s="7">
        <v>4</v>
      </c>
      <c r="G21" s="9">
        <v>110</v>
      </c>
      <c r="H21" s="7">
        <v>122</v>
      </c>
      <c r="I21" s="7">
        <v>6</v>
      </c>
      <c r="J21" s="7">
        <v>2</v>
      </c>
      <c r="K21" s="10">
        <v>244</v>
      </c>
      <c r="L21" s="18">
        <v>6</v>
      </c>
      <c r="M21" s="10">
        <v>0</v>
      </c>
    </row>
    <row r="22" spans="1:13" ht="17.25" customHeight="1" x14ac:dyDescent="0.25">
      <c r="A22" s="79"/>
      <c r="B22" s="90"/>
      <c r="C22" s="48"/>
      <c r="D22" s="9">
        <v>2</v>
      </c>
      <c r="E22" s="7">
        <v>384</v>
      </c>
      <c r="F22" s="7">
        <v>16</v>
      </c>
      <c r="G22" s="9">
        <v>175</v>
      </c>
      <c r="H22" s="7">
        <v>177</v>
      </c>
      <c r="I22" s="7">
        <v>15</v>
      </c>
      <c r="J22" s="7">
        <v>0</v>
      </c>
      <c r="K22" s="10">
        <v>383</v>
      </c>
      <c r="L22" s="18">
        <v>1</v>
      </c>
      <c r="M22" s="10">
        <v>0</v>
      </c>
    </row>
    <row r="23" spans="1:13" ht="37.950000000000003" customHeight="1" x14ac:dyDescent="0.25"/>
    <row r="24" spans="1:13" ht="303" customHeight="1" x14ac:dyDescent="0.25"/>
    <row r="25" spans="1:13" ht="303" customHeight="1" x14ac:dyDescent="0.25"/>
  </sheetData>
  <mergeCells count="28"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  <mergeCell ref="A5:A6"/>
    <mergeCell ref="B5:B6"/>
    <mergeCell ref="C5:C6"/>
    <mergeCell ref="A7:A8"/>
    <mergeCell ref="B7:B8"/>
    <mergeCell ref="C7:C8"/>
    <mergeCell ref="A9:A14"/>
    <mergeCell ref="B9:B14"/>
    <mergeCell ref="C9:C14"/>
    <mergeCell ref="A15:A17"/>
    <mergeCell ref="B15:B17"/>
    <mergeCell ref="C15:C17"/>
    <mergeCell ref="A18:A20"/>
    <mergeCell ref="B18:B20"/>
    <mergeCell ref="C18:C20"/>
    <mergeCell ref="A21:A22"/>
    <mergeCell ref="B21:B22"/>
    <mergeCell ref="C21:C2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4"/>
  <sheetViews>
    <sheetView topLeftCell="A5" workbookViewId="0">
      <selection activeCell="A5" sqref="A5:M21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57" t="s">
        <v>106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9"/>
    </row>
    <row r="2" spans="1:13" ht="18" customHeight="1" x14ac:dyDescent="0.25">
      <c r="A2" s="60" t="s">
        <v>1</v>
      </c>
      <c r="B2" s="60" t="s">
        <v>2</v>
      </c>
      <c r="C2" s="60" t="s">
        <v>3</v>
      </c>
      <c r="D2" s="63" t="s">
        <v>4</v>
      </c>
      <c r="E2" s="66" t="s">
        <v>5</v>
      </c>
      <c r="F2" s="69" t="s">
        <v>6</v>
      </c>
      <c r="G2" s="70"/>
      <c r="H2" s="70"/>
      <c r="I2" s="70"/>
      <c r="J2" s="70"/>
      <c r="K2" s="71"/>
      <c r="L2" s="63" t="s">
        <v>7</v>
      </c>
      <c r="M2" s="66" t="s">
        <v>8</v>
      </c>
    </row>
    <row r="3" spans="1:13" ht="37.950000000000003" customHeight="1" x14ac:dyDescent="0.25">
      <c r="A3" s="61"/>
      <c r="B3" s="61"/>
      <c r="C3" s="61"/>
      <c r="D3" s="64"/>
      <c r="E3" s="67"/>
      <c r="F3" s="1" t="s">
        <v>9</v>
      </c>
      <c r="G3" s="17" t="s">
        <v>10</v>
      </c>
      <c r="H3" s="1" t="s">
        <v>11</v>
      </c>
      <c r="I3" s="1" t="s">
        <v>12</v>
      </c>
      <c r="J3" s="2" t="s">
        <v>13</v>
      </c>
      <c r="K3" s="72" t="s">
        <v>14</v>
      </c>
      <c r="L3" s="64"/>
      <c r="M3" s="67"/>
    </row>
    <row r="4" spans="1:13" ht="28.2" customHeight="1" x14ac:dyDescent="0.25">
      <c r="A4" s="62"/>
      <c r="B4" s="62"/>
      <c r="C4" s="62"/>
      <c r="D4" s="65"/>
      <c r="E4" s="68"/>
      <c r="F4" s="3"/>
      <c r="G4" s="3"/>
      <c r="H4" s="3"/>
      <c r="I4" s="3"/>
      <c r="J4" s="3"/>
      <c r="K4" s="73"/>
      <c r="L4" s="65"/>
      <c r="M4" s="68"/>
    </row>
    <row r="5" spans="1:13" ht="17.25" customHeight="1" x14ac:dyDescent="0.25">
      <c r="A5" s="78">
        <v>37</v>
      </c>
      <c r="B5" s="44" t="s">
        <v>107</v>
      </c>
      <c r="C5" s="74" t="s">
        <v>108</v>
      </c>
      <c r="D5" s="9">
        <v>1</v>
      </c>
      <c r="E5" s="7">
        <v>319</v>
      </c>
      <c r="F5" s="7">
        <v>10</v>
      </c>
      <c r="G5" s="9">
        <v>177</v>
      </c>
      <c r="H5" s="7">
        <v>122</v>
      </c>
      <c r="I5" s="7">
        <v>3</v>
      </c>
      <c r="J5" s="7">
        <v>3</v>
      </c>
      <c r="K5" s="10">
        <v>315</v>
      </c>
      <c r="L5" s="12">
        <v>4</v>
      </c>
      <c r="M5" s="10">
        <v>0</v>
      </c>
    </row>
    <row r="6" spans="1:13" ht="17.25" customHeight="1" x14ac:dyDescent="0.25">
      <c r="A6" s="82"/>
      <c r="B6" s="45"/>
      <c r="C6" s="75"/>
      <c r="D6" s="9">
        <v>2</v>
      </c>
      <c r="E6" s="7">
        <v>358</v>
      </c>
      <c r="F6" s="7">
        <v>10</v>
      </c>
      <c r="G6" s="9">
        <v>177</v>
      </c>
      <c r="H6" s="7">
        <v>163</v>
      </c>
      <c r="I6" s="7">
        <v>1</v>
      </c>
      <c r="J6" s="7">
        <v>1</v>
      </c>
      <c r="K6" s="10">
        <v>352</v>
      </c>
      <c r="L6" s="12">
        <v>6</v>
      </c>
      <c r="M6" s="10">
        <v>0</v>
      </c>
    </row>
    <row r="7" spans="1:13" ht="17.25" customHeight="1" x14ac:dyDescent="0.25">
      <c r="A7" s="82"/>
      <c r="B7" s="45"/>
      <c r="C7" s="75"/>
      <c r="D7" s="9">
        <v>3</v>
      </c>
      <c r="E7" s="7">
        <v>375</v>
      </c>
      <c r="F7" s="7">
        <v>9</v>
      </c>
      <c r="G7" s="9">
        <v>166</v>
      </c>
      <c r="H7" s="7">
        <v>189</v>
      </c>
      <c r="I7" s="7">
        <v>7</v>
      </c>
      <c r="J7" s="7">
        <v>0</v>
      </c>
      <c r="K7" s="10">
        <v>371</v>
      </c>
      <c r="L7" s="12">
        <v>4</v>
      </c>
      <c r="M7" s="10">
        <v>0</v>
      </c>
    </row>
    <row r="8" spans="1:13" ht="17.25" customHeight="1" x14ac:dyDescent="0.25">
      <c r="A8" s="82"/>
      <c r="B8" s="45"/>
      <c r="C8" s="75"/>
      <c r="D8" s="9">
        <v>4</v>
      </c>
      <c r="E8" s="7">
        <v>475</v>
      </c>
      <c r="F8" s="7">
        <v>24</v>
      </c>
      <c r="G8" s="9">
        <v>213</v>
      </c>
      <c r="H8" s="7">
        <v>224</v>
      </c>
      <c r="I8" s="7">
        <v>11</v>
      </c>
      <c r="J8" s="7">
        <v>0</v>
      </c>
      <c r="K8" s="10">
        <v>472</v>
      </c>
      <c r="L8" s="12">
        <v>3</v>
      </c>
      <c r="M8" s="10">
        <v>0</v>
      </c>
    </row>
    <row r="9" spans="1:13" ht="17.25" customHeight="1" x14ac:dyDescent="0.25">
      <c r="A9" s="82"/>
      <c r="B9" s="45"/>
      <c r="C9" s="75"/>
      <c r="D9" s="9">
        <v>5</v>
      </c>
      <c r="E9" s="7">
        <v>437</v>
      </c>
      <c r="F9" s="7">
        <v>17</v>
      </c>
      <c r="G9" s="9">
        <v>189</v>
      </c>
      <c r="H9" s="7">
        <v>222</v>
      </c>
      <c r="I9" s="7">
        <v>6</v>
      </c>
      <c r="J9" s="7">
        <v>2</v>
      </c>
      <c r="K9" s="10">
        <v>436</v>
      </c>
      <c r="L9" s="12">
        <v>1</v>
      </c>
      <c r="M9" s="10">
        <v>0</v>
      </c>
    </row>
    <row r="10" spans="1:13" ht="17.25" customHeight="1" x14ac:dyDescent="0.25">
      <c r="A10" s="79"/>
      <c r="B10" s="46"/>
      <c r="C10" s="76"/>
      <c r="D10" s="9">
        <v>6</v>
      </c>
      <c r="E10" s="7">
        <v>451</v>
      </c>
      <c r="F10" s="7">
        <v>28</v>
      </c>
      <c r="G10" s="9">
        <v>210</v>
      </c>
      <c r="H10" s="7">
        <v>198</v>
      </c>
      <c r="I10" s="7">
        <v>13</v>
      </c>
      <c r="J10" s="7">
        <v>0</v>
      </c>
      <c r="K10" s="10">
        <v>449</v>
      </c>
      <c r="L10" s="12">
        <v>2</v>
      </c>
      <c r="M10" s="10">
        <v>0</v>
      </c>
    </row>
    <row r="11" spans="1:13" ht="17.25" customHeight="1" x14ac:dyDescent="0.25">
      <c r="A11" s="78">
        <v>38</v>
      </c>
      <c r="B11" s="44" t="s">
        <v>109</v>
      </c>
      <c r="C11" s="52" t="s">
        <v>110</v>
      </c>
      <c r="D11" s="9">
        <v>1</v>
      </c>
      <c r="E11" s="7">
        <v>333</v>
      </c>
      <c r="F11" s="7">
        <v>10</v>
      </c>
      <c r="G11" s="9">
        <v>155</v>
      </c>
      <c r="H11" s="7">
        <v>155</v>
      </c>
      <c r="I11" s="7">
        <v>5</v>
      </c>
      <c r="J11" s="7">
        <v>3</v>
      </c>
      <c r="K11" s="10">
        <v>328</v>
      </c>
      <c r="L11" s="12">
        <v>5</v>
      </c>
      <c r="M11" s="10">
        <v>0</v>
      </c>
    </row>
    <row r="12" spans="1:13" ht="17.25" customHeight="1" x14ac:dyDescent="0.25">
      <c r="A12" s="82"/>
      <c r="B12" s="45"/>
      <c r="C12" s="53"/>
      <c r="D12" s="9">
        <v>2</v>
      </c>
      <c r="E12" s="7">
        <v>508</v>
      </c>
      <c r="F12" s="7">
        <v>42</v>
      </c>
      <c r="G12" s="9">
        <v>253</v>
      </c>
      <c r="H12" s="7">
        <v>199</v>
      </c>
      <c r="I12" s="7">
        <v>9</v>
      </c>
      <c r="J12" s="7">
        <v>0</v>
      </c>
      <c r="K12" s="10">
        <v>503</v>
      </c>
      <c r="L12" s="12">
        <v>5</v>
      </c>
      <c r="M12" s="10">
        <v>0</v>
      </c>
    </row>
    <row r="13" spans="1:13" ht="17.25" customHeight="1" x14ac:dyDescent="0.25">
      <c r="A13" s="79"/>
      <c r="B13" s="46"/>
      <c r="C13" s="54"/>
      <c r="D13" s="9">
        <v>3</v>
      </c>
      <c r="E13" s="7">
        <v>493</v>
      </c>
      <c r="F13" s="7">
        <v>39</v>
      </c>
      <c r="G13" s="9">
        <v>208</v>
      </c>
      <c r="H13" s="7">
        <v>229</v>
      </c>
      <c r="I13" s="7">
        <v>13</v>
      </c>
      <c r="J13" s="7">
        <v>0</v>
      </c>
      <c r="K13" s="10">
        <v>489</v>
      </c>
      <c r="L13" s="12">
        <v>4</v>
      </c>
      <c r="M13" s="10">
        <v>0</v>
      </c>
    </row>
    <row r="14" spans="1:13" ht="17.25" customHeight="1" x14ac:dyDescent="0.25">
      <c r="A14" s="78">
        <v>39</v>
      </c>
      <c r="B14" s="52" t="s">
        <v>111</v>
      </c>
      <c r="C14" s="52" t="s">
        <v>112</v>
      </c>
      <c r="D14" s="9">
        <v>1</v>
      </c>
      <c r="E14" s="7">
        <v>384</v>
      </c>
      <c r="F14" s="7">
        <v>15</v>
      </c>
      <c r="G14" s="9">
        <v>269</v>
      </c>
      <c r="H14" s="7">
        <v>87</v>
      </c>
      <c r="I14" s="7">
        <v>5</v>
      </c>
      <c r="J14" s="7">
        <v>2</v>
      </c>
      <c r="K14" s="10">
        <v>378</v>
      </c>
      <c r="L14" s="12">
        <v>6</v>
      </c>
      <c r="M14" s="10">
        <v>0</v>
      </c>
    </row>
    <row r="15" spans="1:13" ht="17.25" customHeight="1" x14ac:dyDescent="0.25">
      <c r="A15" s="82"/>
      <c r="B15" s="53"/>
      <c r="C15" s="53"/>
      <c r="D15" s="9">
        <v>2</v>
      </c>
      <c r="E15" s="7">
        <v>484</v>
      </c>
      <c r="F15" s="7">
        <v>30</v>
      </c>
      <c r="G15" s="9">
        <v>239</v>
      </c>
      <c r="H15" s="7">
        <v>193</v>
      </c>
      <c r="I15" s="7">
        <v>20</v>
      </c>
      <c r="J15" s="7">
        <v>1</v>
      </c>
      <c r="K15" s="10">
        <v>483</v>
      </c>
      <c r="L15" s="12">
        <v>1</v>
      </c>
      <c r="M15" s="10">
        <v>0</v>
      </c>
    </row>
    <row r="16" spans="1:13" ht="17.25" customHeight="1" x14ac:dyDescent="0.25">
      <c r="A16" s="79"/>
      <c r="B16" s="54"/>
      <c r="C16" s="54"/>
      <c r="D16" s="9">
        <v>3</v>
      </c>
      <c r="E16" s="7">
        <v>499</v>
      </c>
      <c r="F16" s="7">
        <v>14</v>
      </c>
      <c r="G16" s="9">
        <v>247</v>
      </c>
      <c r="H16" s="7">
        <v>208</v>
      </c>
      <c r="I16" s="7">
        <v>28</v>
      </c>
      <c r="J16" s="7">
        <v>0</v>
      </c>
      <c r="K16" s="10">
        <v>497</v>
      </c>
      <c r="L16" s="12">
        <v>2</v>
      </c>
      <c r="M16" s="10">
        <v>0</v>
      </c>
    </row>
    <row r="17" spans="1:13" ht="17.25" customHeight="1" x14ac:dyDescent="0.25">
      <c r="A17" s="78">
        <v>40</v>
      </c>
      <c r="B17" s="74" t="s">
        <v>113</v>
      </c>
      <c r="C17" s="52" t="s">
        <v>114</v>
      </c>
      <c r="D17" s="9">
        <v>1</v>
      </c>
      <c r="E17" s="7">
        <v>396</v>
      </c>
      <c r="F17" s="7">
        <v>23</v>
      </c>
      <c r="G17" s="9">
        <v>238</v>
      </c>
      <c r="H17" s="7">
        <v>122</v>
      </c>
      <c r="I17" s="7">
        <v>2</v>
      </c>
      <c r="J17" s="7">
        <v>0</v>
      </c>
      <c r="K17" s="10">
        <v>385</v>
      </c>
      <c r="L17" s="9">
        <v>11</v>
      </c>
      <c r="M17" s="10">
        <v>0</v>
      </c>
    </row>
    <row r="18" spans="1:13" ht="17.25" customHeight="1" x14ac:dyDescent="0.25">
      <c r="A18" s="82"/>
      <c r="B18" s="75"/>
      <c r="C18" s="53"/>
      <c r="D18" s="9">
        <v>2</v>
      </c>
      <c r="E18" s="7">
        <v>554</v>
      </c>
      <c r="F18" s="7">
        <v>59</v>
      </c>
      <c r="G18" s="9">
        <v>263</v>
      </c>
      <c r="H18" s="7">
        <v>215</v>
      </c>
      <c r="I18" s="7">
        <v>1</v>
      </c>
      <c r="J18" s="7">
        <v>1</v>
      </c>
      <c r="K18" s="10">
        <v>539</v>
      </c>
      <c r="L18" s="9">
        <v>15</v>
      </c>
      <c r="M18" s="10">
        <v>0</v>
      </c>
    </row>
    <row r="19" spans="1:13" ht="17.25" customHeight="1" x14ac:dyDescent="0.25">
      <c r="A19" s="82"/>
      <c r="B19" s="75"/>
      <c r="C19" s="53"/>
      <c r="D19" s="9">
        <v>3</v>
      </c>
      <c r="E19" s="7">
        <v>506</v>
      </c>
      <c r="F19" s="7">
        <v>42</v>
      </c>
      <c r="G19" s="9">
        <v>237</v>
      </c>
      <c r="H19" s="7">
        <v>224</v>
      </c>
      <c r="I19" s="7">
        <v>1</v>
      </c>
      <c r="J19" s="7">
        <v>0</v>
      </c>
      <c r="K19" s="10">
        <v>504</v>
      </c>
      <c r="L19" s="12">
        <v>2</v>
      </c>
      <c r="M19" s="10">
        <v>0</v>
      </c>
    </row>
    <row r="20" spans="1:13" ht="17.25" customHeight="1" x14ac:dyDescent="0.25">
      <c r="A20" s="82"/>
      <c r="B20" s="75"/>
      <c r="C20" s="53"/>
      <c r="D20" s="9">
        <v>4</v>
      </c>
      <c r="E20" s="7">
        <v>500</v>
      </c>
      <c r="F20" s="7">
        <v>67</v>
      </c>
      <c r="G20" s="9">
        <v>245</v>
      </c>
      <c r="H20" s="7">
        <v>184</v>
      </c>
      <c r="I20" s="7">
        <v>2</v>
      </c>
      <c r="J20" s="7">
        <v>2</v>
      </c>
      <c r="K20" s="10">
        <v>500</v>
      </c>
      <c r="L20" s="12">
        <v>0</v>
      </c>
      <c r="M20" s="10">
        <v>0</v>
      </c>
    </row>
    <row r="21" spans="1:13" ht="17.25" customHeight="1" x14ac:dyDescent="0.25">
      <c r="A21" s="79"/>
      <c r="B21" s="76"/>
      <c r="C21" s="54"/>
      <c r="D21" s="9">
        <v>5</v>
      </c>
      <c r="E21" s="7">
        <v>551</v>
      </c>
      <c r="F21" s="7">
        <v>78</v>
      </c>
      <c r="G21" s="9">
        <v>263</v>
      </c>
      <c r="H21" s="7">
        <v>210</v>
      </c>
      <c r="I21" s="7">
        <v>0</v>
      </c>
      <c r="J21" s="7">
        <v>0</v>
      </c>
      <c r="K21" s="10">
        <v>551</v>
      </c>
      <c r="L21" s="12">
        <v>0</v>
      </c>
      <c r="M21" s="10">
        <v>0</v>
      </c>
    </row>
    <row r="22" spans="1:13" ht="37.950000000000003" customHeight="1" x14ac:dyDescent="0.25"/>
    <row r="23" spans="1:13" ht="277.05" customHeight="1" x14ac:dyDescent="0.25"/>
    <row r="24" spans="1:13" ht="277.05" customHeight="1" x14ac:dyDescent="0.25"/>
  </sheetData>
  <mergeCells count="22"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  <mergeCell ref="A5:A10"/>
    <mergeCell ref="B5:B10"/>
    <mergeCell ref="C5:C10"/>
    <mergeCell ref="A11:A13"/>
    <mergeCell ref="B11:B13"/>
    <mergeCell ref="C11:C13"/>
    <mergeCell ref="A14:A16"/>
    <mergeCell ref="B14:B16"/>
    <mergeCell ref="C14:C16"/>
    <mergeCell ref="A17:A21"/>
    <mergeCell ref="B17:B21"/>
    <mergeCell ref="C17:C2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5"/>
  <sheetViews>
    <sheetView workbookViewId="0">
      <selection activeCell="A5" sqref="A5:M22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57" t="s">
        <v>115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9"/>
    </row>
    <row r="2" spans="1:13" ht="18" customHeight="1" x14ac:dyDescent="0.25">
      <c r="A2" s="60" t="s">
        <v>1</v>
      </c>
      <c r="B2" s="60" t="s">
        <v>2</v>
      </c>
      <c r="C2" s="60" t="s">
        <v>3</v>
      </c>
      <c r="D2" s="63" t="s">
        <v>4</v>
      </c>
      <c r="E2" s="66" t="s">
        <v>5</v>
      </c>
      <c r="F2" s="69" t="s">
        <v>6</v>
      </c>
      <c r="G2" s="70"/>
      <c r="H2" s="70"/>
      <c r="I2" s="70"/>
      <c r="J2" s="70"/>
      <c r="K2" s="71"/>
      <c r="L2" s="63" t="s">
        <v>7</v>
      </c>
      <c r="M2" s="66" t="s">
        <v>8</v>
      </c>
    </row>
    <row r="3" spans="1:13" ht="37.950000000000003" customHeight="1" x14ac:dyDescent="0.25">
      <c r="A3" s="61"/>
      <c r="B3" s="61"/>
      <c r="C3" s="61"/>
      <c r="D3" s="64"/>
      <c r="E3" s="67"/>
      <c r="F3" s="1" t="s">
        <v>9</v>
      </c>
      <c r="G3" s="17" t="s">
        <v>10</v>
      </c>
      <c r="H3" s="1" t="s">
        <v>11</v>
      </c>
      <c r="I3" s="1" t="s">
        <v>12</v>
      </c>
      <c r="J3" s="2" t="s">
        <v>13</v>
      </c>
      <c r="K3" s="72" t="s">
        <v>14</v>
      </c>
      <c r="L3" s="64"/>
      <c r="M3" s="67"/>
    </row>
    <row r="4" spans="1:13" ht="28.2" customHeight="1" x14ac:dyDescent="0.25">
      <c r="A4" s="62"/>
      <c r="B4" s="62"/>
      <c r="C4" s="62"/>
      <c r="D4" s="65"/>
      <c r="E4" s="68"/>
      <c r="F4" s="3"/>
      <c r="G4" s="3"/>
      <c r="H4" s="3"/>
      <c r="I4" s="3"/>
      <c r="J4" s="3"/>
      <c r="K4" s="73"/>
      <c r="L4" s="65"/>
      <c r="M4" s="68"/>
    </row>
    <row r="5" spans="1:13" ht="17.25" customHeight="1" x14ac:dyDescent="0.25">
      <c r="A5" s="78">
        <v>41</v>
      </c>
      <c r="B5" s="74" t="s">
        <v>116</v>
      </c>
      <c r="C5" s="83" t="s">
        <v>117</v>
      </c>
      <c r="D5" s="9">
        <v>1</v>
      </c>
      <c r="E5" s="7">
        <v>368</v>
      </c>
      <c r="F5" s="7">
        <v>7</v>
      </c>
      <c r="G5" s="9">
        <v>148</v>
      </c>
      <c r="H5" s="7">
        <v>191</v>
      </c>
      <c r="I5" s="7">
        <v>12</v>
      </c>
      <c r="J5" s="7">
        <v>0</v>
      </c>
      <c r="K5" s="10">
        <v>358</v>
      </c>
      <c r="L5" s="9">
        <v>10</v>
      </c>
      <c r="M5" s="10">
        <v>0</v>
      </c>
    </row>
    <row r="6" spans="1:13" ht="17.25" customHeight="1" x14ac:dyDescent="0.25">
      <c r="A6" s="82"/>
      <c r="B6" s="75"/>
      <c r="C6" s="84"/>
      <c r="D6" s="9">
        <v>2</v>
      </c>
      <c r="E6" s="7">
        <v>525</v>
      </c>
      <c r="F6" s="7">
        <v>16</v>
      </c>
      <c r="G6" s="9">
        <v>197</v>
      </c>
      <c r="H6" s="7">
        <v>303</v>
      </c>
      <c r="I6" s="7">
        <v>4</v>
      </c>
      <c r="J6" s="7">
        <v>2</v>
      </c>
      <c r="K6" s="10">
        <v>522</v>
      </c>
      <c r="L6" s="12">
        <v>3</v>
      </c>
      <c r="M6" s="10">
        <v>0</v>
      </c>
    </row>
    <row r="7" spans="1:13" ht="17.25" customHeight="1" x14ac:dyDescent="0.25">
      <c r="A7" s="82"/>
      <c r="B7" s="75"/>
      <c r="C7" s="84"/>
      <c r="D7" s="9">
        <v>3</v>
      </c>
      <c r="E7" s="7">
        <v>499</v>
      </c>
      <c r="F7" s="7">
        <v>16</v>
      </c>
      <c r="G7" s="9">
        <v>137</v>
      </c>
      <c r="H7" s="7">
        <v>337</v>
      </c>
      <c r="I7" s="7">
        <v>4</v>
      </c>
      <c r="J7" s="7">
        <v>1</v>
      </c>
      <c r="K7" s="10">
        <v>495</v>
      </c>
      <c r="L7" s="12">
        <v>4</v>
      </c>
      <c r="M7" s="10">
        <v>0</v>
      </c>
    </row>
    <row r="8" spans="1:13" ht="17.25" customHeight="1" x14ac:dyDescent="0.25">
      <c r="A8" s="82"/>
      <c r="B8" s="75"/>
      <c r="C8" s="84"/>
      <c r="D8" s="9">
        <v>4</v>
      </c>
      <c r="E8" s="7">
        <v>489</v>
      </c>
      <c r="F8" s="7">
        <v>23</v>
      </c>
      <c r="G8" s="9">
        <v>150</v>
      </c>
      <c r="H8" s="7">
        <v>303</v>
      </c>
      <c r="I8" s="7">
        <v>10</v>
      </c>
      <c r="J8" s="7">
        <v>0</v>
      </c>
      <c r="K8" s="10">
        <v>486</v>
      </c>
      <c r="L8" s="12">
        <v>3</v>
      </c>
      <c r="M8" s="10">
        <v>0</v>
      </c>
    </row>
    <row r="9" spans="1:13" ht="17.25" customHeight="1" x14ac:dyDescent="0.25">
      <c r="A9" s="82"/>
      <c r="B9" s="75"/>
      <c r="C9" s="84"/>
      <c r="D9" s="9">
        <v>5</v>
      </c>
      <c r="E9" s="7">
        <v>445</v>
      </c>
      <c r="F9" s="7">
        <v>24</v>
      </c>
      <c r="G9" s="9">
        <v>114</v>
      </c>
      <c r="H9" s="7">
        <v>292</v>
      </c>
      <c r="I9" s="7">
        <v>13</v>
      </c>
      <c r="J9" s="7">
        <v>0</v>
      </c>
      <c r="K9" s="10">
        <v>443</v>
      </c>
      <c r="L9" s="12">
        <v>2</v>
      </c>
      <c r="M9" s="10">
        <v>0</v>
      </c>
    </row>
    <row r="10" spans="1:13" ht="17.25" customHeight="1" x14ac:dyDescent="0.25">
      <c r="A10" s="79"/>
      <c r="B10" s="76"/>
      <c r="C10" s="85"/>
      <c r="D10" s="9">
        <v>6</v>
      </c>
      <c r="E10" s="7">
        <v>507</v>
      </c>
      <c r="F10" s="7">
        <v>21</v>
      </c>
      <c r="G10" s="9">
        <v>155</v>
      </c>
      <c r="H10" s="7">
        <v>314</v>
      </c>
      <c r="I10" s="7">
        <v>15</v>
      </c>
      <c r="J10" s="7">
        <v>0</v>
      </c>
      <c r="K10" s="10">
        <v>505</v>
      </c>
      <c r="L10" s="12">
        <v>2</v>
      </c>
      <c r="M10" s="10">
        <v>0</v>
      </c>
    </row>
    <row r="11" spans="1:13" ht="17.25" customHeight="1" x14ac:dyDescent="0.25">
      <c r="A11" s="78">
        <v>42</v>
      </c>
      <c r="B11" s="86" t="s">
        <v>118</v>
      </c>
      <c r="C11" s="86" t="s">
        <v>119</v>
      </c>
      <c r="D11" s="9">
        <v>1</v>
      </c>
      <c r="E11" s="7">
        <v>346</v>
      </c>
      <c r="F11" s="7">
        <v>38</v>
      </c>
      <c r="G11" s="9">
        <v>228</v>
      </c>
      <c r="H11" s="7">
        <v>74</v>
      </c>
      <c r="I11" s="7">
        <v>1</v>
      </c>
      <c r="J11" s="7">
        <v>2</v>
      </c>
      <c r="K11" s="10">
        <v>343</v>
      </c>
      <c r="L11" s="12">
        <v>3</v>
      </c>
      <c r="M11" s="10">
        <v>0</v>
      </c>
    </row>
    <row r="12" spans="1:13" ht="17.25" customHeight="1" x14ac:dyDescent="0.25">
      <c r="A12" s="79"/>
      <c r="B12" s="87"/>
      <c r="C12" s="87"/>
      <c r="D12" s="9">
        <v>2</v>
      </c>
      <c r="E12" s="7">
        <v>577</v>
      </c>
      <c r="F12" s="7">
        <v>100</v>
      </c>
      <c r="G12" s="9">
        <v>344</v>
      </c>
      <c r="H12" s="7">
        <v>126</v>
      </c>
      <c r="I12" s="7">
        <v>1</v>
      </c>
      <c r="J12" s="7">
        <v>2</v>
      </c>
      <c r="K12" s="10">
        <v>573</v>
      </c>
      <c r="L12" s="12">
        <v>4</v>
      </c>
      <c r="M12" s="10">
        <v>0</v>
      </c>
    </row>
    <row r="13" spans="1:13" ht="17.25" customHeight="1" x14ac:dyDescent="0.25">
      <c r="A13" s="78">
        <v>43</v>
      </c>
      <c r="B13" s="44" t="s">
        <v>120</v>
      </c>
      <c r="C13" s="52" t="s">
        <v>121</v>
      </c>
      <c r="D13" s="9">
        <v>1</v>
      </c>
      <c r="E13" s="7">
        <v>327</v>
      </c>
      <c r="F13" s="7">
        <v>35</v>
      </c>
      <c r="G13" s="9">
        <v>237</v>
      </c>
      <c r="H13" s="7">
        <v>42</v>
      </c>
      <c r="I13" s="7">
        <v>0</v>
      </c>
      <c r="J13" s="7">
        <v>3</v>
      </c>
      <c r="K13" s="10">
        <v>317</v>
      </c>
      <c r="L13" s="9">
        <v>10</v>
      </c>
      <c r="M13" s="10">
        <v>0</v>
      </c>
    </row>
    <row r="14" spans="1:13" ht="17.25" customHeight="1" x14ac:dyDescent="0.25">
      <c r="A14" s="82"/>
      <c r="B14" s="45"/>
      <c r="C14" s="53"/>
      <c r="D14" s="9">
        <v>2</v>
      </c>
      <c r="E14" s="7">
        <v>520</v>
      </c>
      <c r="F14" s="7">
        <v>115</v>
      </c>
      <c r="G14" s="9">
        <v>293</v>
      </c>
      <c r="H14" s="7">
        <v>106</v>
      </c>
      <c r="I14" s="7">
        <v>2</v>
      </c>
      <c r="J14" s="7">
        <v>2</v>
      </c>
      <c r="K14" s="10">
        <v>518</v>
      </c>
      <c r="L14" s="12">
        <v>2</v>
      </c>
      <c r="M14" s="10">
        <v>0</v>
      </c>
    </row>
    <row r="15" spans="1:13" ht="17.25" customHeight="1" x14ac:dyDescent="0.25">
      <c r="A15" s="79"/>
      <c r="B15" s="46"/>
      <c r="C15" s="54"/>
      <c r="D15" s="9">
        <v>3</v>
      </c>
      <c r="E15" s="7">
        <v>516</v>
      </c>
      <c r="F15" s="7">
        <v>118</v>
      </c>
      <c r="G15" s="9">
        <v>286</v>
      </c>
      <c r="H15" s="7">
        <v>105</v>
      </c>
      <c r="I15" s="7">
        <v>0</v>
      </c>
      <c r="J15" s="7">
        <v>7</v>
      </c>
      <c r="K15" s="10">
        <v>516</v>
      </c>
      <c r="L15" s="12">
        <v>0</v>
      </c>
      <c r="M15" s="10">
        <v>0</v>
      </c>
    </row>
    <row r="16" spans="1:13" ht="17.25" customHeight="1" x14ac:dyDescent="0.25">
      <c r="A16" s="78">
        <v>44</v>
      </c>
      <c r="B16" s="80" t="s">
        <v>122</v>
      </c>
      <c r="C16" s="86" t="s">
        <v>123</v>
      </c>
      <c r="D16" s="9">
        <v>1</v>
      </c>
      <c r="E16" s="7">
        <v>321</v>
      </c>
      <c r="F16" s="7">
        <v>57</v>
      </c>
      <c r="G16" s="9">
        <v>217</v>
      </c>
      <c r="H16" s="7">
        <v>44</v>
      </c>
      <c r="I16" s="7">
        <v>0</v>
      </c>
      <c r="J16" s="7">
        <v>1</v>
      </c>
      <c r="K16" s="10">
        <v>319</v>
      </c>
      <c r="L16" s="12">
        <v>2</v>
      </c>
      <c r="M16" s="10">
        <v>0</v>
      </c>
    </row>
    <row r="17" spans="1:13" ht="17.25" customHeight="1" x14ac:dyDescent="0.25">
      <c r="A17" s="79"/>
      <c r="B17" s="81"/>
      <c r="C17" s="87"/>
      <c r="D17" s="9">
        <v>2</v>
      </c>
      <c r="E17" s="7">
        <v>385</v>
      </c>
      <c r="F17" s="7">
        <v>103</v>
      </c>
      <c r="G17" s="9">
        <v>222</v>
      </c>
      <c r="H17" s="7">
        <v>59</v>
      </c>
      <c r="I17" s="7">
        <v>0</v>
      </c>
      <c r="J17" s="7">
        <v>1</v>
      </c>
      <c r="K17" s="10">
        <v>385</v>
      </c>
      <c r="L17" s="12">
        <v>0</v>
      </c>
      <c r="M17" s="10">
        <v>0</v>
      </c>
    </row>
    <row r="18" spans="1:13" ht="32.700000000000003" customHeight="1" x14ac:dyDescent="0.25">
      <c r="A18" s="11">
        <v>45</v>
      </c>
      <c r="B18" s="5" t="s">
        <v>124</v>
      </c>
      <c r="C18" s="13" t="s">
        <v>125</v>
      </c>
      <c r="D18" s="9">
        <v>1</v>
      </c>
      <c r="E18" s="7">
        <v>471</v>
      </c>
      <c r="F18" s="7">
        <v>91</v>
      </c>
      <c r="G18" s="9">
        <v>310</v>
      </c>
      <c r="H18" s="7">
        <v>67</v>
      </c>
      <c r="I18" s="7">
        <v>0</v>
      </c>
      <c r="J18" s="7">
        <v>2</v>
      </c>
      <c r="K18" s="10">
        <v>470</v>
      </c>
      <c r="L18" s="12">
        <v>1</v>
      </c>
      <c r="M18" s="10">
        <v>0</v>
      </c>
    </row>
    <row r="19" spans="1:13" ht="32.700000000000003" customHeight="1" x14ac:dyDescent="0.25">
      <c r="A19" s="11">
        <v>46</v>
      </c>
      <c r="B19" s="15" t="s">
        <v>126</v>
      </c>
      <c r="C19" s="16" t="s">
        <v>127</v>
      </c>
      <c r="D19" s="9">
        <v>1</v>
      </c>
      <c r="E19" s="7">
        <v>469</v>
      </c>
      <c r="F19" s="7">
        <v>110</v>
      </c>
      <c r="G19" s="9">
        <v>320</v>
      </c>
      <c r="H19" s="7">
        <v>34</v>
      </c>
      <c r="I19" s="7">
        <v>1</v>
      </c>
      <c r="J19" s="7">
        <v>0</v>
      </c>
      <c r="K19" s="10">
        <v>465</v>
      </c>
      <c r="L19" s="12">
        <v>4</v>
      </c>
      <c r="M19" s="10">
        <v>0</v>
      </c>
    </row>
    <row r="20" spans="1:13" ht="17.25" customHeight="1" x14ac:dyDescent="0.25">
      <c r="A20" s="78">
        <v>47</v>
      </c>
      <c r="B20" s="80" t="s">
        <v>128</v>
      </c>
      <c r="C20" s="52" t="s">
        <v>129</v>
      </c>
      <c r="D20" s="9">
        <v>1</v>
      </c>
      <c r="E20" s="7">
        <v>361</v>
      </c>
      <c r="F20" s="7">
        <v>46</v>
      </c>
      <c r="G20" s="9">
        <v>252</v>
      </c>
      <c r="H20" s="7">
        <v>52</v>
      </c>
      <c r="I20" s="7">
        <v>0</v>
      </c>
      <c r="J20" s="7">
        <v>5</v>
      </c>
      <c r="K20" s="10">
        <v>355</v>
      </c>
      <c r="L20" s="12">
        <v>6</v>
      </c>
      <c r="M20" s="10">
        <v>0</v>
      </c>
    </row>
    <row r="21" spans="1:13" ht="17.25" customHeight="1" x14ac:dyDescent="0.25">
      <c r="A21" s="82"/>
      <c r="B21" s="88"/>
      <c r="C21" s="53"/>
      <c r="D21" s="9">
        <v>2</v>
      </c>
      <c r="E21" s="7">
        <v>404</v>
      </c>
      <c r="F21" s="7">
        <v>105</v>
      </c>
      <c r="G21" s="9">
        <v>222</v>
      </c>
      <c r="H21" s="7">
        <v>73</v>
      </c>
      <c r="I21" s="7">
        <v>0</v>
      </c>
      <c r="J21" s="7">
        <v>4</v>
      </c>
      <c r="K21" s="10">
        <v>404</v>
      </c>
      <c r="L21" s="12">
        <v>0</v>
      </c>
      <c r="M21" s="10">
        <v>0</v>
      </c>
    </row>
    <row r="22" spans="1:13" ht="17.25" customHeight="1" x14ac:dyDescent="0.25">
      <c r="A22" s="79"/>
      <c r="B22" s="81"/>
      <c r="C22" s="54"/>
      <c r="D22" s="9">
        <v>3</v>
      </c>
      <c r="E22" s="7">
        <v>432</v>
      </c>
      <c r="F22" s="7">
        <v>134</v>
      </c>
      <c r="G22" s="9">
        <v>213</v>
      </c>
      <c r="H22" s="7">
        <v>82</v>
      </c>
      <c r="I22" s="7">
        <v>2</v>
      </c>
      <c r="J22" s="7">
        <v>1</v>
      </c>
      <c r="K22" s="10">
        <v>432</v>
      </c>
      <c r="L22" s="12">
        <v>0</v>
      </c>
      <c r="M22" s="10">
        <v>0</v>
      </c>
    </row>
    <row r="23" spans="1:13" ht="37.950000000000003" customHeight="1" x14ac:dyDescent="0.25"/>
    <row r="24" spans="1:13" ht="325.95" customHeight="1" x14ac:dyDescent="0.25"/>
    <row r="25" spans="1:13" ht="325.95" customHeight="1" x14ac:dyDescent="0.25"/>
  </sheetData>
  <mergeCells count="25"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  <mergeCell ref="A5:A10"/>
    <mergeCell ref="B5:B10"/>
    <mergeCell ref="C5:C10"/>
    <mergeCell ref="A11:A12"/>
    <mergeCell ref="B11:B12"/>
    <mergeCell ref="C11:C12"/>
    <mergeCell ref="A20:A22"/>
    <mergeCell ref="B20:B22"/>
    <mergeCell ref="C20:C22"/>
    <mergeCell ref="A13:A15"/>
    <mergeCell ref="B13:B15"/>
    <mergeCell ref="C13:C15"/>
    <mergeCell ref="A16:A17"/>
    <mergeCell ref="B16:B17"/>
    <mergeCell ref="C16:C17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5"/>
  <sheetViews>
    <sheetView topLeftCell="A5" workbookViewId="0">
      <selection activeCell="A5" sqref="A5:M22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57" t="s">
        <v>130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9"/>
    </row>
    <row r="2" spans="1:13" ht="18" customHeight="1" x14ac:dyDescent="0.25">
      <c r="A2" s="60" t="s">
        <v>1</v>
      </c>
      <c r="B2" s="60" t="s">
        <v>2</v>
      </c>
      <c r="C2" s="60" t="s">
        <v>3</v>
      </c>
      <c r="D2" s="63" t="s">
        <v>4</v>
      </c>
      <c r="E2" s="66" t="s">
        <v>5</v>
      </c>
      <c r="F2" s="69" t="s">
        <v>6</v>
      </c>
      <c r="G2" s="70"/>
      <c r="H2" s="70"/>
      <c r="I2" s="70"/>
      <c r="J2" s="70"/>
      <c r="K2" s="71"/>
      <c r="L2" s="63" t="s">
        <v>7</v>
      </c>
      <c r="M2" s="66" t="s">
        <v>8</v>
      </c>
    </row>
    <row r="3" spans="1:13" ht="37.950000000000003" customHeight="1" x14ac:dyDescent="0.25">
      <c r="A3" s="61"/>
      <c r="B3" s="61"/>
      <c r="C3" s="61"/>
      <c r="D3" s="64"/>
      <c r="E3" s="67"/>
      <c r="F3" s="1" t="s">
        <v>9</v>
      </c>
      <c r="G3" s="17" t="s">
        <v>10</v>
      </c>
      <c r="H3" s="1" t="s">
        <v>11</v>
      </c>
      <c r="I3" s="1" t="s">
        <v>12</v>
      </c>
      <c r="J3" s="2" t="s">
        <v>13</v>
      </c>
      <c r="K3" s="72" t="s">
        <v>14</v>
      </c>
      <c r="L3" s="64"/>
      <c r="M3" s="67"/>
    </row>
    <row r="4" spans="1:13" ht="28.2" customHeight="1" x14ac:dyDescent="0.25">
      <c r="A4" s="62"/>
      <c r="B4" s="62"/>
      <c r="C4" s="62"/>
      <c r="D4" s="65"/>
      <c r="E4" s="68"/>
      <c r="F4" s="3"/>
      <c r="G4" s="3"/>
      <c r="H4" s="3"/>
      <c r="I4" s="3"/>
      <c r="J4" s="3"/>
      <c r="K4" s="73"/>
      <c r="L4" s="65"/>
      <c r="M4" s="68"/>
    </row>
    <row r="5" spans="1:13" ht="17.25" customHeight="1" x14ac:dyDescent="0.25">
      <c r="A5" s="78">
        <v>48</v>
      </c>
      <c r="B5" s="44" t="s">
        <v>131</v>
      </c>
      <c r="C5" s="47" t="s">
        <v>132</v>
      </c>
      <c r="D5" s="9">
        <v>1</v>
      </c>
      <c r="E5" s="7">
        <v>290</v>
      </c>
      <c r="F5" s="7">
        <v>23</v>
      </c>
      <c r="G5" s="9">
        <v>139</v>
      </c>
      <c r="H5" s="7">
        <v>106</v>
      </c>
      <c r="I5" s="7">
        <v>10</v>
      </c>
      <c r="J5" s="7">
        <v>2</v>
      </c>
      <c r="K5" s="10">
        <v>280</v>
      </c>
      <c r="L5" s="9">
        <v>10</v>
      </c>
      <c r="M5" s="10">
        <v>0</v>
      </c>
    </row>
    <row r="6" spans="1:13" ht="17.25" customHeight="1" x14ac:dyDescent="0.25">
      <c r="A6" s="82"/>
      <c r="B6" s="45"/>
      <c r="C6" s="77"/>
      <c r="D6" s="9">
        <v>2</v>
      </c>
      <c r="E6" s="7">
        <v>360</v>
      </c>
      <c r="F6" s="7">
        <v>33</v>
      </c>
      <c r="G6" s="9">
        <v>138</v>
      </c>
      <c r="H6" s="7">
        <v>174</v>
      </c>
      <c r="I6" s="7">
        <v>8</v>
      </c>
      <c r="J6" s="7">
        <v>4</v>
      </c>
      <c r="K6" s="10">
        <v>357</v>
      </c>
      <c r="L6" s="12">
        <v>3</v>
      </c>
      <c r="M6" s="10">
        <v>0</v>
      </c>
    </row>
    <row r="7" spans="1:13" ht="17.25" customHeight="1" x14ac:dyDescent="0.25">
      <c r="A7" s="82"/>
      <c r="B7" s="45"/>
      <c r="C7" s="77"/>
      <c r="D7" s="9">
        <v>3</v>
      </c>
      <c r="E7" s="7">
        <v>499</v>
      </c>
      <c r="F7" s="7">
        <v>70</v>
      </c>
      <c r="G7" s="9">
        <v>163</v>
      </c>
      <c r="H7" s="7">
        <v>254</v>
      </c>
      <c r="I7" s="7">
        <v>7</v>
      </c>
      <c r="J7" s="7">
        <v>1</v>
      </c>
      <c r="K7" s="10">
        <v>495</v>
      </c>
      <c r="L7" s="12">
        <v>4</v>
      </c>
      <c r="M7" s="10">
        <v>0</v>
      </c>
    </row>
    <row r="8" spans="1:13" ht="17.25" customHeight="1" x14ac:dyDescent="0.25">
      <c r="A8" s="79"/>
      <c r="B8" s="46"/>
      <c r="C8" s="48"/>
      <c r="D8" s="9">
        <v>4</v>
      </c>
      <c r="E8" s="7">
        <v>500</v>
      </c>
      <c r="F8" s="7">
        <v>90</v>
      </c>
      <c r="G8" s="9">
        <v>158</v>
      </c>
      <c r="H8" s="7">
        <v>241</v>
      </c>
      <c r="I8" s="7">
        <v>6</v>
      </c>
      <c r="J8" s="7">
        <v>3</v>
      </c>
      <c r="K8" s="10">
        <v>498</v>
      </c>
      <c r="L8" s="12">
        <v>1</v>
      </c>
      <c r="M8" s="10">
        <v>1</v>
      </c>
    </row>
    <row r="9" spans="1:13" ht="17.25" customHeight="1" x14ac:dyDescent="0.25">
      <c r="A9" s="78">
        <v>49</v>
      </c>
      <c r="B9" s="80" t="s">
        <v>133</v>
      </c>
      <c r="C9" s="86" t="s">
        <v>134</v>
      </c>
      <c r="D9" s="9">
        <v>1</v>
      </c>
      <c r="E9" s="7">
        <v>268</v>
      </c>
      <c r="F9" s="7">
        <v>45</v>
      </c>
      <c r="G9" s="9">
        <v>171</v>
      </c>
      <c r="H9" s="7">
        <v>48</v>
      </c>
      <c r="I9" s="7">
        <v>1</v>
      </c>
      <c r="J9" s="7">
        <v>2</v>
      </c>
      <c r="K9" s="10">
        <v>267</v>
      </c>
      <c r="L9" s="12">
        <v>1</v>
      </c>
      <c r="M9" s="10">
        <v>0</v>
      </c>
    </row>
    <row r="10" spans="1:13" ht="17.25" customHeight="1" x14ac:dyDescent="0.25">
      <c r="A10" s="79"/>
      <c r="B10" s="81"/>
      <c r="C10" s="87"/>
      <c r="D10" s="9">
        <v>2</v>
      </c>
      <c r="E10" s="7">
        <v>261</v>
      </c>
      <c r="F10" s="7">
        <v>71</v>
      </c>
      <c r="G10" s="9">
        <v>148</v>
      </c>
      <c r="H10" s="7">
        <v>37</v>
      </c>
      <c r="I10" s="7">
        <v>1</v>
      </c>
      <c r="J10" s="7">
        <v>2</v>
      </c>
      <c r="K10" s="10">
        <v>259</v>
      </c>
      <c r="L10" s="12">
        <v>2</v>
      </c>
      <c r="M10" s="10">
        <v>0</v>
      </c>
    </row>
    <row r="11" spans="1:13" ht="32.700000000000003" customHeight="1" x14ac:dyDescent="0.25">
      <c r="A11" s="11">
        <v>50</v>
      </c>
      <c r="B11" s="20" t="s">
        <v>135</v>
      </c>
      <c r="C11" s="13" t="s">
        <v>136</v>
      </c>
      <c r="D11" s="9">
        <v>1</v>
      </c>
      <c r="E11" s="7">
        <v>378</v>
      </c>
      <c r="F11" s="7">
        <v>63</v>
      </c>
      <c r="G11" s="9">
        <v>225</v>
      </c>
      <c r="H11" s="7">
        <v>87</v>
      </c>
      <c r="I11" s="7">
        <v>1</v>
      </c>
      <c r="J11" s="7">
        <v>0</v>
      </c>
      <c r="K11" s="10">
        <v>376</v>
      </c>
      <c r="L11" s="12">
        <v>2</v>
      </c>
      <c r="M11" s="10">
        <v>0</v>
      </c>
    </row>
    <row r="12" spans="1:13" ht="17.25" customHeight="1" x14ac:dyDescent="0.25">
      <c r="A12" s="78">
        <v>51</v>
      </c>
      <c r="B12" s="52" t="s">
        <v>137</v>
      </c>
      <c r="C12" s="47" t="s">
        <v>138</v>
      </c>
      <c r="D12" s="9">
        <v>1</v>
      </c>
      <c r="E12" s="7">
        <v>308</v>
      </c>
      <c r="F12" s="7">
        <v>41</v>
      </c>
      <c r="G12" s="9">
        <v>222</v>
      </c>
      <c r="H12" s="7">
        <v>39</v>
      </c>
      <c r="I12" s="7">
        <v>1</v>
      </c>
      <c r="J12" s="7">
        <v>2</v>
      </c>
      <c r="K12" s="10">
        <v>305</v>
      </c>
      <c r="L12" s="12">
        <v>3</v>
      </c>
      <c r="M12" s="10">
        <v>0</v>
      </c>
    </row>
    <row r="13" spans="1:13" ht="17.25" customHeight="1" x14ac:dyDescent="0.25">
      <c r="A13" s="82"/>
      <c r="B13" s="53"/>
      <c r="C13" s="77"/>
      <c r="D13" s="9">
        <v>2</v>
      </c>
      <c r="E13" s="7">
        <v>382</v>
      </c>
      <c r="F13" s="7">
        <v>66</v>
      </c>
      <c r="G13" s="9">
        <v>250</v>
      </c>
      <c r="H13" s="7">
        <v>63</v>
      </c>
      <c r="I13" s="7">
        <v>1</v>
      </c>
      <c r="J13" s="7">
        <v>0</v>
      </c>
      <c r="K13" s="10">
        <v>380</v>
      </c>
      <c r="L13" s="12">
        <v>2</v>
      </c>
      <c r="M13" s="10">
        <v>0</v>
      </c>
    </row>
    <row r="14" spans="1:13" ht="17.25" customHeight="1" x14ac:dyDescent="0.25">
      <c r="A14" s="82"/>
      <c r="B14" s="53"/>
      <c r="C14" s="77"/>
      <c r="D14" s="9">
        <v>3</v>
      </c>
      <c r="E14" s="7">
        <v>400</v>
      </c>
      <c r="F14" s="7">
        <v>96</v>
      </c>
      <c r="G14" s="9">
        <v>227</v>
      </c>
      <c r="H14" s="7">
        <v>67</v>
      </c>
      <c r="I14" s="7">
        <v>0</v>
      </c>
      <c r="J14" s="7">
        <v>8</v>
      </c>
      <c r="K14" s="10">
        <v>398</v>
      </c>
      <c r="L14" s="12">
        <v>2</v>
      </c>
      <c r="M14" s="10">
        <v>0</v>
      </c>
    </row>
    <row r="15" spans="1:13" ht="17.25" customHeight="1" x14ac:dyDescent="0.25">
      <c r="A15" s="82"/>
      <c r="B15" s="53"/>
      <c r="C15" s="77"/>
      <c r="D15" s="9">
        <v>4</v>
      </c>
      <c r="E15" s="7">
        <v>391</v>
      </c>
      <c r="F15" s="7">
        <v>92</v>
      </c>
      <c r="G15" s="9">
        <v>225</v>
      </c>
      <c r="H15" s="7">
        <v>73</v>
      </c>
      <c r="I15" s="7">
        <v>1</v>
      </c>
      <c r="J15" s="7">
        <v>0</v>
      </c>
      <c r="K15" s="10">
        <v>391</v>
      </c>
      <c r="L15" s="12">
        <v>0</v>
      </c>
      <c r="M15" s="10">
        <v>0</v>
      </c>
    </row>
    <row r="16" spans="1:13" ht="17.25" customHeight="1" x14ac:dyDescent="0.25">
      <c r="A16" s="79"/>
      <c r="B16" s="54"/>
      <c r="C16" s="48"/>
      <c r="D16" s="9">
        <v>5</v>
      </c>
      <c r="E16" s="7">
        <v>420</v>
      </c>
      <c r="F16" s="7">
        <v>108</v>
      </c>
      <c r="G16" s="9">
        <v>244</v>
      </c>
      <c r="H16" s="7">
        <v>68</v>
      </c>
      <c r="I16" s="7">
        <v>0</v>
      </c>
      <c r="J16" s="7">
        <v>0</v>
      </c>
      <c r="K16" s="10">
        <v>420</v>
      </c>
      <c r="L16" s="12">
        <v>0</v>
      </c>
      <c r="M16" s="10">
        <v>0</v>
      </c>
    </row>
    <row r="17" spans="1:13" ht="17.25" customHeight="1" x14ac:dyDescent="0.25">
      <c r="A17" s="78">
        <v>52</v>
      </c>
      <c r="B17" s="74" t="s">
        <v>139</v>
      </c>
      <c r="C17" s="52" t="s">
        <v>140</v>
      </c>
      <c r="D17" s="9">
        <v>1</v>
      </c>
      <c r="E17" s="7">
        <v>343</v>
      </c>
      <c r="F17" s="7">
        <v>44</v>
      </c>
      <c r="G17" s="9">
        <v>240</v>
      </c>
      <c r="H17" s="7">
        <v>48</v>
      </c>
      <c r="I17" s="7">
        <v>0</v>
      </c>
      <c r="J17" s="7">
        <v>6</v>
      </c>
      <c r="K17" s="10">
        <v>338</v>
      </c>
      <c r="L17" s="12">
        <v>5</v>
      </c>
      <c r="M17" s="10">
        <v>0</v>
      </c>
    </row>
    <row r="18" spans="1:13" ht="17.25" customHeight="1" x14ac:dyDescent="0.25">
      <c r="A18" s="82"/>
      <c r="B18" s="75"/>
      <c r="C18" s="53"/>
      <c r="D18" s="9">
        <v>2</v>
      </c>
      <c r="E18" s="7">
        <v>380</v>
      </c>
      <c r="F18" s="7">
        <v>92</v>
      </c>
      <c r="G18" s="9">
        <v>217</v>
      </c>
      <c r="H18" s="7">
        <v>65</v>
      </c>
      <c r="I18" s="7">
        <v>0</v>
      </c>
      <c r="J18" s="7">
        <v>2</v>
      </c>
      <c r="K18" s="10">
        <v>376</v>
      </c>
      <c r="L18" s="12">
        <v>4</v>
      </c>
      <c r="M18" s="10">
        <v>0</v>
      </c>
    </row>
    <row r="19" spans="1:13" ht="17.25" customHeight="1" x14ac:dyDescent="0.25">
      <c r="A19" s="79"/>
      <c r="B19" s="76"/>
      <c r="C19" s="54"/>
      <c r="D19" s="9">
        <v>3</v>
      </c>
      <c r="E19" s="7">
        <v>370</v>
      </c>
      <c r="F19" s="7">
        <v>111</v>
      </c>
      <c r="G19" s="9">
        <v>208</v>
      </c>
      <c r="H19" s="7">
        <v>50</v>
      </c>
      <c r="I19" s="7">
        <v>0</v>
      </c>
      <c r="J19" s="7">
        <v>1</v>
      </c>
      <c r="K19" s="10">
        <v>370</v>
      </c>
      <c r="L19" s="12">
        <v>0</v>
      </c>
      <c r="M19" s="10">
        <v>0</v>
      </c>
    </row>
    <row r="20" spans="1:13" ht="23.7" customHeight="1" x14ac:dyDescent="0.25">
      <c r="A20" s="21">
        <v>53</v>
      </c>
      <c r="B20" s="16" t="s">
        <v>141</v>
      </c>
      <c r="C20" s="13" t="s">
        <v>142</v>
      </c>
      <c r="D20" s="9">
        <v>1</v>
      </c>
      <c r="E20" s="7">
        <v>447</v>
      </c>
      <c r="F20" s="7">
        <v>94</v>
      </c>
      <c r="G20" s="9">
        <v>276</v>
      </c>
      <c r="H20" s="7">
        <v>70</v>
      </c>
      <c r="I20" s="7">
        <v>1</v>
      </c>
      <c r="J20" s="7">
        <v>0</v>
      </c>
      <c r="K20" s="10">
        <v>441</v>
      </c>
      <c r="L20" s="12">
        <v>6</v>
      </c>
      <c r="M20" s="10">
        <v>0</v>
      </c>
    </row>
    <row r="21" spans="1:13" ht="17.25" customHeight="1" x14ac:dyDescent="0.25">
      <c r="A21" s="78">
        <v>54</v>
      </c>
      <c r="B21" s="47" t="s">
        <v>143</v>
      </c>
      <c r="C21" s="86" t="s">
        <v>144</v>
      </c>
      <c r="D21" s="9">
        <v>1</v>
      </c>
      <c r="E21" s="7">
        <v>357</v>
      </c>
      <c r="F21" s="7">
        <v>54</v>
      </c>
      <c r="G21" s="9">
        <v>195</v>
      </c>
      <c r="H21" s="7">
        <v>102</v>
      </c>
      <c r="I21" s="7">
        <v>2</v>
      </c>
      <c r="J21" s="7">
        <v>1</v>
      </c>
      <c r="K21" s="10">
        <v>354</v>
      </c>
      <c r="L21" s="12">
        <v>3</v>
      </c>
      <c r="M21" s="10">
        <v>0</v>
      </c>
    </row>
    <row r="22" spans="1:13" ht="17.25" customHeight="1" x14ac:dyDescent="0.25">
      <c r="A22" s="79"/>
      <c r="B22" s="48"/>
      <c r="C22" s="87"/>
      <c r="D22" s="9">
        <v>2</v>
      </c>
      <c r="E22" s="7">
        <v>380</v>
      </c>
      <c r="F22" s="7">
        <v>103</v>
      </c>
      <c r="G22" s="9">
        <v>175</v>
      </c>
      <c r="H22" s="7">
        <v>98</v>
      </c>
      <c r="I22" s="7">
        <v>0</v>
      </c>
      <c r="J22" s="7">
        <v>2</v>
      </c>
      <c r="K22" s="10">
        <v>378</v>
      </c>
      <c r="L22" s="12">
        <v>2</v>
      </c>
      <c r="M22" s="10">
        <v>0</v>
      </c>
    </row>
    <row r="23" spans="1:13" ht="37.950000000000003" customHeight="1" x14ac:dyDescent="0.25"/>
    <row r="24" spans="1:13" ht="316.95" customHeight="1" x14ac:dyDescent="0.25"/>
    <row r="25" spans="1:13" ht="316.95" customHeight="1" x14ac:dyDescent="0.25"/>
  </sheetData>
  <mergeCells count="25"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  <mergeCell ref="A5:A8"/>
    <mergeCell ref="B5:B8"/>
    <mergeCell ref="C5:C8"/>
    <mergeCell ref="A9:A10"/>
    <mergeCell ref="B9:B10"/>
    <mergeCell ref="C9:C10"/>
    <mergeCell ref="A21:A22"/>
    <mergeCell ref="B21:B22"/>
    <mergeCell ref="C21:C22"/>
    <mergeCell ref="A12:A16"/>
    <mergeCell ref="B12:B16"/>
    <mergeCell ref="C12:C16"/>
    <mergeCell ref="A17:A19"/>
    <mergeCell ref="B17:B19"/>
    <mergeCell ref="C17:C19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1"/>
  <sheetViews>
    <sheetView workbookViewId="0">
      <selection activeCell="A5" sqref="A5:M8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57" t="s">
        <v>145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9"/>
    </row>
    <row r="2" spans="1:13" ht="18" customHeight="1" x14ac:dyDescent="0.25">
      <c r="A2" s="60" t="s">
        <v>1</v>
      </c>
      <c r="B2" s="60" t="s">
        <v>2</v>
      </c>
      <c r="C2" s="60" t="s">
        <v>3</v>
      </c>
      <c r="D2" s="63" t="s">
        <v>4</v>
      </c>
      <c r="E2" s="66" t="s">
        <v>5</v>
      </c>
      <c r="F2" s="69" t="s">
        <v>6</v>
      </c>
      <c r="G2" s="70"/>
      <c r="H2" s="70"/>
      <c r="I2" s="70"/>
      <c r="J2" s="70"/>
      <c r="K2" s="71"/>
      <c r="L2" s="63" t="s">
        <v>7</v>
      </c>
      <c r="M2" s="66" t="s">
        <v>8</v>
      </c>
    </row>
    <row r="3" spans="1:13" ht="37.950000000000003" customHeight="1" x14ac:dyDescent="0.25">
      <c r="A3" s="61"/>
      <c r="B3" s="61"/>
      <c r="C3" s="61"/>
      <c r="D3" s="64"/>
      <c r="E3" s="67"/>
      <c r="F3" s="1" t="s">
        <v>9</v>
      </c>
      <c r="G3" s="1" t="s">
        <v>10</v>
      </c>
      <c r="H3" s="1" t="s">
        <v>11</v>
      </c>
      <c r="I3" s="1" t="s">
        <v>12</v>
      </c>
      <c r="J3" s="2" t="s">
        <v>13</v>
      </c>
      <c r="K3" s="72" t="s">
        <v>14</v>
      </c>
      <c r="L3" s="64"/>
      <c r="M3" s="67"/>
    </row>
    <row r="4" spans="1:13" ht="28.2" customHeight="1" x14ac:dyDescent="0.25">
      <c r="A4" s="62"/>
      <c r="B4" s="62"/>
      <c r="C4" s="62"/>
      <c r="D4" s="65"/>
      <c r="E4" s="68"/>
      <c r="F4" s="3"/>
      <c r="G4" s="3"/>
      <c r="H4" s="3"/>
      <c r="I4" s="3"/>
      <c r="J4" s="3"/>
      <c r="K4" s="73"/>
      <c r="L4" s="65"/>
      <c r="M4" s="68"/>
    </row>
    <row r="5" spans="1:13" ht="17.25" customHeight="1" x14ac:dyDescent="0.25">
      <c r="A5" s="78">
        <v>55</v>
      </c>
      <c r="B5" s="80" t="s">
        <v>146</v>
      </c>
      <c r="C5" s="86" t="s">
        <v>147</v>
      </c>
      <c r="D5" s="7">
        <v>1</v>
      </c>
      <c r="E5" s="7">
        <v>303</v>
      </c>
      <c r="F5" s="7">
        <v>47</v>
      </c>
      <c r="G5" s="7">
        <v>211</v>
      </c>
      <c r="H5" s="7">
        <v>40</v>
      </c>
      <c r="I5" s="7">
        <v>0</v>
      </c>
      <c r="J5" s="7">
        <v>2</v>
      </c>
      <c r="K5" s="10">
        <v>300</v>
      </c>
      <c r="L5" s="7">
        <v>3</v>
      </c>
      <c r="M5" s="10">
        <v>0</v>
      </c>
    </row>
    <row r="6" spans="1:13" ht="17.25" customHeight="1" x14ac:dyDescent="0.25">
      <c r="A6" s="79"/>
      <c r="B6" s="81"/>
      <c r="C6" s="87"/>
      <c r="D6" s="7">
        <v>2</v>
      </c>
      <c r="E6" s="7">
        <v>299</v>
      </c>
      <c r="F6" s="7">
        <v>64</v>
      </c>
      <c r="G6" s="7">
        <v>196</v>
      </c>
      <c r="H6" s="7">
        <v>38</v>
      </c>
      <c r="I6" s="7">
        <v>0</v>
      </c>
      <c r="J6" s="7">
        <v>1</v>
      </c>
      <c r="K6" s="10">
        <v>299</v>
      </c>
      <c r="L6" s="7">
        <v>0</v>
      </c>
      <c r="M6" s="10">
        <v>0</v>
      </c>
    </row>
    <row r="7" spans="1:13" ht="32.700000000000003" customHeight="1" x14ac:dyDescent="0.25">
      <c r="A7" s="14">
        <v>56</v>
      </c>
      <c r="B7" s="5" t="s">
        <v>148</v>
      </c>
      <c r="C7" s="13" t="s">
        <v>149</v>
      </c>
      <c r="D7" s="7">
        <v>1</v>
      </c>
      <c r="E7" s="7">
        <v>542</v>
      </c>
      <c r="F7" s="7">
        <v>139</v>
      </c>
      <c r="G7" s="7">
        <v>313</v>
      </c>
      <c r="H7" s="7">
        <v>83</v>
      </c>
      <c r="I7" s="7">
        <v>0</v>
      </c>
      <c r="J7" s="7">
        <v>2</v>
      </c>
      <c r="K7" s="10">
        <v>537</v>
      </c>
      <c r="L7" s="7">
        <v>5</v>
      </c>
      <c r="M7" s="10">
        <v>0</v>
      </c>
    </row>
    <row r="8" spans="1:13" ht="19.2" customHeight="1" x14ac:dyDescent="0.25">
      <c r="A8" s="94" t="s">
        <v>150</v>
      </c>
      <c r="B8" s="95"/>
      <c r="C8" s="96"/>
      <c r="D8" s="22">
        <v>241</v>
      </c>
      <c r="E8" s="23">
        <v>110586</v>
      </c>
      <c r="F8" s="23">
        <v>21875</v>
      </c>
      <c r="G8" s="23">
        <v>53075</v>
      </c>
      <c r="H8" s="23">
        <v>33178</v>
      </c>
      <c r="I8" s="22">
        <v>779</v>
      </c>
      <c r="J8" s="22">
        <v>529</v>
      </c>
      <c r="K8" s="23">
        <v>109436</v>
      </c>
      <c r="L8" s="22">
        <v>826</v>
      </c>
      <c r="M8" s="22">
        <v>324</v>
      </c>
    </row>
    <row r="9" spans="1:13" ht="37.950000000000003" customHeight="1" x14ac:dyDescent="0.25"/>
    <row r="10" spans="1:13" ht="66" customHeight="1" x14ac:dyDescent="0.25"/>
    <row r="11" spans="1:13" ht="66" customHeight="1" x14ac:dyDescent="0.25"/>
  </sheetData>
  <mergeCells count="14">
    <mergeCell ref="A5:A6"/>
    <mergeCell ref="B5:B6"/>
    <mergeCell ref="C5:C6"/>
    <mergeCell ref="A8:C8"/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RaceWorksheet</vt:lpstr>
      <vt:lpstr>P131Rembau</vt:lpstr>
      <vt:lpstr>Race&amp;Age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Ong Kian Ming</cp:lastModifiedBy>
  <dcterms:created xsi:type="dcterms:W3CDTF">2023-01-24T06:47:07Z</dcterms:created>
  <dcterms:modified xsi:type="dcterms:W3CDTF">2023-06-09T14:54:21Z</dcterms:modified>
</cp:coreProperties>
</file>