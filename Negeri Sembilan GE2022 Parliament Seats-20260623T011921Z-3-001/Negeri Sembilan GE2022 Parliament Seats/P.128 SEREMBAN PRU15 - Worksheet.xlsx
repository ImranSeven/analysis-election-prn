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3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4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OKM\Malaysian Elections\GE15 (National)\GE15 Results\SCORE SHEET PRU 15 (2022)\11. NEGERI SEMBILAN\"/>
    </mc:Choice>
  </mc:AlternateContent>
  <xr:revisionPtr revIDLastSave="0" documentId="13_ncr:1_{083C08AE-4BA3-48F3-AC02-33B0AF3C506B}" xr6:coauthVersionLast="47" xr6:coauthVersionMax="47" xr10:uidLastSave="{00000000-0000-0000-0000-000000000000}"/>
  <bookViews>
    <workbookView xWindow="-108" yWindow="-108" windowWidth="23256" windowHeight="12576" activeTab="4" xr2:uid="{00000000-000D-0000-FFFF-FFFF00000000}"/>
  </bookViews>
  <sheets>
    <sheet name="RaceWorksheet" sheetId="20" r:id="rId1"/>
    <sheet name="P128Seremban" sheetId="18" r:id="rId2"/>
    <sheet name="N10Nilai" sheetId="23" r:id="rId3"/>
    <sheet name="N11Lobak" sheetId="22" r:id="rId4"/>
    <sheet name="N12Temiang" sheetId="21" r:id="rId5"/>
    <sheet name="Race&amp;Age" sheetId="19" r:id="rId6"/>
    <sheet name="Table 1" sheetId="1" r:id="rId7"/>
    <sheet name="Table 2" sheetId="2" r:id="rId8"/>
    <sheet name="Table 3" sheetId="3" r:id="rId9"/>
    <sheet name="Table 4" sheetId="4" r:id="rId10"/>
    <sheet name="Table 5" sheetId="5" r:id="rId11"/>
    <sheet name="Table 6" sheetId="6" r:id="rId12"/>
    <sheet name="Table 7" sheetId="7" r:id="rId13"/>
    <sheet name="Table 8" sheetId="8" r:id="rId14"/>
    <sheet name="Table 9" sheetId="9" r:id="rId15"/>
    <sheet name="Table 10" sheetId="10" r:id="rId16"/>
    <sheet name="Table 11" sheetId="11" r:id="rId17"/>
    <sheet name="Table 12" sheetId="12" r:id="rId18"/>
    <sheet name="Table 13" sheetId="13" r:id="rId19"/>
    <sheet name="Table 14" sheetId="14" r:id="rId20"/>
    <sheet name="Table 15" sheetId="15" r:id="rId21"/>
    <sheet name="Table 16" sheetId="16" r:id="rId22"/>
    <sheet name="Table 17" sheetId="17" r:id="rId23"/>
  </sheets>
  <definedNames>
    <definedName name="_xlnm._FilterDatabase" localSheetId="1" hidden="1">P128Seremban!$A$1:$AD$289</definedName>
    <definedName name="_xlnm._FilterDatabase" localSheetId="5" hidden="1">'Race&amp;Age'!$A$1:$Y$281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26" i="21" l="1"/>
  <c r="AB7" i="21"/>
  <c r="S46" i="21"/>
  <c r="S26" i="21"/>
  <c r="S8" i="21"/>
  <c r="AB45" i="22"/>
  <c r="AB26" i="22"/>
  <c r="AB8" i="22"/>
  <c r="S45" i="22"/>
  <c r="S26" i="22"/>
  <c r="S8" i="22"/>
  <c r="AB46" i="23"/>
  <c r="AB27" i="23"/>
  <c r="AB7" i="23"/>
  <c r="S46" i="23"/>
  <c r="S27" i="23"/>
  <c r="S7" i="23"/>
  <c r="AD298" i="18"/>
  <c r="AB298" i="18"/>
  <c r="AA298" i="18"/>
  <c r="Z298" i="18"/>
  <c r="Y298" i="18"/>
  <c r="AD297" i="18"/>
  <c r="AB297" i="18"/>
  <c r="AA297" i="18"/>
  <c r="Z297" i="18"/>
  <c r="Y297" i="18"/>
  <c r="AD296" i="18"/>
  <c r="AB296" i="18"/>
  <c r="AA296" i="18"/>
  <c r="Z296" i="18"/>
  <c r="Y296" i="18"/>
  <c r="AD295" i="18"/>
  <c r="AB295" i="18"/>
  <c r="AA295" i="18"/>
  <c r="Z295" i="18"/>
  <c r="Y295" i="18"/>
  <c r="AD294" i="18"/>
  <c r="AB294" i="18"/>
  <c r="AA294" i="18"/>
  <c r="Z294" i="18"/>
  <c r="Y294" i="18"/>
  <c r="AD293" i="18"/>
  <c r="AB293" i="18"/>
  <c r="AA293" i="18"/>
  <c r="Z293" i="18"/>
  <c r="Y293" i="18"/>
  <c r="S298" i="18"/>
  <c r="R298" i="18"/>
  <c r="Q298" i="18"/>
  <c r="P298" i="18"/>
  <c r="O298" i="18"/>
  <c r="S297" i="18"/>
  <c r="R297" i="18"/>
  <c r="Q297" i="18"/>
  <c r="P297" i="18"/>
  <c r="O297" i="18"/>
  <c r="S296" i="18"/>
  <c r="R296" i="18"/>
  <c r="Q296" i="18"/>
  <c r="P296" i="18"/>
  <c r="O296" i="18"/>
  <c r="S295" i="18"/>
  <c r="R295" i="18"/>
  <c r="Q295" i="18"/>
  <c r="P295" i="18"/>
  <c r="O295" i="18"/>
  <c r="S294" i="18"/>
  <c r="R294" i="18"/>
  <c r="Q294" i="18"/>
  <c r="P294" i="18"/>
  <c r="O294" i="18"/>
  <c r="S293" i="18"/>
  <c r="R293" i="18"/>
  <c r="Q293" i="18"/>
  <c r="P293" i="18"/>
  <c r="O293" i="18"/>
  <c r="X298" i="18"/>
  <c r="W298" i="18"/>
  <c r="V298" i="18"/>
  <c r="U298" i="18"/>
  <c r="T298" i="18"/>
  <c r="X297" i="18"/>
  <c r="W297" i="18"/>
  <c r="V297" i="18"/>
  <c r="U297" i="18"/>
  <c r="T297" i="18"/>
  <c r="X296" i="18"/>
  <c r="W296" i="18"/>
  <c r="V296" i="18"/>
  <c r="U296" i="18"/>
  <c r="T296" i="18"/>
  <c r="X295" i="18"/>
  <c r="W295" i="18"/>
  <c r="V295" i="18"/>
  <c r="U295" i="18"/>
  <c r="T295" i="18"/>
  <c r="X294" i="18"/>
  <c r="W294" i="18"/>
  <c r="V294" i="18"/>
  <c r="U294" i="18"/>
  <c r="T294" i="18"/>
  <c r="X293" i="18"/>
  <c r="W293" i="18"/>
  <c r="V293" i="18"/>
  <c r="U293" i="18"/>
  <c r="T293" i="18"/>
  <c r="N298" i="18"/>
  <c r="M298" i="18"/>
  <c r="L298" i="18"/>
  <c r="K298" i="18"/>
  <c r="J298" i="18"/>
  <c r="I298" i="18"/>
  <c r="H298" i="18"/>
  <c r="G298" i="18"/>
  <c r="F298" i="18"/>
  <c r="N297" i="18"/>
  <c r="M297" i="18"/>
  <c r="L297" i="18"/>
  <c r="K297" i="18"/>
  <c r="J297" i="18"/>
  <c r="I297" i="18"/>
  <c r="H297" i="18"/>
  <c r="G297" i="18"/>
  <c r="F297" i="18"/>
  <c r="N296" i="18"/>
  <c r="M296" i="18"/>
  <c r="L296" i="18"/>
  <c r="K296" i="18"/>
  <c r="J296" i="18"/>
  <c r="I296" i="18"/>
  <c r="H296" i="18"/>
  <c r="G296" i="18"/>
  <c r="F296" i="18"/>
  <c r="N295" i="18"/>
  <c r="M295" i="18"/>
  <c r="L295" i="18"/>
  <c r="K295" i="18"/>
  <c r="J295" i="18"/>
  <c r="I295" i="18"/>
  <c r="H295" i="18"/>
  <c r="G295" i="18"/>
  <c r="F295" i="18"/>
  <c r="N294" i="18"/>
  <c r="M294" i="18"/>
  <c r="L294" i="18"/>
  <c r="K294" i="18"/>
  <c r="J294" i="18"/>
  <c r="I294" i="18"/>
  <c r="H294" i="18"/>
  <c r="G294" i="18"/>
  <c r="F294" i="18"/>
  <c r="N293" i="18"/>
  <c r="M293" i="18"/>
  <c r="L293" i="18"/>
  <c r="K293" i="18"/>
  <c r="J293" i="18"/>
  <c r="I293" i="18"/>
  <c r="H293" i="18"/>
  <c r="G293" i="18"/>
  <c r="F293" i="18"/>
  <c r="E298" i="18"/>
  <c r="E297" i="18"/>
  <c r="E296" i="18"/>
  <c r="E295" i="18"/>
  <c r="E294" i="18"/>
  <c r="E293" i="18"/>
  <c r="AC291" i="18"/>
  <c r="X291" i="18"/>
  <c r="W291" i="18"/>
  <c r="AB291" i="18" s="1"/>
  <c r="V291" i="18"/>
  <c r="AA291" i="18" s="1"/>
  <c r="U291" i="18"/>
  <c r="Z291" i="18" s="1"/>
  <c r="T291" i="18"/>
  <c r="Y291" i="18" s="1"/>
  <c r="N291" i="18"/>
  <c r="L291" i="18"/>
  <c r="K291" i="18"/>
  <c r="J291" i="18"/>
  <c r="I291" i="18"/>
  <c r="H291" i="18"/>
  <c r="G291" i="18"/>
  <c r="F291" i="18"/>
  <c r="E291" i="18"/>
  <c r="AH9" i="20"/>
  <c r="Y48" i="20"/>
  <c r="Y28" i="20"/>
  <c r="Y9" i="20"/>
  <c r="N318" i="19"/>
  <c r="Y318" i="19" s="1"/>
  <c r="M318" i="19"/>
  <c r="L318" i="19"/>
  <c r="K318" i="19"/>
  <c r="P318" i="19" s="1"/>
  <c r="U318" i="19" s="1"/>
  <c r="J318" i="19"/>
  <c r="I318" i="19"/>
  <c r="R318" i="19" s="1"/>
  <c r="H318" i="19"/>
  <c r="Q318" i="19" s="1"/>
  <c r="G318" i="19"/>
  <c r="F318" i="19"/>
  <c r="E318" i="19"/>
  <c r="D318" i="19"/>
  <c r="C318" i="19"/>
  <c r="N311" i="19"/>
  <c r="Y311" i="19" s="1"/>
  <c r="M311" i="19"/>
  <c r="L311" i="19"/>
  <c r="K311" i="19"/>
  <c r="P311" i="19" s="1"/>
  <c r="J311" i="19"/>
  <c r="I311" i="19"/>
  <c r="R311" i="19" s="1"/>
  <c r="H311" i="19"/>
  <c r="Q311" i="19" s="1"/>
  <c r="G311" i="19"/>
  <c r="F311" i="19"/>
  <c r="E311" i="19"/>
  <c r="D311" i="19"/>
  <c r="C311" i="19"/>
  <c r="N308" i="19"/>
  <c r="Y308" i="19" s="1"/>
  <c r="M308" i="19"/>
  <c r="L308" i="19"/>
  <c r="K308" i="19"/>
  <c r="P308" i="19" s="1"/>
  <c r="U308" i="19" s="1"/>
  <c r="J308" i="19"/>
  <c r="I308" i="19"/>
  <c r="R308" i="19" s="1"/>
  <c r="H308" i="19"/>
  <c r="Q308" i="19" s="1"/>
  <c r="G308" i="19"/>
  <c r="F308" i="19"/>
  <c r="D308" i="19"/>
  <c r="E308" i="19"/>
  <c r="C308" i="19"/>
  <c r="N302" i="19"/>
  <c r="Y302" i="19" s="1"/>
  <c r="M302" i="19"/>
  <c r="L302" i="19"/>
  <c r="K302" i="19"/>
  <c r="P302" i="19" s="1"/>
  <c r="U302" i="19" s="1"/>
  <c r="J302" i="19"/>
  <c r="I302" i="19"/>
  <c r="R302" i="19" s="1"/>
  <c r="H302" i="19"/>
  <c r="Q302" i="19" s="1"/>
  <c r="G302" i="19"/>
  <c r="F302" i="19"/>
  <c r="E302" i="19"/>
  <c r="Y278" i="19"/>
  <c r="R278" i="19"/>
  <c r="W278" i="19" s="1"/>
  <c r="Q278" i="19"/>
  <c r="V278" i="19" s="1"/>
  <c r="P278" i="19"/>
  <c r="Y277" i="19"/>
  <c r="R277" i="19"/>
  <c r="W277" i="19" s="1"/>
  <c r="Q277" i="19"/>
  <c r="V277" i="19" s="1"/>
  <c r="P277" i="19"/>
  <c r="U277" i="19" s="1"/>
  <c r="Y276" i="19"/>
  <c r="R276" i="19"/>
  <c r="W276" i="19" s="1"/>
  <c r="Q276" i="19"/>
  <c r="V276" i="19" s="1"/>
  <c r="P276" i="19"/>
  <c r="U276" i="19" s="1"/>
  <c r="Y275" i="19"/>
  <c r="R275" i="19"/>
  <c r="W275" i="19" s="1"/>
  <c r="Q275" i="19"/>
  <c r="V275" i="19" s="1"/>
  <c r="P275" i="19"/>
  <c r="Y274" i="19"/>
  <c r="R274" i="19"/>
  <c r="W274" i="19" s="1"/>
  <c r="Q274" i="19"/>
  <c r="V274" i="19" s="1"/>
  <c r="P274" i="19"/>
  <c r="U274" i="19" s="1"/>
  <c r="Y280" i="19"/>
  <c r="R280" i="19"/>
  <c r="W280" i="19" s="1"/>
  <c r="Q280" i="19"/>
  <c r="V280" i="19" s="1"/>
  <c r="P280" i="19"/>
  <c r="U280" i="19" s="1"/>
  <c r="Y279" i="19"/>
  <c r="R279" i="19"/>
  <c r="W279" i="19" s="1"/>
  <c r="Q279" i="19"/>
  <c r="V279" i="19" s="1"/>
  <c r="P279" i="19"/>
  <c r="Y273" i="19"/>
  <c r="R273" i="19"/>
  <c r="W273" i="19" s="1"/>
  <c r="Q273" i="19"/>
  <c r="V273" i="19" s="1"/>
  <c r="P273" i="19"/>
  <c r="U273" i="19" s="1"/>
  <c r="Y272" i="19"/>
  <c r="R272" i="19"/>
  <c r="W272" i="19" s="1"/>
  <c r="Q272" i="19"/>
  <c r="V272" i="19" s="1"/>
  <c r="P272" i="19"/>
  <c r="U272" i="19" s="1"/>
  <c r="Y271" i="19"/>
  <c r="R271" i="19"/>
  <c r="W271" i="19" s="1"/>
  <c r="Q271" i="19"/>
  <c r="V271" i="19" s="1"/>
  <c r="P271" i="19"/>
  <c r="Y270" i="19"/>
  <c r="R270" i="19"/>
  <c r="W270" i="19" s="1"/>
  <c r="Q270" i="19"/>
  <c r="V270" i="19" s="1"/>
  <c r="P270" i="19"/>
  <c r="U270" i="19" s="1"/>
  <c r="Y269" i="19"/>
  <c r="R269" i="19"/>
  <c r="W269" i="19" s="1"/>
  <c r="Q269" i="19"/>
  <c r="P269" i="19"/>
  <c r="U269" i="19" s="1"/>
  <c r="Y268" i="19"/>
  <c r="R268" i="19"/>
  <c r="W268" i="19" s="1"/>
  <c r="Q268" i="19"/>
  <c r="V268" i="19" s="1"/>
  <c r="P268" i="19"/>
  <c r="Y267" i="19"/>
  <c r="R267" i="19"/>
  <c r="W267" i="19" s="1"/>
  <c r="Q267" i="19"/>
  <c r="V267" i="19" s="1"/>
  <c r="P267" i="19"/>
  <c r="U267" i="19" s="1"/>
  <c r="Y301" i="19"/>
  <c r="R301" i="19"/>
  <c r="W301" i="19" s="1"/>
  <c r="Q301" i="19"/>
  <c r="V301" i="19" s="1"/>
  <c r="P301" i="19"/>
  <c r="U301" i="19" s="1"/>
  <c r="Y266" i="19"/>
  <c r="R266" i="19"/>
  <c r="W266" i="19" s="1"/>
  <c r="Q266" i="19"/>
  <c r="V266" i="19" s="1"/>
  <c r="P266" i="19"/>
  <c r="Y265" i="19"/>
  <c r="R265" i="19"/>
  <c r="W265" i="19" s="1"/>
  <c r="Q265" i="19"/>
  <c r="V265" i="19" s="1"/>
  <c r="P265" i="19"/>
  <c r="U265" i="19" s="1"/>
  <c r="Y264" i="19"/>
  <c r="R264" i="19"/>
  <c r="W264" i="19" s="1"/>
  <c r="Q264" i="19"/>
  <c r="P264" i="19"/>
  <c r="U264" i="19" s="1"/>
  <c r="Y263" i="19"/>
  <c r="R263" i="19"/>
  <c r="W263" i="19" s="1"/>
  <c r="Q263" i="19"/>
  <c r="V263" i="19" s="1"/>
  <c r="P263" i="19"/>
  <c r="Y262" i="19"/>
  <c r="R262" i="19"/>
  <c r="W262" i="19" s="1"/>
  <c r="Q262" i="19"/>
  <c r="V262" i="19" s="1"/>
  <c r="P262" i="19"/>
  <c r="U262" i="19" s="1"/>
  <c r="Y261" i="19"/>
  <c r="R261" i="19"/>
  <c r="W261" i="19" s="1"/>
  <c r="Q261" i="19"/>
  <c r="V261" i="19" s="1"/>
  <c r="P261" i="19"/>
  <c r="U261" i="19" s="1"/>
  <c r="Y260" i="19"/>
  <c r="R260" i="19"/>
  <c r="W260" i="19" s="1"/>
  <c r="Q260" i="19"/>
  <c r="V260" i="19" s="1"/>
  <c r="P260" i="19"/>
  <c r="Y259" i="19"/>
  <c r="R259" i="19"/>
  <c r="W259" i="19" s="1"/>
  <c r="Q259" i="19"/>
  <c r="V259" i="19" s="1"/>
  <c r="P259" i="19"/>
  <c r="U259" i="19" s="1"/>
  <c r="Y258" i="19"/>
  <c r="R258" i="19"/>
  <c r="W258" i="19" s="1"/>
  <c r="Q258" i="19"/>
  <c r="P258" i="19"/>
  <c r="U258" i="19" s="1"/>
  <c r="Y257" i="19"/>
  <c r="R257" i="19"/>
  <c r="W257" i="19" s="1"/>
  <c r="Q257" i="19"/>
  <c r="V257" i="19" s="1"/>
  <c r="P257" i="19"/>
  <c r="Y300" i="19"/>
  <c r="R300" i="19"/>
  <c r="W300" i="19" s="1"/>
  <c r="Q300" i="19"/>
  <c r="V300" i="19" s="1"/>
  <c r="P300" i="19"/>
  <c r="U300" i="19" s="1"/>
  <c r="Y299" i="19"/>
  <c r="R299" i="19"/>
  <c r="W299" i="19" s="1"/>
  <c r="Q299" i="19"/>
  <c r="V299" i="19" s="1"/>
  <c r="P299" i="19"/>
  <c r="U299" i="19" s="1"/>
  <c r="Y256" i="19"/>
  <c r="R256" i="19"/>
  <c r="W256" i="19" s="1"/>
  <c r="Q256" i="19"/>
  <c r="V256" i="19" s="1"/>
  <c r="P256" i="19"/>
  <c r="U256" i="19" s="1"/>
  <c r="Y255" i="19"/>
  <c r="R255" i="19"/>
  <c r="W255" i="19" s="1"/>
  <c r="Q255" i="19"/>
  <c r="V255" i="19" s="1"/>
  <c r="P255" i="19"/>
  <c r="U255" i="19" s="1"/>
  <c r="Y254" i="19"/>
  <c r="R254" i="19"/>
  <c r="W254" i="19" s="1"/>
  <c r="Q254" i="19"/>
  <c r="P254" i="19"/>
  <c r="U254" i="19" s="1"/>
  <c r="Y253" i="19"/>
  <c r="R253" i="19"/>
  <c r="W253" i="19" s="1"/>
  <c r="Q253" i="19"/>
  <c r="V253" i="19" s="1"/>
  <c r="P253" i="19"/>
  <c r="Y252" i="19"/>
  <c r="R252" i="19"/>
  <c r="W252" i="19" s="1"/>
  <c r="Q252" i="19"/>
  <c r="V252" i="19" s="1"/>
  <c r="P252" i="19"/>
  <c r="U252" i="19" s="1"/>
  <c r="Y251" i="19"/>
  <c r="R251" i="19"/>
  <c r="W251" i="19" s="1"/>
  <c r="Q251" i="19"/>
  <c r="V251" i="19" s="1"/>
  <c r="P251" i="19"/>
  <c r="U251" i="19" s="1"/>
  <c r="Y250" i="19"/>
  <c r="R250" i="19"/>
  <c r="W250" i="19" s="1"/>
  <c r="Q250" i="19"/>
  <c r="V250" i="19" s="1"/>
  <c r="P250" i="19"/>
  <c r="Y249" i="19"/>
  <c r="R249" i="19"/>
  <c r="W249" i="19" s="1"/>
  <c r="Q249" i="19"/>
  <c r="V249" i="19" s="1"/>
  <c r="P249" i="19"/>
  <c r="U249" i="19" s="1"/>
  <c r="Y248" i="19"/>
  <c r="R248" i="19"/>
  <c r="W248" i="19" s="1"/>
  <c r="Q248" i="19"/>
  <c r="P248" i="19"/>
  <c r="U248" i="19" s="1"/>
  <c r="Y247" i="19"/>
  <c r="R247" i="19"/>
  <c r="W247" i="19" s="1"/>
  <c r="Q247" i="19"/>
  <c r="V247" i="19" s="1"/>
  <c r="P247" i="19"/>
  <c r="Y246" i="19"/>
  <c r="R246" i="19"/>
  <c r="W246" i="19" s="1"/>
  <c r="Q246" i="19"/>
  <c r="V246" i="19" s="1"/>
  <c r="P246" i="19"/>
  <c r="U246" i="19" s="1"/>
  <c r="Y298" i="19"/>
  <c r="R298" i="19"/>
  <c r="W298" i="19" s="1"/>
  <c r="Q298" i="19"/>
  <c r="V298" i="19" s="1"/>
  <c r="P298" i="19"/>
  <c r="U298" i="19" s="1"/>
  <c r="Y245" i="19"/>
  <c r="R245" i="19"/>
  <c r="W245" i="19" s="1"/>
  <c r="Q245" i="19"/>
  <c r="V245" i="19" s="1"/>
  <c r="P245" i="19"/>
  <c r="Y244" i="19"/>
  <c r="R244" i="19"/>
  <c r="W244" i="19" s="1"/>
  <c r="Q244" i="19"/>
  <c r="V244" i="19" s="1"/>
  <c r="P244" i="19"/>
  <c r="U244" i="19" s="1"/>
  <c r="Y243" i="19"/>
  <c r="R243" i="19"/>
  <c r="W243" i="19" s="1"/>
  <c r="Q243" i="19"/>
  <c r="P243" i="19"/>
  <c r="U243" i="19" s="1"/>
  <c r="Y242" i="19"/>
  <c r="R242" i="19"/>
  <c r="W242" i="19" s="1"/>
  <c r="Q242" i="19"/>
  <c r="V242" i="19" s="1"/>
  <c r="P242" i="19"/>
  <c r="Y241" i="19"/>
  <c r="R241" i="19"/>
  <c r="W241" i="19" s="1"/>
  <c r="Q241" i="19"/>
  <c r="V241" i="19" s="1"/>
  <c r="P241" i="19"/>
  <c r="U241" i="19" s="1"/>
  <c r="Y240" i="19"/>
  <c r="R240" i="19"/>
  <c r="W240" i="19" s="1"/>
  <c r="Q240" i="19"/>
  <c r="V240" i="19" s="1"/>
  <c r="P240" i="19"/>
  <c r="U240" i="19" s="1"/>
  <c r="Y239" i="19"/>
  <c r="R239" i="19"/>
  <c r="W239" i="19" s="1"/>
  <c r="Q239" i="19"/>
  <c r="V239" i="19" s="1"/>
  <c r="P239" i="19"/>
  <c r="Y238" i="19"/>
  <c r="R238" i="19"/>
  <c r="W238" i="19" s="1"/>
  <c r="Q238" i="19"/>
  <c r="V238" i="19" s="1"/>
  <c r="P238" i="19"/>
  <c r="U238" i="19" s="1"/>
  <c r="Y297" i="19"/>
  <c r="R297" i="19"/>
  <c r="W297" i="19" s="1"/>
  <c r="Q297" i="19"/>
  <c r="P297" i="19"/>
  <c r="U297" i="19" s="1"/>
  <c r="Y232" i="19"/>
  <c r="R232" i="19"/>
  <c r="W232" i="19" s="1"/>
  <c r="Q232" i="19"/>
  <c r="V232" i="19" s="1"/>
  <c r="P232" i="19"/>
  <c r="Y231" i="19"/>
  <c r="R231" i="19"/>
  <c r="W231" i="19" s="1"/>
  <c r="Q231" i="19"/>
  <c r="V231" i="19" s="1"/>
  <c r="P231" i="19"/>
  <c r="U231" i="19" s="1"/>
  <c r="Y230" i="19"/>
  <c r="R230" i="19"/>
  <c r="W230" i="19" s="1"/>
  <c r="Q230" i="19"/>
  <c r="P230" i="19"/>
  <c r="U230" i="19" s="1"/>
  <c r="Y229" i="19"/>
  <c r="R229" i="19"/>
  <c r="W229" i="19" s="1"/>
  <c r="Q229" i="19"/>
  <c r="V229" i="19" s="1"/>
  <c r="P229" i="19"/>
  <c r="U229" i="19" s="1"/>
  <c r="Y228" i="19"/>
  <c r="R228" i="19"/>
  <c r="W228" i="19" s="1"/>
  <c r="Q228" i="19"/>
  <c r="V228" i="19" s="1"/>
  <c r="P228" i="19"/>
  <c r="U228" i="19" s="1"/>
  <c r="Y227" i="19"/>
  <c r="R227" i="19"/>
  <c r="W227" i="19" s="1"/>
  <c r="Q227" i="19"/>
  <c r="P227" i="19"/>
  <c r="U227" i="19" s="1"/>
  <c r="Y226" i="19"/>
  <c r="R226" i="19"/>
  <c r="W226" i="19" s="1"/>
  <c r="Q226" i="19"/>
  <c r="V226" i="19" s="1"/>
  <c r="P226" i="19"/>
  <c r="Y237" i="19"/>
  <c r="R237" i="19"/>
  <c r="W237" i="19" s="1"/>
  <c r="Q237" i="19"/>
  <c r="V237" i="19" s="1"/>
  <c r="P237" i="19"/>
  <c r="U237" i="19" s="1"/>
  <c r="Y236" i="19"/>
  <c r="R236" i="19"/>
  <c r="W236" i="19" s="1"/>
  <c r="Q236" i="19"/>
  <c r="V236" i="19" s="1"/>
  <c r="P236" i="19"/>
  <c r="U236" i="19" s="1"/>
  <c r="Y235" i="19"/>
  <c r="R235" i="19"/>
  <c r="W235" i="19" s="1"/>
  <c r="Q235" i="19"/>
  <c r="V235" i="19" s="1"/>
  <c r="P235" i="19"/>
  <c r="Y234" i="19"/>
  <c r="R234" i="19"/>
  <c r="W234" i="19" s="1"/>
  <c r="Q234" i="19"/>
  <c r="V234" i="19" s="1"/>
  <c r="P234" i="19"/>
  <c r="U234" i="19" s="1"/>
  <c r="Y233" i="19"/>
  <c r="R233" i="19"/>
  <c r="W233" i="19" s="1"/>
  <c r="Q233" i="19"/>
  <c r="P233" i="19"/>
  <c r="U233" i="19" s="1"/>
  <c r="Y317" i="19"/>
  <c r="R317" i="19"/>
  <c r="W317" i="19" s="1"/>
  <c r="Q317" i="19"/>
  <c r="V317" i="19" s="1"/>
  <c r="P317" i="19"/>
  <c r="Y225" i="19"/>
  <c r="R225" i="19"/>
  <c r="W225" i="19" s="1"/>
  <c r="Q225" i="19"/>
  <c r="V225" i="19" s="1"/>
  <c r="P225" i="19"/>
  <c r="U225" i="19" s="1"/>
  <c r="Y224" i="19"/>
  <c r="R224" i="19"/>
  <c r="W224" i="19" s="1"/>
  <c r="Q224" i="19"/>
  <c r="P224" i="19"/>
  <c r="U224" i="19" s="1"/>
  <c r="Y223" i="19"/>
  <c r="R223" i="19"/>
  <c r="W223" i="19" s="1"/>
  <c r="Q223" i="19"/>
  <c r="V223" i="19" s="1"/>
  <c r="P223" i="19"/>
  <c r="Y222" i="19"/>
  <c r="R222" i="19"/>
  <c r="W222" i="19" s="1"/>
  <c r="Q222" i="19"/>
  <c r="V222" i="19" s="1"/>
  <c r="P222" i="19"/>
  <c r="U222" i="19" s="1"/>
  <c r="Y221" i="19"/>
  <c r="R221" i="19"/>
  <c r="W221" i="19" s="1"/>
  <c r="Q221" i="19"/>
  <c r="P221" i="19"/>
  <c r="U221" i="19" s="1"/>
  <c r="Y220" i="19"/>
  <c r="R220" i="19"/>
  <c r="W220" i="19" s="1"/>
  <c r="Q220" i="19"/>
  <c r="V220" i="19" s="1"/>
  <c r="P220" i="19"/>
  <c r="Y296" i="19"/>
  <c r="R296" i="19"/>
  <c r="W296" i="19" s="1"/>
  <c r="Q296" i="19"/>
  <c r="V296" i="19" s="1"/>
  <c r="P296" i="19"/>
  <c r="U296" i="19" s="1"/>
  <c r="Y219" i="19"/>
  <c r="R219" i="19"/>
  <c r="W219" i="19" s="1"/>
  <c r="Q219" i="19"/>
  <c r="V219" i="19" s="1"/>
  <c r="P219" i="19"/>
  <c r="U219" i="19" s="1"/>
  <c r="Y218" i="19"/>
  <c r="R218" i="19"/>
  <c r="W218" i="19" s="1"/>
  <c r="Q218" i="19"/>
  <c r="V218" i="19" s="1"/>
  <c r="P218" i="19"/>
  <c r="U218" i="19" s="1"/>
  <c r="Y217" i="19"/>
  <c r="R217" i="19"/>
  <c r="W217" i="19" s="1"/>
  <c r="Q217" i="19"/>
  <c r="V217" i="19" s="1"/>
  <c r="P217" i="19"/>
  <c r="U217" i="19" s="1"/>
  <c r="Y216" i="19"/>
  <c r="R216" i="19"/>
  <c r="W216" i="19" s="1"/>
  <c r="Q216" i="19"/>
  <c r="P216" i="19"/>
  <c r="U216" i="19" s="1"/>
  <c r="Y215" i="19"/>
  <c r="R215" i="19"/>
  <c r="W215" i="19" s="1"/>
  <c r="Q215" i="19"/>
  <c r="V215" i="19" s="1"/>
  <c r="P215" i="19"/>
  <c r="Y214" i="19"/>
  <c r="R214" i="19"/>
  <c r="W214" i="19" s="1"/>
  <c r="Q214" i="19"/>
  <c r="V214" i="19" s="1"/>
  <c r="P214" i="19"/>
  <c r="U214" i="19" s="1"/>
  <c r="Y213" i="19"/>
  <c r="R213" i="19"/>
  <c r="W213" i="19" s="1"/>
  <c r="Q213" i="19"/>
  <c r="V213" i="19" s="1"/>
  <c r="P213" i="19"/>
  <c r="U213" i="19" s="1"/>
  <c r="Y212" i="19"/>
  <c r="R212" i="19"/>
  <c r="W212" i="19" s="1"/>
  <c r="Q212" i="19"/>
  <c r="V212" i="19" s="1"/>
  <c r="P212" i="19"/>
  <c r="Y211" i="19"/>
  <c r="R211" i="19"/>
  <c r="W211" i="19" s="1"/>
  <c r="Q211" i="19"/>
  <c r="V211" i="19" s="1"/>
  <c r="P211" i="19"/>
  <c r="U211" i="19" s="1"/>
  <c r="Y295" i="19"/>
  <c r="R295" i="19"/>
  <c r="W295" i="19" s="1"/>
  <c r="Q295" i="19"/>
  <c r="P295" i="19"/>
  <c r="U295" i="19" s="1"/>
  <c r="Y210" i="19"/>
  <c r="R210" i="19"/>
  <c r="W210" i="19" s="1"/>
  <c r="Q210" i="19"/>
  <c r="V210" i="19" s="1"/>
  <c r="P210" i="19"/>
  <c r="Y209" i="19"/>
  <c r="R209" i="19"/>
  <c r="W209" i="19" s="1"/>
  <c r="Q209" i="19"/>
  <c r="V209" i="19" s="1"/>
  <c r="P209" i="19"/>
  <c r="U209" i="19" s="1"/>
  <c r="Y208" i="19"/>
  <c r="R208" i="19"/>
  <c r="W208" i="19" s="1"/>
  <c r="Q208" i="19"/>
  <c r="V208" i="19" s="1"/>
  <c r="P208" i="19"/>
  <c r="U208" i="19" s="1"/>
  <c r="Y207" i="19"/>
  <c r="R207" i="19"/>
  <c r="W207" i="19" s="1"/>
  <c r="Q207" i="19"/>
  <c r="V207" i="19" s="1"/>
  <c r="P207" i="19"/>
  <c r="U207" i="19" s="1"/>
  <c r="Y206" i="19"/>
  <c r="R206" i="19"/>
  <c r="W206" i="19" s="1"/>
  <c r="Q206" i="19"/>
  <c r="V206" i="19" s="1"/>
  <c r="P206" i="19"/>
  <c r="U206" i="19" s="1"/>
  <c r="Y205" i="19"/>
  <c r="R205" i="19"/>
  <c r="W205" i="19" s="1"/>
  <c r="Q205" i="19"/>
  <c r="P205" i="19"/>
  <c r="U205" i="19" s="1"/>
  <c r="Y204" i="19"/>
  <c r="R204" i="19"/>
  <c r="W204" i="19" s="1"/>
  <c r="Q204" i="19"/>
  <c r="V204" i="19" s="1"/>
  <c r="P204" i="19"/>
  <c r="Y203" i="19"/>
  <c r="R203" i="19"/>
  <c r="W203" i="19" s="1"/>
  <c r="Q203" i="19"/>
  <c r="V203" i="19" s="1"/>
  <c r="P203" i="19"/>
  <c r="U203" i="19" s="1"/>
  <c r="Y202" i="19"/>
  <c r="R202" i="19"/>
  <c r="W202" i="19" s="1"/>
  <c r="Q202" i="19"/>
  <c r="V202" i="19" s="1"/>
  <c r="P202" i="19"/>
  <c r="U202" i="19" s="1"/>
  <c r="Y201" i="19"/>
  <c r="R201" i="19"/>
  <c r="W201" i="19" s="1"/>
  <c r="Q201" i="19"/>
  <c r="V201" i="19" s="1"/>
  <c r="P201" i="19"/>
  <c r="Y200" i="19"/>
  <c r="R200" i="19"/>
  <c r="W200" i="19" s="1"/>
  <c r="Q200" i="19"/>
  <c r="V200" i="19" s="1"/>
  <c r="P200" i="19"/>
  <c r="Y199" i="19"/>
  <c r="R199" i="19"/>
  <c r="W199" i="19" s="1"/>
  <c r="Q199" i="19"/>
  <c r="P199" i="19"/>
  <c r="U199" i="19" s="1"/>
  <c r="Y294" i="19"/>
  <c r="R294" i="19"/>
  <c r="W294" i="19" s="1"/>
  <c r="Q294" i="19"/>
  <c r="V294" i="19" s="1"/>
  <c r="P294" i="19"/>
  <c r="Y316" i="19"/>
  <c r="R316" i="19"/>
  <c r="W316" i="19" s="1"/>
  <c r="Q316" i="19"/>
  <c r="V316" i="19" s="1"/>
  <c r="P316" i="19"/>
  <c r="U316" i="19" s="1"/>
  <c r="Y194" i="19"/>
  <c r="R194" i="19"/>
  <c r="W194" i="19" s="1"/>
  <c r="Q194" i="19"/>
  <c r="V194" i="19" s="1"/>
  <c r="P194" i="19"/>
  <c r="U194" i="19" s="1"/>
  <c r="Y193" i="19"/>
  <c r="R193" i="19"/>
  <c r="W193" i="19" s="1"/>
  <c r="Q193" i="19"/>
  <c r="V193" i="19" s="1"/>
  <c r="P193" i="19"/>
  <c r="Y192" i="19"/>
  <c r="R192" i="19"/>
  <c r="W192" i="19" s="1"/>
  <c r="Q192" i="19"/>
  <c r="V192" i="19" s="1"/>
  <c r="P192" i="19"/>
  <c r="U192" i="19" s="1"/>
  <c r="Y191" i="19"/>
  <c r="R191" i="19"/>
  <c r="W191" i="19" s="1"/>
  <c r="Q191" i="19"/>
  <c r="P191" i="19"/>
  <c r="U191" i="19" s="1"/>
  <c r="Y190" i="19"/>
  <c r="R190" i="19"/>
  <c r="W190" i="19" s="1"/>
  <c r="Q190" i="19"/>
  <c r="V190" i="19" s="1"/>
  <c r="P190" i="19"/>
  <c r="Y189" i="19"/>
  <c r="R189" i="19"/>
  <c r="W189" i="19" s="1"/>
  <c r="Q189" i="19"/>
  <c r="V189" i="19" s="1"/>
  <c r="P189" i="19"/>
  <c r="U189" i="19" s="1"/>
  <c r="Y188" i="19"/>
  <c r="R188" i="19"/>
  <c r="W188" i="19" s="1"/>
  <c r="Q188" i="19"/>
  <c r="V188" i="19" s="1"/>
  <c r="P188" i="19"/>
  <c r="U188" i="19" s="1"/>
  <c r="Y187" i="19"/>
  <c r="R187" i="19"/>
  <c r="W187" i="19" s="1"/>
  <c r="Q187" i="19"/>
  <c r="V187" i="19" s="1"/>
  <c r="P187" i="19"/>
  <c r="Y293" i="19"/>
  <c r="R293" i="19"/>
  <c r="W293" i="19" s="1"/>
  <c r="Q293" i="19"/>
  <c r="V293" i="19" s="1"/>
  <c r="P293" i="19"/>
  <c r="U293" i="19" s="1"/>
  <c r="Y198" i="19"/>
  <c r="R198" i="19"/>
  <c r="W198" i="19" s="1"/>
  <c r="Q198" i="19"/>
  <c r="P198" i="19"/>
  <c r="U198" i="19" s="1"/>
  <c r="Y197" i="19"/>
  <c r="R197" i="19"/>
  <c r="W197" i="19" s="1"/>
  <c r="Q197" i="19"/>
  <c r="V197" i="19" s="1"/>
  <c r="P197" i="19"/>
  <c r="Y196" i="19"/>
  <c r="R196" i="19"/>
  <c r="W196" i="19" s="1"/>
  <c r="Q196" i="19"/>
  <c r="V196" i="19" s="1"/>
  <c r="P196" i="19"/>
  <c r="U196" i="19" s="1"/>
  <c r="Y195" i="19"/>
  <c r="R195" i="19"/>
  <c r="W195" i="19" s="1"/>
  <c r="Q195" i="19"/>
  <c r="V195" i="19" s="1"/>
  <c r="P195" i="19"/>
  <c r="U195" i="19" s="1"/>
  <c r="Y186" i="19"/>
  <c r="R186" i="19"/>
  <c r="W186" i="19" s="1"/>
  <c r="Q186" i="19"/>
  <c r="V186" i="19" s="1"/>
  <c r="P186" i="19"/>
  <c r="U186" i="19" s="1"/>
  <c r="Y185" i="19"/>
  <c r="R185" i="19"/>
  <c r="W185" i="19" s="1"/>
  <c r="Q185" i="19"/>
  <c r="V185" i="19" s="1"/>
  <c r="P185" i="19"/>
  <c r="U185" i="19" s="1"/>
  <c r="Y184" i="19"/>
  <c r="R184" i="19"/>
  <c r="W184" i="19" s="1"/>
  <c r="Q184" i="19"/>
  <c r="P184" i="19"/>
  <c r="U184" i="19" s="1"/>
  <c r="Y183" i="19"/>
  <c r="R183" i="19"/>
  <c r="W183" i="19" s="1"/>
  <c r="Q183" i="19"/>
  <c r="V183" i="19" s="1"/>
  <c r="P183" i="19"/>
  <c r="Y182" i="19"/>
  <c r="R182" i="19"/>
  <c r="W182" i="19" s="1"/>
  <c r="Q182" i="19"/>
  <c r="V182" i="19" s="1"/>
  <c r="P182" i="19"/>
  <c r="U182" i="19" s="1"/>
  <c r="Y292" i="19"/>
  <c r="R292" i="19"/>
  <c r="W292" i="19" s="1"/>
  <c r="Q292" i="19"/>
  <c r="V292" i="19" s="1"/>
  <c r="P292" i="19"/>
  <c r="U292" i="19" s="1"/>
  <c r="Y315" i="19"/>
  <c r="R315" i="19"/>
  <c r="W315" i="19" s="1"/>
  <c r="Q315" i="19"/>
  <c r="V315" i="19" s="1"/>
  <c r="P315" i="19"/>
  <c r="U315" i="19" s="1"/>
  <c r="Y314" i="19"/>
  <c r="R314" i="19"/>
  <c r="W314" i="19" s="1"/>
  <c r="Q314" i="19"/>
  <c r="V314" i="19" s="1"/>
  <c r="P314" i="19"/>
  <c r="U314" i="19" s="1"/>
  <c r="Y313" i="19"/>
  <c r="R313" i="19"/>
  <c r="W313" i="19" s="1"/>
  <c r="Q313" i="19"/>
  <c r="P313" i="19"/>
  <c r="U313" i="19" s="1"/>
  <c r="Y181" i="19"/>
  <c r="R181" i="19"/>
  <c r="W181" i="19" s="1"/>
  <c r="Q181" i="19"/>
  <c r="V181" i="19" s="1"/>
  <c r="P181" i="19"/>
  <c r="Y180" i="19"/>
  <c r="R180" i="19"/>
  <c r="W180" i="19" s="1"/>
  <c r="Q180" i="19"/>
  <c r="V180" i="19" s="1"/>
  <c r="P180" i="19"/>
  <c r="U180" i="19" s="1"/>
  <c r="Y179" i="19"/>
  <c r="R179" i="19"/>
  <c r="W179" i="19" s="1"/>
  <c r="Q179" i="19"/>
  <c r="V179" i="19" s="1"/>
  <c r="P179" i="19"/>
  <c r="U179" i="19" s="1"/>
  <c r="Y178" i="19"/>
  <c r="R178" i="19"/>
  <c r="W178" i="19" s="1"/>
  <c r="Q178" i="19"/>
  <c r="V178" i="19" s="1"/>
  <c r="P178" i="19"/>
  <c r="Y177" i="19"/>
  <c r="R177" i="19"/>
  <c r="W177" i="19" s="1"/>
  <c r="Q177" i="19"/>
  <c r="V177" i="19" s="1"/>
  <c r="P177" i="19"/>
  <c r="U177" i="19" s="1"/>
  <c r="Y176" i="19"/>
  <c r="R176" i="19"/>
  <c r="W176" i="19" s="1"/>
  <c r="Q176" i="19"/>
  <c r="P176" i="19"/>
  <c r="U176" i="19" s="1"/>
  <c r="Y175" i="19"/>
  <c r="R175" i="19"/>
  <c r="W175" i="19" s="1"/>
  <c r="Q175" i="19"/>
  <c r="V175" i="19" s="1"/>
  <c r="P175" i="19"/>
  <c r="Y174" i="19"/>
  <c r="R174" i="19"/>
  <c r="W174" i="19" s="1"/>
  <c r="Q174" i="19"/>
  <c r="V174" i="19" s="1"/>
  <c r="P174" i="19"/>
  <c r="U174" i="19" s="1"/>
  <c r="Y173" i="19"/>
  <c r="R173" i="19"/>
  <c r="W173" i="19" s="1"/>
  <c r="Q173" i="19"/>
  <c r="V173" i="19" s="1"/>
  <c r="P173" i="19"/>
  <c r="U173" i="19" s="1"/>
  <c r="Y172" i="19"/>
  <c r="R172" i="19"/>
  <c r="W172" i="19" s="1"/>
  <c r="Q172" i="19"/>
  <c r="P172" i="19"/>
  <c r="U172" i="19" s="1"/>
  <c r="Y171" i="19"/>
  <c r="R171" i="19"/>
  <c r="W171" i="19" s="1"/>
  <c r="Q171" i="19"/>
  <c r="V171" i="19" s="1"/>
  <c r="P171" i="19"/>
  <c r="U171" i="19" s="1"/>
  <c r="Y291" i="19"/>
  <c r="R291" i="19"/>
  <c r="W291" i="19" s="1"/>
  <c r="Q291" i="19"/>
  <c r="P291" i="19"/>
  <c r="U291" i="19" s="1"/>
  <c r="Y170" i="19"/>
  <c r="R170" i="19"/>
  <c r="W170" i="19" s="1"/>
  <c r="Q170" i="19"/>
  <c r="V170" i="19" s="1"/>
  <c r="P170" i="19"/>
  <c r="Y169" i="19"/>
  <c r="R169" i="19"/>
  <c r="W169" i="19" s="1"/>
  <c r="Q169" i="19"/>
  <c r="V169" i="19" s="1"/>
  <c r="P169" i="19"/>
  <c r="U169" i="19" s="1"/>
  <c r="Y168" i="19"/>
  <c r="R168" i="19"/>
  <c r="W168" i="19" s="1"/>
  <c r="Q168" i="19"/>
  <c r="V168" i="19" s="1"/>
  <c r="P168" i="19"/>
  <c r="U168" i="19" s="1"/>
  <c r="Y167" i="19"/>
  <c r="R167" i="19"/>
  <c r="W167" i="19" s="1"/>
  <c r="Q167" i="19"/>
  <c r="V167" i="19" s="1"/>
  <c r="P167" i="19"/>
  <c r="Y166" i="19"/>
  <c r="R166" i="19"/>
  <c r="W166" i="19" s="1"/>
  <c r="Q166" i="19"/>
  <c r="V166" i="19" s="1"/>
  <c r="P166" i="19"/>
  <c r="Y165" i="19"/>
  <c r="R165" i="19"/>
  <c r="W165" i="19" s="1"/>
  <c r="Q165" i="19"/>
  <c r="P165" i="19"/>
  <c r="U165" i="19" s="1"/>
  <c r="Y290" i="19"/>
  <c r="R290" i="19"/>
  <c r="W290" i="19" s="1"/>
  <c r="Q290" i="19"/>
  <c r="V290" i="19" s="1"/>
  <c r="P290" i="19"/>
  <c r="Y164" i="19"/>
  <c r="R164" i="19"/>
  <c r="W164" i="19" s="1"/>
  <c r="Q164" i="19"/>
  <c r="V164" i="19" s="1"/>
  <c r="P164" i="19"/>
  <c r="U164" i="19" s="1"/>
  <c r="Y163" i="19"/>
  <c r="R163" i="19"/>
  <c r="W163" i="19" s="1"/>
  <c r="Q163" i="19"/>
  <c r="V163" i="19" s="1"/>
  <c r="P163" i="19"/>
  <c r="U163" i="19" s="1"/>
  <c r="Y162" i="19"/>
  <c r="R162" i="19"/>
  <c r="W162" i="19" s="1"/>
  <c r="Q162" i="19"/>
  <c r="V162" i="19" s="1"/>
  <c r="P162" i="19"/>
  <c r="Y161" i="19"/>
  <c r="R161" i="19"/>
  <c r="W161" i="19" s="1"/>
  <c r="Q161" i="19"/>
  <c r="V161" i="19" s="1"/>
  <c r="P161" i="19"/>
  <c r="U161" i="19" s="1"/>
  <c r="Y160" i="19"/>
  <c r="R160" i="19"/>
  <c r="W160" i="19" s="1"/>
  <c r="Q160" i="19"/>
  <c r="P160" i="19"/>
  <c r="U160" i="19" s="1"/>
  <c r="Y159" i="19"/>
  <c r="R159" i="19"/>
  <c r="W159" i="19" s="1"/>
  <c r="Q159" i="19"/>
  <c r="V159" i="19" s="1"/>
  <c r="P159" i="19"/>
  <c r="Y158" i="19"/>
  <c r="R158" i="19"/>
  <c r="W158" i="19" s="1"/>
  <c r="Q158" i="19"/>
  <c r="V158" i="19" s="1"/>
  <c r="P158" i="19"/>
  <c r="U158" i="19" s="1"/>
  <c r="Y157" i="19"/>
  <c r="R157" i="19"/>
  <c r="W157" i="19" s="1"/>
  <c r="Q157" i="19"/>
  <c r="V157" i="19" s="1"/>
  <c r="P157" i="19"/>
  <c r="U157" i="19" s="1"/>
  <c r="Y156" i="19"/>
  <c r="R156" i="19"/>
  <c r="W156" i="19" s="1"/>
  <c r="Q156" i="19"/>
  <c r="V156" i="19" s="1"/>
  <c r="P156" i="19"/>
  <c r="U156" i="19" s="1"/>
  <c r="Y155" i="19"/>
  <c r="R155" i="19"/>
  <c r="W155" i="19" s="1"/>
  <c r="Q155" i="19"/>
  <c r="V155" i="19" s="1"/>
  <c r="P155" i="19"/>
  <c r="U155" i="19" s="1"/>
  <c r="Y154" i="19"/>
  <c r="R154" i="19"/>
  <c r="W154" i="19" s="1"/>
  <c r="Q154" i="19"/>
  <c r="P154" i="19"/>
  <c r="U154" i="19" s="1"/>
  <c r="Y153" i="19"/>
  <c r="R153" i="19"/>
  <c r="W153" i="19" s="1"/>
  <c r="Q153" i="19"/>
  <c r="V153" i="19" s="1"/>
  <c r="P153" i="19"/>
  <c r="Y152" i="19"/>
  <c r="R152" i="19"/>
  <c r="W152" i="19" s="1"/>
  <c r="Q152" i="19"/>
  <c r="V152" i="19" s="1"/>
  <c r="P152" i="19"/>
  <c r="U152" i="19" s="1"/>
  <c r="Y151" i="19"/>
  <c r="R151" i="19"/>
  <c r="W151" i="19" s="1"/>
  <c r="Q151" i="19"/>
  <c r="V151" i="19" s="1"/>
  <c r="P151" i="19"/>
  <c r="U151" i="19" s="1"/>
  <c r="Y150" i="19"/>
  <c r="R150" i="19"/>
  <c r="W150" i="19" s="1"/>
  <c r="Q150" i="19"/>
  <c r="V150" i="19" s="1"/>
  <c r="P150" i="19"/>
  <c r="Y289" i="19"/>
  <c r="R289" i="19"/>
  <c r="W289" i="19" s="1"/>
  <c r="Q289" i="19"/>
  <c r="V289" i="19" s="1"/>
  <c r="P289" i="19"/>
  <c r="Y149" i="19"/>
  <c r="R149" i="19"/>
  <c r="W149" i="19" s="1"/>
  <c r="Q149" i="19"/>
  <c r="P149" i="19"/>
  <c r="U149" i="19" s="1"/>
  <c r="Y148" i="19"/>
  <c r="R148" i="19"/>
  <c r="W148" i="19" s="1"/>
  <c r="Q148" i="19"/>
  <c r="V148" i="19" s="1"/>
  <c r="P148" i="19"/>
  <c r="Y147" i="19"/>
  <c r="R147" i="19"/>
  <c r="W147" i="19" s="1"/>
  <c r="Q147" i="19"/>
  <c r="V147" i="19" s="1"/>
  <c r="P147" i="19"/>
  <c r="U147" i="19" s="1"/>
  <c r="Y146" i="19"/>
  <c r="R146" i="19"/>
  <c r="W146" i="19" s="1"/>
  <c r="Q146" i="19"/>
  <c r="V146" i="19" s="1"/>
  <c r="P146" i="19"/>
  <c r="U146" i="19" s="1"/>
  <c r="Y145" i="19"/>
  <c r="R145" i="19"/>
  <c r="W145" i="19" s="1"/>
  <c r="Q145" i="19"/>
  <c r="V145" i="19" s="1"/>
  <c r="P145" i="19"/>
  <c r="Y144" i="19"/>
  <c r="R144" i="19"/>
  <c r="W144" i="19" s="1"/>
  <c r="Q144" i="19"/>
  <c r="V144" i="19" s="1"/>
  <c r="P144" i="19"/>
  <c r="U144" i="19" s="1"/>
  <c r="Y143" i="19"/>
  <c r="R143" i="19"/>
  <c r="W143" i="19" s="1"/>
  <c r="Q143" i="19"/>
  <c r="P143" i="19"/>
  <c r="U143" i="19" s="1"/>
  <c r="Y288" i="19"/>
  <c r="R288" i="19"/>
  <c r="W288" i="19" s="1"/>
  <c r="Q288" i="19"/>
  <c r="V288" i="19" s="1"/>
  <c r="P288" i="19"/>
  <c r="Y142" i="19"/>
  <c r="R142" i="19"/>
  <c r="W142" i="19" s="1"/>
  <c r="Q142" i="19"/>
  <c r="V142" i="19" s="1"/>
  <c r="P142" i="19"/>
  <c r="U142" i="19" s="1"/>
  <c r="Y141" i="19"/>
  <c r="R141" i="19"/>
  <c r="W141" i="19" s="1"/>
  <c r="Q141" i="19"/>
  <c r="V141" i="19" s="1"/>
  <c r="P141" i="19"/>
  <c r="U141" i="19" s="1"/>
  <c r="Y140" i="19"/>
  <c r="R140" i="19"/>
  <c r="W140" i="19" s="1"/>
  <c r="Q140" i="19"/>
  <c r="V140" i="19" s="1"/>
  <c r="P140" i="19"/>
  <c r="Y139" i="19"/>
  <c r="R139" i="19"/>
  <c r="W139" i="19" s="1"/>
  <c r="Q139" i="19"/>
  <c r="V139" i="19" s="1"/>
  <c r="P139" i="19"/>
  <c r="U139" i="19" s="1"/>
  <c r="Y138" i="19"/>
  <c r="R138" i="19"/>
  <c r="W138" i="19" s="1"/>
  <c r="Q138" i="19"/>
  <c r="P138" i="19"/>
  <c r="U138" i="19" s="1"/>
  <c r="Y137" i="19"/>
  <c r="R137" i="19"/>
  <c r="W137" i="19" s="1"/>
  <c r="Q137" i="19"/>
  <c r="V137" i="19" s="1"/>
  <c r="P137" i="19"/>
  <c r="Y136" i="19"/>
  <c r="R136" i="19"/>
  <c r="W136" i="19" s="1"/>
  <c r="Q136" i="19"/>
  <c r="V136" i="19" s="1"/>
  <c r="P136" i="19"/>
  <c r="U136" i="19" s="1"/>
  <c r="Y135" i="19"/>
  <c r="R135" i="19"/>
  <c r="W135" i="19" s="1"/>
  <c r="Q135" i="19"/>
  <c r="V135" i="19" s="1"/>
  <c r="P135" i="19"/>
  <c r="U135" i="19" s="1"/>
  <c r="Y134" i="19"/>
  <c r="R134" i="19"/>
  <c r="W134" i="19" s="1"/>
  <c r="Q134" i="19"/>
  <c r="V134" i="19" s="1"/>
  <c r="P134" i="19"/>
  <c r="Y133" i="19"/>
  <c r="R133" i="19"/>
  <c r="W133" i="19" s="1"/>
  <c r="Q133" i="19"/>
  <c r="V133" i="19" s="1"/>
  <c r="P133" i="19"/>
  <c r="U133" i="19" s="1"/>
  <c r="Y132" i="19"/>
  <c r="R132" i="19"/>
  <c r="W132" i="19" s="1"/>
  <c r="Q132" i="19"/>
  <c r="V132" i="19" s="1"/>
  <c r="P132" i="19"/>
  <c r="U132" i="19" s="1"/>
  <c r="Y131" i="19"/>
  <c r="R131" i="19"/>
  <c r="W131" i="19" s="1"/>
  <c r="Q131" i="19"/>
  <c r="V131" i="19" s="1"/>
  <c r="P131" i="19"/>
  <c r="Y130" i="19"/>
  <c r="R130" i="19"/>
  <c r="W130" i="19" s="1"/>
  <c r="Q130" i="19"/>
  <c r="V130" i="19" s="1"/>
  <c r="P130" i="19"/>
  <c r="U130" i="19" s="1"/>
  <c r="Y129" i="19"/>
  <c r="R129" i="19"/>
  <c r="W129" i="19" s="1"/>
  <c r="Q129" i="19"/>
  <c r="V129" i="19" s="1"/>
  <c r="P129" i="19"/>
  <c r="U129" i="19" s="1"/>
  <c r="Y287" i="19"/>
  <c r="R287" i="19"/>
  <c r="W287" i="19" s="1"/>
  <c r="Q287" i="19"/>
  <c r="V287" i="19" s="1"/>
  <c r="P287" i="19"/>
  <c r="U287" i="19" s="1"/>
  <c r="Y128" i="19"/>
  <c r="R128" i="19"/>
  <c r="W128" i="19" s="1"/>
  <c r="Q128" i="19"/>
  <c r="V128" i="19" s="1"/>
  <c r="P128" i="19"/>
  <c r="U128" i="19" s="1"/>
  <c r="Y127" i="19"/>
  <c r="R127" i="19"/>
  <c r="W127" i="19" s="1"/>
  <c r="Q127" i="19"/>
  <c r="P127" i="19"/>
  <c r="U127" i="19" s="1"/>
  <c r="Y126" i="19"/>
  <c r="R126" i="19"/>
  <c r="W126" i="19" s="1"/>
  <c r="Q126" i="19"/>
  <c r="V126" i="19" s="1"/>
  <c r="P126" i="19"/>
  <c r="Y125" i="19"/>
  <c r="R125" i="19"/>
  <c r="W125" i="19" s="1"/>
  <c r="Q125" i="19"/>
  <c r="V125" i="19" s="1"/>
  <c r="P125" i="19"/>
  <c r="U125" i="19" s="1"/>
  <c r="Y124" i="19"/>
  <c r="R124" i="19"/>
  <c r="W124" i="19" s="1"/>
  <c r="Q124" i="19"/>
  <c r="V124" i="19" s="1"/>
  <c r="P124" i="19"/>
  <c r="U124" i="19" s="1"/>
  <c r="Y123" i="19"/>
  <c r="R123" i="19"/>
  <c r="W123" i="19" s="1"/>
  <c r="Q123" i="19"/>
  <c r="V123" i="19" s="1"/>
  <c r="P123" i="19"/>
  <c r="U123" i="19" s="1"/>
  <c r="Y122" i="19"/>
  <c r="R122" i="19"/>
  <c r="W122" i="19" s="1"/>
  <c r="Q122" i="19"/>
  <c r="V122" i="19" s="1"/>
  <c r="P122" i="19"/>
  <c r="U122" i="19" s="1"/>
  <c r="Y106" i="19"/>
  <c r="R106" i="19"/>
  <c r="W106" i="19" s="1"/>
  <c r="Q106" i="19"/>
  <c r="P106" i="19"/>
  <c r="U106" i="19" s="1"/>
  <c r="Y105" i="19"/>
  <c r="R105" i="19"/>
  <c r="W105" i="19" s="1"/>
  <c r="Q105" i="19"/>
  <c r="V105" i="19" s="1"/>
  <c r="P105" i="19"/>
  <c r="Y104" i="19"/>
  <c r="R104" i="19"/>
  <c r="W104" i="19" s="1"/>
  <c r="Q104" i="19"/>
  <c r="V104" i="19" s="1"/>
  <c r="P104" i="19"/>
  <c r="U104" i="19" s="1"/>
  <c r="Y103" i="19"/>
  <c r="R103" i="19"/>
  <c r="W103" i="19" s="1"/>
  <c r="Q103" i="19"/>
  <c r="V103" i="19" s="1"/>
  <c r="P103" i="19"/>
  <c r="U103" i="19" s="1"/>
  <c r="Y102" i="19"/>
  <c r="R102" i="19"/>
  <c r="W102" i="19" s="1"/>
  <c r="Q102" i="19"/>
  <c r="V102" i="19" s="1"/>
  <c r="P102" i="19"/>
  <c r="U102" i="19" s="1"/>
  <c r="Y101" i="19"/>
  <c r="R101" i="19"/>
  <c r="W101" i="19" s="1"/>
  <c r="Q101" i="19"/>
  <c r="V101" i="19" s="1"/>
  <c r="P101" i="19"/>
  <c r="U101" i="19" s="1"/>
  <c r="Y100" i="19"/>
  <c r="R100" i="19"/>
  <c r="W100" i="19" s="1"/>
  <c r="Q100" i="19"/>
  <c r="P100" i="19"/>
  <c r="U100" i="19" s="1"/>
  <c r="Y114" i="19"/>
  <c r="R114" i="19"/>
  <c r="W114" i="19" s="1"/>
  <c r="Q114" i="19"/>
  <c r="V114" i="19" s="1"/>
  <c r="P114" i="19"/>
  <c r="Y113" i="19"/>
  <c r="R113" i="19"/>
  <c r="W113" i="19" s="1"/>
  <c r="Q113" i="19"/>
  <c r="V113" i="19" s="1"/>
  <c r="P113" i="19"/>
  <c r="U113" i="19" s="1"/>
  <c r="Y112" i="19"/>
  <c r="R112" i="19"/>
  <c r="W112" i="19" s="1"/>
  <c r="Q112" i="19"/>
  <c r="V112" i="19" s="1"/>
  <c r="P112" i="19"/>
  <c r="U112" i="19" s="1"/>
  <c r="Y111" i="19"/>
  <c r="R111" i="19"/>
  <c r="W111" i="19" s="1"/>
  <c r="Q111" i="19"/>
  <c r="V111" i="19" s="1"/>
  <c r="P111" i="19"/>
  <c r="U111" i="19" s="1"/>
  <c r="Y110" i="19"/>
  <c r="R110" i="19"/>
  <c r="W110" i="19" s="1"/>
  <c r="Q110" i="19"/>
  <c r="V110" i="19" s="1"/>
  <c r="P110" i="19"/>
  <c r="U110" i="19" s="1"/>
  <c r="Y109" i="19"/>
  <c r="R109" i="19"/>
  <c r="W109" i="19" s="1"/>
  <c r="Q109" i="19"/>
  <c r="P109" i="19"/>
  <c r="U109" i="19" s="1"/>
  <c r="Y108" i="19"/>
  <c r="R108" i="19"/>
  <c r="W108" i="19" s="1"/>
  <c r="Q108" i="19"/>
  <c r="V108" i="19" s="1"/>
  <c r="P108" i="19"/>
  <c r="Y107" i="19"/>
  <c r="R107" i="19"/>
  <c r="W107" i="19" s="1"/>
  <c r="Q107" i="19"/>
  <c r="V107" i="19" s="1"/>
  <c r="P107" i="19"/>
  <c r="U107" i="19" s="1"/>
  <c r="Y121" i="19"/>
  <c r="R121" i="19"/>
  <c r="W121" i="19" s="1"/>
  <c r="Q121" i="19"/>
  <c r="V121" i="19" s="1"/>
  <c r="P121" i="19"/>
  <c r="U121" i="19" s="1"/>
  <c r="Y120" i="19"/>
  <c r="R120" i="19"/>
  <c r="W120" i="19" s="1"/>
  <c r="Q120" i="19"/>
  <c r="V120" i="19" s="1"/>
  <c r="P120" i="19"/>
  <c r="U120" i="19" s="1"/>
  <c r="Y119" i="19"/>
  <c r="R119" i="19"/>
  <c r="W119" i="19" s="1"/>
  <c r="Q119" i="19"/>
  <c r="V119" i="19" s="1"/>
  <c r="P119" i="19"/>
  <c r="U119" i="19" s="1"/>
  <c r="Y118" i="19"/>
  <c r="R118" i="19"/>
  <c r="W118" i="19" s="1"/>
  <c r="Q118" i="19"/>
  <c r="P118" i="19"/>
  <c r="U118" i="19" s="1"/>
  <c r="Y117" i="19"/>
  <c r="R117" i="19"/>
  <c r="W117" i="19" s="1"/>
  <c r="Q117" i="19"/>
  <c r="V117" i="19" s="1"/>
  <c r="P117" i="19"/>
  <c r="Y116" i="19"/>
  <c r="R116" i="19"/>
  <c r="W116" i="19" s="1"/>
  <c r="Q116" i="19"/>
  <c r="V116" i="19" s="1"/>
  <c r="P116" i="19"/>
  <c r="U116" i="19" s="1"/>
  <c r="Y115" i="19"/>
  <c r="R115" i="19"/>
  <c r="W115" i="19" s="1"/>
  <c r="Q115" i="19"/>
  <c r="V115" i="19" s="1"/>
  <c r="P115" i="19"/>
  <c r="U115" i="19" s="1"/>
  <c r="Y286" i="19"/>
  <c r="R286" i="19"/>
  <c r="W286" i="19" s="1"/>
  <c r="Q286" i="19"/>
  <c r="V286" i="19" s="1"/>
  <c r="P286" i="19"/>
  <c r="U286" i="19" s="1"/>
  <c r="Y312" i="19"/>
  <c r="R312" i="19"/>
  <c r="W312" i="19" s="1"/>
  <c r="Q312" i="19"/>
  <c r="V312" i="19" s="1"/>
  <c r="P312" i="19"/>
  <c r="U312" i="19" s="1"/>
  <c r="Y99" i="19"/>
  <c r="R99" i="19"/>
  <c r="W99" i="19" s="1"/>
  <c r="Q99" i="19"/>
  <c r="P99" i="19"/>
  <c r="U99" i="19" s="1"/>
  <c r="Y98" i="19"/>
  <c r="R98" i="19"/>
  <c r="W98" i="19" s="1"/>
  <c r="Q98" i="19"/>
  <c r="V98" i="19" s="1"/>
  <c r="P98" i="19"/>
  <c r="Y97" i="19"/>
  <c r="R97" i="19"/>
  <c r="W97" i="19" s="1"/>
  <c r="Q97" i="19"/>
  <c r="V97" i="19" s="1"/>
  <c r="P97" i="19"/>
  <c r="U97" i="19" s="1"/>
  <c r="Y96" i="19"/>
  <c r="R96" i="19"/>
  <c r="W96" i="19" s="1"/>
  <c r="Q96" i="19"/>
  <c r="V96" i="19" s="1"/>
  <c r="P96" i="19"/>
  <c r="U96" i="19" s="1"/>
  <c r="Y310" i="19"/>
  <c r="R310" i="19"/>
  <c r="W310" i="19" s="1"/>
  <c r="Q310" i="19"/>
  <c r="V310" i="19" s="1"/>
  <c r="P310" i="19"/>
  <c r="U310" i="19" s="1"/>
  <c r="Y95" i="19"/>
  <c r="R95" i="19"/>
  <c r="W95" i="19" s="1"/>
  <c r="Q95" i="19"/>
  <c r="V95" i="19" s="1"/>
  <c r="P95" i="19"/>
  <c r="U95" i="19" s="1"/>
  <c r="Y94" i="19"/>
  <c r="R94" i="19"/>
  <c r="W94" i="19" s="1"/>
  <c r="Q94" i="19"/>
  <c r="P94" i="19"/>
  <c r="U94" i="19" s="1"/>
  <c r="Y93" i="19"/>
  <c r="R93" i="19"/>
  <c r="W93" i="19" s="1"/>
  <c r="Q93" i="19"/>
  <c r="V93" i="19" s="1"/>
  <c r="P93" i="19"/>
  <c r="Y92" i="19"/>
  <c r="R92" i="19"/>
  <c r="W92" i="19" s="1"/>
  <c r="Q92" i="19"/>
  <c r="V92" i="19" s="1"/>
  <c r="P92" i="19"/>
  <c r="U92" i="19" s="1"/>
  <c r="Y91" i="19"/>
  <c r="R91" i="19"/>
  <c r="W91" i="19" s="1"/>
  <c r="Q91" i="19"/>
  <c r="V91" i="19" s="1"/>
  <c r="P91" i="19"/>
  <c r="U91" i="19" s="1"/>
  <c r="Y90" i="19"/>
  <c r="R90" i="19"/>
  <c r="W90" i="19" s="1"/>
  <c r="Q90" i="19"/>
  <c r="V90" i="19" s="1"/>
  <c r="P90" i="19"/>
  <c r="U90" i="19" s="1"/>
  <c r="Y89" i="19"/>
  <c r="R89" i="19"/>
  <c r="W89" i="19" s="1"/>
  <c r="Q89" i="19"/>
  <c r="V89" i="19" s="1"/>
  <c r="P89" i="19"/>
  <c r="U89" i="19" s="1"/>
  <c r="Y88" i="19"/>
  <c r="R88" i="19"/>
  <c r="W88" i="19" s="1"/>
  <c r="Q88" i="19"/>
  <c r="P88" i="19"/>
  <c r="U88" i="19" s="1"/>
  <c r="Y84" i="19"/>
  <c r="R84" i="19"/>
  <c r="W84" i="19" s="1"/>
  <c r="Q84" i="19"/>
  <c r="V84" i="19" s="1"/>
  <c r="P84" i="19"/>
  <c r="Y83" i="19"/>
  <c r="R83" i="19"/>
  <c r="W83" i="19" s="1"/>
  <c r="Q83" i="19"/>
  <c r="V83" i="19" s="1"/>
  <c r="P83" i="19"/>
  <c r="U83" i="19" s="1"/>
  <c r="Y82" i="19"/>
  <c r="R82" i="19"/>
  <c r="W82" i="19" s="1"/>
  <c r="Q82" i="19"/>
  <c r="V82" i="19" s="1"/>
  <c r="P82" i="19"/>
  <c r="U82" i="19" s="1"/>
  <c r="Y81" i="19"/>
  <c r="R81" i="19"/>
  <c r="W81" i="19" s="1"/>
  <c r="Q81" i="19"/>
  <c r="V81" i="19" s="1"/>
  <c r="P81" i="19"/>
  <c r="U81" i="19" s="1"/>
  <c r="Y80" i="19"/>
  <c r="R80" i="19"/>
  <c r="W80" i="19" s="1"/>
  <c r="Q80" i="19"/>
  <c r="V80" i="19" s="1"/>
  <c r="P80" i="19"/>
  <c r="U80" i="19" s="1"/>
  <c r="Y79" i="19"/>
  <c r="R79" i="19"/>
  <c r="W79" i="19" s="1"/>
  <c r="Q79" i="19"/>
  <c r="P79" i="19"/>
  <c r="U79" i="19" s="1"/>
  <c r="Y78" i="19"/>
  <c r="R78" i="19"/>
  <c r="W78" i="19" s="1"/>
  <c r="Q78" i="19"/>
  <c r="V78" i="19" s="1"/>
  <c r="P78" i="19"/>
  <c r="Y87" i="19"/>
  <c r="R87" i="19"/>
  <c r="W87" i="19" s="1"/>
  <c r="Q87" i="19"/>
  <c r="V87" i="19" s="1"/>
  <c r="P87" i="19"/>
  <c r="U87" i="19" s="1"/>
  <c r="Y86" i="19"/>
  <c r="R86" i="19"/>
  <c r="W86" i="19" s="1"/>
  <c r="Q86" i="19"/>
  <c r="V86" i="19" s="1"/>
  <c r="P86" i="19"/>
  <c r="U86" i="19" s="1"/>
  <c r="Y85" i="19"/>
  <c r="R85" i="19"/>
  <c r="W85" i="19" s="1"/>
  <c r="Q85" i="19"/>
  <c r="V85" i="19" s="1"/>
  <c r="P85" i="19"/>
  <c r="U85" i="19" s="1"/>
  <c r="Y77" i="19"/>
  <c r="R77" i="19"/>
  <c r="W77" i="19" s="1"/>
  <c r="Q77" i="19"/>
  <c r="V77" i="19" s="1"/>
  <c r="P77" i="19"/>
  <c r="U77" i="19" s="1"/>
  <c r="Y76" i="19"/>
  <c r="R76" i="19"/>
  <c r="W76" i="19" s="1"/>
  <c r="Q76" i="19"/>
  <c r="P76" i="19"/>
  <c r="U76" i="19" s="1"/>
  <c r="Y75" i="19"/>
  <c r="R75" i="19"/>
  <c r="W75" i="19" s="1"/>
  <c r="Q75" i="19"/>
  <c r="V75" i="19" s="1"/>
  <c r="P75" i="19"/>
  <c r="Y74" i="19"/>
  <c r="R74" i="19"/>
  <c r="W74" i="19" s="1"/>
  <c r="Q74" i="19"/>
  <c r="V74" i="19" s="1"/>
  <c r="P74" i="19"/>
  <c r="U74" i="19" s="1"/>
  <c r="Y73" i="19"/>
  <c r="R73" i="19"/>
  <c r="W73" i="19" s="1"/>
  <c r="Q73" i="19"/>
  <c r="V73" i="19" s="1"/>
  <c r="P73" i="19"/>
  <c r="U73" i="19" s="1"/>
  <c r="Y72" i="19"/>
  <c r="R72" i="19"/>
  <c r="W72" i="19" s="1"/>
  <c r="Q72" i="19"/>
  <c r="V72" i="19" s="1"/>
  <c r="P72" i="19"/>
  <c r="U72" i="19" s="1"/>
  <c r="Y71" i="19"/>
  <c r="R71" i="19"/>
  <c r="W71" i="19" s="1"/>
  <c r="Q71" i="19"/>
  <c r="V71" i="19" s="1"/>
  <c r="P71" i="19"/>
  <c r="Y70" i="19"/>
  <c r="R70" i="19"/>
  <c r="W70" i="19" s="1"/>
  <c r="Q70" i="19"/>
  <c r="P70" i="19"/>
  <c r="U70" i="19" s="1"/>
  <c r="Y69" i="19"/>
  <c r="R69" i="19"/>
  <c r="W69" i="19" s="1"/>
  <c r="Q69" i="19"/>
  <c r="V69" i="19" s="1"/>
  <c r="P69" i="19"/>
  <c r="Y68" i="19"/>
  <c r="R68" i="19"/>
  <c r="W68" i="19" s="1"/>
  <c r="Q68" i="19"/>
  <c r="V68" i="19" s="1"/>
  <c r="P68" i="19"/>
  <c r="U68" i="19" s="1"/>
  <c r="Y67" i="19"/>
  <c r="R67" i="19"/>
  <c r="W67" i="19" s="1"/>
  <c r="Q67" i="19"/>
  <c r="V67" i="19" s="1"/>
  <c r="P67" i="19"/>
  <c r="U67" i="19" s="1"/>
  <c r="Y66" i="19"/>
  <c r="R66" i="19"/>
  <c r="W66" i="19" s="1"/>
  <c r="Q66" i="19"/>
  <c r="V66" i="19" s="1"/>
  <c r="P66" i="19"/>
  <c r="U66" i="19" s="1"/>
  <c r="Y65" i="19"/>
  <c r="R65" i="19"/>
  <c r="W65" i="19" s="1"/>
  <c r="Q65" i="19"/>
  <c r="V65" i="19" s="1"/>
  <c r="P65" i="19"/>
  <c r="Y64" i="19"/>
  <c r="R64" i="19"/>
  <c r="W64" i="19" s="1"/>
  <c r="Q64" i="19"/>
  <c r="P64" i="19"/>
  <c r="U64" i="19" s="1"/>
  <c r="Y63" i="19"/>
  <c r="R63" i="19"/>
  <c r="W63" i="19" s="1"/>
  <c r="Q63" i="19"/>
  <c r="V63" i="19" s="1"/>
  <c r="P63" i="19"/>
  <c r="Y62" i="19"/>
  <c r="R62" i="19"/>
  <c r="W62" i="19" s="1"/>
  <c r="Q62" i="19"/>
  <c r="V62" i="19" s="1"/>
  <c r="P62" i="19"/>
  <c r="U62" i="19" s="1"/>
  <c r="Y61" i="19"/>
  <c r="R61" i="19"/>
  <c r="W61" i="19" s="1"/>
  <c r="Q61" i="19"/>
  <c r="V61" i="19" s="1"/>
  <c r="P61" i="19"/>
  <c r="U61" i="19" s="1"/>
  <c r="Y60" i="19"/>
  <c r="R60" i="19"/>
  <c r="W60" i="19" s="1"/>
  <c r="Q60" i="19"/>
  <c r="V60" i="19" s="1"/>
  <c r="P60" i="19"/>
  <c r="U60" i="19" s="1"/>
  <c r="Y55" i="19"/>
  <c r="R55" i="19"/>
  <c r="W55" i="19" s="1"/>
  <c r="Q55" i="19"/>
  <c r="V55" i="19" s="1"/>
  <c r="P55" i="19"/>
  <c r="U55" i="19" s="1"/>
  <c r="Y54" i="19"/>
  <c r="R54" i="19"/>
  <c r="W54" i="19" s="1"/>
  <c r="Q54" i="19"/>
  <c r="P54" i="19"/>
  <c r="U54" i="19" s="1"/>
  <c r="Y53" i="19"/>
  <c r="R53" i="19"/>
  <c r="W53" i="19" s="1"/>
  <c r="Q53" i="19"/>
  <c r="V53" i="19" s="1"/>
  <c r="P53" i="19"/>
  <c r="Y52" i="19"/>
  <c r="R52" i="19"/>
  <c r="W52" i="19" s="1"/>
  <c r="Q52" i="19"/>
  <c r="V52" i="19" s="1"/>
  <c r="P52" i="19"/>
  <c r="U52" i="19" s="1"/>
  <c r="Y51" i="19"/>
  <c r="R51" i="19"/>
  <c r="W51" i="19" s="1"/>
  <c r="Q51" i="19"/>
  <c r="V51" i="19" s="1"/>
  <c r="P51" i="19"/>
  <c r="U51" i="19" s="1"/>
  <c r="Y59" i="19"/>
  <c r="R59" i="19"/>
  <c r="W59" i="19" s="1"/>
  <c r="Q59" i="19"/>
  <c r="V59" i="19" s="1"/>
  <c r="P59" i="19"/>
  <c r="U59" i="19" s="1"/>
  <c r="Y58" i="19"/>
  <c r="R58" i="19"/>
  <c r="W58" i="19" s="1"/>
  <c r="Q58" i="19"/>
  <c r="V58" i="19" s="1"/>
  <c r="P58" i="19"/>
  <c r="U58" i="19" s="1"/>
  <c r="Y57" i="19"/>
  <c r="R57" i="19"/>
  <c r="W57" i="19" s="1"/>
  <c r="Q57" i="19"/>
  <c r="P57" i="19"/>
  <c r="U57" i="19" s="1"/>
  <c r="Y56" i="19"/>
  <c r="R56" i="19"/>
  <c r="W56" i="19" s="1"/>
  <c r="Q56" i="19"/>
  <c r="V56" i="19" s="1"/>
  <c r="P56" i="19"/>
  <c r="Y309" i="19"/>
  <c r="R309" i="19"/>
  <c r="W309" i="19" s="1"/>
  <c r="Q309" i="19"/>
  <c r="V309" i="19" s="1"/>
  <c r="P309" i="19"/>
  <c r="U309" i="19" s="1"/>
  <c r="Y45" i="19"/>
  <c r="R45" i="19"/>
  <c r="W45" i="19" s="1"/>
  <c r="Q45" i="19"/>
  <c r="V45" i="19" s="1"/>
  <c r="P45" i="19"/>
  <c r="U45" i="19" s="1"/>
  <c r="Y44" i="19"/>
  <c r="R44" i="19"/>
  <c r="W44" i="19" s="1"/>
  <c r="Q44" i="19"/>
  <c r="V44" i="19" s="1"/>
  <c r="P44" i="19"/>
  <c r="U44" i="19" s="1"/>
  <c r="Y43" i="19"/>
  <c r="R43" i="19"/>
  <c r="W43" i="19" s="1"/>
  <c r="Q43" i="19"/>
  <c r="V43" i="19" s="1"/>
  <c r="P43" i="19"/>
  <c r="U43" i="19" s="1"/>
  <c r="Y42" i="19"/>
  <c r="R42" i="19"/>
  <c r="W42" i="19" s="1"/>
  <c r="Q42" i="19"/>
  <c r="P42" i="19"/>
  <c r="U42" i="19" s="1"/>
  <c r="Y41" i="19"/>
  <c r="R41" i="19"/>
  <c r="W41" i="19" s="1"/>
  <c r="Q41" i="19"/>
  <c r="V41" i="19" s="1"/>
  <c r="P41" i="19"/>
  <c r="U41" i="19" s="1"/>
  <c r="Y40" i="19"/>
  <c r="R40" i="19"/>
  <c r="W40" i="19" s="1"/>
  <c r="Q40" i="19"/>
  <c r="V40" i="19" s="1"/>
  <c r="P40" i="19"/>
  <c r="U40" i="19" s="1"/>
  <c r="Y39" i="19"/>
  <c r="R39" i="19"/>
  <c r="W39" i="19" s="1"/>
  <c r="Q39" i="19"/>
  <c r="V39" i="19" s="1"/>
  <c r="P39" i="19"/>
  <c r="U39" i="19" s="1"/>
  <c r="Y38" i="19"/>
  <c r="R38" i="19"/>
  <c r="W38" i="19" s="1"/>
  <c r="Q38" i="19"/>
  <c r="V38" i="19" s="1"/>
  <c r="P38" i="19"/>
  <c r="U38" i="19" s="1"/>
  <c r="Y37" i="19"/>
  <c r="R37" i="19"/>
  <c r="W37" i="19" s="1"/>
  <c r="Q37" i="19"/>
  <c r="V37" i="19" s="1"/>
  <c r="P37" i="19"/>
  <c r="U37" i="19" s="1"/>
  <c r="Y36" i="19"/>
  <c r="R36" i="19"/>
  <c r="W36" i="19" s="1"/>
  <c r="Q36" i="19"/>
  <c r="P36" i="19"/>
  <c r="U36" i="19" s="1"/>
  <c r="Y35" i="19"/>
  <c r="R35" i="19"/>
  <c r="W35" i="19" s="1"/>
  <c r="Q35" i="19"/>
  <c r="V35" i="19" s="1"/>
  <c r="P35" i="19"/>
  <c r="Y34" i="19"/>
  <c r="R34" i="19"/>
  <c r="W34" i="19" s="1"/>
  <c r="Q34" i="19"/>
  <c r="V34" i="19" s="1"/>
  <c r="P34" i="19"/>
  <c r="Y33" i="19"/>
  <c r="R33" i="19"/>
  <c r="W33" i="19" s="1"/>
  <c r="Q33" i="19"/>
  <c r="V33" i="19" s="1"/>
  <c r="P33" i="19"/>
  <c r="U33" i="19" s="1"/>
  <c r="Y32" i="19"/>
  <c r="R32" i="19"/>
  <c r="W32" i="19" s="1"/>
  <c r="Q32" i="19"/>
  <c r="V32" i="19" s="1"/>
  <c r="P32" i="19"/>
  <c r="U32" i="19" s="1"/>
  <c r="Y31" i="19"/>
  <c r="R31" i="19"/>
  <c r="W31" i="19" s="1"/>
  <c r="Q31" i="19"/>
  <c r="V31" i="19" s="1"/>
  <c r="P31" i="19"/>
  <c r="U31" i="19" s="1"/>
  <c r="Y30" i="19"/>
  <c r="R30" i="19"/>
  <c r="W30" i="19" s="1"/>
  <c r="Q30" i="19"/>
  <c r="P30" i="19"/>
  <c r="U30" i="19" s="1"/>
  <c r="Y29" i="19"/>
  <c r="R29" i="19"/>
  <c r="W29" i="19" s="1"/>
  <c r="Q29" i="19"/>
  <c r="V29" i="19" s="1"/>
  <c r="P29" i="19"/>
  <c r="Y28" i="19"/>
  <c r="R28" i="19"/>
  <c r="W28" i="19" s="1"/>
  <c r="Q28" i="19"/>
  <c r="V28" i="19" s="1"/>
  <c r="P28" i="19"/>
  <c r="Y50" i="19"/>
  <c r="R50" i="19"/>
  <c r="W50" i="19" s="1"/>
  <c r="Q50" i="19"/>
  <c r="V50" i="19" s="1"/>
  <c r="P50" i="19"/>
  <c r="U50" i="19" s="1"/>
  <c r="Y49" i="19"/>
  <c r="R49" i="19"/>
  <c r="W49" i="19" s="1"/>
  <c r="Q49" i="19"/>
  <c r="V49" i="19" s="1"/>
  <c r="P49" i="19"/>
  <c r="U49" i="19" s="1"/>
  <c r="Y48" i="19"/>
  <c r="R48" i="19"/>
  <c r="W48" i="19" s="1"/>
  <c r="Q48" i="19"/>
  <c r="V48" i="19" s="1"/>
  <c r="P48" i="19"/>
  <c r="U48" i="19" s="1"/>
  <c r="Y47" i="19"/>
  <c r="R47" i="19"/>
  <c r="W47" i="19" s="1"/>
  <c r="Q47" i="19"/>
  <c r="P47" i="19"/>
  <c r="U47" i="19" s="1"/>
  <c r="Y46" i="19"/>
  <c r="R46" i="19"/>
  <c r="W46" i="19" s="1"/>
  <c r="Q46" i="19"/>
  <c r="V46" i="19" s="1"/>
  <c r="P46" i="19"/>
  <c r="U46" i="19" s="1"/>
  <c r="Y307" i="19"/>
  <c r="R307" i="19"/>
  <c r="W307" i="19" s="1"/>
  <c r="Q307" i="19"/>
  <c r="V307" i="19" s="1"/>
  <c r="P307" i="19"/>
  <c r="Y285" i="19"/>
  <c r="R285" i="19"/>
  <c r="W285" i="19" s="1"/>
  <c r="Q285" i="19"/>
  <c r="V285" i="19" s="1"/>
  <c r="P285" i="19"/>
  <c r="U285" i="19" s="1"/>
  <c r="Y306" i="19"/>
  <c r="R306" i="19"/>
  <c r="W306" i="19" s="1"/>
  <c r="Q306" i="19"/>
  <c r="V306" i="19" s="1"/>
  <c r="P306" i="19"/>
  <c r="U306" i="19" s="1"/>
  <c r="Y27" i="19"/>
  <c r="R27" i="19"/>
  <c r="W27" i="19" s="1"/>
  <c r="Q27" i="19"/>
  <c r="V27" i="19" s="1"/>
  <c r="P27" i="19"/>
  <c r="U27" i="19" s="1"/>
  <c r="Y26" i="19"/>
  <c r="R26" i="19"/>
  <c r="W26" i="19" s="1"/>
  <c r="Q26" i="19"/>
  <c r="P26" i="19"/>
  <c r="U26" i="19" s="1"/>
  <c r="Y25" i="19"/>
  <c r="R25" i="19"/>
  <c r="W25" i="19" s="1"/>
  <c r="Q25" i="19"/>
  <c r="V25" i="19" s="1"/>
  <c r="P25" i="19"/>
  <c r="Y24" i="19"/>
  <c r="R24" i="19"/>
  <c r="W24" i="19" s="1"/>
  <c r="Q24" i="19"/>
  <c r="V24" i="19" s="1"/>
  <c r="P24" i="19"/>
  <c r="Y23" i="19"/>
  <c r="R23" i="19"/>
  <c r="W23" i="19" s="1"/>
  <c r="Q23" i="19"/>
  <c r="V23" i="19" s="1"/>
  <c r="P23" i="19"/>
  <c r="U23" i="19" s="1"/>
  <c r="Y22" i="19"/>
  <c r="R22" i="19"/>
  <c r="W22" i="19" s="1"/>
  <c r="Q22" i="19"/>
  <c r="V22" i="19" s="1"/>
  <c r="P22" i="19"/>
  <c r="U22" i="19" s="1"/>
  <c r="Y21" i="19"/>
  <c r="R21" i="19"/>
  <c r="W21" i="19" s="1"/>
  <c r="Q21" i="19"/>
  <c r="V21" i="19" s="1"/>
  <c r="P21" i="19"/>
  <c r="U21" i="19" s="1"/>
  <c r="Y284" i="19"/>
  <c r="R284" i="19"/>
  <c r="W284" i="19" s="1"/>
  <c r="Q284" i="19"/>
  <c r="P284" i="19"/>
  <c r="U284" i="19" s="1"/>
  <c r="Y20" i="19"/>
  <c r="R20" i="19"/>
  <c r="W20" i="19" s="1"/>
  <c r="Q20" i="19"/>
  <c r="V20" i="19" s="1"/>
  <c r="P20" i="19"/>
  <c r="Y19" i="19"/>
  <c r="R19" i="19"/>
  <c r="W19" i="19" s="1"/>
  <c r="Q19" i="19"/>
  <c r="V19" i="19" s="1"/>
  <c r="P19" i="19"/>
  <c r="Y18" i="19"/>
  <c r="R18" i="19"/>
  <c r="W18" i="19" s="1"/>
  <c r="Q18" i="19"/>
  <c r="V18" i="19" s="1"/>
  <c r="P18" i="19"/>
  <c r="U18" i="19" s="1"/>
  <c r="Y17" i="19"/>
  <c r="R17" i="19"/>
  <c r="W17" i="19" s="1"/>
  <c r="Q17" i="19"/>
  <c r="V17" i="19" s="1"/>
  <c r="P17" i="19"/>
  <c r="U17" i="19" s="1"/>
  <c r="Y283" i="19"/>
  <c r="R283" i="19"/>
  <c r="W283" i="19" s="1"/>
  <c r="Q283" i="19"/>
  <c r="V283" i="19" s="1"/>
  <c r="P283" i="19"/>
  <c r="U283" i="19" s="1"/>
  <c r="Y16" i="19"/>
  <c r="R16" i="19"/>
  <c r="W16" i="19" s="1"/>
  <c r="Q16" i="19"/>
  <c r="P16" i="19"/>
  <c r="U16" i="19" s="1"/>
  <c r="Y15" i="19"/>
  <c r="R15" i="19"/>
  <c r="W15" i="19" s="1"/>
  <c r="Q15" i="19"/>
  <c r="V15" i="19" s="1"/>
  <c r="P15" i="19"/>
  <c r="U15" i="19" s="1"/>
  <c r="Y305" i="19"/>
  <c r="R305" i="19"/>
  <c r="W305" i="19" s="1"/>
  <c r="Q305" i="19"/>
  <c r="V305" i="19" s="1"/>
  <c r="P305" i="19"/>
  <c r="Y14" i="19"/>
  <c r="R14" i="19"/>
  <c r="W14" i="19" s="1"/>
  <c r="Q14" i="19"/>
  <c r="P14" i="19"/>
  <c r="U14" i="19" s="1"/>
  <c r="Y13" i="19"/>
  <c r="R13" i="19"/>
  <c r="W13" i="19" s="1"/>
  <c r="Q13" i="19"/>
  <c r="V13" i="19" s="1"/>
  <c r="P13" i="19"/>
  <c r="U13" i="19" s="1"/>
  <c r="Y12" i="19"/>
  <c r="R12" i="19"/>
  <c r="W12" i="19" s="1"/>
  <c r="Q12" i="19"/>
  <c r="V12" i="19" s="1"/>
  <c r="P12" i="19"/>
  <c r="U12" i="19" s="1"/>
  <c r="Y11" i="19"/>
  <c r="R11" i="19"/>
  <c r="W11" i="19" s="1"/>
  <c r="Q11" i="19"/>
  <c r="P11" i="19"/>
  <c r="U11" i="19" s="1"/>
  <c r="Y10" i="19"/>
  <c r="R10" i="19"/>
  <c r="W10" i="19" s="1"/>
  <c r="Q10" i="19"/>
  <c r="V10" i="19" s="1"/>
  <c r="P10" i="19"/>
  <c r="Y9" i="19"/>
  <c r="R9" i="19"/>
  <c r="W9" i="19" s="1"/>
  <c r="Q9" i="19"/>
  <c r="V9" i="19" s="1"/>
  <c r="P9" i="19"/>
  <c r="Y8" i="19"/>
  <c r="R8" i="19"/>
  <c r="W8" i="19" s="1"/>
  <c r="Q8" i="19"/>
  <c r="P8" i="19"/>
  <c r="U8" i="19" s="1"/>
  <c r="Y7" i="19"/>
  <c r="R7" i="19"/>
  <c r="W7" i="19" s="1"/>
  <c r="Q7" i="19"/>
  <c r="V7" i="19" s="1"/>
  <c r="P7" i="19"/>
  <c r="U7" i="19" s="1"/>
  <c r="Y6" i="19"/>
  <c r="R6" i="19"/>
  <c r="W6" i="19" s="1"/>
  <c r="Q6" i="19"/>
  <c r="V6" i="19" s="1"/>
  <c r="P6" i="19"/>
  <c r="U6" i="19" s="1"/>
  <c r="Y5" i="19"/>
  <c r="R5" i="19"/>
  <c r="W5" i="19" s="1"/>
  <c r="Q5" i="19"/>
  <c r="P5" i="19"/>
  <c r="U5" i="19" s="1"/>
  <c r="Y4" i="19"/>
  <c r="R4" i="19"/>
  <c r="W4" i="19" s="1"/>
  <c r="Q4" i="19"/>
  <c r="V4" i="19" s="1"/>
  <c r="P4" i="19"/>
  <c r="Y3" i="19"/>
  <c r="R3" i="19"/>
  <c r="W3" i="19" s="1"/>
  <c r="Q3" i="19"/>
  <c r="V3" i="19" s="1"/>
  <c r="P3" i="19"/>
  <c r="Y2" i="19"/>
  <c r="R2" i="19"/>
  <c r="W2" i="19" s="1"/>
  <c r="Q2" i="19"/>
  <c r="P2" i="19"/>
  <c r="U2" i="19" s="1"/>
  <c r="Y304" i="19"/>
  <c r="R304" i="19"/>
  <c r="W304" i="19" s="1"/>
  <c r="Q304" i="19"/>
  <c r="V304" i="19" s="1"/>
  <c r="P304" i="19"/>
  <c r="U304" i="19" s="1"/>
  <c r="Q230" i="18"/>
  <c r="S159" i="18"/>
  <c r="S135" i="18"/>
  <c r="S123" i="18"/>
  <c r="S111" i="18"/>
  <c r="S99" i="18"/>
  <c r="S87" i="18"/>
  <c r="S75" i="18"/>
  <c r="S63" i="18"/>
  <c r="S51" i="18"/>
  <c r="S39" i="18"/>
  <c r="S27" i="18"/>
  <c r="S15" i="18"/>
  <c r="S3" i="18"/>
  <c r="M289" i="18"/>
  <c r="Q289" i="18" s="1"/>
  <c r="M288" i="18"/>
  <c r="O288" i="18" s="1"/>
  <c r="M287" i="18"/>
  <c r="M286" i="18"/>
  <c r="M285" i="18"/>
  <c r="R285" i="18" s="1"/>
  <c r="M284" i="18"/>
  <c r="R284" i="18" s="1"/>
  <c r="M283" i="18"/>
  <c r="P283" i="18" s="1"/>
  <c r="M282" i="18"/>
  <c r="P282" i="18" s="1"/>
  <c r="M281" i="18"/>
  <c r="AD281" i="18" s="1"/>
  <c r="M280" i="18"/>
  <c r="M279" i="18"/>
  <c r="M278" i="18"/>
  <c r="M277" i="18"/>
  <c r="M276" i="18"/>
  <c r="M275" i="18"/>
  <c r="M274" i="18"/>
  <c r="M273" i="18"/>
  <c r="R273" i="18" s="1"/>
  <c r="M272" i="18"/>
  <c r="M271" i="18"/>
  <c r="M270" i="18"/>
  <c r="M269" i="18"/>
  <c r="AD269" i="18" s="1"/>
  <c r="M268" i="18"/>
  <c r="M267" i="18"/>
  <c r="S267" i="18" s="1"/>
  <c r="M266" i="18"/>
  <c r="M265" i="18"/>
  <c r="M264" i="18"/>
  <c r="M263" i="18"/>
  <c r="M262" i="18"/>
  <c r="M261" i="18"/>
  <c r="R261" i="18" s="1"/>
  <c r="M260" i="18"/>
  <c r="R260" i="18" s="1"/>
  <c r="M259" i="18"/>
  <c r="P259" i="18" s="1"/>
  <c r="M258" i="18"/>
  <c r="M257" i="18"/>
  <c r="AD257" i="18" s="1"/>
  <c r="M256" i="18"/>
  <c r="M255" i="18"/>
  <c r="M254" i="18"/>
  <c r="M253" i="18"/>
  <c r="Q253" i="18" s="1"/>
  <c r="M252" i="18"/>
  <c r="M251" i="18"/>
  <c r="M250" i="18"/>
  <c r="M249" i="18"/>
  <c r="R249" i="18" s="1"/>
  <c r="M248" i="18"/>
  <c r="R248" i="18" s="1"/>
  <c r="M247" i="18"/>
  <c r="P247" i="18" s="1"/>
  <c r="M246" i="18"/>
  <c r="P246" i="18" s="1"/>
  <c r="M245" i="18"/>
  <c r="AD245" i="18" s="1"/>
  <c r="M244" i="18"/>
  <c r="S244" i="18" s="1"/>
  <c r="M243" i="18"/>
  <c r="M242" i="18"/>
  <c r="M241" i="18"/>
  <c r="M240" i="18"/>
  <c r="M239" i="18"/>
  <c r="M238" i="18"/>
  <c r="M237" i="18"/>
  <c r="R237" i="18" s="1"/>
  <c r="M236" i="18"/>
  <c r="R236" i="18" s="1"/>
  <c r="M235" i="18"/>
  <c r="P235" i="18" s="1"/>
  <c r="M234" i="18"/>
  <c r="P234" i="18" s="1"/>
  <c r="M233" i="18"/>
  <c r="AD233" i="18" s="1"/>
  <c r="M232" i="18"/>
  <c r="S232" i="18" s="1"/>
  <c r="M231" i="18"/>
  <c r="S231" i="18" s="1"/>
  <c r="M230" i="18"/>
  <c r="M229" i="18"/>
  <c r="M228" i="18"/>
  <c r="M227" i="18"/>
  <c r="M226" i="18"/>
  <c r="M225" i="18"/>
  <c r="R225" i="18" s="1"/>
  <c r="M224" i="18"/>
  <c r="R224" i="18" s="1"/>
  <c r="M223" i="18"/>
  <c r="P223" i="18" s="1"/>
  <c r="M222" i="18"/>
  <c r="P222" i="18" s="1"/>
  <c r="M221" i="18"/>
  <c r="AD221" i="18" s="1"/>
  <c r="M220" i="18"/>
  <c r="S220" i="18" s="1"/>
  <c r="M219" i="18"/>
  <c r="S219" i="18" s="1"/>
  <c r="M218" i="18"/>
  <c r="Q218" i="18" s="1"/>
  <c r="M217" i="18"/>
  <c r="Q217" i="18" s="1"/>
  <c r="M216" i="18"/>
  <c r="O216" i="18" s="1"/>
  <c r="M215" i="18"/>
  <c r="M214" i="18"/>
  <c r="M213" i="18"/>
  <c r="R213" i="18" s="1"/>
  <c r="M212" i="18"/>
  <c r="R212" i="18" s="1"/>
  <c r="M211" i="18"/>
  <c r="P211" i="18" s="1"/>
  <c r="M210" i="18"/>
  <c r="P210" i="18" s="1"/>
  <c r="M209" i="18"/>
  <c r="AD209" i="18" s="1"/>
  <c r="M208" i="18"/>
  <c r="M207" i="18"/>
  <c r="M206" i="18"/>
  <c r="M205" i="18"/>
  <c r="M204" i="18"/>
  <c r="M203" i="18"/>
  <c r="O203" i="18" s="1"/>
  <c r="M202" i="18"/>
  <c r="M201" i="18"/>
  <c r="R201" i="18" s="1"/>
  <c r="M200" i="18"/>
  <c r="M199" i="18"/>
  <c r="M198" i="18"/>
  <c r="M197" i="18"/>
  <c r="AD197" i="18" s="1"/>
  <c r="M196" i="18"/>
  <c r="M195" i="18"/>
  <c r="S195" i="18" s="1"/>
  <c r="M194" i="18"/>
  <c r="M193" i="18"/>
  <c r="M192" i="18"/>
  <c r="M191" i="18"/>
  <c r="M190" i="18"/>
  <c r="M189" i="18"/>
  <c r="R189" i="18" s="1"/>
  <c r="M188" i="18"/>
  <c r="R188" i="18" s="1"/>
  <c r="M187" i="18"/>
  <c r="P187" i="18" s="1"/>
  <c r="M186" i="18"/>
  <c r="M185" i="18"/>
  <c r="M184" i="18"/>
  <c r="M183" i="18"/>
  <c r="M182" i="18"/>
  <c r="M181" i="18"/>
  <c r="Q181" i="18" s="1"/>
  <c r="M180" i="18"/>
  <c r="M179" i="18"/>
  <c r="O179" i="18" s="1"/>
  <c r="M178" i="18"/>
  <c r="M177" i="18"/>
  <c r="R177" i="18" s="1"/>
  <c r="M176" i="18"/>
  <c r="R176" i="18" s="1"/>
  <c r="M175" i="18"/>
  <c r="P175" i="18" s="1"/>
  <c r="M174" i="18"/>
  <c r="P174" i="18" s="1"/>
  <c r="M173" i="18"/>
  <c r="M172" i="18"/>
  <c r="S172" i="18" s="1"/>
  <c r="M171" i="18"/>
  <c r="M170" i="18"/>
  <c r="M169" i="18"/>
  <c r="M168" i="18"/>
  <c r="M167" i="18"/>
  <c r="M166" i="18"/>
  <c r="M165" i="18"/>
  <c r="R165" i="18" s="1"/>
  <c r="M164" i="18"/>
  <c r="R164" i="18" s="1"/>
  <c r="M163" i="18"/>
  <c r="P163" i="18" s="1"/>
  <c r="M162" i="18"/>
  <c r="P162" i="18" s="1"/>
  <c r="M161" i="18"/>
  <c r="AD161" i="18" s="1"/>
  <c r="M160" i="18"/>
  <c r="S160" i="18" s="1"/>
  <c r="M159" i="18"/>
  <c r="M158" i="18"/>
  <c r="Q158" i="18" s="1"/>
  <c r="M157" i="18"/>
  <c r="M156" i="18"/>
  <c r="M155" i="18"/>
  <c r="M154" i="18"/>
  <c r="M153" i="18"/>
  <c r="R153" i="18" s="1"/>
  <c r="M152" i="18"/>
  <c r="R152" i="18" s="1"/>
  <c r="M151" i="18"/>
  <c r="P151" i="18" s="1"/>
  <c r="M150" i="18"/>
  <c r="P150" i="18" s="1"/>
  <c r="M149" i="18"/>
  <c r="M148" i="18"/>
  <c r="S148" i="18" s="1"/>
  <c r="M147" i="18"/>
  <c r="S147" i="18" s="1"/>
  <c r="M146" i="18"/>
  <c r="Q146" i="18" s="1"/>
  <c r="M145" i="18"/>
  <c r="S145" i="18" s="1"/>
  <c r="M144" i="18"/>
  <c r="AD144" i="18" s="1"/>
  <c r="M143" i="18"/>
  <c r="AD143" i="18" s="1"/>
  <c r="M142" i="18"/>
  <c r="AD142" i="18" s="1"/>
  <c r="M141" i="18"/>
  <c r="AD141" i="18" s="1"/>
  <c r="M140" i="18"/>
  <c r="AD140" i="18" s="1"/>
  <c r="M139" i="18"/>
  <c r="AD139" i="18" s="1"/>
  <c r="M138" i="18"/>
  <c r="AD138" i="18" s="1"/>
  <c r="M137" i="18"/>
  <c r="S137" i="18" s="1"/>
  <c r="M136" i="18"/>
  <c r="AD136" i="18" s="1"/>
  <c r="M135" i="18"/>
  <c r="AD135" i="18" s="1"/>
  <c r="M134" i="18"/>
  <c r="AD134" i="18" s="1"/>
  <c r="M133" i="18"/>
  <c r="AD133" i="18" s="1"/>
  <c r="M132" i="18"/>
  <c r="AD132" i="18" s="1"/>
  <c r="M131" i="18"/>
  <c r="AD131" i="18" s="1"/>
  <c r="M130" i="18"/>
  <c r="AD130" i="18" s="1"/>
  <c r="M129" i="18"/>
  <c r="AD129" i="18" s="1"/>
  <c r="M128" i="18"/>
  <c r="AD128" i="18" s="1"/>
  <c r="M127" i="18"/>
  <c r="AD127" i="18" s="1"/>
  <c r="M126" i="18"/>
  <c r="AD126" i="18" s="1"/>
  <c r="M125" i="18"/>
  <c r="S125" i="18" s="1"/>
  <c r="M124" i="18"/>
  <c r="AD124" i="18" s="1"/>
  <c r="M123" i="18"/>
  <c r="AD123" i="18" s="1"/>
  <c r="M122" i="18"/>
  <c r="AD122" i="18" s="1"/>
  <c r="M121" i="18"/>
  <c r="AD121" i="18" s="1"/>
  <c r="M120" i="18"/>
  <c r="AD120" i="18" s="1"/>
  <c r="M119" i="18"/>
  <c r="AD119" i="18" s="1"/>
  <c r="M118" i="18"/>
  <c r="AD118" i="18" s="1"/>
  <c r="M117" i="18"/>
  <c r="AD117" i="18" s="1"/>
  <c r="M116" i="18"/>
  <c r="AD116" i="18" s="1"/>
  <c r="M115" i="18"/>
  <c r="AD115" i="18" s="1"/>
  <c r="M114" i="18"/>
  <c r="AD114" i="18" s="1"/>
  <c r="M113" i="18"/>
  <c r="S113" i="18" s="1"/>
  <c r="M112" i="18"/>
  <c r="AD112" i="18" s="1"/>
  <c r="M111" i="18"/>
  <c r="AD111" i="18" s="1"/>
  <c r="M110" i="18"/>
  <c r="AD110" i="18" s="1"/>
  <c r="M109" i="18"/>
  <c r="AD109" i="18" s="1"/>
  <c r="M108" i="18"/>
  <c r="AD108" i="18" s="1"/>
  <c r="M107" i="18"/>
  <c r="AD107" i="18" s="1"/>
  <c r="M106" i="18"/>
  <c r="AD106" i="18" s="1"/>
  <c r="M105" i="18"/>
  <c r="AD105" i="18" s="1"/>
  <c r="M104" i="18"/>
  <c r="AD104" i="18" s="1"/>
  <c r="M103" i="18"/>
  <c r="AD103" i="18" s="1"/>
  <c r="M102" i="18"/>
  <c r="AD102" i="18" s="1"/>
  <c r="M101" i="18"/>
  <c r="S101" i="18" s="1"/>
  <c r="M100" i="18"/>
  <c r="AD100" i="18" s="1"/>
  <c r="M99" i="18"/>
  <c r="AD99" i="18" s="1"/>
  <c r="M98" i="18"/>
  <c r="AD98" i="18" s="1"/>
  <c r="M97" i="18"/>
  <c r="AD97" i="18" s="1"/>
  <c r="M96" i="18"/>
  <c r="AD96" i="18" s="1"/>
  <c r="M95" i="18"/>
  <c r="AD95" i="18" s="1"/>
  <c r="M94" i="18"/>
  <c r="AD94" i="18" s="1"/>
  <c r="M93" i="18"/>
  <c r="AD93" i="18" s="1"/>
  <c r="M92" i="18"/>
  <c r="AD92" i="18" s="1"/>
  <c r="M91" i="18"/>
  <c r="AD91" i="18" s="1"/>
  <c r="M90" i="18"/>
  <c r="AD90" i="18" s="1"/>
  <c r="M89" i="18"/>
  <c r="S89" i="18" s="1"/>
  <c r="M88" i="18"/>
  <c r="AD88" i="18" s="1"/>
  <c r="M87" i="18"/>
  <c r="AD87" i="18" s="1"/>
  <c r="M86" i="18"/>
  <c r="AD86" i="18" s="1"/>
  <c r="M85" i="18"/>
  <c r="AD85" i="18" s="1"/>
  <c r="M84" i="18"/>
  <c r="AD84" i="18" s="1"/>
  <c r="M83" i="18"/>
  <c r="AD83" i="18" s="1"/>
  <c r="M82" i="18"/>
  <c r="AD82" i="18" s="1"/>
  <c r="M81" i="18"/>
  <c r="AD81" i="18" s="1"/>
  <c r="M80" i="18"/>
  <c r="AD80" i="18" s="1"/>
  <c r="M79" i="18"/>
  <c r="AD79" i="18" s="1"/>
  <c r="M78" i="18"/>
  <c r="AD78" i="18" s="1"/>
  <c r="M77" i="18"/>
  <c r="S77" i="18" s="1"/>
  <c r="M76" i="18"/>
  <c r="AD76" i="18" s="1"/>
  <c r="M75" i="18"/>
  <c r="AD75" i="18" s="1"/>
  <c r="M74" i="18"/>
  <c r="AD74" i="18" s="1"/>
  <c r="M73" i="18"/>
  <c r="AD73" i="18" s="1"/>
  <c r="M72" i="18"/>
  <c r="AD72" i="18" s="1"/>
  <c r="M71" i="18"/>
  <c r="AD71" i="18" s="1"/>
  <c r="M70" i="18"/>
  <c r="AD70" i="18" s="1"/>
  <c r="M69" i="18"/>
  <c r="AD69" i="18" s="1"/>
  <c r="M68" i="18"/>
  <c r="AD68" i="18" s="1"/>
  <c r="M67" i="18"/>
  <c r="AD67" i="18" s="1"/>
  <c r="M66" i="18"/>
  <c r="AD66" i="18" s="1"/>
  <c r="M65" i="18"/>
  <c r="S65" i="18" s="1"/>
  <c r="M64" i="18"/>
  <c r="AD64" i="18" s="1"/>
  <c r="M63" i="18"/>
  <c r="AD63" i="18" s="1"/>
  <c r="M62" i="18"/>
  <c r="AD62" i="18" s="1"/>
  <c r="M61" i="18"/>
  <c r="AD61" i="18" s="1"/>
  <c r="M60" i="18"/>
  <c r="AD60" i="18" s="1"/>
  <c r="M59" i="18"/>
  <c r="AD59" i="18" s="1"/>
  <c r="M58" i="18"/>
  <c r="AD58" i="18" s="1"/>
  <c r="M57" i="18"/>
  <c r="AD57" i="18" s="1"/>
  <c r="M56" i="18"/>
  <c r="AD56" i="18" s="1"/>
  <c r="M55" i="18"/>
  <c r="AD55" i="18" s="1"/>
  <c r="M54" i="18"/>
  <c r="AD54" i="18" s="1"/>
  <c r="M53" i="18"/>
  <c r="S53" i="18" s="1"/>
  <c r="M52" i="18"/>
  <c r="AD52" i="18" s="1"/>
  <c r="M51" i="18"/>
  <c r="AD51" i="18" s="1"/>
  <c r="M50" i="18"/>
  <c r="AD50" i="18" s="1"/>
  <c r="M49" i="18"/>
  <c r="AD49" i="18" s="1"/>
  <c r="M48" i="18"/>
  <c r="AD48" i="18" s="1"/>
  <c r="M47" i="18"/>
  <c r="AD47" i="18" s="1"/>
  <c r="M46" i="18"/>
  <c r="AD46" i="18" s="1"/>
  <c r="M45" i="18"/>
  <c r="AD45" i="18" s="1"/>
  <c r="M44" i="18"/>
  <c r="AD44" i="18" s="1"/>
  <c r="M43" i="18"/>
  <c r="AD43" i="18" s="1"/>
  <c r="M42" i="18"/>
  <c r="AD42" i="18" s="1"/>
  <c r="M41" i="18"/>
  <c r="AD41" i="18" s="1"/>
  <c r="M40" i="18"/>
  <c r="AD40" i="18" s="1"/>
  <c r="M39" i="18"/>
  <c r="AD39" i="18" s="1"/>
  <c r="M38" i="18"/>
  <c r="AD38" i="18" s="1"/>
  <c r="M37" i="18"/>
  <c r="AD37" i="18" s="1"/>
  <c r="M36" i="18"/>
  <c r="AD36" i="18" s="1"/>
  <c r="M35" i="18"/>
  <c r="AD35" i="18" s="1"/>
  <c r="M34" i="18"/>
  <c r="AD34" i="18" s="1"/>
  <c r="M33" i="18"/>
  <c r="AD33" i="18" s="1"/>
  <c r="M32" i="18"/>
  <c r="AD32" i="18" s="1"/>
  <c r="M31" i="18"/>
  <c r="AD31" i="18" s="1"/>
  <c r="M30" i="18"/>
  <c r="AD30" i="18" s="1"/>
  <c r="M29" i="18"/>
  <c r="S29" i="18" s="1"/>
  <c r="M28" i="18"/>
  <c r="AD28" i="18" s="1"/>
  <c r="M27" i="18"/>
  <c r="AD27" i="18" s="1"/>
  <c r="M26" i="18"/>
  <c r="AD26" i="18" s="1"/>
  <c r="M25" i="18"/>
  <c r="AD25" i="18" s="1"/>
  <c r="M24" i="18"/>
  <c r="AD24" i="18" s="1"/>
  <c r="M23" i="18"/>
  <c r="AD23" i="18" s="1"/>
  <c r="M22" i="18"/>
  <c r="AD22" i="18" s="1"/>
  <c r="M21" i="18"/>
  <c r="AD21" i="18" s="1"/>
  <c r="M20" i="18"/>
  <c r="AD20" i="18" s="1"/>
  <c r="M19" i="18"/>
  <c r="AD19" i="18" s="1"/>
  <c r="M18" i="18"/>
  <c r="AD18" i="18" s="1"/>
  <c r="M17" i="18"/>
  <c r="S17" i="18" s="1"/>
  <c r="M16" i="18"/>
  <c r="AD16" i="18" s="1"/>
  <c r="M15" i="18"/>
  <c r="AD15" i="18" s="1"/>
  <c r="M14" i="18"/>
  <c r="AD14" i="18" s="1"/>
  <c r="M13" i="18"/>
  <c r="AD13" i="18" s="1"/>
  <c r="M12" i="18"/>
  <c r="AD12" i="18" s="1"/>
  <c r="M11" i="18"/>
  <c r="AD11" i="18" s="1"/>
  <c r="M10" i="18"/>
  <c r="AD10" i="18" s="1"/>
  <c r="M9" i="18"/>
  <c r="AD9" i="18" s="1"/>
  <c r="M8" i="18"/>
  <c r="AD8" i="18" s="1"/>
  <c r="M7" i="18"/>
  <c r="AD7" i="18" s="1"/>
  <c r="M6" i="18"/>
  <c r="AD6" i="18" s="1"/>
  <c r="M5" i="18"/>
  <c r="S5" i="18" s="1"/>
  <c r="M4" i="18"/>
  <c r="AD4" i="18" s="1"/>
  <c r="M3" i="18"/>
  <c r="R3" i="18" s="1"/>
  <c r="M2" i="18"/>
  <c r="AD2" i="18" s="1"/>
  <c r="V302" i="19" l="1"/>
  <c r="W302" i="19"/>
  <c r="V308" i="19"/>
  <c r="V311" i="19"/>
  <c r="W308" i="19"/>
  <c r="W311" i="19"/>
  <c r="V318" i="19"/>
  <c r="W318" i="19"/>
  <c r="R15" i="18"/>
  <c r="R27" i="18"/>
  <c r="R39" i="18"/>
  <c r="R51" i="18"/>
  <c r="R63" i="18"/>
  <c r="R75" i="18"/>
  <c r="R87" i="18"/>
  <c r="R99" i="18"/>
  <c r="R111" i="18"/>
  <c r="R123" i="18"/>
  <c r="R135" i="18"/>
  <c r="O6" i="18"/>
  <c r="O18" i="18"/>
  <c r="O30" i="18"/>
  <c r="O42" i="18"/>
  <c r="O54" i="18"/>
  <c r="O66" i="18"/>
  <c r="O78" i="18"/>
  <c r="O90" i="18"/>
  <c r="O102" i="18"/>
  <c r="O114" i="18"/>
  <c r="O126" i="18"/>
  <c r="O138" i="18"/>
  <c r="P6" i="18"/>
  <c r="P18" i="18"/>
  <c r="P30" i="18"/>
  <c r="P42" i="18"/>
  <c r="P54" i="18"/>
  <c r="P66" i="18"/>
  <c r="P78" i="18"/>
  <c r="P90" i="18"/>
  <c r="P102" i="18"/>
  <c r="P114" i="18"/>
  <c r="P126" i="18"/>
  <c r="P138" i="18"/>
  <c r="Q7" i="18"/>
  <c r="Q19" i="18"/>
  <c r="Q31" i="18"/>
  <c r="Q43" i="18"/>
  <c r="Q55" i="18"/>
  <c r="Q67" i="18"/>
  <c r="Q79" i="18"/>
  <c r="Q91" i="18"/>
  <c r="Q103" i="18"/>
  <c r="Q115" i="18"/>
  <c r="Q127" i="18"/>
  <c r="Q139" i="18"/>
  <c r="Q8" i="18"/>
  <c r="Q20" i="18"/>
  <c r="Q32" i="18"/>
  <c r="Q44" i="18"/>
  <c r="Q56" i="18"/>
  <c r="Q68" i="18"/>
  <c r="Q80" i="18"/>
  <c r="Q92" i="18"/>
  <c r="Q104" i="18"/>
  <c r="Q116" i="18"/>
  <c r="Q128" i="18"/>
  <c r="Q140" i="18"/>
  <c r="R8" i="18"/>
  <c r="R20" i="18"/>
  <c r="R32" i="18"/>
  <c r="R44" i="18"/>
  <c r="R56" i="18"/>
  <c r="R68" i="18"/>
  <c r="R80" i="18"/>
  <c r="R92" i="18"/>
  <c r="R104" i="18"/>
  <c r="R116" i="18"/>
  <c r="R128" i="18"/>
  <c r="R140" i="18"/>
  <c r="S9" i="18"/>
  <c r="S21" i="18"/>
  <c r="S33" i="18"/>
  <c r="S45" i="18"/>
  <c r="S57" i="18"/>
  <c r="S69" i="18"/>
  <c r="S81" i="18"/>
  <c r="S93" i="18"/>
  <c r="S105" i="18"/>
  <c r="S117" i="18"/>
  <c r="S129" i="18"/>
  <c r="S141" i="18"/>
  <c r="AD53" i="18"/>
  <c r="P12" i="18"/>
  <c r="P24" i="18"/>
  <c r="P36" i="18"/>
  <c r="P48" i="18"/>
  <c r="P60" i="18"/>
  <c r="P72" i="18"/>
  <c r="P84" i="18"/>
  <c r="P96" i="18"/>
  <c r="P108" i="18"/>
  <c r="P120" i="18"/>
  <c r="P132" i="18"/>
  <c r="P144" i="18"/>
  <c r="P13" i="18"/>
  <c r="P25" i="18"/>
  <c r="P37" i="18"/>
  <c r="P49" i="18"/>
  <c r="P61" i="18"/>
  <c r="P73" i="18"/>
  <c r="P85" i="18"/>
  <c r="P97" i="18"/>
  <c r="P109" i="18"/>
  <c r="P121" i="18"/>
  <c r="P133" i="18"/>
  <c r="R145" i="18"/>
  <c r="Q13" i="18"/>
  <c r="Q25" i="18"/>
  <c r="Q37" i="18"/>
  <c r="Q49" i="18"/>
  <c r="Q61" i="18"/>
  <c r="Q73" i="18"/>
  <c r="Q85" i="18"/>
  <c r="Q97" i="18"/>
  <c r="Q109" i="18"/>
  <c r="Q121" i="18"/>
  <c r="Q133" i="18"/>
  <c r="R2" i="18"/>
  <c r="R14" i="18"/>
  <c r="R26" i="18"/>
  <c r="R38" i="18"/>
  <c r="R50" i="18"/>
  <c r="R62" i="18"/>
  <c r="R74" i="18"/>
  <c r="R86" i="18"/>
  <c r="R98" i="18"/>
  <c r="R110" i="18"/>
  <c r="R122" i="18"/>
  <c r="R134" i="18"/>
  <c r="R238" i="18"/>
  <c r="Q238" i="18"/>
  <c r="P238" i="18"/>
  <c r="O238" i="18"/>
  <c r="AD238" i="18"/>
  <c r="S238" i="18"/>
  <c r="S34" i="18"/>
  <c r="S46" i="18"/>
  <c r="S82" i="18"/>
  <c r="AD191" i="18"/>
  <c r="S191" i="18"/>
  <c r="R191" i="18"/>
  <c r="Q191" i="18"/>
  <c r="P191" i="18"/>
  <c r="AD263" i="18"/>
  <c r="S263" i="18"/>
  <c r="R263" i="18"/>
  <c r="Q263" i="18"/>
  <c r="P263" i="18"/>
  <c r="O83" i="18"/>
  <c r="O95" i="18"/>
  <c r="O143" i="18"/>
  <c r="S156" i="18"/>
  <c r="R156" i="18"/>
  <c r="AD156" i="18"/>
  <c r="Q156" i="18"/>
  <c r="P156" i="18"/>
  <c r="S168" i="18"/>
  <c r="R168" i="18"/>
  <c r="AD168" i="18"/>
  <c r="Q168" i="18"/>
  <c r="P168" i="18"/>
  <c r="S180" i="18"/>
  <c r="R180" i="18"/>
  <c r="AD180" i="18"/>
  <c r="Q180" i="18"/>
  <c r="P180" i="18"/>
  <c r="S192" i="18"/>
  <c r="R192" i="18"/>
  <c r="AD192" i="18"/>
  <c r="Q192" i="18"/>
  <c r="P192" i="18"/>
  <c r="S204" i="18"/>
  <c r="R204" i="18"/>
  <c r="AD204" i="18"/>
  <c r="Q204" i="18"/>
  <c r="P204" i="18"/>
  <c r="S216" i="18"/>
  <c r="R216" i="18"/>
  <c r="AD216" i="18"/>
  <c r="Q216" i="18"/>
  <c r="P216" i="18"/>
  <c r="S228" i="18"/>
  <c r="R228" i="18"/>
  <c r="AD228" i="18"/>
  <c r="Q228" i="18"/>
  <c r="P228" i="18"/>
  <c r="S240" i="18"/>
  <c r="R240" i="18"/>
  <c r="AD240" i="18"/>
  <c r="Q240" i="18"/>
  <c r="P240" i="18"/>
  <c r="S252" i="18"/>
  <c r="R252" i="18"/>
  <c r="AD252" i="18"/>
  <c r="Q252" i="18"/>
  <c r="P252" i="18"/>
  <c r="S264" i="18"/>
  <c r="R264" i="18"/>
  <c r="AD264" i="18"/>
  <c r="Q264" i="18"/>
  <c r="P264" i="18"/>
  <c r="S276" i="18"/>
  <c r="R276" i="18"/>
  <c r="AD276" i="18"/>
  <c r="Q276" i="18"/>
  <c r="P276" i="18"/>
  <c r="S288" i="18"/>
  <c r="R288" i="18"/>
  <c r="AD288" i="18"/>
  <c r="Q288" i="18"/>
  <c r="P288" i="18"/>
  <c r="O4" i="18"/>
  <c r="Q6" i="18"/>
  <c r="S8" i="18"/>
  <c r="P11" i="18"/>
  <c r="R13" i="18"/>
  <c r="O16" i="18"/>
  <c r="Q18" i="18"/>
  <c r="S20" i="18"/>
  <c r="P23" i="18"/>
  <c r="R25" i="18"/>
  <c r="O28" i="18"/>
  <c r="Q30" i="18"/>
  <c r="S32" i="18"/>
  <c r="P35" i="18"/>
  <c r="R37" i="18"/>
  <c r="O40" i="18"/>
  <c r="Q42" i="18"/>
  <c r="S44" i="18"/>
  <c r="P47" i="18"/>
  <c r="R49" i="18"/>
  <c r="O52" i="18"/>
  <c r="Q54" i="18"/>
  <c r="S56" i="18"/>
  <c r="P59" i="18"/>
  <c r="R61" i="18"/>
  <c r="O64" i="18"/>
  <c r="Q66" i="18"/>
  <c r="S68" i="18"/>
  <c r="P71" i="18"/>
  <c r="R73" i="18"/>
  <c r="O76" i="18"/>
  <c r="Q78" i="18"/>
  <c r="S80" i="18"/>
  <c r="P83" i="18"/>
  <c r="R85" i="18"/>
  <c r="O88" i="18"/>
  <c r="Q90" i="18"/>
  <c r="S92" i="18"/>
  <c r="P95" i="18"/>
  <c r="R97" i="18"/>
  <c r="O100" i="18"/>
  <c r="Q102" i="18"/>
  <c r="S104" i="18"/>
  <c r="P107" i="18"/>
  <c r="R109" i="18"/>
  <c r="O112" i="18"/>
  <c r="Q114" i="18"/>
  <c r="S116" i="18"/>
  <c r="P119" i="18"/>
  <c r="R121" i="18"/>
  <c r="O124" i="18"/>
  <c r="Q126" i="18"/>
  <c r="S128" i="18"/>
  <c r="P131" i="18"/>
  <c r="R133" i="18"/>
  <c r="O136" i="18"/>
  <c r="Q138" i="18"/>
  <c r="S140" i="18"/>
  <c r="P143" i="18"/>
  <c r="O204" i="18"/>
  <c r="O276" i="18"/>
  <c r="AD77" i="18"/>
  <c r="R202" i="18"/>
  <c r="Q202" i="18"/>
  <c r="P202" i="18"/>
  <c r="O202" i="18"/>
  <c r="AD202" i="18"/>
  <c r="S202" i="18"/>
  <c r="AD239" i="18"/>
  <c r="S239" i="18"/>
  <c r="R239" i="18"/>
  <c r="Q239" i="18"/>
  <c r="P239" i="18"/>
  <c r="AD275" i="18"/>
  <c r="S275" i="18"/>
  <c r="R275" i="18"/>
  <c r="Q275" i="18"/>
  <c r="P275" i="18"/>
  <c r="O11" i="18"/>
  <c r="O23" i="18"/>
  <c r="O145" i="18"/>
  <c r="AD145" i="18"/>
  <c r="P145" i="18"/>
  <c r="O157" i="18"/>
  <c r="AD157" i="18"/>
  <c r="S157" i="18"/>
  <c r="R157" i="18"/>
  <c r="P157" i="18"/>
  <c r="O169" i="18"/>
  <c r="AD169" i="18"/>
  <c r="S169" i="18"/>
  <c r="R169" i="18"/>
  <c r="P169" i="18"/>
  <c r="O181" i="18"/>
  <c r="AD181" i="18"/>
  <c r="S181" i="18"/>
  <c r="R181" i="18"/>
  <c r="P181" i="18"/>
  <c r="O193" i="18"/>
  <c r="AD193" i="18"/>
  <c r="S193" i="18"/>
  <c r="R193" i="18"/>
  <c r="P193" i="18"/>
  <c r="O205" i="18"/>
  <c r="AD205" i="18"/>
  <c r="S205" i="18"/>
  <c r="R205" i="18"/>
  <c r="P205" i="18"/>
  <c r="O217" i="18"/>
  <c r="AD217" i="18"/>
  <c r="S217" i="18"/>
  <c r="R217" i="18"/>
  <c r="P217" i="18"/>
  <c r="O229" i="18"/>
  <c r="AD229" i="18"/>
  <c r="S229" i="18"/>
  <c r="R229" i="18"/>
  <c r="P229" i="18"/>
  <c r="O241" i="18"/>
  <c r="AD241" i="18"/>
  <c r="S241" i="18"/>
  <c r="R241" i="18"/>
  <c r="P241" i="18"/>
  <c r="O253" i="18"/>
  <c r="AD253" i="18"/>
  <c r="S253" i="18"/>
  <c r="R253" i="18"/>
  <c r="P253" i="18"/>
  <c r="O265" i="18"/>
  <c r="AD265" i="18"/>
  <c r="S265" i="18"/>
  <c r="R265" i="18"/>
  <c r="P265" i="18"/>
  <c r="O277" i="18"/>
  <c r="AD277" i="18"/>
  <c r="S277" i="18"/>
  <c r="R277" i="18"/>
  <c r="P277" i="18"/>
  <c r="O289" i="18"/>
  <c r="AD289" i="18"/>
  <c r="S289" i="18"/>
  <c r="R289" i="18"/>
  <c r="P289" i="18"/>
  <c r="P4" i="18"/>
  <c r="R6" i="18"/>
  <c r="O9" i="18"/>
  <c r="Q11" i="18"/>
  <c r="S13" i="18"/>
  <c r="P16" i="18"/>
  <c r="R18" i="18"/>
  <c r="O21" i="18"/>
  <c r="Q23" i="18"/>
  <c r="S25" i="18"/>
  <c r="P28" i="18"/>
  <c r="R30" i="18"/>
  <c r="O33" i="18"/>
  <c r="Q35" i="18"/>
  <c r="S37" i="18"/>
  <c r="P40" i="18"/>
  <c r="R42" i="18"/>
  <c r="O45" i="18"/>
  <c r="Q47" i="18"/>
  <c r="S49" i="18"/>
  <c r="P52" i="18"/>
  <c r="R54" i="18"/>
  <c r="O57" i="18"/>
  <c r="Q59" i="18"/>
  <c r="S61" i="18"/>
  <c r="P64" i="18"/>
  <c r="R66" i="18"/>
  <c r="O69" i="18"/>
  <c r="Q71" i="18"/>
  <c r="S73" i="18"/>
  <c r="P76" i="18"/>
  <c r="R78" i="18"/>
  <c r="O81" i="18"/>
  <c r="Q83" i="18"/>
  <c r="S85" i="18"/>
  <c r="P88" i="18"/>
  <c r="R90" i="18"/>
  <c r="O93" i="18"/>
  <c r="Q95" i="18"/>
  <c r="S97" i="18"/>
  <c r="P100" i="18"/>
  <c r="R102" i="18"/>
  <c r="O105" i="18"/>
  <c r="Q107" i="18"/>
  <c r="S109" i="18"/>
  <c r="P112" i="18"/>
  <c r="R114" i="18"/>
  <c r="O117" i="18"/>
  <c r="Q119" i="18"/>
  <c r="S121" i="18"/>
  <c r="P124" i="18"/>
  <c r="R126" i="18"/>
  <c r="O129" i="18"/>
  <c r="Q131" i="18"/>
  <c r="S133" i="18"/>
  <c r="P136" i="18"/>
  <c r="R138" i="18"/>
  <c r="O141" i="18"/>
  <c r="Q143" i="18"/>
  <c r="O191" i="18"/>
  <c r="Q205" i="18"/>
  <c r="O263" i="18"/>
  <c r="Q277" i="18"/>
  <c r="AD89" i="18"/>
  <c r="R250" i="18"/>
  <c r="Q250" i="18"/>
  <c r="P250" i="18"/>
  <c r="O250" i="18"/>
  <c r="AD250" i="18"/>
  <c r="S250" i="18"/>
  <c r="S58" i="18"/>
  <c r="S130" i="18"/>
  <c r="AD227" i="18"/>
  <c r="S227" i="18"/>
  <c r="R227" i="18"/>
  <c r="Q227" i="18"/>
  <c r="P227" i="18"/>
  <c r="AD287" i="18"/>
  <c r="S287" i="18"/>
  <c r="R287" i="18"/>
  <c r="Q287" i="18"/>
  <c r="P287" i="18"/>
  <c r="O47" i="18"/>
  <c r="O107" i="18"/>
  <c r="O119" i="18"/>
  <c r="O131" i="18"/>
  <c r="AD65" i="18"/>
  <c r="AD146" i="18"/>
  <c r="S146" i="18"/>
  <c r="R146" i="18"/>
  <c r="P146" i="18"/>
  <c r="O146" i="18"/>
  <c r="AD158" i="18"/>
  <c r="S158" i="18"/>
  <c r="R158" i="18"/>
  <c r="P158" i="18"/>
  <c r="O158" i="18"/>
  <c r="AD170" i="18"/>
  <c r="S170" i="18"/>
  <c r="R170" i="18"/>
  <c r="P170" i="18"/>
  <c r="O170" i="18"/>
  <c r="AD182" i="18"/>
  <c r="S182" i="18"/>
  <c r="R182" i="18"/>
  <c r="P182" i="18"/>
  <c r="O182" i="18"/>
  <c r="AD194" i="18"/>
  <c r="S194" i="18"/>
  <c r="R194" i="18"/>
  <c r="P194" i="18"/>
  <c r="O194" i="18"/>
  <c r="AD206" i="18"/>
  <c r="S206" i="18"/>
  <c r="R206" i="18"/>
  <c r="P206" i="18"/>
  <c r="O206" i="18"/>
  <c r="AD218" i="18"/>
  <c r="S218" i="18"/>
  <c r="R218" i="18"/>
  <c r="P218" i="18"/>
  <c r="O218" i="18"/>
  <c r="AD230" i="18"/>
  <c r="S230" i="18"/>
  <c r="R230" i="18"/>
  <c r="P230" i="18"/>
  <c r="O230" i="18"/>
  <c r="AD242" i="18"/>
  <c r="S242" i="18"/>
  <c r="R242" i="18"/>
  <c r="P242" i="18"/>
  <c r="O242" i="18"/>
  <c r="AD254" i="18"/>
  <c r="S254" i="18"/>
  <c r="R254" i="18"/>
  <c r="P254" i="18"/>
  <c r="O254" i="18"/>
  <c r="AD266" i="18"/>
  <c r="S266" i="18"/>
  <c r="R266" i="18"/>
  <c r="P266" i="18"/>
  <c r="O266" i="18"/>
  <c r="AD278" i="18"/>
  <c r="S278" i="18"/>
  <c r="R278" i="18"/>
  <c r="P278" i="18"/>
  <c r="O278" i="18"/>
  <c r="O2" i="18"/>
  <c r="Q4" i="18"/>
  <c r="S6" i="18"/>
  <c r="P9" i="18"/>
  <c r="R11" i="18"/>
  <c r="O14" i="18"/>
  <c r="Q16" i="18"/>
  <c r="S18" i="18"/>
  <c r="P21" i="18"/>
  <c r="R23" i="18"/>
  <c r="O26" i="18"/>
  <c r="Q28" i="18"/>
  <c r="S30" i="18"/>
  <c r="P33" i="18"/>
  <c r="R35" i="18"/>
  <c r="O38" i="18"/>
  <c r="Q40" i="18"/>
  <c r="S42" i="18"/>
  <c r="P45" i="18"/>
  <c r="R47" i="18"/>
  <c r="O50" i="18"/>
  <c r="Q52" i="18"/>
  <c r="S54" i="18"/>
  <c r="P57" i="18"/>
  <c r="R59" i="18"/>
  <c r="O62" i="18"/>
  <c r="Q64" i="18"/>
  <c r="S66" i="18"/>
  <c r="P69" i="18"/>
  <c r="R71" i="18"/>
  <c r="O74" i="18"/>
  <c r="Q76" i="18"/>
  <c r="S78" i="18"/>
  <c r="P81" i="18"/>
  <c r="R83" i="18"/>
  <c r="O86" i="18"/>
  <c r="Q88" i="18"/>
  <c r="S90" i="18"/>
  <c r="P93" i="18"/>
  <c r="R95" i="18"/>
  <c r="O98" i="18"/>
  <c r="Q100" i="18"/>
  <c r="S102" i="18"/>
  <c r="P105" i="18"/>
  <c r="R107" i="18"/>
  <c r="O110" i="18"/>
  <c r="Q112" i="18"/>
  <c r="S114" i="18"/>
  <c r="P117" i="18"/>
  <c r="R119" i="18"/>
  <c r="O122" i="18"/>
  <c r="Q124" i="18"/>
  <c r="S126" i="18"/>
  <c r="P129" i="18"/>
  <c r="R131" i="18"/>
  <c r="O134" i="18"/>
  <c r="Q136" i="18"/>
  <c r="S138" i="18"/>
  <c r="P141" i="18"/>
  <c r="R143" i="18"/>
  <c r="O192" i="18"/>
  <c r="Q206" i="18"/>
  <c r="O264" i="18"/>
  <c r="Q278" i="18"/>
  <c r="AD101" i="18"/>
  <c r="R178" i="18"/>
  <c r="Q178" i="18"/>
  <c r="P178" i="18"/>
  <c r="O178" i="18"/>
  <c r="AD178" i="18"/>
  <c r="S178" i="18"/>
  <c r="S106" i="18"/>
  <c r="AD167" i="18"/>
  <c r="S167" i="18"/>
  <c r="R167" i="18"/>
  <c r="Q167" i="18"/>
  <c r="P167" i="18"/>
  <c r="AD251" i="18"/>
  <c r="S251" i="18"/>
  <c r="R251" i="18"/>
  <c r="Q251" i="18"/>
  <c r="P251" i="18"/>
  <c r="O35" i="18"/>
  <c r="O59" i="18"/>
  <c r="O71" i="18"/>
  <c r="O275" i="18"/>
  <c r="AD3" i="18"/>
  <c r="M291" i="18"/>
  <c r="P291" i="18" s="1"/>
  <c r="AD147" i="18"/>
  <c r="Q147" i="18"/>
  <c r="P147" i="18"/>
  <c r="O147" i="18"/>
  <c r="R147" i="18"/>
  <c r="AD159" i="18"/>
  <c r="Q159" i="18"/>
  <c r="P159" i="18"/>
  <c r="O159" i="18"/>
  <c r="R159" i="18"/>
  <c r="AD171" i="18"/>
  <c r="Q171" i="18"/>
  <c r="P171" i="18"/>
  <c r="O171" i="18"/>
  <c r="R171" i="18"/>
  <c r="AD183" i="18"/>
  <c r="Q183" i="18"/>
  <c r="P183" i="18"/>
  <c r="O183" i="18"/>
  <c r="R183" i="18"/>
  <c r="AD195" i="18"/>
  <c r="Q195" i="18"/>
  <c r="P195" i="18"/>
  <c r="O195" i="18"/>
  <c r="R195" i="18"/>
  <c r="AD207" i="18"/>
  <c r="Q207" i="18"/>
  <c r="P207" i="18"/>
  <c r="O207" i="18"/>
  <c r="R207" i="18"/>
  <c r="AD219" i="18"/>
  <c r="Q219" i="18"/>
  <c r="P219" i="18"/>
  <c r="O219" i="18"/>
  <c r="R219" i="18"/>
  <c r="AD231" i="18"/>
  <c r="Q231" i="18"/>
  <c r="P231" i="18"/>
  <c r="O231" i="18"/>
  <c r="R231" i="18"/>
  <c r="AD243" i="18"/>
  <c r="Q243" i="18"/>
  <c r="P243" i="18"/>
  <c r="O243" i="18"/>
  <c r="R243" i="18"/>
  <c r="AD255" i="18"/>
  <c r="Q255" i="18"/>
  <c r="P255" i="18"/>
  <c r="O255" i="18"/>
  <c r="R255" i="18"/>
  <c r="AD267" i="18"/>
  <c r="Q267" i="18"/>
  <c r="P267" i="18"/>
  <c r="O267" i="18"/>
  <c r="R267" i="18"/>
  <c r="AD279" i="18"/>
  <c r="Q279" i="18"/>
  <c r="P279" i="18"/>
  <c r="O279" i="18"/>
  <c r="R279" i="18"/>
  <c r="P2" i="18"/>
  <c r="R4" i="18"/>
  <c r="O7" i="18"/>
  <c r="Q9" i="18"/>
  <c r="S11" i="18"/>
  <c r="P14" i="18"/>
  <c r="R16" i="18"/>
  <c r="O19" i="18"/>
  <c r="Q21" i="18"/>
  <c r="S23" i="18"/>
  <c r="P26" i="18"/>
  <c r="R28" i="18"/>
  <c r="O31" i="18"/>
  <c r="Q33" i="18"/>
  <c r="S35" i="18"/>
  <c r="P38" i="18"/>
  <c r="R40" i="18"/>
  <c r="O43" i="18"/>
  <c r="Q45" i="18"/>
  <c r="S47" i="18"/>
  <c r="P50" i="18"/>
  <c r="R52" i="18"/>
  <c r="O55" i="18"/>
  <c r="Q57" i="18"/>
  <c r="S59" i="18"/>
  <c r="P62" i="18"/>
  <c r="R64" i="18"/>
  <c r="O67" i="18"/>
  <c r="Q69" i="18"/>
  <c r="S71" i="18"/>
  <c r="P74" i="18"/>
  <c r="R76" i="18"/>
  <c r="O79" i="18"/>
  <c r="Q81" i="18"/>
  <c r="S83" i="18"/>
  <c r="P86" i="18"/>
  <c r="R88" i="18"/>
  <c r="O91" i="18"/>
  <c r="Q93" i="18"/>
  <c r="S95" i="18"/>
  <c r="P98" i="18"/>
  <c r="R100" i="18"/>
  <c r="O103" i="18"/>
  <c r="Q105" i="18"/>
  <c r="S107" i="18"/>
  <c r="P110" i="18"/>
  <c r="R112" i="18"/>
  <c r="O115" i="18"/>
  <c r="Q117" i="18"/>
  <c r="S119" i="18"/>
  <c r="P122" i="18"/>
  <c r="R124" i="18"/>
  <c r="O127" i="18"/>
  <c r="Q129" i="18"/>
  <c r="S131" i="18"/>
  <c r="P134" i="18"/>
  <c r="R136" i="18"/>
  <c r="O139" i="18"/>
  <c r="Q141" i="18"/>
  <c r="S143" i="18"/>
  <c r="Q193" i="18"/>
  <c r="S207" i="18"/>
  <c r="O251" i="18"/>
  <c r="Q265" i="18"/>
  <c r="S279" i="18"/>
  <c r="AD113" i="18"/>
  <c r="R226" i="18"/>
  <c r="Q226" i="18"/>
  <c r="P226" i="18"/>
  <c r="O226" i="18"/>
  <c r="AD226" i="18"/>
  <c r="S226" i="18"/>
  <c r="AD215" i="18"/>
  <c r="S215" i="18"/>
  <c r="R215" i="18"/>
  <c r="Q215" i="18"/>
  <c r="P215" i="18"/>
  <c r="R148" i="18"/>
  <c r="Q148" i="18"/>
  <c r="P148" i="18"/>
  <c r="O148" i="18"/>
  <c r="AD148" i="18"/>
  <c r="R160" i="18"/>
  <c r="Q160" i="18"/>
  <c r="P160" i="18"/>
  <c r="O160" i="18"/>
  <c r="AD160" i="18"/>
  <c r="R172" i="18"/>
  <c r="Q172" i="18"/>
  <c r="P172" i="18"/>
  <c r="O172" i="18"/>
  <c r="AD172" i="18"/>
  <c r="R184" i="18"/>
  <c r="Q184" i="18"/>
  <c r="P184" i="18"/>
  <c r="O184" i="18"/>
  <c r="AD184" i="18"/>
  <c r="R196" i="18"/>
  <c r="Q196" i="18"/>
  <c r="P196" i="18"/>
  <c r="O196" i="18"/>
  <c r="AD196" i="18"/>
  <c r="R208" i="18"/>
  <c r="Q208" i="18"/>
  <c r="P208" i="18"/>
  <c r="O208" i="18"/>
  <c r="AD208" i="18"/>
  <c r="R220" i="18"/>
  <c r="Q220" i="18"/>
  <c r="P220" i="18"/>
  <c r="O220" i="18"/>
  <c r="AD220" i="18"/>
  <c r="R232" i="18"/>
  <c r="Q232" i="18"/>
  <c r="P232" i="18"/>
  <c r="O232" i="18"/>
  <c r="AD232" i="18"/>
  <c r="R244" i="18"/>
  <c r="Q244" i="18"/>
  <c r="P244" i="18"/>
  <c r="O244" i="18"/>
  <c r="AD244" i="18"/>
  <c r="R256" i="18"/>
  <c r="Q256" i="18"/>
  <c r="P256" i="18"/>
  <c r="O256" i="18"/>
  <c r="AD256" i="18"/>
  <c r="R268" i="18"/>
  <c r="Q268" i="18"/>
  <c r="P268" i="18"/>
  <c r="O268" i="18"/>
  <c r="AD268" i="18"/>
  <c r="R280" i="18"/>
  <c r="Q280" i="18"/>
  <c r="P280" i="18"/>
  <c r="O280" i="18"/>
  <c r="AD280" i="18"/>
  <c r="Q2" i="18"/>
  <c r="S4" i="18"/>
  <c r="P7" i="18"/>
  <c r="R9" i="18"/>
  <c r="O12" i="18"/>
  <c r="Q14" i="18"/>
  <c r="S16" i="18"/>
  <c r="P19" i="18"/>
  <c r="R21" i="18"/>
  <c r="O24" i="18"/>
  <c r="Q26" i="18"/>
  <c r="S28" i="18"/>
  <c r="P31" i="18"/>
  <c r="R33" i="18"/>
  <c r="O36" i="18"/>
  <c r="Q38" i="18"/>
  <c r="S40" i="18"/>
  <c r="P43" i="18"/>
  <c r="R45" i="18"/>
  <c r="O48" i="18"/>
  <c r="Q50" i="18"/>
  <c r="S52" i="18"/>
  <c r="P55" i="18"/>
  <c r="R57" i="18"/>
  <c r="O60" i="18"/>
  <c r="Q62" i="18"/>
  <c r="S64" i="18"/>
  <c r="P67" i="18"/>
  <c r="R69" i="18"/>
  <c r="O72" i="18"/>
  <c r="Q74" i="18"/>
  <c r="S76" i="18"/>
  <c r="P79" i="18"/>
  <c r="R81" i="18"/>
  <c r="O84" i="18"/>
  <c r="Q86" i="18"/>
  <c r="S88" i="18"/>
  <c r="P91" i="18"/>
  <c r="R93" i="18"/>
  <c r="O96" i="18"/>
  <c r="Q98" i="18"/>
  <c r="S100" i="18"/>
  <c r="P103" i="18"/>
  <c r="R105" i="18"/>
  <c r="O108" i="18"/>
  <c r="Q110" i="18"/>
  <c r="S112" i="18"/>
  <c r="P115" i="18"/>
  <c r="R117" i="18"/>
  <c r="O120" i="18"/>
  <c r="Q122" i="18"/>
  <c r="S124" i="18"/>
  <c r="P127" i="18"/>
  <c r="R129" i="18"/>
  <c r="O132" i="18"/>
  <c r="Q134" i="18"/>
  <c r="S136" i="18"/>
  <c r="P139" i="18"/>
  <c r="R141" i="18"/>
  <c r="O144" i="18"/>
  <c r="O180" i="18"/>
  <c r="Q194" i="18"/>
  <c r="S208" i="18"/>
  <c r="O252" i="18"/>
  <c r="Q266" i="18"/>
  <c r="S280" i="18"/>
  <c r="AD125" i="18"/>
  <c r="AD137" i="18"/>
  <c r="R214" i="18"/>
  <c r="Q214" i="18"/>
  <c r="P214" i="18"/>
  <c r="O214" i="18"/>
  <c r="AD214" i="18"/>
  <c r="S214" i="18"/>
  <c r="S10" i="18"/>
  <c r="AD203" i="18"/>
  <c r="S203" i="18"/>
  <c r="R203" i="18"/>
  <c r="Q203" i="18"/>
  <c r="P203" i="18"/>
  <c r="S149" i="18"/>
  <c r="R149" i="18"/>
  <c r="Q149" i="18"/>
  <c r="P149" i="18"/>
  <c r="O149" i="18"/>
  <c r="S173" i="18"/>
  <c r="R173" i="18"/>
  <c r="Q173" i="18"/>
  <c r="P173" i="18"/>
  <c r="O173" i="18"/>
  <c r="S197" i="18"/>
  <c r="R197" i="18"/>
  <c r="Q197" i="18"/>
  <c r="P197" i="18"/>
  <c r="O197" i="18"/>
  <c r="S233" i="18"/>
  <c r="R233" i="18"/>
  <c r="Q233" i="18"/>
  <c r="P233" i="18"/>
  <c r="O233" i="18"/>
  <c r="S269" i="18"/>
  <c r="R269" i="18"/>
  <c r="Q269" i="18"/>
  <c r="P269" i="18"/>
  <c r="O269" i="18"/>
  <c r="O5" i="18"/>
  <c r="O41" i="18"/>
  <c r="O113" i="18"/>
  <c r="S150" i="18"/>
  <c r="R150" i="18"/>
  <c r="AD150" i="18"/>
  <c r="Q150" i="18"/>
  <c r="O150" i="18"/>
  <c r="S162" i="18"/>
  <c r="R162" i="18"/>
  <c r="AD162" i="18"/>
  <c r="Q162" i="18"/>
  <c r="O162" i="18"/>
  <c r="S174" i="18"/>
  <c r="R174" i="18"/>
  <c r="AD174" i="18"/>
  <c r="Q174" i="18"/>
  <c r="O174" i="18"/>
  <c r="S186" i="18"/>
  <c r="R186" i="18"/>
  <c r="AD186" i="18"/>
  <c r="Q186" i="18"/>
  <c r="O186" i="18"/>
  <c r="S198" i="18"/>
  <c r="R198" i="18"/>
  <c r="AD198" i="18"/>
  <c r="Q198" i="18"/>
  <c r="O198" i="18"/>
  <c r="S210" i="18"/>
  <c r="R210" i="18"/>
  <c r="AD210" i="18"/>
  <c r="Q210" i="18"/>
  <c r="O210" i="18"/>
  <c r="S222" i="18"/>
  <c r="R222" i="18"/>
  <c r="AD222" i="18"/>
  <c r="Q222" i="18"/>
  <c r="O222" i="18"/>
  <c r="S234" i="18"/>
  <c r="R234" i="18"/>
  <c r="AD234" i="18"/>
  <c r="Q234" i="18"/>
  <c r="O234" i="18"/>
  <c r="S246" i="18"/>
  <c r="R246" i="18"/>
  <c r="AD246" i="18"/>
  <c r="Q246" i="18"/>
  <c r="O246" i="18"/>
  <c r="S258" i="18"/>
  <c r="R258" i="18"/>
  <c r="AD258" i="18"/>
  <c r="Q258" i="18"/>
  <c r="O258" i="18"/>
  <c r="S270" i="18"/>
  <c r="R270" i="18"/>
  <c r="AD270" i="18"/>
  <c r="Q270" i="18"/>
  <c r="O270" i="18"/>
  <c r="S282" i="18"/>
  <c r="R282" i="18"/>
  <c r="AD282" i="18"/>
  <c r="Q282" i="18"/>
  <c r="O282" i="18"/>
  <c r="S2" i="18"/>
  <c r="P5" i="18"/>
  <c r="R7" i="18"/>
  <c r="O10" i="18"/>
  <c r="Q12" i="18"/>
  <c r="S14" i="18"/>
  <c r="P17" i="18"/>
  <c r="R19" i="18"/>
  <c r="O22" i="18"/>
  <c r="Q24" i="18"/>
  <c r="S26" i="18"/>
  <c r="P29" i="18"/>
  <c r="R31" i="18"/>
  <c r="O34" i="18"/>
  <c r="Q36" i="18"/>
  <c r="S38" i="18"/>
  <c r="P41" i="18"/>
  <c r="R43" i="18"/>
  <c r="O46" i="18"/>
  <c r="Q48" i="18"/>
  <c r="S50" i="18"/>
  <c r="P53" i="18"/>
  <c r="R55" i="18"/>
  <c r="O58" i="18"/>
  <c r="Q60" i="18"/>
  <c r="S62" i="18"/>
  <c r="P65" i="18"/>
  <c r="R67" i="18"/>
  <c r="O70" i="18"/>
  <c r="Q72" i="18"/>
  <c r="S74" i="18"/>
  <c r="P77" i="18"/>
  <c r="R79" i="18"/>
  <c r="O82" i="18"/>
  <c r="Q84" i="18"/>
  <c r="S86" i="18"/>
  <c r="P89" i="18"/>
  <c r="R91" i="18"/>
  <c r="O94" i="18"/>
  <c r="Q96" i="18"/>
  <c r="S98" i="18"/>
  <c r="P101" i="18"/>
  <c r="R103" i="18"/>
  <c r="O106" i="18"/>
  <c r="Q108" i="18"/>
  <c r="S110" i="18"/>
  <c r="P113" i="18"/>
  <c r="R115" i="18"/>
  <c r="O118" i="18"/>
  <c r="Q120" i="18"/>
  <c r="S122" i="18"/>
  <c r="P125" i="18"/>
  <c r="R127" i="18"/>
  <c r="O130" i="18"/>
  <c r="Q132" i="18"/>
  <c r="S134" i="18"/>
  <c r="P137" i="18"/>
  <c r="R139" i="18"/>
  <c r="O142" i="18"/>
  <c r="Q144" i="18"/>
  <c r="O168" i="18"/>
  <c r="Q182" i="18"/>
  <c r="S196" i="18"/>
  <c r="O240" i="18"/>
  <c r="Q254" i="18"/>
  <c r="S268" i="18"/>
  <c r="AD5" i="18"/>
  <c r="AD149" i="18"/>
  <c r="R190" i="18"/>
  <c r="Q190" i="18"/>
  <c r="P190" i="18"/>
  <c r="O190" i="18"/>
  <c r="AD190" i="18"/>
  <c r="S190" i="18"/>
  <c r="R262" i="18"/>
  <c r="Q262" i="18"/>
  <c r="P262" i="18"/>
  <c r="O262" i="18"/>
  <c r="AD262" i="18"/>
  <c r="S262" i="18"/>
  <c r="S22" i="18"/>
  <c r="S70" i="18"/>
  <c r="AD155" i="18"/>
  <c r="S155" i="18"/>
  <c r="R155" i="18"/>
  <c r="Q155" i="18"/>
  <c r="P155" i="18"/>
  <c r="S209" i="18"/>
  <c r="R209" i="18"/>
  <c r="Q209" i="18"/>
  <c r="P209" i="18"/>
  <c r="O209" i="18"/>
  <c r="S281" i="18"/>
  <c r="R281" i="18"/>
  <c r="Q281" i="18"/>
  <c r="P281" i="18"/>
  <c r="O281" i="18"/>
  <c r="O125" i="18"/>
  <c r="O137" i="18"/>
  <c r="O167" i="18"/>
  <c r="O239" i="18"/>
  <c r="S151" i="18"/>
  <c r="R151" i="18"/>
  <c r="Q151" i="18"/>
  <c r="O151" i="18"/>
  <c r="AD151" i="18"/>
  <c r="S163" i="18"/>
  <c r="R163" i="18"/>
  <c r="Q163" i="18"/>
  <c r="O163" i="18"/>
  <c r="AD163" i="18"/>
  <c r="S175" i="18"/>
  <c r="R175" i="18"/>
  <c r="Q175" i="18"/>
  <c r="O175" i="18"/>
  <c r="AD175" i="18"/>
  <c r="S187" i="18"/>
  <c r="R187" i="18"/>
  <c r="Q187" i="18"/>
  <c r="O187" i="18"/>
  <c r="AD187" i="18"/>
  <c r="S199" i="18"/>
  <c r="R199" i="18"/>
  <c r="Q199" i="18"/>
  <c r="O199" i="18"/>
  <c r="AD199" i="18"/>
  <c r="S211" i="18"/>
  <c r="R211" i="18"/>
  <c r="Q211" i="18"/>
  <c r="O211" i="18"/>
  <c r="AD211" i="18"/>
  <c r="S223" i="18"/>
  <c r="R223" i="18"/>
  <c r="Q223" i="18"/>
  <c r="O223" i="18"/>
  <c r="AD223" i="18"/>
  <c r="S235" i="18"/>
  <c r="R235" i="18"/>
  <c r="Q235" i="18"/>
  <c r="O235" i="18"/>
  <c r="AD235" i="18"/>
  <c r="S247" i="18"/>
  <c r="R247" i="18"/>
  <c r="Q247" i="18"/>
  <c r="O247" i="18"/>
  <c r="AD247" i="18"/>
  <c r="S259" i="18"/>
  <c r="R259" i="18"/>
  <c r="Q259" i="18"/>
  <c r="O259" i="18"/>
  <c r="AD259" i="18"/>
  <c r="S271" i="18"/>
  <c r="R271" i="18"/>
  <c r="Q271" i="18"/>
  <c r="O271" i="18"/>
  <c r="AD271" i="18"/>
  <c r="S283" i="18"/>
  <c r="R283" i="18"/>
  <c r="Q283" i="18"/>
  <c r="O283" i="18"/>
  <c r="AD283" i="18"/>
  <c r="O3" i="18"/>
  <c r="Q5" i="18"/>
  <c r="S7" i="18"/>
  <c r="P10" i="18"/>
  <c r="R12" i="18"/>
  <c r="O15" i="18"/>
  <c r="Q17" i="18"/>
  <c r="S19" i="18"/>
  <c r="P22" i="18"/>
  <c r="R24" i="18"/>
  <c r="O27" i="18"/>
  <c r="Q29" i="18"/>
  <c r="S31" i="18"/>
  <c r="P34" i="18"/>
  <c r="R36" i="18"/>
  <c r="O39" i="18"/>
  <c r="Q41" i="18"/>
  <c r="S43" i="18"/>
  <c r="P46" i="18"/>
  <c r="R48" i="18"/>
  <c r="O51" i="18"/>
  <c r="Q53" i="18"/>
  <c r="S55" i="18"/>
  <c r="P58" i="18"/>
  <c r="R60" i="18"/>
  <c r="O63" i="18"/>
  <c r="Q65" i="18"/>
  <c r="S67" i="18"/>
  <c r="P70" i="18"/>
  <c r="R72" i="18"/>
  <c r="O75" i="18"/>
  <c r="Q77" i="18"/>
  <c r="S79" i="18"/>
  <c r="P82" i="18"/>
  <c r="R84" i="18"/>
  <c r="O87" i="18"/>
  <c r="Q89" i="18"/>
  <c r="S91" i="18"/>
  <c r="P94" i="18"/>
  <c r="R96" i="18"/>
  <c r="O99" i="18"/>
  <c r="Q101" i="18"/>
  <c r="S103" i="18"/>
  <c r="P106" i="18"/>
  <c r="R108" i="18"/>
  <c r="O111" i="18"/>
  <c r="Q113" i="18"/>
  <c r="S115" i="18"/>
  <c r="P118" i="18"/>
  <c r="R120" i="18"/>
  <c r="O123" i="18"/>
  <c r="Q125" i="18"/>
  <c r="S127" i="18"/>
  <c r="P130" i="18"/>
  <c r="R132" i="18"/>
  <c r="O135" i="18"/>
  <c r="Q137" i="18"/>
  <c r="S139" i="18"/>
  <c r="P142" i="18"/>
  <c r="R144" i="18"/>
  <c r="O155" i="18"/>
  <c r="Q169" i="18"/>
  <c r="S183" i="18"/>
  <c r="P198" i="18"/>
  <c r="O227" i="18"/>
  <c r="Q241" i="18"/>
  <c r="S255" i="18"/>
  <c r="P270" i="18"/>
  <c r="AD17" i="18"/>
  <c r="R154" i="18"/>
  <c r="Q154" i="18"/>
  <c r="P154" i="18"/>
  <c r="O154" i="18"/>
  <c r="AD154" i="18"/>
  <c r="S154" i="18"/>
  <c r="R286" i="18"/>
  <c r="Q286" i="18"/>
  <c r="P286" i="18"/>
  <c r="O286" i="18"/>
  <c r="AD286" i="18"/>
  <c r="S286" i="18"/>
  <c r="S118" i="18"/>
  <c r="AD179" i="18"/>
  <c r="S179" i="18"/>
  <c r="R179" i="18"/>
  <c r="Q179" i="18"/>
  <c r="P179" i="18"/>
  <c r="S161" i="18"/>
  <c r="R161" i="18"/>
  <c r="Q161" i="18"/>
  <c r="P161" i="18"/>
  <c r="O161" i="18"/>
  <c r="S221" i="18"/>
  <c r="R221" i="18"/>
  <c r="Q221" i="18"/>
  <c r="P221" i="18"/>
  <c r="O221" i="18"/>
  <c r="S245" i="18"/>
  <c r="R245" i="18"/>
  <c r="Q245" i="18"/>
  <c r="P245" i="18"/>
  <c r="O245" i="18"/>
  <c r="O17" i="18"/>
  <c r="O29" i="18"/>
  <c r="O101" i="18"/>
  <c r="P152" i="18"/>
  <c r="O152" i="18"/>
  <c r="AD152" i="18"/>
  <c r="S152" i="18"/>
  <c r="Q152" i="18"/>
  <c r="P164" i="18"/>
  <c r="O164" i="18"/>
  <c r="AD164" i="18"/>
  <c r="S164" i="18"/>
  <c r="Q164" i="18"/>
  <c r="P176" i="18"/>
  <c r="O176" i="18"/>
  <c r="AD176" i="18"/>
  <c r="S176" i="18"/>
  <c r="Q176" i="18"/>
  <c r="P188" i="18"/>
  <c r="O188" i="18"/>
  <c r="AD188" i="18"/>
  <c r="S188" i="18"/>
  <c r="Q188" i="18"/>
  <c r="P200" i="18"/>
  <c r="O200" i="18"/>
  <c r="AD200" i="18"/>
  <c r="S200" i="18"/>
  <c r="Q200" i="18"/>
  <c r="P212" i="18"/>
  <c r="O212" i="18"/>
  <c r="AD212" i="18"/>
  <c r="S212" i="18"/>
  <c r="Q212" i="18"/>
  <c r="P224" i="18"/>
  <c r="O224" i="18"/>
  <c r="AD224" i="18"/>
  <c r="S224" i="18"/>
  <c r="Q224" i="18"/>
  <c r="P236" i="18"/>
  <c r="O236" i="18"/>
  <c r="AD236" i="18"/>
  <c r="S236" i="18"/>
  <c r="Q236" i="18"/>
  <c r="P248" i="18"/>
  <c r="O248" i="18"/>
  <c r="AD248" i="18"/>
  <c r="S248" i="18"/>
  <c r="Q248" i="18"/>
  <c r="P260" i="18"/>
  <c r="O260" i="18"/>
  <c r="AD260" i="18"/>
  <c r="S260" i="18"/>
  <c r="Q260" i="18"/>
  <c r="P272" i="18"/>
  <c r="O272" i="18"/>
  <c r="AD272" i="18"/>
  <c r="S272" i="18"/>
  <c r="Q272" i="18"/>
  <c r="P284" i="18"/>
  <c r="O284" i="18"/>
  <c r="AD284" i="18"/>
  <c r="S284" i="18"/>
  <c r="Q284" i="18"/>
  <c r="P3" i="18"/>
  <c r="R5" i="18"/>
  <c r="O8" i="18"/>
  <c r="Q10" i="18"/>
  <c r="S12" i="18"/>
  <c r="P15" i="18"/>
  <c r="R17" i="18"/>
  <c r="O20" i="18"/>
  <c r="Q22" i="18"/>
  <c r="S24" i="18"/>
  <c r="P27" i="18"/>
  <c r="R29" i="18"/>
  <c r="O32" i="18"/>
  <c r="Q34" i="18"/>
  <c r="S36" i="18"/>
  <c r="P39" i="18"/>
  <c r="R41" i="18"/>
  <c r="O44" i="18"/>
  <c r="Q46" i="18"/>
  <c r="S48" i="18"/>
  <c r="P51" i="18"/>
  <c r="R53" i="18"/>
  <c r="O56" i="18"/>
  <c r="Q58" i="18"/>
  <c r="S60" i="18"/>
  <c r="P63" i="18"/>
  <c r="R65" i="18"/>
  <c r="O68" i="18"/>
  <c r="Q70" i="18"/>
  <c r="S72" i="18"/>
  <c r="P75" i="18"/>
  <c r="R77" i="18"/>
  <c r="O80" i="18"/>
  <c r="Q82" i="18"/>
  <c r="S84" i="18"/>
  <c r="P87" i="18"/>
  <c r="R89" i="18"/>
  <c r="O92" i="18"/>
  <c r="Q94" i="18"/>
  <c r="S96" i="18"/>
  <c r="P99" i="18"/>
  <c r="R101" i="18"/>
  <c r="O104" i="18"/>
  <c r="Q106" i="18"/>
  <c r="S108" i="18"/>
  <c r="P111" i="18"/>
  <c r="R113" i="18"/>
  <c r="O116" i="18"/>
  <c r="Q118" i="18"/>
  <c r="S120" i="18"/>
  <c r="P123" i="18"/>
  <c r="R125" i="18"/>
  <c r="O128" i="18"/>
  <c r="Q130" i="18"/>
  <c r="S132" i="18"/>
  <c r="P135" i="18"/>
  <c r="R137" i="18"/>
  <c r="O140" i="18"/>
  <c r="Q142" i="18"/>
  <c r="S144" i="18"/>
  <c r="O156" i="18"/>
  <c r="Q170" i="18"/>
  <c r="S184" i="18"/>
  <c r="P199" i="18"/>
  <c r="O228" i="18"/>
  <c r="Q242" i="18"/>
  <c r="S256" i="18"/>
  <c r="P271" i="18"/>
  <c r="AD29" i="18"/>
  <c r="AD173" i="18"/>
  <c r="S291" i="18"/>
  <c r="R166" i="18"/>
  <c r="Q166" i="18"/>
  <c r="P166" i="18"/>
  <c r="O166" i="18"/>
  <c r="AD166" i="18"/>
  <c r="S166" i="18"/>
  <c r="R274" i="18"/>
  <c r="Q274" i="18"/>
  <c r="P274" i="18"/>
  <c r="O274" i="18"/>
  <c r="AD274" i="18"/>
  <c r="S274" i="18"/>
  <c r="S94" i="18"/>
  <c r="S142" i="18"/>
  <c r="S185" i="18"/>
  <c r="R185" i="18"/>
  <c r="Q185" i="18"/>
  <c r="P185" i="18"/>
  <c r="O185" i="18"/>
  <c r="S257" i="18"/>
  <c r="R257" i="18"/>
  <c r="Q257" i="18"/>
  <c r="P257" i="18"/>
  <c r="O257" i="18"/>
  <c r="O53" i="18"/>
  <c r="O65" i="18"/>
  <c r="O77" i="18"/>
  <c r="O89" i="18"/>
  <c r="S153" i="18"/>
  <c r="AD153" i="18"/>
  <c r="Q153" i="18"/>
  <c r="P153" i="18"/>
  <c r="O153" i="18"/>
  <c r="S165" i="18"/>
  <c r="AD165" i="18"/>
  <c r="Q165" i="18"/>
  <c r="P165" i="18"/>
  <c r="O165" i="18"/>
  <c r="S177" i="18"/>
  <c r="AD177" i="18"/>
  <c r="Q177" i="18"/>
  <c r="P177" i="18"/>
  <c r="O177" i="18"/>
  <c r="S189" i="18"/>
  <c r="AD189" i="18"/>
  <c r="Q189" i="18"/>
  <c r="P189" i="18"/>
  <c r="O189" i="18"/>
  <c r="S201" i="18"/>
  <c r="AD201" i="18"/>
  <c r="Q201" i="18"/>
  <c r="P201" i="18"/>
  <c r="O201" i="18"/>
  <c r="S213" i="18"/>
  <c r="AD213" i="18"/>
  <c r="Q213" i="18"/>
  <c r="P213" i="18"/>
  <c r="O213" i="18"/>
  <c r="S225" i="18"/>
  <c r="AD225" i="18"/>
  <c r="Q225" i="18"/>
  <c r="P225" i="18"/>
  <c r="O225" i="18"/>
  <c r="S237" i="18"/>
  <c r="AD237" i="18"/>
  <c r="Q237" i="18"/>
  <c r="P237" i="18"/>
  <c r="O237" i="18"/>
  <c r="S249" i="18"/>
  <c r="AD249" i="18"/>
  <c r="Q249" i="18"/>
  <c r="P249" i="18"/>
  <c r="O249" i="18"/>
  <c r="S261" i="18"/>
  <c r="AD261" i="18"/>
  <c r="Q261" i="18"/>
  <c r="P261" i="18"/>
  <c r="O261" i="18"/>
  <c r="S273" i="18"/>
  <c r="AD273" i="18"/>
  <c r="Q273" i="18"/>
  <c r="P273" i="18"/>
  <c r="O273" i="18"/>
  <c r="S285" i="18"/>
  <c r="AD285" i="18"/>
  <c r="Q285" i="18"/>
  <c r="P285" i="18"/>
  <c r="O285" i="18"/>
  <c r="Q3" i="18"/>
  <c r="P8" i="18"/>
  <c r="R10" i="18"/>
  <c r="O13" i="18"/>
  <c r="Q15" i="18"/>
  <c r="P20" i="18"/>
  <c r="R22" i="18"/>
  <c r="O25" i="18"/>
  <c r="Q27" i="18"/>
  <c r="P32" i="18"/>
  <c r="R34" i="18"/>
  <c r="O37" i="18"/>
  <c r="Q39" i="18"/>
  <c r="S41" i="18"/>
  <c r="P44" i="18"/>
  <c r="R46" i="18"/>
  <c r="O49" i="18"/>
  <c r="Q51" i="18"/>
  <c r="P56" i="18"/>
  <c r="R58" i="18"/>
  <c r="O61" i="18"/>
  <c r="Q63" i="18"/>
  <c r="P68" i="18"/>
  <c r="R70" i="18"/>
  <c r="O73" i="18"/>
  <c r="Q75" i="18"/>
  <c r="P80" i="18"/>
  <c r="R82" i="18"/>
  <c r="O85" i="18"/>
  <c r="Q87" i="18"/>
  <c r="P92" i="18"/>
  <c r="R94" i="18"/>
  <c r="O97" i="18"/>
  <c r="Q99" i="18"/>
  <c r="P104" i="18"/>
  <c r="R106" i="18"/>
  <c r="O109" i="18"/>
  <c r="Q111" i="18"/>
  <c r="P116" i="18"/>
  <c r="R118" i="18"/>
  <c r="O121" i="18"/>
  <c r="Q123" i="18"/>
  <c r="P128" i="18"/>
  <c r="R130" i="18"/>
  <c r="O133" i="18"/>
  <c r="Q135" i="18"/>
  <c r="P140" i="18"/>
  <c r="R142" i="18"/>
  <c r="Q145" i="18"/>
  <c r="Q157" i="18"/>
  <c r="S171" i="18"/>
  <c r="P186" i="18"/>
  <c r="R200" i="18"/>
  <c r="O215" i="18"/>
  <c r="Q229" i="18"/>
  <c r="S243" i="18"/>
  <c r="P258" i="18"/>
  <c r="R272" i="18"/>
  <c r="O287" i="18"/>
  <c r="AD185" i="18"/>
  <c r="Q291" i="18"/>
  <c r="U311" i="19"/>
  <c r="S318" i="19"/>
  <c r="X318" i="19" s="1"/>
  <c r="S311" i="19"/>
  <c r="X311" i="19" s="1"/>
  <c r="S308" i="19"/>
  <c r="X308" i="19" s="1"/>
  <c r="S302" i="19"/>
  <c r="X302" i="19" s="1"/>
  <c r="S212" i="19"/>
  <c r="X212" i="19" s="1"/>
  <c r="S239" i="19"/>
  <c r="S266" i="19"/>
  <c r="X266" i="19" s="1"/>
  <c r="S271" i="19"/>
  <c r="X271" i="19" s="1"/>
  <c r="S275" i="19"/>
  <c r="T275" i="19" s="1"/>
  <c r="S145" i="19"/>
  <c r="X145" i="19" s="1"/>
  <c r="S162" i="19"/>
  <c r="X162" i="19" s="1"/>
  <c r="S134" i="19"/>
  <c r="X134" i="19" s="1"/>
  <c r="S65" i="19"/>
  <c r="X65" i="19" s="1"/>
  <c r="S166" i="19"/>
  <c r="X166" i="19" s="1"/>
  <c r="S193" i="19"/>
  <c r="X193" i="19" s="1"/>
  <c r="S150" i="19"/>
  <c r="X150" i="19" s="1"/>
  <c r="S140" i="19"/>
  <c r="X140" i="19" s="1"/>
  <c r="S3" i="19"/>
  <c r="X3" i="19" s="1"/>
  <c r="S19" i="19"/>
  <c r="X19" i="19" s="1"/>
  <c r="S107" i="19"/>
  <c r="X107" i="19" s="1"/>
  <c r="S104" i="19"/>
  <c r="X104" i="19" s="1"/>
  <c r="S250" i="19"/>
  <c r="X250" i="19" s="1"/>
  <c r="S34" i="19"/>
  <c r="X34" i="19" s="1"/>
  <c r="S186" i="19"/>
  <c r="X186" i="19" s="1"/>
  <c r="S62" i="19"/>
  <c r="X62" i="19" s="1"/>
  <c r="S80" i="19"/>
  <c r="X80" i="19" s="1"/>
  <c r="S289" i="19"/>
  <c r="X289" i="19" s="1"/>
  <c r="S167" i="19"/>
  <c r="X167" i="19" s="1"/>
  <c r="S178" i="19"/>
  <c r="X178" i="19" s="1"/>
  <c r="U65" i="19"/>
  <c r="U166" i="19"/>
  <c r="S200" i="19"/>
  <c r="X200" i="19" s="1"/>
  <c r="S235" i="19"/>
  <c r="X235" i="19" s="1"/>
  <c r="S122" i="19"/>
  <c r="X122" i="19" s="1"/>
  <c r="S171" i="19"/>
  <c r="X171" i="19" s="1"/>
  <c r="S77" i="19"/>
  <c r="X77" i="19" s="1"/>
  <c r="U200" i="19"/>
  <c r="S224" i="19"/>
  <c r="X224" i="19" s="1"/>
  <c r="S9" i="19"/>
  <c r="X9" i="19" s="1"/>
  <c r="S144" i="19"/>
  <c r="X144" i="19" s="1"/>
  <c r="S177" i="19"/>
  <c r="X177" i="19" s="1"/>
  <c r="S274" i="19"/>
  <c r="X274" i="19" s="1"/>
  <c r="S6" i="19"/>
  <c r="X6" i="19" s="1"/>
  <c r="U239" i="19"/>
  <c r="S249" i="19"/>
  <c r="X249" i="19" s="1"/>
  <c r="S172" i="19"/>
  <c r="X172" i="19" s="1"/>
  <c r="S230" i="19"/>
  <c r="X230" i="19" s="1"/>
  <c r="S12" i="19"/>
  <c r="X12" i="19" s="1"/>
  <c r="S223" i="19"/>
  <c r="X223" i="19" s="1"/>
  <c r="S58" i="19"/>
  <c r="X58" i="19" s="1"/>
  <c r="S168" i="19"/>
  <c r="X168" i="19" s="1"/>
  <c r="S234" i="19"/>
  <c r="X234" i="19" s="1"/>
  <c r="S24" i="19"/>
  <c r="X24" i="19" s="1"/>
  <c r="S28" i="19"/>
  <c r="X28" i="19" s="1"/>
  <c r="S55" i="19"/>
  <c r="U71" i="19"/>
  <c r="S113" i="19"/>
  <c r="X113" i="19" s="1"/>
  <c r="S128" i="19"/>
  <c r="U145" i="19"/>
  <c r="U289" i="19"/>
  <c r="S315" i="19"/>
  <c r="X315" i="19" s="1"/>
  <c r="S218" i="19"/>
  <c r="X218" i="19" s="1"/>
  <c r="S229" i="19"/>
  <c r="T229" i="19" s="1"/>
  <c r="S37" i="19"/>
  <c r="X37" i="19" s="1"/>
  <c r="S43" i="19"/>
  <c r="X43" i="19" s="1"/>
  <c r="S116" i="19"/>
  <c r="X116" i="19" s="1"/>
  <c r="S101" i="19"/>
  <c r="X101" i="19" s="1"/>
  <c r="S156" i="19"/>
  <c r="X156" i="19" s="1"/>
  <c r="S173" i="19"/>
  <c r="X173" i="19" s="1"/>
  <c r="S293" i="19"/>
  <c r="X293" i="19" s="1"/>
  <c r="S192" i="19"/>
  <c r="X192" i="19" s="1"/>
  <c r="S211" i="19"/>
  <c r="X211" i="19" s="1"/>
  <c r="S48" i="19"/>
  <c r="X48" i="19" s="1"/>
  <c r="S31" i="19"/>
  <c r="X31" i="19" s="1"/>
  <c r="S97" i="19"/>
  <c r="X97" i="19" s="1"/>
  <c r="S110" i="19"/>
  <c r="X110" i="19" s="1"/>
  <c r="S139" i="19"/>
  <c r="X139" i="19" s="1"/>
  <c r="S161" i="19"/>
  <c r="X161" i="19" s="1"/>
  <c r="S222" i="19"/>
  <c r="X222" i="19" s="1"/>
  <c r="S244" i="19"/>
  <c r="X244" i="19" s="1"/>
  <c r="S259" i="19"/>
  <c r="X259" i="19" s="1"/>
  <c r="S27" i="19"/>
  <c r="X27" i="19" s="1"/>
  <c r="S92" i="19"/>
  <c r="X92" i="19" s="1"/>
  <c r="S119" i="19"/>
  <c r="X119" i="19" s="1"/>
  <c r="U134" i="19"/>
  <c r="S298" i="19"/>
  <c r="U266" i="19"/>
  <c r="S283" i="19"/>
  <c r="S21" i="19"/>
  <c r="X21" i="19" s="1"/>
  <c r="S83" i="19"/>
  <c r="X83" i="19" s="1"/>
  <c r="S312" i="19"/>
  <c r="X312" i="19" s="1"/>
  <c r="S185" i="19"/>
  <c r="X185" i="19" s="1"/>
  <c r="V224" i="19"/>
  <c r="S238" i="19"/>
  <c r="X238" i="19" s="1"/>
  <c r="S270" i="19"/>
  <c r="X270" i="19" s="1"/>
  <c r="S87" i="19"/>
  <c r="X87" i="19" s="1"/>
  <c r="S95" i="19"/>
  <c r="X95" i="19" s="1"/>
  <c r="U150" i="19"/>
  <c r="U167" i="19"/>
  <c r="S201" i="19"/>
  <c r="X201" i="19" s="1"/>
  <c r="S245" i="19"/>
  <c r="X245" i="19" s="1"/>
  <c r="U250" i="19"/>
  <c r="S260" i="19"/>
  <c r="T260" i="19" s="1"/>
  <c r="U275" i="19"/>
  <c r="S74" i="19"/>
  <c r="X74" i="19" s="1"/>
  <c r="S89" i="19"/>
  <c r="X89" i="19" s="1"/>
  <c r="S155" i="19"/>
  <c r="X155" i="19" s="1"/>
  <c r="U178" i="19"/>
  <c r="U201" i="19"/>
  <c r="S206" i="19"/>
  <c r="X206" i="19" s="1"/>
  <c r="U235" i="19"/>
  <c r="S240" i="19"/>
  <c r="X240" i="19" s="1"/>
  <c r="S255" i="19"/>
  <c r="S68" i="19"/>
  <c r="X68" i="19" s="1"/>
  <c r="U140" i="19"/>
  <c r="V172" i="19"/>
  <c r="S228" i="19"/>
  <c r="S130" i="19"/>
  <c r="X130" i="19" s="1"/>
  <c r="S314" i="19"/>
  <c r="X314" i="19" s="1"/>
  <c r="U193" i="19"/>
  <c r="U212" i="19"/>
  <c r="S217" i="19"/>
  <c r="X217" i="19" s="1"/>
  <c r="U245" i="19"/>
  <c r="U260" i="19"/>
  <c r="S52" i="19"/>
  <c r="X52" i="19" s="1"/>
  <c r="S71" i="19"/>
  <c r="X71" i="19" s="1"/>
  <c r="S125" i="19"/>
  <c r="X125" i="19" s="1"/>
  <c r="S187" i="19"/>
  <c r="X187" i="19" s="1"/>
  <c r="U223" i="19"/>
  <c r="V230" i="19"/>
  <c r="S265" i="19"/>
  <c r="X265" i="19" s="1"/>
  <c r="S40" i="19"/>
  <c r="X40" i="19" s="1"/>
  <c r="S309" i="19"/>
  <c r="X309" i="19" s="1"/>
  <c r="S133" i="19"/>
  <c r="X133" i="19" s="1"/>
  <c r="U162" i="19"/>
  <c r="U187" i="19"/>
  <c r="S207" i="19"/>
  <c r="X207" i="19" s="1"/>
  <c r="S256" i="19"/>
  <c r="T256" i="19" s="1"/>
  <c r="U271" i="19"/>
  <c r="V2" i="19"/>
  <c r="S2" i="19"/>
  <c r="X2" i="19" s="1"/>
  <c r="V216" i="19"/>
  <c r="S216" i="19"/>
  <c r="X216" i="19" s="1"/>
  <c r="U9" i="19"/>
  <c r="U24" i="19"/>
  <c r="U34" i="19"/>
  <c r="S4" i="19"/>
  <c r="X4" i="19" s="1"/>
  <c r="S20" i="19"/>
  <c r="X20" i="19" s="1"/>
  <c r="S29" i="19"/>
  <c r="X29" i="19" s="1"/>
  <c r="U317" i="19"/>
  <c r="S317" i="19"/>
  <c r="X317" i="19" s="1"/>
  <c r="V42" i="19"/>
  <c r="S42" i="19"/>
  <c r="X42" i="19" s="1"/>
  <c r="U4" i="19"/>
  <c r="U305" i="19"/>
  <c r="U20" i="19"/>
  <c r="U307" i="19"/>
  <c r="U29" i="19"/>
  <c r="V54" i="19"/>
  <c r="S54" i="19"/>
  <c r="X54" i="19" s="1"/>
  <c r="V64" i="19"/>
  <c r="S64" i="19"/>
  <c r="X64" i="19" s="1"/>
  <c r="V70" i="19"/>
  <c r="S70" i="19"/>
  <c r="X70" i="19" s="1"/>
  <c r="V76" i="19"/>
  <c r="S76" i="19"/>
  <c r="X76" i="19" s="1"/>
  <c r="V79" i="19"/>
  <c r="S79" i="19"/>
  <c r="X79" i="19" s="1"/>
  <c r="V88" i="19"/>
  <c r="S88" i="19"/>
  <c r="X88" i="19" s="1"/>
  <c r="V94" i="19"/>
  <c r="S94" i="19"/>
  <c r="X94" i="19" s="1"/>
  <c r="V99" i="19"/>
  <c r="S99" i="19"/>
  <c r="X99" i="19" s="1"/>
  <c r="V118" i="19"/>
  <c r="S118" i="19"/>
  <c r="X118" i="19" s="1"/>
  <c r="V109" i="19"/>
  <c r="S109" i="19"/>
  <c r="X109" i="19" s="1"/>
  <c r="V100" i="19"/>
  <c r="S100" i="19"/>
  <c r="X100" i="19" s="1"/>
  <c r="V106" i="19"/>
  <c r="S106" i="19"/>
  <c r="X106" i="19" s="1"/>
  <c r="V127" i="19"/>
  <c r="S127" i="19"/>
  <c r="X127" i="19" s="1"/>
  <c r="U159" i="19"/>
  <c r="S159" i="19"/>
  <c r="X159" i="19" s="1"/>
  <c r="S10" i="19"/>
  <c r="X10" i="19" s="1"/>
  <c r="S25" i="19"/>
  <c r="X25" i="19" s="1"/>
  <c r="S35" i="19"/>
  <c r="X35" i="19" s="1"/>
  <c r="V5" i="19"/>
  <c r="S5" i="19"/>
  <c r="V8" i="19"/>
  <c r="S8" i="19"/>
  <c r="X8" i="19" s="1"/>
  <c r="S305" i="19"/>
  <c r="X305" i="19" s="1"/>
  <c r="V284" i="19"/>
  <c r="S284" i="19"/>
  <c r="S307" i="19"/>
  <c r="X307" i="19" s="1"/>
  <c r="V30" i="19"/>
  <c r="S30" i="19"/>
  <c r="U153" i="19"/>
  <c r="S153" i="19"/>
  <c r="X153" i="19" s="1"/>
  <c r="U3" i="19"/>
  <c r="U10" i="19"/>
  <c r="U19" i="19"/>
  <c r="U25" i="19"/>
  <c r="U28" i="19"/>
  <c r="U35" i="19"/>
  <c r="S41" i="19"/>
  <c r="X41" i="19" s="1"/>
  <c r="V16" i="19"/>
  <c r="S16" i="19"/>
  <c r="X16" i="19" s="1"/>
  <c r="S15" i="19"/>
  <c r="X15" i="19" s="1"/>
  <c r="S46" i="19"/>
  <c r="X46" i="19" s="1"/>
  <c r="V47" i="19"/>
  <c r="S47" i="19"/>
  <c r="X47" i="19" s="1"/>
  <c r="U56" i="19"/>
  <c r="S56" i="19"/>
  <c r="X56" i="19" s="1"/>
  <c r="V57" i="19"/>
  <c r="S57" i="19"/>
  <c r="X57" i="19" s="1"/>
  <c r="V11" i="19"/>
  <c r="S11" i="19"/>
  <c r="V14" i="19"/>
  <c r="S14" i="19"/>
  <c r="X14" i="19" s="1"/>
  <c r="V26" i="19"/>
  <c r="S26" i="19"/>
  <c r="V36" i="19"/>
  <c r="S36" i="19"/>
  <c r="U53" i="19"/>
  <c r="S53" i="19"/>
  <c r="X53" i="19" s="1"/>
  <c r="U63" i="19"/>
  <c r="S63" i="19"/>
  <c r="X63" i="19" s="1"/>
  <c r="U69" i="19"/>
  <c r="S69" i="19"/>
  <c r="X69" i="19" s="1"/>
  <c r="U75" i="19"/>
  <c r="S75" i="19"/>
  <c r="X75" i="19" s="1"/>
  <c r="U78" i="19"/>
  <c r="S78" i="19"/>
  <c r="X78" i="19" s="1"/>
  <c r="U84" i="19"/>
  <c r="S84" i="19"/>
  <c r="X84" i="19" s="1"/>
  <c r="U93" i="19"/>
  <c r="S93" i="19"/>
  <c r="X93" i="19" s="1"/>
  <c r="U98" i="19"/>
  <c r="S98" i="19"/>
  <c r="X98" i="19" s="1"/>
  <c r="U117" i="19"/>
  <c r="S117" i="19"/>
  <c r="X117" i="19" s="1"/>
  <c r="U108" i="19"/>
  <c r="S108" i="19"/>
  <c r="X108" i="19" s="1"/>
  <c r="U114" i="19"/>
  <c r="S114" i="19"/>
  <c r="X114" i="19" s="1"/>
  <c r="U105" i="19"/>
  <c r="S105" i="19"/>
  <c r="X105" i="19" s="1"/>
  <c r="U126" i="19"/>
  <c r="S126" i="19"/>
  <c r="X126" i="19" s="1"/>
  <c r="V258" i="19"/>
  <c r="S258" i="19"/>
  <c r="X258" i="19" s="1"/>
  <c r="V165" i="19"/>
  <c r="S165" i="19"/>
  <c r="X165" i="19" s="1"/>
  <c r="V291" i="19"/>
  <c r="S291" i="19"/>
  <c r="X291" i="19" s="1"/>
  <c r="V313" i="19"/>
  <c r="S313" i="19"/>
  <c r="X313" i="19" s="1"/>
  <c r="V227" i="19"/>
  <c r="S227" i="19"/>
  <c r="X227" i="19" s="1"/>
  <c r="U247" i="19"/>
  <c r="S247" i="19"/>
  <c r="X247" i="19" s="1"/>
  <c r="U268" i="19"/>
  <c r="S268" i="19"/>
  <c r="X268" i="19" s="1"/>
  <c r="V143" i="19"/>
  <c r="S143" i="19"/>
  <c r="X143" i="19" s="1"/>
  <c r="V176" i="19"/>
  <c r="S176" i="19"/>
  <c r="X176" i="19" s="1"/>
  <c r="U204" i="19"/>
  <c r="S204" i="19"/>
  <c r="X204" i="19" s="1"/>
  <c r="U220" i="19"/>
  <c r="S220" i="19"/>
  <c r="X220" i="19" s="1"/>
  <c r="U137" i="19"/>
  <c r="S137" i="19"/>
  <c r="X137" i="19" s="1"/>
  <c r="U148" i="19"/>
  <c r="S148" i="19"/>
  <c r="X148" i="19" s="1"/>
  <c r="V295" i="19"/>
  <c r="S295" i="19"/>
  <c r="X295" i="19" s="1"/>
  <c r="U242" i="19"/>
  <c r="S242" i="19"/>
  <c r="X242" i="19" s="1"/>
  <c r="V254" i="19"/>
  <c r="S254" i="19"/>
  <c r="X254" i="19" s="1"/>
  <c r="V160" i="19"/>
  <c r="S160" i="19"/>
  <c r="X160" i="19" s="1"/>
  <c r="U197" i="19"/>
  <c r="S197" i="19"/>
  <c r="X197" i="19" s="1"/>
  <c r="V233" i="19"/>
  <c r="S233" i="19"/>
  <c r="X233" i="19" s="1"/>
  <c r="U263" i="19"/>
  <c r="S263" i="19"/>
  <c r="X263" i="19" s="1"/>
  <c r="U190" i="19"/>
  <c r="S190" i="19"/>
  <c r="X190" i="19" s="1"/>
  <c r="U215" i="19"/>
  <c r="S215" i="19"/>
  <c r="X215" i="19" s="1"/>
  <c r="V248" i="19"/>
  <c r="S248" i="19"/>
  <c r="X248" i="19" s="1"/>
  <c r="V269" i="19"/>
  <c r="S269" i="19"/>
  <c r="X269" i="19" s="1"/>
  <c r="V154" i="19"/>
  <c r="S154" i="19"/>
  <c r="X154" i="19" s="1"/>
  <c r="U294" i="19"/>
  <c r="S294" i="19"/>
  <c r="X294" i="19" s="1"/>
  <c r="S18" i="19"/>
  <c r="X18" i="19" s="1"/>
  <c r="S23" i="19"/>
  <c r="X23" i="19" s="1"/>
  <c r="S285" i="19"/>
  <c r="X285" i="19" s="1"/>
  <c r="S50" i="19"/>
  <c r="X50" i="19" s="1"/>
  <c r="S33" i="19"/>
  <c r="X33" i="19" s="1"/>
  <c r="S39" i="19"/>
  <c r="X39" i="19" s="1"/>
  <c r="S45" i="19"/>
  <c r="X45" i="19" s="1"/>
  <c r="S51" i="19"/>
  <c r="X51" i="19" s="1"/>
  <c r="S61" i="19"/>
  <c r="X61" i="19" s="1"/>
  <c r="S67" i="19"/>
  <c r="X67" i="19" s="1"/>
  <c r="S73" i="19"/>
  <c r="X73" i="19" s="1"/>
  <c r="S86" i="19"/>
  <c r="X86" i="19" s="1"/>
  <c r="S82" i="19"/>
  <c r="X82" i="19" s="1"/>
  <c r="S91" i="19"/>
  <c r="X91" i="19" s="1"/>
  <c r="S96" i="19"/>
  <c r="X96" i="19" s="1"/>
  <c r="S115" i="19"/>
  <c r="X115" i="19" s="1"/>
  <c r="S121" i="19"/>
  <c r="X121" i="19" s="1"/>
  <c r="S112" i="19"/>
  <c r="X112" i="19" s="1"/>
  <c r="S103" i="19"/>
  <c r="X103" i="19" s="1"/>
  <c r="S124" i="19"/>
  <c r="X124" i="19" s="1"/>
  <c r="S129" i="19"/>
  <c r="X129" i="19" s="1"/>
  <c r="U170" i="19"/>
  <c r="S170" i="19"/>
  <c r="X170" i="19" s="1"/>
  <c r="U181" i="19"/>
  <c r="S181" i="19"/>
  <c r="X181" i="19" s="1"/>
  <c r="V205" i="19"/>
  <c r="S205" i="19"/>
  <c r="X205" i="19" s="1"/>
  <c r="V221" i="19"/>
  <c r="S221" i="19"/>
  <c r="X221" i="19" s="1"/>
  <c r="U257" i="19"/>
  <c r="S257" i="19"/>
  <c r="X257" i="19" s="1"/>
  <c r="T266" i="19"/>
  <c r="U278" i="19"/>
  <c r="S278" i="19"/>
  <c r="X278" i="19" s="1"/>
  <c r="V138" i="19"/>
  <c r="S138" i="19"/>
  <c r="X138" i="19" s="1"/>
  <c r="V149" i="19"/>
  <c r="S149" i="19"/>
  <c r="X149" i="19" s="1"/>
  <c r="U290" i="19"/>
  <c r="S290" i="19"/>
  <c r="X290" i="19" s="1"/>
  <c r="U175" i="19"/>
  <c r="S175" i="19"/>
  <c r="X175" i="19" s="1"/>
  <c r="U226" i="19"/>
  <c r="S226" i="19"/>
  <c r="X226" i="19" s="1"/>
  <c r="X239" i="19"/>
  <c r="T239" i="19"/>
  <c r="V243" i="19"/>
  <c r="S243" i="19"/>
  <c r="X243" i="19" s="1"/>
  <c r="U183" i="19"/>
  <c r="S183" i="19"/>
  <c r="X183" i="19" s="1"/>
  <c r="S7" i="19"/>
  <c r="X7" i="19" s="1"/>
  <c r="S13" i="19"/>
  <c r="X13" i="19" s="1"/>
  <c r="S17" i="19"/>
  <c r="X17" i="19" s="1"/>
  <c r="S22" i="19"/>
  <c r="X22" i="19" s="1"/>
  <c r="S306" i="19"/>
  <c r="X306" i="19" s="1"/>
  <c r="S49" i="19"/>
  <c r="X49" i="19" s="1"/>
  <c r="S32" i="19"/>
  <c r="X32" i="19" s="1"/>
  <c r="S38" i="19"/>
  <c r="X38" i="19" s="1"/>
  <c r="S44" i="19"/>
  <c r="X44" i="19" s="1"/>
  <c r="S59" i="19"/>
  <c r="X59" i="19" s="1"/>
  <c r="S60" i="19"/>
  <c r="X60" i="19" s="1"/>
  <c r="S66" i="19"/>
  <c r="X66" i="19" s="1"/>
  <c r="S72" i="19"/>
  <c r="X72" i="19" s="1"/>
  <c r="S85" i="19"/>
  <c r="X85" i="19" s="1"/>
  <c r="S81" i="19"/>
  <c r="X81" i="19" s="1"/>
  <c r="S90" i="19"/>
  <c r="X90" i="19" s="1"/>
  <c r="S310" i="19"/>
  <c r="X310" i="19" s="1"/>
  <c r="S286" i="19"/>
  <c r="X286" i="19" s="1"/>
  <c r="S120" i="19"/>
  <c r="X120" i="19" s="1"/>
  <c r="S111" i="19"/>
  <c r="X111" i="19" s="1"/>
  <c r="S102" i="19"/>
  <c r="X102" i="19" s="1"/>
  <c r="S123" i="19"/>
  <c r="X123" i="19" s="1"/>
  <c r="S287" i="19"/>
  <c r="X287" i="19" s="1"/>
  <c r="U131" i="19"/>
  <c r="S131" i="19"/>
  <c r="X131" i="19" s="1"/>
  <c r="U288" i="19"/>
  <c r="S288" i="19"/>
  <c r="X288" i="19" s="1"/>
  <c r="V198" i="19"/>
  <c r="S198" i="19"/>
  <c r="X198" i="19" s="1"/>
  <c r="V264" i="19"/>
  <c r="S264" i="19"/>
  <c r="X264" i="19" s="1"/>
  <c r="U232" i="19"/>
  <c r="S232" i="19"/>
  <c r="X232" i="19" s="1"/>
  <c r="V184" i="19"/>
  <c r="S184" i="19"/>
  <c r="X184" i="19" s="1"/>
  <c r="V191" i="19"/>
  <c r="S191" i="19"/>
  <c r="X191" i="19" s="1"/>
  <c r="V199" i="19"/>
  <c r="S199" i="19"/>
  <c r="X199" i="19" s="1"/>
  <c r="U210" i="19"/>
  <c r="S210" i="19"/>
  <c r="X210" i="19" s="1"/>
  <c r="V297" i="19"/>
  <c r="S297" i="19"/>
  <c r="X297" i="19" s="1"/>
  <c r="U253" i="19"/>
  <c r="S253" i="19"/>
  <c r="X253" i="19" s="1"/>
  <c r="U279" i="19"/>
  <c r="S279" i="19"/>
  <c r="X279" i="19" s="1"/>
  <c r="S132" i="19"/>
  <c r="X132" i="19" s="1"/>
  <c r="S280" i="19"/>
  <c r="X280" i="19" s="1"/>
  <c r="S136" i="19"/>
  <c r="X136" i="19" s="1"/>
  <c r="S142" i="19"/>
  <c r="X142" i="19" s="1"/>
  <c r="S147" i="19"/>
  <c r="X147" i="19" s="1"/>
  <c r="S152" i="19"/>
  <c r="X152" i="19" s="1"/>
  <c r="S158" i="19"/>
  <c r="X158" i="19" s="1"/>
  <c r="S164" i="19"/>
  <c r="X164" i="19" s="1"/>
  <c r="S169" i="19"/>
  <c r="X169" i="19" s="1"/>
  <c r="S174" i="19"/>
  <c r="X174" i="19" s="1"/>
  <c r="S180" i="19"/>
  <c r="X180" i="19" s="1"/>
  <c r="S182" i="19"/>
  <c r="X182" i="19" s="1"/>
  <c r="S196" i="19"/>
  <c r="X196" i="19" s="1"/>
  <c r="S189" i="19"/>
  <c r="X189" i="19" s="1"/>
  <c r="S316" i="19"/>
  <c r="X316" i="19" s="1"/>
  <c r="S203" i="19"/>
  <c r="X203" i="19" s="1"/>
  <c r="S209" i="19"/>
  <c r="X209" i="19" s="1"/>
  <c r="S214" i="19"/>
  <c r="X214" i="19" s="1"/>
  <c r="S296" i="19"/>
  <c r="X296" i="19" s="1"/>
  <c r="S225" i="19"/>
  <c r="X225" i="19" s="1"/>
  <c r="S237" i="19"/>
  <c r="X237" i="19" s="1"/>
  <c r="S231" i="19"/>
  <c r="X231" i="19" s="1"/>
  <c r="S241" i="19"/>
  <c r="X241" i="19" s="1"/>
  <c r="S246" i="19"/>
  <c r="X246" i="19" s="1"/>
  <c r="S252" i="19"/>
  <c r="S300" i="19"/>
  <c r="S262" i="19"/>
  <c r="S267" i="19"/>
  <c r="X267" i="19" s="1"/>
  <c r="S273" i="19"/>
  <c r="X273" i="19" s="1"/>
  <c r="S277" i="19"/>
  <c r="X277" i="19" s="1"/>
  <c r="S135" i="19"/>
  <c r="S141" i="19"/>
  <c r="X141" i="19" s="1"/>
  <c r="S146" i="19"/>
  <c r="X146" i="19" s="1"/>
  <c r="S151" i="19"/>
  <c r="X151" i="19" s="1"/>
  <c r="S157" i="19"/>
  <c r="X157" i="19" s="1"/>
  <c r="S163" i="19"/>
  <c r="X163" i="19" s="1"/>
  <c r="S179" i="19"/>
  <c r="X179" i="19" s="1"/>
  <c r="S292" i="19"/>
  <c r="X292" i="19" s="1"/>
  <c r="S195" i="19"/>
  <c r="X195" i="19" s="1"/>
  <c r="S188" i="19"/>
  <c r="X188" i="19" s="1"/>
  <c r="S194" i="19"/>
  <c r="X194" i="19" s="1"/>
  <c r="S202" i="19"/>
  <c r="X202" i="19" s="1"/>
  <c r="S208" i="19"/>
  <c r="X208" i="19" s="1"/>
  <c r="S213" i="19"/>
  <c r="X213" i="19" s="1"/>
  <c r="S219" i="19"/>
  <c r="X219" i="19" s="1"/>
  <c r="S236" i="19"/>
  <c r="X236" i="19" s="1"/>
  <c r="S251" i="19"/>
  <c r="X251" i="19" s="1"/>
  <c r="S299" i="19"/>
  <c r="X299" i="19" s="1"/>
  <c r="S261" i="19"/>
  <c r="X261" i="19" s="1"/>
  <c r="S301" i="19"/>
  <c r="X301" i="19" s="1"/>
  <c r="S272" i="19"/>
  <c r="X272" i="19" s="1"/>
  <c r="S276" i="19"/>
  <c r="X276" i="19" s="1"/>
  <c r="S304" i="19"/>
  <c r="X304" i="19" s="1"/>
  <c r="T271" i="19" l="1"/>
  <c r="T318" i="19"/>
  <c r="T212" i="19"/>
  <c r="T140" i="19"/>
  <c r="AD291" i="18"/>
  <c r="O291" i="18"/>
  <c r="R291" i="18"/>
  <c r="T270" i="19"/>
  <c r="T311" i="19"/>
  <c r="T308" i="19"/>
  <c r="T145" i="19"/>
  <c r="T134" i="19"/>
  <c r="T302" i="19"/>
  <c r="X275" i="19"/>
  <c r="T162" i="19"/>
  <c r="T166" i="19"/>
  <c r="T65" i="19"/>
  <c r="T155" i="19"/>
  <c r="T14" i="19"/>
  <c r="T274" i="19"/>
  <c r="T3" i="19"/>
  <c r="T87" i="19"/>
  <c r="T37" i="19"/>
  <c r="T193" i="19"/>
  <c r="T19" i="19"/>
  <c r="T6" i="19"/>
  <c r="T107" i="19"/>
  <c r="T97" i="19"/>
  <c r="T150" i="19"/>
  <c r="T250" i="19"/>
  <c r="X256" i="19"/>
  <c r="T207" i="19"/>
  <c r="T244" i="19"/>
  <c r="T186" i="19"/>
  <c r="T173" i="19"/>
  <c r="T258" i="19"/>
  <c r="T113" i="19"/>
  <c r="T172" i="19"/>
  <c r="T95" i="19"/>
  <c r="T83" i="19"/>
  <c r="T77" i="19"/>
  <c r="T12" i="19"/>
  <c r="T104" i="19"/>
  <c r="T34" i="19"/>
  <c r="T171" i="19"/>
  <c r="T230" i="19"/>
  <c r="T224" i="19"/>
  <c r="T259" i="19"/>
  <c r="T133" i="19"/>
  <c r="T62" i="19"/>
  <c r="T223" i="19"/>
  <c r="T295" i="19"/>
  <c r="T192" i="19"/>
  <c r="T80" i="19"/>
  <c r="T48" i="19"/>
  <c r="T74" i="19"/>
  <c r="T52" i="19"/>
  <c r="T218" i="19"/>
  <c r="T167" i="19"/>
  <c r="T289" i="19"/>
  <c r="T9" i="19"/>
  <c r="T315" i="19"/>
  <c r="T189" i="19"/>
  <c r="T119" i="19"/>
  <c r="T238" i="19"/>
  <c r="T221" i="19"/>
  <c r="T313" i="19"/>
  <c r="T68" i="19"/>
  <c r="T299" i="19"/>
  <c r="T293" i="19"/>
  <c r="T163" i="19"/>
  <c r="T217" i="19"/>
  <c r="T86" i="19"/>
  <c r="T110" i="19"/>
  <c r="T73" i="19"/>
  <c r="T309" i="19"/>
  <c r="T241" i="19"/>
  <c r="T240" i="19"/>
  <c r="T233" i="19"/>
  <c r="T28" i="19"/>
  <c r="T53" i="19"/>
  <c r="T143" i="19"/>
  <c r="T40" i="19"/>
  <c r="T180" i="19"/>
  <c r="T43" i="19"/>
  <c r="X260" i="19"/>
  <c r="X229" i="19"/>
  <c r="T211" i="19"/>
  <c r="T92" i="19"/>
  <c r="T31" i="19"/>
  <c r="T178" i="19"/>
  <c r="T24" i="19"/>
  <c r="T89" i="19"/>
  <c r="T227" i="19"/>
  <c r="T21" i="19"/>
  <c r="T157" i="19"/>
  <c r="T316" i="19"/>
  <c r="T116" i="19"/>
  <c r="T235" i="19"/>
  <c r="T27" i="19"/>
  <c r="T160" i="19"/>
  <c r="T200" i="19"/>
  <c r="T269" i="19"/>
  <c r="T138" i="19"/>
  <c r="T249" i="19"/>
  <c r="T117" i="19"/>
  <c r="T264" i="19"/>
  <c r="T314" i="19"/>
  <c r="T8" i="19"/>
  <c r="T251" i="19"/>
  <c r="T248" i="19"/>
  <c r="T101" i="19"/>
  <c r="T243" i="19"/>
  <c r="T122" i="19"/>
  <c r="T144" i="19"/>
  <c r="T265" i="19"/>
  <c r="T29" i="19"/>
  <c r="T136" i="19"/>
  <c r="T175" i="19"/>
  <c r="T268" i="19"/>
  <c r="T236" i="19"/>
  <c r="T216" i="19"/>
  <c r="T242" i="19"/>
  <c r="T205" i="19"/>
  <c r="T58" i="19"/>
  <c r="T267" i="19"/>
  <c r="T190" i="19"/>
  <c r="T177" i="19"/>
  <c r="T151" i="19"/>
  <c r="T222" i="19"/>
  <c r="T201" i="19"/>
  <c r="T234" i="19"/>
  <c r="T168" i="19"/>
  <c r="T301" i="19"/>
  <c r="T214" i="19"/>
  <c r="T132" i="19"/>
  <c r="T96" i="19"/>
  <c r="T93" i="19"/>
  <c r="T161" i="19"/>
  <c r="T18" i="19"/>
  <c r="T81" i="19"/>
  <c r="T142" i="19"/>
  <c r="T261" i="19"/>
  <c r="T279" i="19"/>
  <c r="T245" i="19"/>
  <c r="T85" i="19"/>
  <c r="T20" i="19"/>
  <c r="T273" i="19"/>
  <c r="T114" i="19"/>
  <c r="T41" i="19"/>
  <c r="T181" i="19"/>
  <c r="T91" i="19"/>
  <c r="T78" i="19"/>
  <c r="X228" i="19"/>
  <c r="T228" i="19"/>
  <c r="T209" i="19"/>
  <c r="T82" i="19"/>
  <c r="T139" i="19"/>
  <c r="T247" i="19"/>
  <c r="T206" i="19"/>
  <c r="X128" i="19"/>
  <c r="T128" i="19"/>
  <c r="T185" i="19"/>
  <c r="T130" i="19"/>
  <c r="T137" i="19"/>
  <c r="T46" i="19"/>
  <c r="T317" i="19"/>
  <c r="T156" i="19"/>
  <c r="T312" i="19"/>
  <c r="T208" i="19"/>
  <c r="T195" i="19"/>
  <c r="T196" i="19"/>
  <c r="T254" i="19"/>
  <c r="T149" i="19"/>
  <c r="T183" i="19"/>
  <c r="T67" i="19"/>
  <c r="T257" i="19"/>
  <c r="T125" i="19"/>
  <c r="T263" i="19"/>
  <c r="T126" i="19"/>
  <c r="X283" i="19"/>
  <c r="T283" i="19"/>
  <c r="T187" i="19"/>
  <c r="T165" i="19"/>
  <c r="T179" i="19"/>
  <c r="T210" i="19"/>
  <c r="T290" i="19"/>
  <c r="T285" i="19"/>
  <c r="T69" i="19"/>
  <c r="T15" i="19"/>
  <c r="X55" i="19"/>
  <c r="T55" i="19"/>
  <c r="T272" i="19"/>
  <c r="T147" i="19"/>
  <c r="T23" i="19"/>
  <c r="X255" i="19"/>
  <c r="T255" i="19"/>
  <c r="T298" i="19"/>
  <c r="X298" i="19"/>
  <c r="T71" i="19"/>
  <c r="T148" i="19"/>
  <c r="T10" i="19"/>
  <c r="T146" i="19"/>
  <c r="T296" i="19"/>
  <c r="T152" i="19"/>
  <c r="T115" i="19"/>
  <c r="T50" i="19"/>
  <c r="T176" i="19"/>
  <c r="T90" i="19"/>
  <c r="T307" i="19"/>
  <c r="T56" i="19"/>
  <c r="T135" i="19"/>
  <c r="X135" i="19"/>
  <c r="T203" i="19"/>
  <c r="T297" i="19"/>
  <c r="T288" i="19"/>
  <c r="T154" i="19"/>
  <c r="T105" i="19"/>
  <c r="T98" i="19"/>
  <c r="T75" i="19"/>
  <c r="T153" i="19"/>
  <c r="T49" i="19"/>
  <c r="T72" i="19"/>
  <c r="T305" i="19"/>
  <c r="T277" i="19"/>
  <c r="T194" i="19"/>
  <c r="T169" i="19"/>
  <c r="X26" i="19"/>
  <c r="T26" i="19"/>
  <c r="T32" i="19"/>
  <c r="T17" i="19"/>
  <c r="T66" i="19"/>
  <c r="T94" i="19"/>
  <c r="T213" i="19"/>
  <c r="T141" i="19"/>
  <c r="T226" i="19"/>
  <c r="T22" i="19"/>
  <c r="X30" i="19"/>
  <c r="T30" i="19"/>
  <c r="T287" i="19"/>
  <c r="T60" i="19"/>
  <c r="T159" i="19"/>
  <c r="T109" i="19"/>
  <c r="T88" i="19"/>
  <c r="T64" i="19"/>
  <c r="X5" i="19"/>
  <c r="T5" i="19"/>
  <c r="T7" i="19"/>
  <c r="T123" i="19"/>
  <c r="T59" i="19"/>
  <c r="T202" i="19"/>
  <c r="T246" i="19"/>
  <c r="T182" i="19"/>
  <c r="T262" i="19"/>
  <c r="X262" i="19"/>
  <c r="T131" i="19"/>
  <c r="T198" i="19"/>
  <c r="T129" i="19"/>
  <c r="T61" i="19"/>
  <c r="T278" i="19"/>
  <c r="T102" i="19"/>
  <c r="T42" i="19"/>
  <c r="T300" i="19"/>
  <c r="X300" i="19"/>
  <c r="T280" i="19"/>
  <c r="T188" i="19"/>
  <c r="T124" i="19"/>
  <c r="T51" i="19"/>
  <c r="X11" i="19"/>
  <c r="T11" i="19"/>
  <c r="X284" i="19"/>
  <c r="T284" i="19"/>
  <c r="T111" i="19"/>
  <c r="T35" i="19"/>
  <c r="T127" i="19"/>
  <c r="T118" i="19"/>
  <c r="T79" i="19"/>
  <c r="T54" i="19"/>
  <c r="T4" i="19"/>
  <c r="T2" i="19"/>
  <c r="T276" i="19"/>
  <c r="T292" i="19"/>
  <c r="T231" i="19"/>
  <c r="T174" i="19"/>
  <c r="T252" i="19"/>
  <c r="X252" i="19"/>
  <c r="T191" i="19"/>
  <c r="T103" i="19"/>
  <c r="T45" i="19"/>
  <c r="T108" i="19"/>
  <c r="T84" i="19"/>
  <c r="T63" i="19"/>
  <c r="T120" i="19"/>
  <c r="T38" i="19"/>
  <c r="T100" i="19"/>
  <c r="T219" i="19"/>
  <c r="T237" i="19"/>
  <c r="T164" i="19"/>
  <c r="T199" i="19"/>
  <c r="T112" i="19"/>
  <c r="T39" i="19"/>
  <c r="T291" i="19"/>
  <c r="T286" i="19"/>
  <c r="T44" i="19"/>
  <c r="T306" i="19"/>
  <c r="T16" i="19"/>
  <c r="T232" i="19"/>
  <c r="T204" i="19"/>
  <c r="X36" i="19"/>
  <c r="T36" i="19"/>
  <c r="T70" i="19"/>
  <c r="T225" i="19"/>
  <c r="T158" i="19"/>
  <c r="T253" i="19"/>
  <c r="T184" i="19"/>
  <c r="T121" i="19"/>
  <c r="T33" i="19"/>
  <c r="T170" i="19"/>
  <c r="T294" i="19"/>
  <c r="T215" i="19"/>
  <c r="T197" i="19"/>
  <c r="T220" i="19"/>
  <c r="T57" i="19"/>
  <c r="T310" i="19"/>
  <c r="T25" i="19"/>
  <c r="T106" i="19"/>
  <c r="T99" i="19"/>
  <c r="T76" i="19"/>
  <c r="T13" i="19"/>
  <c r="T47" i="19"/>
  <c r="T304" i="19"/>
</calcChain>
</file>

<file path=xl/sharedStrings.xml><?xml version="1.0" encoding="utf-8"?>
<sst xmlns="http://schemas.openxmlformats.org/spreadsheetml/2006/main" count="1861" uniqueCount="401">
  <si>
    <r>
      <rPr>
        <b/>
        <sz val="10"/>
        <rFont val="Arial"/>
        <family val="2"/>
      </rPr>
      <t xml:space="preserve">HELAIAN MATA (SCORE SHEET)                                                        (BORANG SPR 760 Pin. 1/99) BAHAGIAN PILIHAN RAYA NEGERI: P.128 SEREMBAN
</t>
    </r>
    <r>
      <rPr>
        <b/>
        <sz val="10"/>
        <rFont val="Arial"/>
        <family val="2"/>
      </rPr>
      <t>JUMLAH PEMILIH: 157,244                                                                                                                                                                                             MUKASURAT: 1/17</t>
    </r>
  </si>
  <si>
    <r>
      <rPr>
        <b/>
        <sz val="7"/>
        <rFont val="Arial"/>
        <family val="2"/>
      </rPr>
      <t>Bil</t>
    </r>
  </si>
  <si>
    <r>
      <rPr>
        <b/>
        <sz val="7"/>
        <rFont val="Arial"/>
        <family val="2"/>
      </rPr>
      <t>No. Kod Daerah Mengundi</t>
    </r>
  </si>
  <si>
    <r>
      <rPr>
        <b/>
        <sz val="7"/>
        <rFont val="Arial"/>
        <family val="2"/>
      </rPr>
      <t>Nama Pusat Mengundi</t>
    </r>
  </si>
  <si>
    <r>
      <rPr>
        <b/>
        <sz val="7"/>
        <rFont val="Arial"/>
        <family val="2"/>
      </rPr>
      <t>Nombor Tempat Mengundi (saluran)</t>
    </r>
  </si>
  <si>
    <r>
      <rPr>
        <b/>
        <sz val="7"/>
        <rFont val="Arial"/>
        <family val="2"/>
      </rPr>
      <t xml:space="preserve">Jumlah kertas undi yang patut berada di dalam peti undi
</t>
    </r>
    <r>
      <rPr>
        <b/>
        <sz val="7"/>
        <rFont val="Arial"/>
        <family val="2"/>
      </rPr>
      <t>(A)</t>
    </r>
  </si>
  <si>
    <r>
      <rPr>
        <b/>
        <sz val="7"/>
        <rFont val="Arial"/>
        <family val="2"/>
      </rPr>
      <t xml:space="preserve">Bilangan undian oleh pemilih bagi setiap orang calon yang bertanding
</t>
    </r>
    <r>
      <rPr>
        <b/>
        <sz val="7"/>
        <rFont val="Arial"/>
        <family val="2"/>
      </rPr>
      <t>(B)</t>
    </r>
  </si>
  <si>
    <r>
      <rPr>
        <b/>
        <sz val="7"/>
        <rFont val="Arial"/>
        <family val="2"/>
      </rPr>
      <t>Bilangan kertas undi yang ditolak (C)</t>
    </r>
  </si>
  <si>
    <r>
      <rPr>
        <b/>
        <sz val="7"/>
        <rFont val="Arial"/>
        <family val="2"/>
      </rPr>
      <t xml:space="preserve">Jumlah kertas undi yang dikeluarkan kepada pengundi tetapi tidak dimasukkan ke dalam peti undi
</t>
    </r>
    <r>
      <rPr>
        <b/>
        <sz val="7"/>
        <rFont val="Arial"/>
        <family val="2"/>
      </rPr>
      <t>(D)</t>
    </r>
  </si>
  <si>
    <r>
      <rPr>
        <sz val="6"/>
        <rFont val="Arial"/>
        <family val="2"/>
      </rPr>
      <t>LOKE SIEW FOOK</t>
    </r>
  </si>
  <si>
    <r>
      <rPr>
        <sz val="6"/>
        <rFont val="Arial"/>
        <family val="2"/>
      </rPr>
      <t>IZZAT LESLY</t>
    </r>
  </si>
  <si>
    <r>
      <rPr>
        <sz val="6"/>
        <rFont val="Arial"/>
        <family val="2"/>
      </rPr>
      <t>FELICIA WONG</t>
    </r>
  </si>
  <si>
    <r>
      <rPr>
        <sz val="6"/>
        <rFont val="Arial"/>
        <family val="2"/>
      </rPr>
      <t>SJN (B) MOHAMAD JANI</t>
    </r>
  </si>
  <si>
    <r>
      <rPr>
        <sz val="6"/>
        <rFont val="Arial"/>
        <family val="2"/>
      </rPr>
      <t>HAJI FADLI CHE ME</t>
    </r>
  </si>
  <si>
    <r>
      <rPr>
        <b/>
        <sz val="7"/>
        <rFont val="Arial"/>
        <family val="2"/>
      </rPr>
      <t>Jumlah undian oleh pemilih</t>
    </r>
  </si>
  <si>
    <r>
      <rPr>
        <sz val="8"/>
        <rFont val="Arial"/>
        <family val="2"/>
      </rPr>
      <t>UNDI POS</t>
    </r>
  </si>
  <si>
    <r>
      <rPr>
        <sz val="12"/>
        <rFont val="Arial"/>
        <family val="2"/>
      </rPr>
      <t>UNDI AWAL</t>
    </r>
  </si>
  <si>
    <r>
      <rPr>
        <sz val="8"/>
        <rFont val="Arial"/>
        <family val="2"/>
      </rPr>
      <t>UNDI AWAL 128/09/00</t>
    </r>
  </si>
  <si>
    <r>
      <rPr>
        <sz val="8"/>
        <rFont val="Arial"/>
        <family val="2"/>
      </rPr>
      <t>RUANG A, DEWAN EMERALD IBU PEJABAT POLIS DAERAH NILAI ( DUN LENGGENG)</t>
    </r>
  </si>
  <si>
    <r>
      <rPr>
        <sz val="8"/>
        <rFont val="Arial"/>
        <family val="2"/>
      </rPr>
      <t>UNDI AWAL 128/10/00</t>
    </r>
  </si>
  <si>
    <r>
      <rPr>
        <sz val="8"/>
        <rFont val="Arial"/>
        <family val="2"/>
      </rPr>
      <t>RUANG B, DEWAN EMERALD IBU PEJABAT POLIS DAERAH NILAI (DUN NILAI)</t>
    </r>
  </si>
  <si>
    <r>
      <rPr>
        <sz val="8"/>
        <rFont val="Arial"/>
        <family val="2"/>
      </rPr>
      <t>DEWAN SYARAHAN LATIH REJIMEN 508 KEM JALAN RASAH (DUN NILAI)</t>
    </r>
  </si>
  <si>
    <r>
      <rPr>
        <sz val="8"/>
        <rFont val="Arial"/>
        <family val="2"/>
      </rPr>
      <t>UNDI AWAL 128/12/00</t>
    </r>
  </si>
  <si>
    <r>
      <rPr>
        <sz val="8"/>
        <rFont val="Arial"/>
        <family val="2"/>
      </rPr>
      <t>DEWAN UNIT 7 PASUKAN SIMPANAN PERSEKUTUAN, IPK SEREMBAN (DUN TEMIANG)</t>
    </r>
  </si>
  <si>
    <r>
      <rPr>
        <sz val="8"/>
        <rFont val="Arial"/>
        <family val="2"/>
      </rPr>
      <t>UNDI AWAL 128/13/00</t>
    </r>
  </si>
  <si>
    <r>
      <rPr>
        <sz val="8"/>
        <rFont val="Arial"/>
        <family val="2"/>
      </rPr>
      <t>BILIK GERAKAN BALAI POLIS SIKAMAT (DUN SIKAMAT)</t>
    </r>
  </si>
  <si>
    <r>
      <rPr>
        <sz val="12"/>
        <rFont val="Arial"/>
        <family val="2"/>
      </rPr>
      <t>UNDI BIASA</t>
    </r>
  </si>
  <si>
    <r>
      <rPr>
        <sz val="8"/>
        <rFont val="Arial"/>
        <family val="2"/>
      </rPr>
      <t>PEKAN BROGA 128/09/01</t>
    </r>
  </si>
  <si>
    <r>
      <rPr>
        <sz val="8"/>
        <rFont val="Arial"/>
        <family val="2"/>
      </rPr>
      <t>SEKOLAH JENIS KEBANGSAAN (CINA) KAMPUNG BARU BROGA</t>
    </r>
  </si>
  <si>
    <r>
      <rPr>
        <b/>
        <sz val="10"/>
        <rFont val="Arial"/>
        <family val="2"/>
      </rPr>
      <t xml:space="preserve">HELAIAN MATA (SCORE SHEET)                                                        (BORANG SPR 760 Pin. 1/99) BAHAGIAN PILIHAN RAYA NEGERI: P.128 SEREMBAN
</t>
    </r>
    <r>
      <rPr>
        <b/>
        <sz val="10"/>
        <rFont val="Arial"/>
        <family val="2"/>
      </rPr>
      <t>JUMLAH PEMILIH: 157,244                                                                                                                                                                                             MUKASURAT: 2/17</t>
    </r>
  </si>
  <si>
    <r>
      <rPr>
        <sz val="8"/>
        <rFont val="Arial"/>
        <family val="2"/>
      </rPr>
      <t>ULU BERANANG 128/09/02</t>
    </r>
  </si>
  <si>
    <r>
      <rPr>
        <sz val="8"/>
        <rFont val="Arial"/>
        <family val="2"/>
      </rPr>
      <t>SEKOLAH KEBANGSAAN ULU BERANANG</t>
    </r>
  </si>
  <si>
    <r>
      <rPr>
        <sz val="8"/>
        <rFont val="Arial"/>
        <family val="2"/>
      </rPr>
      <t>KAMPONG DACHING 128/09/03</t>
    </r>
  </si>
  <si>
    <r>
      <rPr>
        <sz val="8"/>
        <rFont val="Arial"/>
        <family val="2"/>
      </rPr>
      <t>SEKOLAH KEBANGSAAN KAMPONG DACHING</t>
    </r>
  </si>
  <si>
    <r>
      <rPr>
        <sz val="8"/>
        <rFont val="Arial"/>
        <family val="2"/>
      </rPr>
      <t xml:space="preserve">KAMPONG RAWA ULU
</t>
    </r>
    <r>
      <rPr>
        <sz val="8"/>
        <rFont val="Arial"/>
        <family val="2"/>
      </rPr>
      <t>128/09/04</t>
    </r>
  </si>
  <si>
    <r>
      <rPr>
        <sz val="8"/>
        <rFont val="Arial"/>
        <family val="2"/>
      </rPr>
      <t>SEKOLAH KEBANGSAAN MENDUM</t>
    </r>
  </si>
  <si>
    <r>
      <rPr>
        <sz val="8"/>
        <rFont val="Arial"/>
        <family val="2"/>
      </rPr>
      <t>LENGGENG 128/09/05</t>
    </r>
  </si>
  <si>
    <r>
      <rPr>
        <sz val="8"/>
        <rFont val="Arial"/>
        <family val="2"/>
      </rPr>
      <t>SEKOLAH KEBANGSAAN DATO' KLANA PUTRA</t>
    </r>
  </si>
  <si>
    <r>
      <rPr>
        <sz val="8"/>
        <rFont val="Arial"/>
        <family val="2"/>
      </rPr>
      <t>MACHANG 128/09/06</t>
    </r>
  </si>
  <si>
    <r>
      <rPr>
        <sz val="8"/>
        <rFont val="Arial"/>
        <family val="2"/>
      </rPr>
      <t>SEKOLAH KEBANGSAAN SUNGAI JAI</t>
    </r>
  </si>
  <si>
    <r>
      <rPr>
        <sz val="8"/>
        <rFont val="Arial"/>
        <family val="2"/>
      </rPr>
      <t>DESA SRI PANTAI 128/09/07</t>
    </r>
  </si>
  <si>
    <r>
      <rPr>
        <sz val="8"/>
        <rFont val="Arial"/>
        <family val="2"/>
      </rPr>
      <t>SEKOLAH KEBANGSAAN PANTAI</t>
    </r>
  </si>
  <si>
    <r>
      <rPr>
        <b/>
        <sz val="10"/>
        <rFont val="Arial"/>
        <family val="2"/>
      </rPr>
      <t xml:space="preserve">HELAIAN MATA (SCORE SHEET)                                                        (BORANG SPR 760 Pin. 1/99) BAHAGIAN PILIHAN RAYA NEGERI: P.128 SEREMBAN
</t>
    </r>
    <r>
      <rPr>
        <b/>
        <sz val="10"/>
        <rFont val="Arial"/>
        <family val="2"/>
      </rPr>
      <t>JUMLAH PEMILIH: 157,244                                                                                                                                                                                             MUKASURAT: 3/17</t>
    </r>
  </si>
  <si>
    <r>
      <rPr>
        <sz val="8"/>
        <rFont val="Arial"/>
        <family val="2"/>
      </rPr>
      <t>PANTAI 128/09/08</t>
    </r>
  </si>
  <si>
    <r>
      <rPr>
        <sz val="8"/>
        <rFont val="Arial"/>
        <family val="2"/>
      </rPr>
      <t>KOMPLEKS KOMUNITI DESA KG. PANTAI SEREMBAN</t>
    </r>
  </si>
  <si>
    <r>
      <rPr>
        <sz val="8"/>
        <rFont val="Arial"/>
        <family val="2"/>
      </rPr>
      <t>PANCHOR 128/09/09</t>
    </r>
  </si>
  <si>
    <r>
      <rPr>
        <sz val="8"/>
        <rFont val="Arial"/>
        <family val="2"/>
      </rPr>
      <t>SEKOLAH KEBANGSAAN PANCHOR</t>
    </r>
  </si>
  <si>
    <r>
      <rPr>
        <sz val="8"/>
        <rFont val="Arial"/>
        <family val="2"/>
      </rPr>
      <t>SEKOLAH MENENGAH KEBANGSAAN PANCHOR</t>
    </r>
  </si>
  <si>
    <r>
      <rPr>
        <b/>
        <sz val="10"/>
        <rFont val="Arial"/>
        <family val="2"/>
      </rPr>
      <t xml:space="preserve">HELAIAN MATA (SCORE SHEET)                                                        (BORANG SPR 760 Pin. 1/99) BAHAGIAN PILIHAN RAYA NEGERI: P.128 SEREMBAN
</t>
    </r>
    <r>
      <rPr>
        <b/>
        <sz val="10"/>
        <rFont val="Arial"/>
        <family val="2"/>
      </rPr>
      <t>JUMLAH PEMILIH: 157,244                                                                                                                                                                                             MUKASURAT: 4/17</t>
    </r>
  </si>
  <si>
    <r>
      <rPr>
        <sz val="8"/>
        <rFont val="Arial"/>
        <family val="2"/>
      </rPr>
      <t>SEKOLAH JENIS KEBANGSAAN (CINA) KAMPUNG BARU PAROI</t>
    </r>
  </si>
  <si>
    <r>
      <rPr>
        <sz val="8"/>
        <rFont val="Arial"/>
        <family val="2"/>
      </rPr>
      <t>NILAI 128/10/01</t>
    </r>
  </si>
  <si>
    <r>
      <rPr>
        <sz val="8"/>
        <rFont val="Arial"/>
        <family val="2"/>
      </rPr>
      <t>SEKOLAH MENENGAH KEBANGSAAN DATO' MOHD SAID</t>
    </r>
  </si>
  <si>
    <r>
      <rPr>
        <sz val="8"/>
        <rFont val="Arial"/>
        <family val="2"/>
      </rPr>
      <t>SEKOLAH JENIS KEBANGSAAN (CINA) KUO MIN NILAI</t>
    </r>
  </si>
  <si>
    <r>
      <rPr>
        <sz val="8"/>
        <rFont val="Arial"/>
        <family val="2"/>
      </rPr>
      <t>BATANG BENAR 128/10/02</t>
    </r>
  </si>
  <si>
    <r>
      <rPr>
        <sz val="8"/>
        <rFont val="Arial"/>
        <family val="2"/>
      </rPr>
      <t>SEKOLAH KEBANGSAAN BATANG BENAR</t>
    </r>
  </si>
  <si>
    <r>
      <rPr>
        <b/>
        <sz val="10"/>
        <rFont val="Arial"/>
        <family val="2"/>
      </rPr>
      <t xml:space="preserve">HELAIAN MATA (SCORE SHEET)                                                        (BORANG SPR 760 Pin. 1/99) BAHAGIAN PILIHAN RAYA NEGERI: P.128 SEREMBAN
</t>
    </r>
    <r>
      <rPr>
        <b/>
        <sz val="10"/>
        <rFont val="Arial"/>
        <family val="2"/>
      </rPr>
      <t>JUMLAH PEMILIH: 157,244                                                                                                                                                                                             MUKASURAT: 5/17</t>
    </r>
  </si>
  <si>
    <r>
      <rPr>
        <sz val="8"/>
        <rFont val="Arial"/>
        <family val="2"/>
      </rPr>
      <t>PEKAN PAJAM 128/10/03</t>
    </r>
  </si>
  <si>
    <r>
      <rPr>
        <sz val="8"/>
        <rFont val="Arial"/>
        <family val="2"/>
      </rPr>
      <t>SEKOLAH JENIS KEBANGSAAN (CINA) KAMPUNG BARU PAJAM</t>
    </r>
  </si>
  <si>
    <r>
      <rPr>
        <sz val="8"/>
        <rFont val="Arial"/>
        <family val="2"/>
      </rPr>
      <t>KAMPUNG GEBOK 128/10/04</t>
    </r>
  </si>
  <si>
    <r>
      <rPr>
        <sz val="8"/>
        <rFont val="Arial"/>
        <family val="2"/>
      </rPr>
      <t>BALAI RAYA KAMPUNG GEBOK PAJAM &amp; TABIKA KEMAS KAMPUNG GEBOK</t>
    </r>
  </si>
  <si>
    <r>
      <rPr>
        <sz val="8"/>
        <rFont val="Arial"/>
        <family val="2"/>
      </rPr>
      <t>BATU SEBELAS 128/10/05</t>
    </r>
  </si>
  <si>
    <r>
      <rPr>
        <sz val="8"/>
        <rFont val="Arial"/>
        <family val="2"/>
      </rPr>
      <t>SEKOLAH KEBANGSAAN MANTIN</t>
    </r>
  </si>
  <si>
    <r>
      <rPr>
        <sz val="8"/>
        <rFont val="Arial"/>
        <family val="2"/>
      </rPr>
      <t>KAMPONG BAHRU MANTIN 128/10/06</t>
    </r>
  </si>
  <si>
    <r>
      <rPr>
        <sz val="8"/>
        <rFont val="Arial"/>
        <family val="2"/>
      </rPr>
      <t>SEKOLAH MENENGAH KEBANGSAAN MANTIN</t>
    </r>
  </si>
  <si>
    <r>
      <rPr>
        <sz val="8"/>
        <rFont val="Arial"/>
        <family val="2"/>
      </rPr>
      <t>PEKAN MANTIN 128/10/07</t>
    </r>
  </si>
  <si>
    <r>
      <rPr>
        <sz val="8"/>
        <rFont val="Arial"/>
        <family val="2"/>
      </rPr>
      <t>SEKOLAH JENIS KEBANGSAAN (CINA) CHUNG HUA MANTIN</t>
    </r>
  </si>
  <si>
    <r>
      <rPr>
        <b/>
        <sz val="10"/>
        <rFont val="Arial"/>
        <family val="2"/>
      </rPr>
      <t xml:space="preserve">HELAIAN MATA (SCORE SHEET)                                                        (BORANG SPR 760 Pin. 1/99) BAHAGIAN PILIHAN RAYA NEGERI: P.128 SEREMBAN
</t>
    </r>
    <r>
      <rPr>
        <b/>
        <sz val="10"/>
        <rFont val="Arial"/>
        <family val="2"/>
      </rPr>
      <t>JUMLAH PEMILIH: 157,244                                                                                                                                                                                             MUKASURAT: 6/17</t>
    </r>
  </si>
  <si>
    <r>
      <rPr>
        <sz val="8"/>
        <rFont val="Arial"/>
        <family val="2"/>
      </rPr>
      <t>DEWAN ORANG RAMAI KAMPUNG BARU MANTIN</t>
    </r>
  </si>
  <si>
    <r>
      <rPr>
        <sz val="8"/>
        <rFont val="Arial"/>
        <family val="2"/>
      </rPr>
      <t>KG ATTAP 128/10/08</t>
    </r>
  </si>
  <si>
    <r>
      <rPr>
        <sz val="8"/>
        <rFont val="Arial"/>
        <family val="2"/>
      </rPr>
      <t>DEWAN KOMUNITI MANTIN</t>
    </r>
  </si>
  <si>
    <r>
      <rPr>
        <sz val="8"/>
        <rFont val="Arial"/>
        <family val="2"/>
      </rPr>
      <t>SEKOLAH JENIS KEBANGSAAN (CINA) CHI CHI MANTIN</t>
    </r>
  </si>
  <si>
    <r>
      <rPr>
        <sz val="8"/>
        <rFont val="Arial"/>
        <family val="2"/>
      </rPr>
      <t>MANTIN DALAM 128/10/09</t>
    </r>
  </si>
  <si>
    <r>
      <rPr>
        <sz val="8"/>
        <rFont val="Arial"/>
        <family val="2"/>
      </rPr>
      <t>TABIKA KEMAS KAMPUNG  MANTIN DALAM</t>
    </r>
  </si>
  <si>
    <r>
      <rPr>
        <b/>
        <sz val="10"/>
        <rFont val="Arial"/>
        <family val="2"/>
      </rPr>
      <t xml:space="preserve">HELAIAN MATA (SCORE SHEET)                                                        (BORANG SPR 760 Pin. 1/99) BAHAGIAN PILIHAN RAYA NEGERI: P.128 SEREMBAN
</t>
    </r>
    <r>
      <rPr>
        <b/>
        <sz val="10"/>
        <rFont val="Arial"/>
        <family val="2"/>
      </rPr>
      <t>JUMLAH PEMILIH: 157,244                                                                                                                                                                                             MUKASURAT: 7/17</t>
    </r>
  </si>
  <si>
    <r>
      <rPr>
        <sz val="8"/>
        <rFont val="Arial"/>
        <family val="2"/>
      </rPr>
      <t xml:space="preserve">BANDAR BARU NILAI
</t>
    </r>
    <r>
      <rPr>
        <sz val="8"/>
        <rFont val="Arial"/>
        <family val="2"/>
      </rPr>
      <t>128/10/10</t>
    </r>
  </si>
  <si>
    <r>
      <rPr>
        <sz val="8"/>
        <rFont val="Arial"/>
        <family val="2"/>
      </rPr>
      <t>SEKOLAH MENENGAH KEBANGSAAN TAMAN SEMARAK</t>
    </r>
  </si>
  <si>
    <r>
      <rPr>
        <sz val="8"/>
        <rFont val="Arial"/>
        <family val="2"/>
      </rPr>
      <t>SEKOLAH KEBANGSAAN TAMAN SEMARAK</t>
    </r>
  </si>
  <si>
    <r>
      <rPr>
        <b/>
        <sz val="10"/>
        <rFont val="Arial"/>
        <family val="2"/>
      </rPr>
      <t xml:space="preserve">HELAIAN MATA (SCORE SHEET)                                                        (BORANG SPR 760 Pin. 1/99) BAHAGIAN PILIHAN RAYA NEGERI: P.128 SEREMBAN
</t>
    </r>
    <r>
      <rPr>
        <b/>
        <sz val="10"/>
        <rFont val="Arial"/>
        <family val="2"/>
      </rPr>
      <t>JUMLAH PEMILIH: 157,244                                                                                                                                                                                             MUKASURAT: 8/17</t>
    </r>
  </si>
  <si>
    <r>
      <rPr>
        <sz val="8"/>
        <rFont val="Arial"/>
        <family val="2"/>
      </rPr>
      <t>SEKOLAH JENIS KEBANGSAAN (CINA) PUTRA NILAI</t>
    </r>
  </si>
  <si>
    <r>
      <rPr>
        <sz val="8"/>
        <rFont val="Arial"/>
        <family val="2"/>
      </rPr>
      <t>KG LOBAK 128/11/01</t>
    </r>
  </si>
  <si>
    <r>
      <rPr>
        <sz val="8"/>
        <rFont val="Arial"/>
        <family val="2"/>
      </rPr>
      <t>SEKOLAH JENIS KEBANGSAAN (CINA) PEI HUA</t>
    </r>
  </si>
  <si>
    <r>
      <rPr>
        <b/>
        <sz val="10"/>
        <rFont val="Arial"/>
        <family val="2"/>
      </rPr>
      <t xml:space="preserve">HELAIAN MATA (SCORE SHEET)                                                        (BORANG SPR 760 Pin. 1/99) BAHAGIAN PILIHAN RAYA NEGERI: P.128 SEREMBAN
</t>
    </r>
    <r>
      <rPr>
        <b/>
        <sz val="10"/>
        <rFont val="Arial"/>
        <family val="2"/>
      </rPr>
      <t>JUMLAH PEMILIH: 157,244                                                                                                                                                                                             MUKASURAT: 9/17</t>
    </r>
  </si>
  <si>
    <r>
      <rPr>
        <sz val="8"/>
        <rFont val="Arial"/>
        <family val="2"/>
      </rPr>
      <t>ULU TEMIANG 128/11/02</t>
    </r>
  </si>
  <si>
    <r>
      <rPr>
        <sz val="8"/>
        <rFont val="Arial"/>
        <family val="2"/>
      </rPr>
      <t>SEKOLAH JENIS KEBANGSAAN (CINA) CHI HWA</t>
    </r>
  </si>
  <si>
    <r>
      <rPr>
        <sz val="8"/>
        <rFont val="Arial"/>
        <family val="2"/>
      </rPr>
      <t xml:space="preserve">JALAN MANICKAVASAGAM
</t>
    </r>
    <r>
      <rPr>
        <sz val="8"/>
        <rFont val="Arial"/>
        <family val="2"/>
      </rPr>
      <t>128/11/03</t>
    </r>
  </si>
  <si>
    <r>
      <rPr>
        <sz val="8"/>
        <rFont val="Arial"/>
        <family val="2"/>
      </rPr>
      <t>SEKOLAH JENIS KEBANGSAAN (TAMIL) LOBAK</t>
    </r>
  </si>
  <si>
    <r>
      <rPr>
        <sz val="8"/>
        <rFont val="Arial"/>
        <family val="2"/>
      </rPr>
      <t>LOBAK 128/11/04</t>
    </r>
  </si>
  <si>
    <r>
      <rPr>
        <sz val="8"/>
        <rFont val="Arial"/>
        <family val="2"/>
      </rPr>
      <t>SEKOLAH JENIS KEBANGSAAN (CINA) CHUNG HUA SEREMBAN</t>
    </r>
  </si>
  <si>
    <r>
      <rPr>
        <b/>
        <sz val="10"/>
        <rFont val="Arial"/>
        <family val="2"/>
      </rPr>
      <t xml:space="preserve">HELAIAN MATA (SCORE SHEET)                                                        (BORANG SPR 760 Pin. 1/99) BAHAGIAN PILIHAN RAYA NEGERI: P.128 SEREMBAN
</t>
    </r>
    <r>
      <rPr>
        <b/>
        <sz val="10"/>
        <rFont val="Arial"/>
        <family val="2"/>
      </rPr>
      <t>JUMLAH PEMILIH: 157,244                                                                                                                                                                                           MUKASURAT: 10/17</t>
    </r>
  </si>
  <si>
    <r>
      <rPr>
        <sz val="8"/>
        <rFont val="Arial"/>
        <family val="2"/>
      </rPr>
      <t>TAMAN TEMPLER 128/11/05</t>
    </r>
  </si>
  <si>
    <r>
      <rPr>
        <sz val="8"/>
        <rFont val="Arial"/>
        <family val="2"/>
      </rPr>
      <t>SEKOLAH JENIS KEBANGSAAN (CINA) CHAN WA SEREMBAN</t>
    </r>
  </si>
  <si>
    <r>
      <rPr>
        <sz val="8"/>
        <rFont val="Arial"/>
        <family val="2"/>
      </rPr>
      <t xml:space="preserve">KAMPONG NEE YAN
</t>
    </r>
    <r>
      <rPr>
        <sz val="8"/>
        <rFont val="Arial"/>
        <family val="2"/>
      </rPr>
      <t>128/11/06</t>
    </r>
  </si>
  <si>
    <r>
      <rPr>
        <sz val="8"/>
        <rFont val="Arial"/>
        <family val="2"/>
      </rPr>
      <t>SEKOLAH JENIS KEBANGSAAN (CINA) KUO MIN SEREMBAN</t>
    </r>
  </si>
  <si>
    <r>
      <rPr>
        <sz val="8"/>
        <rFont val="Arial"/>
        <family val="2"/>
      </rPr>
      <t xml:space="preserve">TAMAN TEMIANG JAYA
</t>
    </r>
    <r>
      <rPr>
        <sz val="8"/>
        <rFont val="Arial"/>
        <family val="2"/>
      </rPr>
      <t>128/12/01</t>
    </r>
  </si>
  <si>
    <r>
      <rPr>
        <sz val="8"/>
        <rFont val="Arial"/>
        <family val="2"/>
      </rPr>
      <t>SEKOLAH MENENGAH KEBANGSAAN AGAMA SHEIKH HAJI MOHD SAID</t>
    </r>
  </si>
  <si>
    <r>
      <rPr>
        <b/>
        <sz val="10"/>
        <rFont val="Arial"/>
        <family val="2"/>
      </rPr>
      <t xml:space="preserve">HELAIAN MATA (SCORE SHEET)                                                        (BORANG SPR 760 Pin. 1/99) BAHAGIAN PILIHAN RAYA NEGERI: P.128 SEREMBAN
</t>
    </r>
    <r>
      <rPr>
        <b/>
        <sz val="10"/>
        <rFont val="Arial"/>
        <family val="2"/>
      </rPr>
      <t>JUMLAH PEMILIH: 157,244                                                                                                                                                                                           MUKASURAT: 11/17</t>
    </r>
  </si>
  <si>
    <r>
      <rPr>
        <sz val="8"/>
        <rFont val="Arial"/>
        <family val="2"/>
      </rPr>
      <t>TEMIANG 128/12/02</t>
    </r>
  </si>
  <si>
    <r>
      <rPr>
        <sz val="8"/>
        <rFont val="Arial"/>
        <family val="2"/>
      </rPr>
      <t>SEKOLAH MENENGAH JENIS KEBANGSAAN CHAN WA</t>
    </r>
  </si>
  <si>
    <r>
      <rPr>
        <sz val="8"/>
        <rFont val="Arial"/>
        <family val="2"/>
      </rPr>
      <t>LIMBOK 128/12/03</t>
    </r>
  </si>
  <si>
    <r>
      <rPr>
        <sz val="8"/>
        <rFont val="Arial"/>
        <family val="2"/>
      </rPr>
      <t>SEKOLAH KEBANGSAAN TEMIANG</t>
    </r>
  </si>
  <si>
    <r>
      <rPr>
        <sz val="8"/>
        <rFont val="Arial"/>
        <family val="2"/>
      </rPr>
      <t>JALAN YAZID AHMAD 128/12/04</t>
    </r>
  </si>
  <si>
    <r>
      <rPr>
        <sz val="8"/>
        <rFont val="Arial"/>
        <family val="2"/>
      </rPr>
      <t>SEKOLAH SRI SEREMBAN</t>
    </r>
  </si>
  <si>
    <r>
      <rPr>
        <sz val="8"/>
        <rFont val="Arial"/>
        <family val="2"/>
      </rPr>
      <t>JALAN HAN HUI FOONG 128/12/05</t>
    </r>
  </si>
  <si>
    <r>
      <rPr>
        <sz val="8"/>
        <rFont val="Arial"/>
        <family val="2"/>
      </rPr>
      <t>SEKOLAH KEBANGSAAN DATO KLANA MAAMOR</t>
    </r>
  </si>
  <si>
    <r>
      <rPr>
        <b/>
        <sz val="10"/>
        <rFont val="Arial"/>
        <family val="2"/>
      </rPr>
      <t xml:space="preserve">HELAIAN MATA (SCORE SHEET)                                                        (BORANG SPR 760 Pin. 1/99) BAHAGIAN PILIHAN RAYA NEGERI: P.128 SEREMBAN
</t>
    </r>
    <r>
      <rPr>
        <b/>
        <sz val="10"/>
        <rFont val="Arial"/>
        <family val="2"/>
      </rPr>
      <t>JUMLAH PEMILIH: 157,244                                                                                                                                                                                           MUKASURAT: 12/17</t>
    </r>
  </si>
  <si>
    <r>
      <rPr>
        <sz val="8"/>
        <rFont val="Arial"/>
        <family val="2"/>
      </rPr>
      <t>TAMAN PAROI JAYA 128/13/01</t>
    </r>
  </si>
  <si>
    <r>
      <rPr>
        <sz val="8"/>
        <rFont val="Arial"/>
        <family val="2"/>
      </rPr>
      <t>SEKOLAH KEBANGSAAN TAMAN PAROI JAYA</t>
    </r>
  </si>
  <si>
    <r>
      <rPr>
        <sz val="8"/>
        <rFont val="Arial"/>
        <family val="2"/>
      </rPr>
      <t>KOMPLEKS SUKAN NEGERI PAROI</t>
    </r>
  </si>
  <si>
    <r>
      <rPr>
        <sz val="8"/>
        <rFont val="Arial"/>
        <family val="2"/>
      </rPr>
      <t>SIKAMAT 128/13/02</t>
    </r>
  </si>
  <si>
    <r>
      <rPr>
        <sz val="8"/>
        <rFont val="Arial"/>
        <family val="2"/>
      </rPr>
      <t>SEKOLAH JENIS KEBANGSAAN (CINA) KAMPUNG SERI SIKAMAT</t>
    </r>
  </si>
  <si>
    <r>
      <rPr>
        <b/>
        <sz val="10"/>
        <rFont val="Arial"/>
        <family val="2"/>
      </rPr>
      <t xml:space="preserve">HELAIAN MATA (SCORE SHEET)                                                        (BORANG SPR 760 Pin. 1/99) BAHAGIAN PILIHAN RAYA NEGERI: P.128 SEREMBAN
</t>
    </r>
    <r>
      <rPr>
        <b/>
        <sz val="10"/>
        <rFont val="Arial"/>
        <family val="2"/>
      </rPr>
      <t>JUMLAH PEMILIH: 157,244                                                                                                                                                                                           MUKASURAT: 13/17</t>
    </r>
  </si>
  <si>
    <r>
      <rPr>
        <sz val="8"/>
        <rFont val="Arial"/>
        <family val="2"/>
      </rPr>
      <t>SEKOLAH MENENGAH KEBANGSAAN WARISAN PUTERI</t>
    </r>
  </si>
  <si>
    <r>
      <rPr>
        <sz val="8"/>
        <rFont val="Arial"/>
        <family val="2"/>
      </rPr>
      <t>TAMAN JUJUR 128/13/03</t>
    </r>
  </si>
  <si>
    <r>
      <rPr>
        <sz val="8"/>
        <rFont val="Arial"/>
        <family val="2"/>
      </rPr>
      <t>SEKOLAH KEBANGSAAN SIKAMAT</t>
    </r>
  </si>
  <si>
    <r>
      <rPr>
        <b/>
        <sz val="10"/>
        <rFont val="Arial"/>
        <family val="2"/>
      </rPr>
      <t xml:space="preserve">HELAIAN MATA (SCORE SHEET)                                                        (BORANG SPR 760 Pin. 1/99) BAHAGIAN PILIHAN RAYA NEGERI: P.128 SEREMBAN
</t>
    </r>
    <r>
      <rPr>
        <b/>
        <sz val="10"/>
        <rFont val="Arial"/>
        <family val="2"/>
      </rPr>
      <t>JUMLAH PEMILIH: 157,244                                                                                                                                                                                           MUKASURAT: 14/17</t>
    </r>
  </si>
  <si>
    <r>
      <rPr>
        <sz val="8"/>
        <rFont val="Arial"/>
        <family val="2"/>
      </rPr>
      <t>JALAN SIKAMAT 128/13/04</t>
    </r>
  </si>
  <si>
    <r>
      <rPr>
        <sz val="8"/>
        <rFont val="Arial"/>
        <family val="2"/>
      </rPr>
      <t>SEKOLAH MENENGAH KEBANGSAAN DATO' SHEIKH AHMAD</t>
    </r>
  </si>
  <si>
    <r>
      <rPr>
        <sz val="8"/>
        <rFont val="Arial"/>
        <family val="2"/>
      </rPr>
      <t>TAMAN DESA RHU 128/13/05</t>
    </r>
  </si>
  <si>
    <r>
      <rPr>
        <sz val="8"/>
        <rFont val="Arial"/>
        <family val="2"/>
      </rPr>
      <t>INSTITUT PERGURUAN RAJA MELEWAR SIKAMAT</t>
    </r>
  </si>
  <si>
    <r>
      <rPr>
        <sz val="8"/>
        <rFont val="Arial"/>
        <family val="2"/>
      </rPr>
      <t>DEWAN ORANG RAMAI SIKAMAT</t>
    </r>
  </si>
  <si>
    <r>
      <rPr>
        <b/>
        <sz val="10"/>
        <rFont val="Arial"/>
        <family val="2"/>
      </rPr>
      <t xml:space="preserve">HELAIAN MATA (SCORE SHEET)                                                        (BORANG SPR 760 Pin. 1/99) BAHAGIAN PILIHAN RAYA NEGERI: P.128 SEREMBAN
</t>
    </r>
    <r>
      <rPr>
        <b/>
        <sz val="10"/>
        <rFont val="Arial"/>
        <family val="2"/>
      </rPr>
      <t>JUMLAH PEMILIH: 157,244                                                                                                                                                                                           MUKASURAT: 15/17</t>
    </r>
  </si>
  <si>
    <r>
      <rPr>
        <sz val="8"/>
        <rFont val="Arial"/>
        <family val="2"/>
      </rPr>
      <t>SEKOLAH MENENGAH KEBANGSAAN DATO' HAJI MOHD REDZA</t>
    </r>
  </si>
  <si>
    <r>
      <rPr>
        <sz val="8"/>
        <rFont val="Arial"/>
        <family val="2"/>
      </rPr>
      <t>MEDAN RAHANG 128/14/01</t>
    </r>
  </si>
  <si>
    <r>
      <rPr>
        <sz val="8"/>
        <rFont val="Arial"/>
        <family val="2"/>
      </rPr>
      <t>KOLEJ MARA SEREMBAN</t>
    </r>
  </si>
  <si>
    <r>
      <rPr>
        <sz val="8"/>
        <rFont val="Arial"/>
        <family val="2"/>
      </rPr>
      <t>AMPANGAN 128/14/02</t>
    </r>
  </si>
  <si>
    <r>
      <rPr>
        <sz val="8"/>
        <rFont val="Arial"/>
        <family val="2"/>
      </rPr>
      <t>SEKOLAH KEBANGSAAN KING GEORGE V SEREMBAN</t>
    </r>
  </si>
  <si>
    <r>
      <rPr>
        <sz val="8"/>
        <rFont val="Arial"/>
        <family val="2"/>
      </rPr>
      <t>KAMPONG GEDONG LALANG 128/14/03</t>
    </r>
  </si>
  <si>
    <r>
      <rPr>
        <sz val="8"/>
        <rFont val="Arial"/>
        <family val="2"/>
      </rPr>
      <t>KOLEJ VOKASIONAL AMPANGAN</t>
    </r>
  </si>
  <si>
    <r>
      <rPr>
        <b/>
        <sz val="10"/>
        <rFont val="Arial"/>
        <family val="2"/>
      </rPr>
      <t xml:space="preserve">HELAIAN MATA (SCORE SHEET)                                                        (BORANG SPR 760 Pin. 1/99) BAHAGIAN PILIHAN RAYA NEGERI: P.128 SEREMBAN
</t>
    </r>
    <r>
      <rPr>
        <b/>
        <sz val="10"/>
        <rFont val="Arial"/>
        <family val="2"/>
      </rPr>
      <t>JUMLAH PEMILIH: 157,244                                                                                                                                                                                           MUKASURAT: 16/17</t>
    </r>
  </si>
  <si>
    <r>
      <rPr>
        <sz val="8"/>
        <rFont val="Arial"/>
        <family val="2"/>
      </rPr>
      <t>TAMAN DATUK SHAHBANDAR 128/14/04</t>
    </r>
  </si>
  <si>
    <r>
      <rPr>
        <sz val="8"/>
        <rFont val="Arial"/>
        <family val="2"/>
      </rPr>
      <t>SEKOLAH KEBANGSAAN AMPANGAN</t>
    </r>
  </si>
  <si>
    <r>
      <rPr>
        <sz val="8"/>
        <rFont val="Arial"/>
        <family val="2"/>
      </rPr>
      <t>SEKOLAH KEBANGSAAN SERI KELANA</t>
    </r>
  </si>
  <si>
    <r>
      <rPr>
        <sz val="8"/>
        <rFont val="Arial"/>
        <family val="2"/>
      </rPr>
      <t>DUSUN NYIOR 128/14/05</t>
    </r>
  </si>
  <si>
    <r>
      <rPr>
        <sz val="8"/>
        <rFont val="Arial"/>
        <family val="2"/>
      </rPr>
      <t>SEKOLAH KEBANGSAAN TAMAN DUSUN NYIOR</t>
    </r>
  </si>
  <si>
    <r>
      <rPr>
        <b/>
        <sz val="10"/>
        <rFont val="Arial"/>
        <family val="2"/>
      </rPr>
      <t xml:space="preserve">HELAIAN MATA (SCORE SHEET)                                                        (BORANG SPR 760 Pin. 1/99) BAHAGIAN PILIHAN RAYA NEGERI: P.128 SEREMBAN
</t>
    </r>
    <r>
      <rPr>
        <b/>
        <sz val="10"/>
        <rFont val="Arial"/>
        <family val="2"/>
      </rPr>
      <t>JUMLAH PEMILIH: 157,244                                                                                                                                                                                           MUKASURAT: 17/17</t>
    </r>
  </si>
  <si>
    <r>
      <rPr>
        <sz val="8"/>
        <rFont val="Arial"/>
        <family val="2"/>
      </rPr>
      <t>KAMPONG JIBOI 128/14/06</t>
    </r>
  </si>
  <si>
    <r>
      <rPr>
        <sz val="8"/>
        <rFont val="Arial"/>
        <family val="2"/>
      </rPr>
      <t>SEKOLAH MENENGAH AGAMA DATO' KLANA PETRA MAAMOR</t>
    </r>
  </si>
  <si>
    <r>
      <rPr>
        <sz val="8"/>
        <rFont val="Arial"/>
        <family val="2"/>
      </rPr>
      <t>SEKOLAH AGAMA RAKYAT KAMPUNG BARU BLOK C AMPANGAN</t>
    </r>
  </si>
  <si>
    <r>
      <rPr>
        <b/>
        <sz val="12"/>
        <rFont val="Arial"/>
        <family val="2"/>
      </rPr>
      <t>JUMLAH</t>
    </r>
  </si>
  <si>
    <t>PH</t>
  </si>
  <si>
    <t>IND</t>
  </si>
  <si>
    <t>BN</t>
  </si>
  <si>
    <t>PEJUANG</t>
  </si>
  <si>
    <t>PN</t>
  </si>
  <si>
    <t>Bil</t>
  </si>
  <si>
    <t>Nama Pusat Mengundi</t>
  </si>
  <si>
    <t>Bilangan kertas undi yang ditolak (C)</t>
  </si>
  <si>
    <t>Jumlah undian oleh pemilih</t>
  </si>
  <si>
    <t>UNDI POS</t>
  </si>
  <si>
    <t>UNDI AWAL 128/09/00</t>
  </si>
  <si>
    <t>RUANG A, DEWAN EMERALD IBU PEJABAT POLIS DAERAH NILAI ( DUN LENGGENG)</t>
  </si>
  <si>
    <t>UNDI AWAL 128/10/00</t>
  </si>
  <si>
    <t>RUANG B, DEWAN EMERALD IBU PEJABAT POLIS DAERAH NILAI (DUN NILAI)</t>
  </si>
  <si>
    <t>DEWAN SYARAHAN LATIH REJIMEN 508 KEM JALAN RASAH (DUN NILAI)</t>
  </si>
  <si>
    <t>UNDI AWAL 128/12/00</t>
  </si>
  <si>
    <t>DEWAN UNIT 7 PASUKAN SIMPANAN PERSEKUTUAN, IPK SEREMBAN (DUN TEMIANG)</t>
  </si>
  <si>
    <t>UNDI AWAL 128/13/00</t>
  </si>
  <si>
    <t>BILIK GERAKAN BALAI POLIS SIKAMAT (DUN SIKAMAT)</t>
  </si>
  <si>
    <t>PEKAN BROGA 128/09/01</t>
  </si>
  <si>
    <t>SEKOLAH JENIS KEBANGSAAN (CINA) KAMPUNG BARU BROGA</t>
  </si>
  <si>
    <t>Undi Tidak Dimasukkan</t>
  </si>
  <si>
    <t>Nama &amp; Kod DM</t>
  </si>
  <si>
    <t>Saluran</t>
  </si>
  <si>
    <t>Jumlah kertas undi dikeluarkan</t>
  </si>
  <si>
    <t>ULU BERANANG 128/09/02</t>
  </si>
  <si>
    <t>SEKOLAH KEBANGSAAN ULU BERANANG</t>
  </si>
  <si>
    <t>KAMPONG DACHING 128/09/03</t>
  </si>
  <si>
    <t>SEKOLAH KEBANGSAAN KAMPONG DACHING</t>
  </si>
  <si>
    <t>KAMPONG RAWA ULU
128/09/04</t>
  </si>
  <si>
    <t>SEKOLAH KEBANGSAAN MENDUM</t>
  </si>
  <si>
    <t>LENGGENG 128/09/05</t>
  </si>
  <si>
    <t>SEKOLAH KEBANGSAAN DATO' KLANA PUTRA</t>
  </si>
  <si>
    <t>MACHANG 128/09/06</t>
  </si>
  <si>
    <t>SEKOLAH KEBANGSAAN SUNGAI JAI</t>
  </si>
  <si>
    <t>DESA SRI PANTAI 128/09/07</t>
  </si>
  <si>
    <t>SEKOLAH KEBANGSAAN PANTAI</t>
  </si>
  <si>
    <t>PANTAI 128/09/08</t>
  </si>
  <si>
    <t>KOMPLEKS KOMUNITI DESA KG. PANTAI SEREMBAN</t>
  </si>
  <si>
    <t>PANCHOR 128/09/09</t>
  </si>
  <si>
    <t>SEKOLAH KEBANGSAAN PANCHOR</t>
  </si>
  <si>
    <t>SEKOLAH MENENGAH KEBANGSAAN PANCHOR</t>
  </si>
  <si>
    <t>SEKOLAH JENIS KEBANGSAAN (CINA) KAMPUNG BARU PAROI</t>
  </si>
  <si>
    <t>NILAI 128/10/01</t>
  </si>
  <si>
    <t>SEKOLAH MENENGAH KEBANGSAAN DATO' MOHD SAID</t>
  </si>
  <si>
    <t>SEKOLAH JENIS KEBANGSAAN (CINA) KUO MIN NILAI</t>
  </si>
  <si>
    <t>BATANG BENAR 128/10/02</t>
  </si>
  <si>
    <t>SEKOLAH KEBANGSAAN BATANG BENAR</t>
  </si>
  <si>
    <t>PEKAN PAJAM 128/10/03</t>
  </si>
  <si>
    <t>SEKOLAH JENIS KEBANGSAAN (CINA) KAMPUNG BARU PAJAM</t>
  </si>
  <si>
    <t>KAMPUNG GEBOK 128/10/04</t>
  </si>
  <si>
    <t>BALAI RAYA KAMPUNG GEBOK PAJAM &amp; TABIKA KEMAS KAMPUNG GEBOK</t>
  </si>
  <si>
    <t>BATU SEBELAS 128/10/05</t>
  </si>
  <si>
    <t>SEKOLAH KEBANGSAAN MANTIN</t>
  </si>
  <si>
    <t>KAMPONG BAHRU MANTIN 128/10/06</t>
  </si>
  <si>
    <t>SEKOLAH MENENGAH KEBANGSAAN MANTIN</t>
  </si>
  <si>
    <t>PEKAN MANTIN 128/10/07</t>
  </si>
  <si>
    <t>SEKOLAH JENIS KEBANGSAAN (CINA) CHUNG HUA MANTIN</t>
  </si>
  <si>
    <t>DEWAN ORANG RAMAI KAMPUNG BARU MANTIN</t>
  </si>
  <si>
    <t>KG ATTAP 128/10/08</t>
  </si>
  <si>
    <t>DEWAN KOMUNITI MANTIN</t>
  </si>
  <si>
    <t>SEKOLAH JENIS KEBANGSAAN (CINA) CHI CHI MANTIN</t>
  </si>
  <si>
    <t>MANTIN DALAM 128/10/09</t>
  </si>
  <si>
    <t>TABIKA KEMAS KAMPUNG  MANTIN DALAM</t>
  </si>
  <si>
    <t>BANDAR BARU NILAI
128/10/10</t>
  </si>
  <si>
    <t>SEKOLAH MENENGAH KEBANGSAAN TAMAN SEMARAK</t>
  </si>
  <si>
    <t>SEKOLAH KEBANGSAAN TAMAN SEMARAK</t>
  </si>
  <si>
    <t>SEKOLAH JENIS KEBANGSAAN (CINA) PUTRA NILAI</t>
  </si>
  <si>
    <t>KG LOBAK 128/11/01</t>
  </si>
  <si>
    <t>SEKOLAH JENIS KEBANGSAAN (CINA) PEI HUA</t>
  </si>
  <si>
    <t>ULU TEMIANG 128/11/02</t>
  </si>
  <si>
    <t>SEKOLAH JENIS KEBANGSAAN (CINA) CHI HWA</t>
  </si>
  <si>
    <t>JALAN MANICKAVASAGAM
128/11/03</t>
  </si>
  <si>
    <t>SEKOLAH JENIS KEBANGSAAN (TAMIL) LOBAK</t>
  </si>
  <si>
    <t>LOBAK 128/11/04</t>
  </si>
  <si>
    <t>SEKOLAH JENIS KEBANGSAAN (CINA) CHUNG HUA SEREMBAN</t>
  </si>
  <si>
    <t>TAMAN TEMPLER 128/11/05</t>
  </si>
  <si>
    <t>SEKOLAH JENIS KEBANGSAAN (CINA) CHAN WA SEREMBAN</t>
  </si>
  <si>
    <t>KAMPONG NEE YAN
128/11/06</t>
  </si>
  <si>
    <t>SEKOLAH JENIS KEBANGSAAN (CINA) KUO MIN SEREMBAN</t>
  </si>
  <si>
    <t>TAMAN TEMIANG JAYA
128/12/01</t>
  </si>
  <si>
    <t>SEKOLAH MENENGAH KEBANGSAAN AGAMA SHEIKH HAJI MOHD SAID</t>
  </si>
  <si>
    <t>TEMIANG 128/12/02</t>
  </si>
  <si>
    <t>SEKOLAH MENENGAH JENIS KEBANGSAAN CHAN WA</t>
  </si>
  <si>
    <t>LIMBOK 128/12/03</t>
  </si>
  <si>
    <t>SEKOLAH KEBANGSAAN TEMIANG</t>
  </si>
  <si>
    <t>JALAN YAZID AHMAD 128/12/04</t>
  </si>
  <si>
    <t>SEKOLAH SRI SEREMBAN</t>
  </si>
  <si>
    <t>JALAN HAN HUI FOONG 128/12/05</t>
  </si>
  <si>
    <t>SEKOLAH KEBANGSAAN DATO KLANA MAAMOR</t>
  </si>
  <si>
    <t>TAMAN PAROI JAYA 128/13/01</t>
  </si>
  <si>
    <t>SEKOLAH KEBANGSAAN TAMAN PAROI JAYA</t>
  </si>
  <si>
    <t>KOMPLEKS SUKAN NEGERI PAROI</t>
  </si>
  <si>
    <t>SIKAMAT 128/13/02</t>
  </si>
  <si>
    <t>SEKOLAH JENIS KEBANGSAAN (CINA) KAMPUNG SERI SIKAMAT</t>
  </si>
  <si>
    <t>SEKOLAH MENENGAH KEBANGSAAN WARISAN PUTERI</t>
  </si>
  <si>
    <t>TAMAN JUJUR 128/13/03</t>
  </si>
  <si>
    <t>SEKOLAH KEBANGSAAN SIKAMAT</t>
  </si>
  <si>
    <t>JALAN SIKAMAT 128/13/04</t>
  </si>
  <si>
    <t>SEKOLAH MENENGAH KEBANGSAAN DATO' SHEIKH AHMAD</t>
  </si>
  <si>
    <t>TAMAN DESA RHU 128/13/05</t>
  </si>
  <si>
    <t>INSTITUT PERGURUAN RAJA MELEWAR SIKAMAT</t>
  </si>
  <si>
    <t>DEWAN ORANG RAMAI SIKAMAT</t>
  </si>
  <si>
    <t>SEKOLAH MENENGAH KEBANGSAAN DATO' HAJI MOHD REDZA</t>
  </si>
  <si>
    <t>MEDAN RAHANG 128/14/01</t>
  </si>
  <si>
    <t>KOLEJ MARA SEREMBAN</t>
  </si>
  <si>
    <t>AMPANGAN 128/14/02</t>
  </si>
  <si>
    <t>SEKOLAH KEBANGSAAN KING GEORGE V SEREMBAN</t>
  </si>
  <si>
    <t>KAMPONG GEDONG LALANG 128/14/03</t>
  </si>
  <si>
    <t>KOLEJ VOKASIONAL AMPANGAN</t>
  </si>
  <si>
    <t>TAMAN DATUK SHAHBANDAR 128/14/04</t>
  </si>
  <si>
    <t>SEKOLAH KEBANGSAAN AMPANGAN</t>
  </si>
  <si>
    <t>SEKOLAH KEBANGSAAN SERI KELANA</t>
  </si>
  <si>
    <t>DUSUN NYIOR 128/14/05</t>
  </si>
  <si>
    <t>SEKOLAH KEBANGSAAN TAMAN DUSUN NYIOR</t>
  </si>
  <si>
    <t>KAMPONG JIBOI 128/14/06</t>
  </si>
  <si>
    <t>SEKOLAH MENENGAH AGAMA DATO' KLANA PETRA MAAMOR</t>
  </si>
  <si>
    <t>SEKOLAH AGAMA RAKYAT KAMPUNG BARU BLOK C AMPANGAN</t>
  </si>
  <si>
    <t>JUMLAH</t>
  </si>
  <si>
    <t>Jumlah Undi</t>
  </si>
  <si>
    <t>PH%</t>
  </si>
  <si>
    <t>PN%</t>
  </si>
  <si>
    <t>BN%</t>
  </si>
  <si>
    <t>PEJUANG%</t>
  </si>
  <si>
    <t>IND%</t>
  </si>
  <si>
    <t>koddm</t>
  </si>
  <si>
    <t>namadm</t>
  </si>
  <si>
    <t>namapusatmengundi</t>
  </si>
  <si>
    <t>nosaluran</t>
  </si>
  <si>
    <t>bumiputra</t>
  </si>
  <si>
    <t>bumiputra_sabah</t>
  </si>
  <si>
    <t>bumiputra_sarawak</t>
  </si>
  <si>
    <t>cina</t>
  </si>
  <si>
    <t>india</t>
  </si>
  <si>
    <t>lain_lain</t>
  </si>
  <si>
    <t>melayu</t>
  </si>
  <si>
    <t>orang_asli</t>
  </si>
  <si>
    <t>filename</t>
  </si>
  <si>
    <t>avg_age</t>
  </si>
  <si>
    <t>parliament_name</t>
  </si>
  <si>
    <t>1280901</t>
  </si>
  <si>
    <t>PEKAN BROGA</t>
  </si>
  <si>
    <t>128_SEREMBAN</t>
  </si>
  <si>
    <t>1280902</t>
  </si>
  <si>
    <t>ULU BERANANG</t>
  </si>
  <si>
    <t>1280903</t>
  </si>
  <si>
    <t>KAMPONG DACHING</t>
  </si>
  <si>
    <t>1280904</t>
  </si>
  <si>
    <t>KAMPONG RAWA ULU</t>
  </si>
  <si>
    <t>1280905</t>
  </si>
  <si>
    <t>LENGGENG</t>
  </si>
  <si>
    <t>1280906</t>
  </si>
  <si>
    <t>MACHANG</t>
  </si>
  <si>
    <t>POS</t>
  </si>
  <si>
    <t>1280907</t>
  </si>
  <si>
    <t>DESA SRI PANTAI</t>
  </si>
  <si>
    <t>1280908</t>
  </si>
  <si>
    <t>PANTAI</t>
  </si>
  <si>
    <t>1280909</t>
  </si>
  <si>
    <t>PANCHOR</t>
  </si>
  <si>
    <t>1281001</t>
  </si>
  <si>
    <t>NILAI</t>
  </si>
  <si>
    <t>1281002</t>
  </si>
  <si>
    <t>BATANG BENAR</t>
  </si>
  <si>
    <t>1281003</t>
  </si>
  <si>
    <t>PEKAN PAJAM</t>
  </si>
  <si>
    <t>1281004</t>
  </si>
  <si>
    <t>KAMPUNG GEBOK</t>
  </si>
  <si>
    <t>1281005</t>
  </si>
  <si>
    <t>BATU SEBELAS</t>
  </si>
  <si>
    <t>1281006</t>
  </si>
  <si>
    <t>KAMPONG BAHRU MANTIN</t>
  </si>
  <si>
    <t>1281007</t>
  </si>
  <si>
    <t>PEKAN MANTIN</t>
  </si>
  <si>
    <t>1281008</t>
  </si>
  <si>
    <t>KG ATTAP</t>
  </si>
  <si>
    <t>1281009</t>
  </si>
  <si>
    <t>MANTIN DALAM</t>
  </si>
  <si>
    <t>1281010</t>
  </si>
  <si>
    <t>BANDAR BARU NILAI</t>
  </si>
  <si>
    <t>1281101</t>
  </si>
  <si>
    <t>KG LOBAK</t>
  </si>
  <si>
    <t>1281102</t>
  </si>
  <si>
    <t>ULU TEMIANG</t>
  </si>
  <si>
    <t>1281103</t>
  </si>
  <si>
    <t>JALAN MANICKAVASAGAM</t>
  </si>
  <si>
    <t>1281104</t>
  </si>
  <si>
    <t>LOBAK</t>
  </si>
  <si>
    <t>1281105</t>
  </si>
  <si>
    <t>TAMAN TEMPLER</t>
  </si>
  <si>
    <t>1281106</t>
  </si>
  <si>
    <t>KAMPONG NEE YAN</t>
  </si>
  <si>
    <t>1281201</t>
  </si>
  <si>
    <t>TAMAN TEMIANG JAYA</t>
  </si>
  <si>
    <t>1281202</t>
  </si>
  <si>
    <t>TEMIANG</t>
  </si>
  <si>
    <t>1281203</t>
  </si>
  <si>
    <t>LIMBOK</t>
  </si>
  <si>
    <t>1281204</t>
  </si>
  <si>
    <t>JALAN YAZID AHMAD</t>
  </si>
  <si>
    <t>1281205</t>
  </si>
  <si>
    <t>JALAN HAN HUI FOONG</t>
  </si>
  <si>
    <t>1281301</t>
  </si>
  <si>
    <t>TAMAN PAROI JAYA</t>
  </si>
  <si>
    <t>1281302</t>
  </si>
  <si>
    <t>SIKAMAT</t>
  </si>
  <si>
    <t>1281303</t>
  </si>
  <si>
    <t>TAMAN JUJUR</t>
  </si>
  <si>
    <t>1281304</t>
  </si>
  <si>
    <t>JALAN SIKAMAT</t>
  </si>
  <si>
    <t>1281305</t>
  </si>
  <si>
    <t>TAMAN DESA RHU</t>
  </si>
  <si>
    <t>1281401</t>
  </si>
  <si>
    <t>MEDAN RAHANG</t>
  </si>
  <si>
    <t>1281402</t>
  </si>
  <si>
    <t>AMPANGAN</t>
  </si>
  <si>
    <t>1281403</t>
  </si>
  <si>
    <t>KAMPONG GEDONG LALANG</t>
  </si>
  <si>
    <t>1281404</t>
  </si>
  <si>
    <t>TAMAN DATUK SHAHBANDAR</t>
  </si>
  <si>
    <t>1281405</t>
  </si>
  <si>
    <t>DUSUN NYIOR</t>
  </si>
  <si>
    <t>1281406</t>
  </si>
  <si>
    <t>KAMPONG JIBOI</t>
  </si>
  <si>
    <t>M</t>
  </si>
  <si>
    <t>C</t>
  </si>
  <si>
    <t>I</t>
  </si>
  <si>
    <t>O</t>
  </si>
  <si>
    <t>#</t>
  </si>
  <si>
    <t>M%</t>
  </si>
  <si>
    <t>C%</t>
  </si>
  <si>
    <t>I%</t>
  </si>
  <si>
    <t>O%</t>
  </si>
  <si>
    <t>Avg Age</t>
  </si>
  <si>
    <t>JUMLAH POS</t>
  </si>
  <si>
    <t>PH Malay</t>
  </si>
  <si>
    <t>PN Malay</t>
  </si>
  <si>
    <t>BN Malay</t>
  </si>
  <si>
    <t>PH Chinese</t>
  </si>
  <si>
    <t>Turnout%</t>
  </si>
  <si>
    <t>UNDI AWAL</t>
  </si>
  <si>
    <t>N9</t>
  </si>
  <si>
    <t>Lenggeng</t>
  </si>
  <si>
    <t>N10</t>
  </si>
  <si>
    <t>Nilai</t>
  </si>
  <si>
    <t>N11</t>
  </si>
  <si>
    <t>Lobak</t>
  </si>
  <si>
    <t>N12</t>
  </si>
  <si>
    <t>Temiang</t>
  </si>
  <si>
    <t>N13</t>
  </si>
  <si>
    <t>Sikamat</t>
  </si>
  <si>
    <t>N14</t>
  </si>
  <si>
    <t>Ampangan</t>
  </si>
  <si>
    <t>Turnout Malay%</t>
  </si>
  <si>
    <t>Turnout Chinese%</t>
  </si>
  <si>
    <t>Turnout Indian</t>
  </si>
  <si>
    <t>PH Malay%</t>
  </si>
  <si>
    <t>PH Chinese%</t>
  </si>
  <si>
    <t>PH Indian%</t>
  </si>
  <si>
    <t>Turnout Indian%</t>
  </si>
  <si>
    <t>Turnoutn Indian%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</si>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</sst>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12" x14ac:knownFonts="1">
    <font>
      <sz val="10"/>
      <color rgb="FF000000"/>
      <name val="Times New Roman"/>
      <charset val="204"/>
    </font>
    <font>
      <b/>
      <sz val="7"/>
      <name val="Arial"/>
      <family val="2"/>
    </font>
    <font>
      <sz val="6"/>
      <name val="Arial"/>
      <family val="2"/>
    </font>
    <font>
      <sz val="8"/>
      <color rgb="FF000000"/>
      <name val="Arial"/>
      <family val="2"/>
    </font>
    <font>
      <sz val="8"/>
      <name val="Arial"/>
      <family val="2"/>
    </font>
    <font>
      <sz val="12"/>
      <color rgb="FF00000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2"/>
      <color rgb="FF000000"/>
      <name val="Arial"/>
      <family val="2"/>
    </font>
    <font>
      <b/>
      <sz val="10"/>
      <name val="Arial"/>
      <family val="2"/>
    </font>
    <font>
      <sz val="10"/>
      <color rgb="FF000000"/>
      <name val="Times New Roman"/>
      <family val="1"/>
    </font>
    <font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EEEEEE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0" fillId="0" borderId="0" applyFont="0" applyFill="0" applyBorder="0" applyAlignment="0" applyProtection="0"/>
  </cellStyleXfs>
  <cellXfs count="110">
    <xf numFmtId="0" fontId="0" fillId="0" borderId="0" xfId="0" applyAlignment="1">
      <alignment horizontal="left" vertical="top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center" wrapText="1"/>
    </xf>
    <xf numFmtId="1" fontId="3" fillId="0" borderId="1" xfId="0" applyNumberFormat="1" applyFont="1" applyBorder="1" applyAlignment="1">
      <alignment horizontal="left" vertical="top" indent="1" shrinkToFit="1"/>
    </xf>
    <xf numFmtId="0" fontId="4" fillId="0" borderId="1" xfId="0" applyFont="1" applyBorder="1" applyAlignment="1">
      <alignment horizontal="center" vertical="top" wrapText="1"/>
    </xf>
    <xf numFmtId="3" fontId="5" fillId="0" borderId="1" xfId="0" applyNumberFormat="1" applyFont="1" applyBorder="1" applyAlignment="1">
      <alignment horizontal="center" vertical="top" shrinkToFit="1"/>
    </xf>
    <xf numFmtId="1" fontId="5" fillId="0" borderId="1" xfId="0" applyNumberFormat="1" applyFont="1" applyBorder="1" applyAlignment="1">
      <alignment horizontal="center" vertical="top" shrinkToFit="1"/>
    </xf>
    <xf numFmtId="3" fontId="5" fillId="2" borderId="1" xfId="0" applyNumberFormat="1" applyFont="1" applyFill="1" applyBorder="1" applyAlignment="1">
      <alignment horizontal="center" vertical="top" shrinkToFit="1"/>
    </xf>
    <xf numFmtId="1" fontId="5" fillId="2" borderId="1" xfId="0" applyNumberFormat="1" applyFont="1" applyFill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center" wrapText="1" indent="2"/>
    </xf>
    <xf numFmtId="1" fontId="5" fillId="0" borderId="1" xfId="0" applyNumberFormat="1" applyFont="1" applyBorder="1" applyAlignment="1">
      <alignment horizontal="right" vertical="center" indent="2" shrinkToFit="1"/>
    </xf>
    <xf numFmtId="1" fontId="5" fillId="0" borderId="1" xfId="0" applyNumberFormat="1" applyFont="1" applyBorder="1" applyAlignment="1">
      <alignment horizontal="center" vertical="center" shrinkToFit="1"/>
    </xf>
    <xf numFmtId="1" fontId="5" fillId="2" borderId="1" xfId="0" applyNumberFormat="1" applyFont="1" applyFill="1" applyBorder="1" applyAlignment="1">
      <alignment horizontal="center" vertical="center" shrinkToFit="1"/>
    </xf>
    <xf numFmtId="0" fontId="4" fillId="0" borderId="1" xfId="0" applyFont="1" applyBorder="1" applyAlignment="1">
      <alignment horizontal="left" vertical="top" wrapText="1" indent="2"/>
    </xf>
    <xf numFmtId="1" fontId="5" fillId="0" borderId="1" xfId="0" applyNumberFormat="1" applyFont="1" applyBorder="1" applyAlignment="1">
      <alignment horizontal="right" vertical="top" indent="2" shrinkToFit="1"/>
    </xf>
    <xf numFmtId="1" fontId="3" fillId="0" borderId="1" xfId="0" applyNumberFormat="1" applyFont="1" applyBorder="1" applyAlignment="1">
      <alignment horizontal="left" vertical="center" indent="1" shrinkToFit="1"/>
    </xf>
    <xf numFmtId="1" fontId="5" fillId="0" borderId="1" xfId="0" applyNumberFormat="1" applyFont="1" applyBorder="1" applyAlignment="1">
      <alignment horizontal="right" vertical="top" indent="3" shrinkToFit="1"/>
    </xf>
    <xf numFmtId="1" fontId="5" fillId="0" borderId="1" xfId="0" applyNumberFormat="1" applyFont="1" applyBorder="1" applyAlignment="1">
      <alignment horizontal="left" vertical="top" indent="3" shrinkToFit="1"/>
    </xf>
    <xf numFmtId="1" fontId="5" fillId="0" borderId="1" xfId="0" applyNumberFormat="1" applyFont="1" applyBorder="1" applyAlignment="1">
      <alignment horizontal="left" vertical="top" indent="2" shrinkToFit="1"/>
    </xf>
    <xf numFmtId="1" fontId="8" fillId="2" borderId="1" xfId="0" applyNumberFormat="1" applyFont="1" applyFill="1" applyBorder="1" applyAlignment="1">
      <alignment horizontal="center" vertical="top" shrinkToFit="1"/>
    </xf>
    <xf numFmtId="3" fontId="8" fillId="2" borderId="1" xfId="0" applyNumberFormat="1" applyFont="1" applyFill="1" applyBorder="1" applyAlignment="1">
      <alignment horizontal="center" vertical="top" shrinkToFit="1"/>
    </xf>
    <xf numFmtId="0" fontId="0" fillId="0" borderId="8" xfId="0" applyBorder="1" applyAlignment="1">
      <alignment horizontal="left" vertical="top"/>
    </xf>
    <xf numFmtId="164" fontId="0" fillId="0" borderId="8" xfId="1" applyNumberFormat="1" applyFont="1" applyBorder="1" applyAlignment="1">
      <alignment horizontal="left" vertical="top"/>
    </xf>
    <xf numFmtId="0" fontId="0" fillId="0" borderId="8" xfId="0" applyBorder="1"/>
    <xf numFmtId="165" fontId="0" fillId="0" borderId="8" xfId="0" applyNumberFormat="1" applyBorder="1"/>
    <xf numFmtId="165" fontId="0" fillId="0" borderId="0" xfId="0" applyNumberFormat="1" applyAlignment="1">
      <alignment horizontal="left" vertical="top"/>
    </xf>
    <xf numFmtId="164" fontId="0" fillId="0" borderId="8" xfId="1" applyNumberFormat="1" applyFont="1" applyBorder="1"/>
    <xf numFmtId="165" fontId="0" fillId="0" borderId="8" xfId="0" applyNumberForma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164" fontId="0" fillId="0" borderId="0" xfId="1" applyNumberFormat="1" applyFont="1" applyAlignment="1">
      <alignment horizontal="left" vertical="top"/>
    </xf>
    <xf numFmtId="164" fontId="10" fillId="0" borderId="0" xfId="1" applyNumberFormat="1" applyFont="1" applyAlignment="1">
      <alignment horizontal="left" vertical="top"/>
    </xf>
    <xf numFmtId="164" fontId="0" fillId="3" borderId="0" xfId="1" applyNumberFormat="1" applyFont="1" applyFill="1" applyAlignment="1">
      <alignment horizontal="left" vertical="top"/>
    </xf>
    <xf numFmtId="0" fontId="0" fillId="4" borderId="8" xfId="0" applyFill="1" applyBorder="1" applyAlignment="1">
      <alignment horizontal="left" vertical="top"/>
    </xf>
    <xf numFmtId="164" fontId="0" fillId="4" borderId="8" xfId="1" applyNumberFormat="1" applyFont="1" applyFill="1" applyBorder="1" applyAlignment="1">
      <alignment horizontal="left" vertical="top"/>
    </xf>
    <xf numFmtId="0" fontId="0" fillId="4" borderId="8" xfId="0" applyFill="1" applyBorder="1"/>
    <xf numFmtId="164" fontId="0" fillId="4" borderId="8" xfId="1" applyNumberFormat="1" applyFont="1" applyFill="1" applyBorder="1"/>
    <xf numFmtId="165" fontId="0" fillId="4" borderId="8" xfId="0" applyNumberFormat="1" applyFill="1" applyBorder="1"/>
    <xf numFmtId="0" fontId="0" fillId="4" borderId="0" xfId="0" applyFill="1" applyAlignment="1">
      <alignment horizontal="left" vertical="top"/>
    </xf>
    <xf numFmtId="0" fontId="11" fillId="0" borderId="8" xfId="0" applyFont="1" applyBorder="1"/>
    <xf numFmtId="0" fontId="0" fillId="3" borderId="8" xfId="0" applyFill="1" applyBorder="1" applyAlignment="1">
      <alignment horizontal="left" vertical="top"/>
    </xf>
    <xf numFmtId="164" fontId="0" fillId="3" borderId="8" xfId="1" applyNumberFormat="1" applyFont="1" applyFill="1" applyBorder="1" applyAlignment="1">
      <alignment horizontal="left" vertical="top"/>
    </xf>
    <xf numFmtId="0" fontId="0" fillId="3" borderId="8" xfId="0" applyFill="1" applyBorder="1"/>
    <xf numFmtId="164" fontId="0" fillId="3" borderId="8" xfId="1" applyNumberFormat="1" applyFont="1" applyFill="1" applyBorder="1"/>
    <xf numFmtId="165" fontId="0" fillId="3" borderId="8" xfId="0" applyNumberFormat="1" applyFill="1" applyBorder="1"/>
    <xf numFmtId="0" fontId="0" fillId="5" borderId="8" xfId="0" applyFill="1" applyBorder="1" applyAlignment="1">
      <alignment horizontal="left" vertical="top"/>
    </xf>
    <xf numFmtId="164" fontId="0" fillId="5" borderId="8" xfId="1" applyNumberFormat="1" applyFont="1" applyFill="1" applyBorder="1" applyAlignment="1">
      <alignment horizontal="left" vertical="top"/>
    </xf>
    <xf numFmtId="0" fontId="0" fillId="5" borderId="8" xfId="0" applyFill="1" applyBorder="1"/>
    <xf numFmtId="164" fontId="0" fillId="5" borderId="8" xfId="1" applyNumberFormat="1" applyFont="1" applyFill="1" applyBorder="1"/>
    <xf numFmtId="165" fontId="0" fillId="5" borderId="8" xfId="0" applyNumberFormat="1" applyFill="1" applyBorder="1"/>
    <xf numFmtId="0" fontId="6" fillId="2" borderId="2" xfId="0" applyFont="1" applyFill="1" applyBorder="1" applyAlignment="1">
      <alignment horizontal="left" vertical="top" wrapText="1" indent="10"/>
    </xf>
    <xf numFmtId="0" fontId="6" fillId="2" borderId="3" xfId="0" applyFont="1" applyFill="1" applyBorder="1" applyAlignment="1">
      <alignment horizontal="left" vertical="top" wrapText="1" indent="10"/>
    </xf>
    <xf numFmtId="0" fontId="6" fillId="2" borderId="4" xfId="0" applyFont="1" applyFill="1" applyBorder="1" applyAlignment="1">
      <alignment horizontal="left" vertical="top" wrapText="1" indent="10"/>
    </xf>
    <xf numFmtId="1" fontId="3" fillId="0" borderId="5" xfId="0" applyNumberFormat="1" applyFont="1" applyBorder="1" applyAlignment="1">
      <alignment horizontal="center" vertical="center" shrinkToFit="1"/>
    </xf>
    <xf numFmtId="1" fontId="3" fillId="0" borderId="6" xfId="0" applyNumberFormat="1" applyFont="1" applyBorder="1" applyAlignment="1">
      <alignment horizontal="center" vertical="center" shrinkToFit="1"/>
    </xf>
    <xf numFmtId="1" fontId="3" fillId="0" borderId="7" xfId="0" applyNumberFormat="1" applyFont="1" applyBorder="1" applyAlignment="1">
      <alignment horizontal="center" vertical="center" shrinkToFit="1"/>
    </xf>
    <xf numFmtId="0" fontId="4" fillId="0" borderId="5" xfId="0" applyFont="1" applyBorder="1" applyAlignment="1">
      <alignment horizontal="left" vertical="center" wrapText="1" indent="1"/>
    </xf>
    <xf numFmtId="0" fontId="4" fillId="0" borderId="6" xfId="0" applyFont="1" applyBorder="1" applyAlignment="1">
      <alignment horizontal="left" vertical="center" wrapText="1" indent="1"/>
    </xf>
    <xf numFmtId="0" fontId="4" fillId="0" borderId="7" xfId="0" applyFont="1" applyBorder="1" applyAlignment="1">
      <alignment horizontal="left" vertical="center" wrapText="1" indent="1"/>
    </xf>
    <xf numFmtId="0" fontId="4" fillId="0" borderId="5" xfId="0" applyFont="1" applyBorder="1" applyAlignment="1">
      <alignment horizontal="center" vertical="top" wrapText="1"/>
    </xf>
    <xf numFmtId="0" fontId="4" fillId="0" borderId="6" xfId="0" applyFont="1" applyBorder="1" applyAlignment="1">
      <alignment horizontal="center" vertical="top" wrapText="1"/>
    </xf>
    <xf numFmtId="0" fontId="4" fillId="0" borderId="7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left" vertical="center" wrapText="1" indent="2"/>
    </xf>
    <xf numFmtId="0" fontId="4" fillId="0" borderId="7" xfId="0" applyFont="1" applyBorder="1" applyAlignment="1">
      <alignment horizontal="left" vertical="center" wrapText="1" indent="2"/>
    </xf>
    <xf numFmtId="0" fontId="4" fillId="0" borderId="5" xfId="0" applyFont="1" applyBorder="1" applyAlignment="1">
      <alignment horizontal="left" vertical="top" wrapText="1" indent="2"/>
    </xf>
    <xf numFmtId="0" fontId="4" fillId="0" borderId="6" xfId="0" applyFont="1" applyBorder="1" applyAlignment="1">
      <alignment horizontal="left" vertical="top" wrapText="1" indent="2"/>
    </xf>
    <xf numFmtId="0" fontId="4" fillId="0" borderId="7" xfId="0" applyFont="1" applyBorder="1" applyAlignment="1">
      <alignment horizontal="left" vertical="top" wrapText="1" indent="2"/>
    </xf>
    <xf numFmtId="0" fontId="0" fillId="2" borderId="2" xfId="0" applyFill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center" wrapText="1" indent="1"/>
    </xf>
    <xf numFmtId="0" fontId="1" fillId="2" borderId="6" xfId="0" applyFont="1" applyFill="1" applyBorder="1" applyAlignment="1">
      <alignment horizontal="left" vertical="center" wrapText="1" indent="1"/>
    </xf>
    <xf numFmtId="0" fontId="1" fillId="2" borderId="7" xfId="0" applyFont="1" applyFill="1" applyBorder="1" applyAlignment="1">
      <alignment horizontal="left" vertical="center" wrapText="1" indent="1"/>
    </xf>
    <xf numFmtId="0" fontId="1" fillId="2" borderId="5" xfId="0" applyFont="1" applyFill="1" applyBorder="1" applyAlignment="1">
      <alignment horizontal="center" vertical="top" wrapText="1"/>
    </xf>
    <xf numFmtId="0" fontId="1" fillId="2" borderId="6" xfId="0" applyFont="1" applyFill="1" applyBorder="1" applyAlignment="1">
      <alignment horizontal="center" vertical="top" wrapText="1"/>
    </xf>
    <xf numFmtId="0" fontId="1" fillId="2" borderId="7" xfId="0" applyFont="1" applyFill="1" applyBorder="1" applyAlignment="1">
      <alignment horizontal="center" vertical="top" wrapText="1"/>
    </xf>
    <xf numFmtId="0" fontId="0" fillId="2" borderId="5" xfId="0" applyFill="1" applyBorder="1" applyAlignment="1">
      <alignment horizontal="center" vertical="top" wrapText="1"/>
    </xf>
    <xf numFmtId="0" fontId="0" fillId="2" borderId="6" xfId="0" applyFill="1" applyBorder="1" applyAlignment="1">
      <alignment horizontal="center" vertical="top" wrapText="1"/>
    </xf>
    <xf numFmtId="0" fontId="0" fillId="2" borderId="7" xfId="0" applyFill="1" applyBorder="1" applyAlignment="1">
      <alignment horizontal="center" vertical="top" wrapText="1"/>
    </xf>
    <xf numFmtId="0" fontId="0" fillId="2" borderId="2" xfId="0" applyFill="1" applyBorder="1" applyAlignment="1">
      <alignment horizontal="center" vertical="top" wrapText="1"/>
    </xf>
    <xf numFmtId="0" fontId="0" fillId="2" borderId="3" xfId="0" applyFill="1" applyBorder="1" applyAlignment="1">
      <alignment horizontal="center" vertical="top" wrapText="1"/>
    </xf>
    <xf numFmtId="0" fontId="0" fillId="2" borderId="4" xfId="0" applyFill="1" applyBorder="1" applyAlignment="1">
      <alignment horizontal="center" vertical="top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1" fontId="3" fillId="0" borderId="5" xfId="0" applyNumberFormat="1" applyFont="1" applyBorder="1" applyAlignment="1">
      <alignment horizontal="left" vertical="center" indent="1" shrinkToFit="1"/>
    </xf>
    <xf numFmtId="1" fontId="3" fillId="0" borderId="6" xfId="0" applyNumberFormat="1" applyFont="1" applyBorder="1" applyAlignment="1">
      <alignment horizontal="left" vertical="center" indent="1" shrinkToFit="1"/>
    </xf>
    <xf numFmtId="1" fontId="3" fillId="0" borderId="7" xfId="0" applyNumberFormat="1" applyFont="1" applyBorder="1" applyAlignment="1">
      <alignment horizontal="left" vertical="center" indent="1" shrinkToFit="1"/>
    </xf>
    <xf numFmtId="0" fontId="4" fillId="0" borderId="6" xfId="0" applyFont="1" applyBorder="1" applyAlignment="1">
      <alignment horizontal="left" vertical="center" wrapText="1" indent="2"/>
    </xf>
    <xf numFmtId="0" fontId="4" fillId="0" borderId="5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0" fillId="0" borderId="5" xfId="0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 indent="3"/>
    </xf>
    <xf numFmtId="0" fontId="4" fillId="0" borderId="7" xfId="0" applyFont="1" applyBorder="1" applyAlignment="1">
      <alignment horizontal="left" vertical="top" wrapText="1" indent="3"/>
    </xf>
    <xf numFmtId="0" fontId="7" fillId="2" borderId="2" xfId="0" applyFont="1" applyFill="1" applyBorder="1" applyAlignment="1">
      <alignment horizontal="center" vertical="top" wrapText="1"/>
    </xf>
    <xf numFmtId="0" fontId="7" fillId="2" borderId="3" xfId="0" applyFont="1" applyFill="1" applyBorder="1" applyAlignment="1">
      <alignment horizontal="center" vertical="top" wrapText="1"/>
    </xf>
    <xf numFmtId="0" fontId="7" fillId="2" borderId="4" xfId="0" applyFont="1" applyFill="1" applyBorder="1" applyAlignment="1">
      <alignment horizontal="center" vertical="top" wrapText="1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PH% vs Malay% P128 Seremban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7.5326334208223975E-2"/>
                  <c:y val="-0.45617016622922135"/>
                </c:manualLayout>
              </c:layout>
              <c:numFmt formatCode="General" sourceLinked="0"/>
              <c:spPr>
                <a:solidFill>
                  <a:schemeClr val="bg1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RaceWorksheet!$K$2:$K$280</c:f>
              <c:numCache>
                <c:formatCode>0.0%</c:formatCode>
                <c:ptCount val="279"/>
                <c:pt idx="0">
                  <c:v>0.20666666666666667</c:v>
                </c:pt>
                <c:pt idx="1">
                  <c:v>0.22546972860125261</c:v>
                </c:pt>
                <c:pt idx="2">
                  <c:v>0.34029227557411273</c:v>
                </c:pt>
                <c:pt idx="3">
                  <c:v>0.3888888888888889</c:v>
                </c:pt>
                <c:pt idx="4">
                  <c:v>0.37555555555555553</c:v>
                </c:pt>
                <c:pt idx="5">
                  <c:v>0.44346549192364171</c:v>
                </c:pt>
                <c:pt idx="6">
                  <c:v>0.6217008797653959</c:v>
                </c:pt>
                <c:pt idx="7">
                  <c:v>0.8666666666666667</c:v>
                </c:pt>
                <c:pt idx="8">
                  <c:v>0.93594306049822062</c:v>
                </c:pt>
                <c:pt idx="9">
                  <c:v>0.98223801065719363</c:v>
                </c:pt>
                <c:pt idx="10">
                  <c:v>0.96888888888888891</c:v>
                </c:pt>
                <c:pt idx="11">
                  <c:v>0.97844112769485903</c:v>
                </c:pt>
                <c:pt idx="12">
                  <c:v>0.97512437810945274</c:v>
                </c:pt>
                <c:pt idx="13">
                  <c:v>0.78222222222222226</c:v>
                </c:pt>
                <c:pt idx="14">
                  <c:v>0.84538152610441764</c:v>
                </c:pt>
                <c:pt idx="15">
                  <c:v>0.98666666666666669</c:v>
                </c:pt>
                <c:pt idx="16">
                  <c:v>0.989247311827957</c:v>
                </c:pt>
                <c:pt idx="17">
                  <c:v>0.9946236559139785</c:v>
                </c:pt>
                <c:pt idx="18">
                  <c:v>1</c:v>
                </c:pt>
                <c:pt idx="19">
                  <c:v>0.84</c:v>
                </c:pt>
                <c:pt idx="20">
                  <c:v>0.77436823104693142</c:v>
                </c:pt>
                <c:pt idx="21">
                  <c:v>0.69133574007220222</c:v>
                </c:pt>
                <c:pt idx="22">
                  <c:v>0.79819819819819815</c:v>
                </c:pt>
                <c:pt idx="23">
                  <c:v>0.84324324324324329</c:v>
                </c:pt>
                <c:pt idx="24">
                  <c:v>0.5993975903614458</c:v>
                </c:pt>
                <c:pt idx="25">
                  <c:v>0.73873873873873874</c:v>
                </c:pt>
                <c:pt idx="26">
                  <c:v>0.30444444444444446</c:v>
                </c:pt>
                <c:pt idx="27">
                  <c:v>0.43111111111111111</c:v>
                </c:pt>
                <c:pt idx="28">
                  <c:v>0.5244122965641953</c:v>
                </c:pt>
                <c:pt idx="29">
                  <c:v>0.75090252707581229</c:v>
                </c:pt>
                <c:pt idx="30">
                  <c:v>0.8267148014440433</c:v>
                </c:pt>
                <c:pt idx="31">
                  <c:v>0.83777777777777773</c:v>
                </c:pt>
                <c:pt idx="32">
                  <c:v>0.93333333333333335</c:v>
                </c:pt>
                <c:pt idx="33">
                  <c:v>0.87777777777777777</c:v>
                </c:pt>
                <c:pt idx="34">
                  <c:v>0.83410138248847931</c:v>
                </c:pt>
                <c:pt idx="35">
                  <c:v>0.89247311827956988</c:v>
                </c:pt>
                <c:pt idx="36">
                  <c:v>0.96006144393241166</c:v>
                </c:pt>
                <c:pt idx="37">
                  <c:v>0.956989247311828</c:v>
                </c:pt>
                <c:pt idx="38">
                  <c:v>0.96159754224270355</c:v>
                </c:pt>
                <c:pt idx="39">
                  <c:v>0.94478527607361962</c:v>
                </c:pt>
                <c:pt idx="40">
                  <c:v>0.94171779141104295</c:v>
                </c:pt>
                <c:pt idx="41">
                  <c:v>0.70666666666666667</c:v>
                </c:pt>
                <c:pt idx="42">
                  <c:v>0.80444444444444441</c:v>
                </c:pt>
                <c:pt idx="43">
                  <c:v>0.73022598870056499</c:v>
                </c:pt>
                <c:pt idx="44">
                  <c:v>0.69209039548022599</c:v>
                </c:pt>
                <c:pt idx="45">
                  <c:v>0.79519774011299438</c:v>
                </c:pt>
                <c:pt idx="46">
                  <c:v>0.83757062146892658</c:v>
                </c:pt>
                <c:pt idx="47">
                  <c:v>0.86741889985895626</c:v>
                </c:pt>
                <c:pt idx="48">
                  <c:v>0.86318758815232721</c:v>
                </c:pt>
                <c:pt idx="49">
                  <c:v>0.25555555555555554</c:v>
                </c:pt>
                <c:pt idx="50">
                  <c:v>0.29113924050632911</c:v>
                </c:pt>
                <c:pt idx="51">
                  <c:v>0.41561181434599154</c:v>
                </c:pt>
                <c:pt idx="52">
                  <c:v>0.44</c:v>
                </c:pt>
                <c:pt idx="53">
                  <c:v>0.16888888888888889</c:v>
                </c:pt>
                <c:pt idx="54">
                  <c:v>0.35451505016722407</c:v>
                </c:pt>
                <c:pt idx="55">
                  <c:v>0.43311036789297658</c:v>
                </c:pt>
                <c:pt idx="56">
                  <c:v>0.62876254180602009</c:v>
                </c:pt>
                <c:pt idx="57">
                  <c:v>0.77629382303839733</c:v>
                </c:pt>
                <c:pt idx="58">
                  <c:v>0.50666666666666671</c:v>
                </c:pt>
                <c:pt idx="59">
                  <c:v>0.5377777777777778</c:v>
                </c:pt>
                <c:pt idx="60">
                  <c:v>0.57602339181286555</c:v>
                </c:pt>
                <c:pt idx="61">
                  <c:v>0.67836257309941517</c:v>
                </c:pt>
                <c:pt idx="62">
                  <c:v>0.76934306569343069</c:v>
                </c:pt>
                <c:pt idx="63">
                  <c:v>4.4444444444444446E-2</c:v>
                </c:pt>
                <c:pt idx="64">
                  <c:v>0.11015490533562823</c:v>
                </c:pt>
                <c:pt idx="65">
                  <c:v>0.36144578313253012</c:v>
                </c:pt>
                <c:pt idx="66">
                  <c:v>0.56666666666666665</c:v>
                </c:pt>
                <c:pt idx="67">
                  <c:v>0.78090766823161184</c:v>
                </c:pt>
                <c:pt idx="68">
                  <c:v>0.82316118935837246</c:v>
                </c:pt>
                <c:pt idx="69">
                  <c:v>0.18</c:v>
                </c:pt>
                <c:pt idx="70">
                  <c:v>0.42398884239888424</c:v>
                </c:pt>
                <c:pt idx="71">
                  <c:v>0.75766016713091922</c:v>
                </c:pt>
                <c:pt idx="72">
                  <c:v>2.5000000000000001E-2</c:v>
                </c:pt>
                <c:pt idx="73">
                  <c:v>4.0178571428571432E-2</c:v>
                </c:pt>
                <c:pt idx="74">
                  <c:v>6.9196428571428575E-2</c:v>
                </c:pt>
                <c:pt idx="75">
                  <c:v>6.25E-2</c:v>
                </c:pt>
                <c:pt idx="76">
                  <c:v>0.10249999999999999</c:v>
                </c:pt>
                <c:pt idx="77">
                  <c:v>8.3732057416267949E-2</c:v>
                </c:pt>
                <c:pt idx="78">
                  <c:v>0.1674641148325359</c:v>
                </c:pt>
                <c:pt idx="79">
                  <c:v>8.4444444444444447E-2</c:v>
                </c:pt>
                <c:pt idx="80">
                  <c:v>9.1111111111111115E-2</c:v>
                </c:pt>
                <c:pt idx="81">
                  <c:v>0.10222222222222223</c:v>
                </c:pt>
                <c:pt idx="82">
                  <c:v>0.10964912280701754</c:v>
                </c:pt>
                <c:pt idx="83">
                  <c:v>0.16081871345029239</c:v>
                </c:pt>
                <c:pt idx="84">
                  <c:v>0.16959064327485379</c:v>
                </c:pt>
                <c:pt idx="85">
                  <c:v>0.26608187134502925</c:v>
                </c:pt>
                <c:pt idx="86">
                  <c:v>0.23555555555555555</c:v>
                </c:pt>
                <c:pt idx="87">
                  <c:v>0.15641476274165203</c:v>
                </c:pt>
                <c:pt idx="88">
                  <c:v>0.23198594024604569</c:v>
                </c:pt>
                <c:pt idx="89">
                  <c:v>0.25483304042179261</c:v>
                </c:pt>
                <c:pt idx="90">
                  <c:v>5.3333333333333337E-2</c:v>
                </c:pt>
                <c:pt idx="91">
                  <c:v>0.10444444444444445</c:v>
                </c:pt>
                <c:pt idx="92">
                  <c:v>0.12382234185733512</c:v>
                </c:pt>
                <c:pt idx="93">
                  <c:v>0.22715053763440859</c:v>
                </c:pt>
                <c:pt idx="94">
                  <c:v>0.87777777777777777</c:v>
                </c:pt>
                <c:pt idx="95">
                  <c:v>0.76672694394213381</c:v>
                </c:pt>
                <c:pt idx="96">
                  <c:v>0.83363471971066905</c:v>
                </c:pt>
                <c:pt idx="97">
                  <c:v>0.8666666666666667</c:v>
                </c:pt>
                <c:pt idx="98">
                  <c:v>0.46888888888888891</c:v>
                </c:pt>
                <c:pt idx="99">
                  <c:v>0.51466275659824046</c:v>
                </c:pt>
                <c:pt idx="100">
                  <c:v>0.51466275659824046</c:v>
                </c:pt>
                <c:pt idx="101">
                  <c:v>0.55425219941348969</c:v>
                </c:pt>
                <c:pt idx="102">
                  <c:v>0.59677419354838712</c:v>
                </c:pt>
                <c:pt idx="103">
                  <c:v>0.63049853372434017</c:v>
                </c:pt>
                <c:pt idx="104">
                  <c:v>0.66812865497076024</c:v>
                </c:pt>
                <c:pt idx="105">
                  <c:v>0.5</c:v>
                </c:pt>
                <c:pt idx="106">
                  <c:v>0.52888888888888885</c:v>
                </c:pt>
                <c:pt idx="107">
                  <c:v>0.50909090909090904</c:v>
                </c:pt>
                <c:pt idx="108">
                  <c:v>0.54405594405594404</c:v>
                </c:pt>
                <c:pt idx="109">
                  <c:v>0.62937062937062938</c:v>
                </c:pt>
                <c:pt idx="110">
                  <c:v>0.6685314685314685</c:v>
                </c:pt>
                <c:pt idx="111">
                  <c:v>0.73463687150837986</c:v>
                </c:pt>
                <c:pt idx="112">
                  <c:v>0.76117318435754189</c:v>
                </c:pt>
                <c:pt idx="113">
                  <c:v>0.36444444444444446</c:v>
                </c:pt>
                <c:pt idx="114">
                  <c:v>0.47333333333333333</c:v>
                </c:pt>
                <c:pt idx="115">
                  <c:v>0.53868613138686128</c:v>
                </c:pt>
                <c:pt idx="116">
                  <c:v>0.54598540145985397</c:v>
                </c:pt>
                <c:pt idx="117">
                  <c:v>0.63065693430656933</c:v>
                </c:pt>
                <c:pt idx="118">
                  <c:v>0.66277372262773726</c:v>
                </c:pt>
                <c:pt idx="119">
                  <c:v>0.76496350364963506</c:v>
                </c:pt>
                <c:pt idx="120">
                  <c:v>0.10444444444444445</c:v>
                </c:pt>
                <c:pt idx="121">
                  <c:v>0.14000000000000001</c:v>
                </c:pt>
                <c:pt idx="122">
                  <c:v>7.6799999999999993E-2</c:v>
                </c:pt>
                <c:pt idx="123">
                  <c:v>6.5600000000000006E-2</c:v>
                </c:pt>
                <c:pt idx="124">
                  <c:v>8.9599999999999999E-2</c:v>
                </c:pt>
                <c:pt idx="125">
                  <c:v>0.18240000000000001</c:v>
                </c:pt>
                <c:pt idx="126">
                  <c:v>0.20960000000000001</c:v>
                </c:pt>
                <c:pt idx="127">
                  <c:v>8.8888888888888889E-3</c:v>
                </c:pt>
                <c:pt idx="128">
                  <c:v>4.4444444444444444E-3</c:v>
                </c:pt>
                <c:pt idx="129">
                  <c:v>1.5555555555555555E-2</c:v>
                </c:pt>
                <c:pt idx="130">
                  <c:v>3.6395147313691506E-2</c:v>
                </c:pt>
                <c:pt idx="131">
                  <c:v>4.5060658578856154E-2</c:v>
                </c:pt>
                <c:pt idx="132">
                  <c:v>2.4263431542461005E-2</c:v>
                </c:pt>
                <c:pt idx="133">
                  <c:v>6.2391681109185443E-2</c:v>
                </c:pt>
                <c:pt idx="134">
                  <c:v>6.9324090121317156E-2</c:v>
                </c:pt>
                <c:pt idx="135">
                  <c:v>5.0173010380622836E-2</c:v>
                </c:pt>
                <c:pt idx="136">
                  <c:v>1.7777777777777778E-2</c:v>
                </c:pt>
                <c:pt idx="137">
                  <c:v>1.3333333333333334E-2</c:v>
                </c:pt>
                <c:pt idx="138">
                  <c:v>6.6666666666666671E-3</c:v>
                </c:pt>
                <c:pt idx="139">
                  <c:v>2.6041666666666668E-2</c:v>
                </c:pt>
                <c:pt idx="140">
                  <c:v>5.7192374350086658E-2</c:v>
                </c:pt>
                <c:pt idx="141">
                  <c:v>3.111111111111111E-2</c:v>
                </c:pt>
                <c:pt idx="142">
                  <c:v>0.02</c:v>
                </c:pt>
                <c:pt idx="143">
                  <c:v>0.02</c:v>
                </c:pt>
                <c:pt idx="144">
                  <c:v>3.6061026352288486E-2</c:v>
                </c:pt>
                <c:pt idx="145">
                  <c:v>5.5478502080443831E-2</c:v>
                </c:pt>
                <c:pt idx="146">
                  <c:v>6.9348127600554782E-2</c:v>
                </c:pt>
                <c:pt idx="147">
                  <c:v>7.3407202216066489E-2</c:v>
                </c:pt>
                <c:pt idx="148">
                  <c:v>1.7777777777777778E-2</c:v>
                </c:pt>
                <c:pt idx="149">
                  <c:v>6.6666666666666671E-3</c:v>
                </c:pt>
                <c:pt idx="150">
                  <c:v>1.7777777777777778E-2</c:v>
                </c:pt>
                <c:pt idx="151">
                  <c:v>8.7912087912087912E-3</c:v>
                </c:pt>
                <c:pt idx="152">
                  <c:v>2.34375E-2</c:v>
                </c:pt>
                <c:pt idx="153">
                  <c:v>3.90625E-2</c:v>
                </c:pt>
                <c:pt idx="154">
                  <c:v>4.8828125E-2</c:v>
                </c:pt>
                <c:pt idx="155">
                  <c:v>0.109375</c:v>
                </c:pt>
                <c:pt idx="156">
                  <c:v>1.7777777777777778E-2</c:v>
                </c:pt>
                <c:pt idx="157">
                  <c:v>1.1111111111111112E-2</c:v>
                </c:pt>
                <c:pt idx="158">
                  <c:v>0.04</c:v>
                </c:pt>
                <c:pt idx="159">
                  <c:v>2.2580645161290321E-2</c:v>
                </c:pt>
                <c:pt idx="160">
                  <c:v>5.6451612903225805E-2</c:v>
                </c:pt>
                <c:pt idx="161">
                  <c:v>5.6451612903225805E-2</c:v>
                </c:pt>
                <c:pt idx="162">
                  <c:v>5.4838709677419356E-2</c:v>
                </c:pt>
                <c:pt idx="163">
                  <c:v>0.51111111111111107</c:v>
                </c:pt>
                <c:pt idx="164">
                  <c:v>0.52888888888888885</c:v>
                </c:pt>
                <c:pt idx="165">
                  <c:v>0.48930481283422461</c:v>
                </c:pt>
                <c:pt idx="166">
                  <c:v>0.65374331550802134</c:v>
                </c:pt>
                <c:pt idx="167">
                  <c:v>0.6568758344459279</c:v>
                </c:pt>
                <c:pt idx="168">
                  <c:v>0.70761014686248336</c:v>
                </c:pt>
                <c:pt idx="169">
                  <c:v>0.18222222222222223</c:v>
                </c:pt>
                <c:pt idx="170">
                  <c:v>0.12444444444444444</c:v>
                </c:pt>
                <c:pt idx="171">
                  <c:v>0.1431159420289855</c:v>
                </c:pt>
                <c:pt idx="172">
                  <c:v>0.189873417721519</c:v>
                </c:pt>
                <c:pt idx="173">
                  <c:v>0.24593128390596744</c:v>
                </c:pt>
                <c:pt idx="174">
                  <c:v>0.35081374321880648</c:v>
                </c:pt>
                <c:pt idx="175">
                  <c:v>0.4267631103074141</c:v>
                </c:pt>
                <c:pt idx="176">
                  <c:v>0.44665461121157324</c:v>
                </c:pt>
                <c:pt idx="177">
                  <c:v>1.1111111111111112E-2</c:v>
                </c:pt>
                <c:pt idx="178">
                  <c:v>1.5555555555555555E-2</c:v>
                </c:pt>
                <c:pt idx="179">
                  <c:v>5.0746268656716415E-2</c:v>
                </c:pt>
                <c:pt idx="180">
                  <c:v>0.34888888888888892</c:v>
                </c:pt>
                <c:pt idx="181">
                  <c:v>0.44427480916030532</c:v>
                </c:pt>
                <c:pt idx="182">
                  <c:v>0.12037037037037036</c:v>
                </c:pt>
                <c:pt idx="183">
                  <c:v>0.1875</c:v>
                </c:pt>
                <c:pt idx="184">
                  <c:v>0.38425925925925924</c:v>
                </c:pt>
                <c:pt idx="185">
                  <c:v>0.98</c:v>
                </c:pt>
                <c:pt idx="186">
                  <c:v>0.98474945533769065</c:v>
                </c:pt>
                <c:pt idx="187">
                  <c:v>0.9956521739130435</c:v>
                </c:pt>
                <c:pt idx="188">
                  <c:v>0.99782608695652175</c:v>
                </c:pt>
                <c:pt idx="189">
                  <c:v>0.85777777777777775</c:v>
                </c:pt>
                <c:pt idx="190">
                  <c:v>0.9244444444444444</c:v>
                </c:pt>
                <c:pt idx="191">
                  <c:v>0.9244444444444444</c:v>
                </c:pt>
                <c:pt idx="192">
                  <c:v>0.91551459293394777</c:v>
                </c:pt>
                <c:pt idx="193">
                  <c:v>0.92944785276073616</c:v>
                </c:pt>
                <c:pt idx="194">
                  <c:v>0.94478527607361962</c:v>
                </c:pt>
                <c:pt idx="195">
                  <c:v>0.96165644171779141</c:v>
                </c:pt>
                <c:pt idx="196">
                  <c:v>0.97085889570552142</c:v>
                </c:pt>
                <c:pt idx="197">
                  <c:v>0.19333333333333333</c:v>
                </c:pt>
                <c:pt idx="198">
                  <c:v>0.25333333333333335</c:v>
                </c:pt>
                <c:pt idx="199">
                  <c:v>0.21864951768488747</c:v>
                </c:pt>
                <c:pt idx="200">
                  <c:v>0.30546623794212219</c:v>
                </c:pt>
                <c:pt idx="201">
                  <c:v>0.50482315112540188</c:v>
                </c:pt>
                <c:pt idx="202">
                  <c:v>0.74</c:v>
                </c:pt>
                <c:pt idx="203">
                  <c:v>0.79555555555555557</c:v>
                </c:pt>
                <c:pt idx="204">
                  <c:v>0.77725118483412325</c:v>
                </c:pt>
                <c:pt idx="205">
                  <c:v>0.80410742496050558</c:v>
                </c:pt>
                <c:pt idx="206">
                  <c:v>0.84360189573459721</c:v>
                </c:pt>
                <c:pt idx="207">
                  <c:v>0.87697160883280756</c:v>
                </c:pt>
                <c:pt idx="208">
                  <c:v>0.89905362776025233</c:v>
                </c:pt>
                <c:pt idx="209">
                  <c:v>0.3288888888888889</c:v>
                </c:pt>
                <c:pt idx="210">
                  <c:v>0.48</c:v>
                </c:pt>
                <c:pt idx="211">
                  <c:v>0.47597597597597596</c:v>
                </c:pt>
                <c:pt idx="212">
                  <c:v>0.45645645645645644</c:v>
                </c:pt>
                <c:pt idx="213">
                  <c:v>0.51651651651651653</c:v>
                </c:pt>
                <c:pt idx="214">
                  <c:v>0.56906906906906907</c:v>
                </c:pt>
                <c:pt idx="215">
                  <c:v>0.64264264264264259</c:v>
                </c:pt>
                <c:pt idx="216">
                  <c:v>0.65217391304347827</c:v>
                </c:pt>
                <c:pt idx="217">
                  <c:v>0.71664167916041976</c:v>
                </c:pt>
                <c:pt idx="218">
                  <c:v>0.58444444444444443</c:v>
                </c:pt>
                <c:pt idx="219">
                  <c:v>0.60222222222222221</c:v>
                </c:pt>
                <c:pt idx="220">
                  <c:v>0.62880324543610544</c:v>
                </c:pt>
                <c:pt idx="221">
                  <c:v>0.69776876267748478</c:v>
                </c:pt>
                <c:pt idx="222">
                  <c:v>0.82186234817813764</c:v>
                </c:pt>
                <c:pt idx="223">
                  <c:v>0.82793522267206476</c:v>
                </c:pt>
                <c:pt idx="224">
                  <c:v>0.62444444444444447</c:v>
                </c:pt>
                <c:pt idx="225">
                  <c:v>0.66355140186915884</c:v>
                </c:pt>
                <c:pt idx="226">
                  <c:v>0.62082777036048065</c:v>
                </c:pt>
                <c:pt idx="227">
                  <c:v>0.69025367156208273</c:v>
                </c:pt>
                <c:pt idx="228">
                  <c:v>0.75834445927903871</c:v>
                </c:pt>
                <c:pt idx="229">
                  <c:v>0.90666666666666662</c:v>
                </c:pt>
                <c:pt idx="230">
                  <c:v>0.89111111111111108</c:v>
                </c:pt>
                <c:pt idx="231">
                  <c:v>0.88153846153846149</c:v>
                </c:pt>
                <c:pt idx="232">
                  <c:v>0.91230769230769226</c:v>
                </c:pt>
                <c:pt idx="233">
                  <c:v>0.9061538461538462</c:v>
                </c:pt>
                <c:pt idx="234">
                  <c:v>0.91846153846153844</c:v>
                </c:pt>
                <c:pt idx="235">
                  <c:v>0.94316436251920122</c:v>
                </c:pt>
                <c:pt idx="236">
                  <c:v>0.48</c:v>
                </c:pt>
                <c:pt idx="237">
                  <c:v>0.4351145038167939</c:v>
                </c:pt>
                <c:pt idx="238">
                  <c:v>0.58931297709923669</c:v>
                </c:pt>
                <c:pt idx="239">
                  <c:v>0.71145038167938934</c:v>
                </c:pt>
                <c:pt idx="240">
                  <c:v>0.15777777777777777</c:v>
                </c:pt>
                <c:pt idx="241">
                  <c:v>0.24666666666666667</c:v>
                </c:pt>
                <c:pt idx="242">
                  <c:v>0.26819126819126821</c:v>
                </c:pt>
                <c:pt idx="243">
                  <c:v>0.35550935550935553</c:v>
                </c:pt>
                <c:pt idx="244">
                  <c:v>0.88222222222222224</c:v>
                </c:pt>
                <c:pt idx="245">
                  <c:v>0.9244444444444444</c:v>
                </c:pt>
                <c:pt idx="246">
                  <c:v>0.94127806563039729</c:v>
                </c:pt>
                <c:pt idx="247">
                  <c:v>0.96034482758620687</c:v>
                </c:pt>
                <c:pt idx="248">
                  <c:v>0.96444444444444444</c:v>
                </c:pt>
                <c:pt idx="249">
                  <c:v>0.98</c:v>
                </c:pt>
                <c:pt idx="250">
                  <c:v>0.97234352256186318</c:v>
                </c:pt>
                <c:pt idx="251">
                  <c:v>0.99126637554585151</c:v>
                </c:pt>
                <c:pt idx="252">
                  <c:v>0.99272197962154296</c:v>
                </c:pt>
                <c:pt idx="253">
                  <c:v>0.98835516739446871</c:v>
                </c:pt>
                <c:pt idx="254">
                  <c:v>0.9941860465116279</c:v>
                </c:pt>
                <c:pt idx="255">
                  <c:v>0.94444444444444442</c:v>
                </c:pt>
                <c:pt idx="256">
                  <c:v>0.93956043956043955</c:v>
                </c:pt>
                <c:pt idx="257">
                  <c:v>0.9285714285714286</c:v>
                </c:pt>
                <c:pt idx="258">
                  <c:v>0.92335766423357668</c:v>
                </c:pt>
                <c:pt idx="259">
                  <c:v>0.6</c:v>
                </c:pt>
                <c:pt idx="260">
                  <c:v>0.46</c:v>
                </c:pt>
                <c:pt idx="261">
                  <c:v>0.35140562248995982</c:v>
                </c:pt>
                <c:pt idx="262">
                  <c:v>0.4408817635270541</c:v>
                </c:pt>
                <c:pt idx="263">
                  <c:v>0.4909819639278557</c:v>
                </c:pt>
                <c:pt idx="264">
                  <c:v>0.5531062124248497</c:v>
                </c:pt>
                <c:pt idx="265">
                  <c:v>0.34</c:v>
                </c:pt>
                <c:pt idx="266">
                  <c:v>0.33555555555555555</c:v>
                </c:pt>
                <c:pt idx="267">
                  <c:v>0.47333333333333333</c:v>
                </c:pt>
                <c:pt idx="268">
                  <c:v>0.52753108348134992</c:v>
                </c:pt>
                <c:pt idx="269">
                  <c:v>0.5968028419182948</c:v>
                </c:pt>
                <c:pt idx="270">
                  <c:v>0.61634103019538189</c:v>
                </c:pt>
                <c:pt idx="271">
                  <c:v>0.69680851063829785</c:v>
                </c:pt>
                <c:pt idx="272">
                  <c:v>0.97333333333333338</c:v>
                </c:pt>
                <c:pt idx="273">
                  <c:v>0.98788927335640142</c:v>
                </c:pt>
                <c:pt idx="274">
                  <c:v>0.85777777777777775</c:v>
                </c:pt>
                <c:pt idx="275">
                  <c:v>0.88888888888888884</c:v>
                </c:pt>
                <c:pt idx="276">
                  <c:v>0.91876750700280108</c:v>
                </c:pt>
                <c:pt idx="277">
                  <c:v>0.95938375350140059</c:v>
                </c:pt>
                <c:pt idx="278">
                  <c:v>0.98319327731092432</c:v>
                </c:pt>
              </c:numCache>
            </c:numRef>
          </c:xVal>
          <c:yVal>
            <c:numRef>
              <c:f>RaceWorksheet!$A$2:$A$280</c:f>
              <c:numCache>
                <c:formatCode>0.0%</c:formatCode>
                <c:ptCount val="279"/>
                <c:pt idx="0">
                  <c:v>0.64066852367688021</c:v>
                </c:pt>
                <c:pt idx="1">
                  <c:v>0.70351758793969854</c:v>
                </c:pt>
                <c:pt idx="2">
                  <c:v>0.65151515151515149</c:v>
                </c:pt>
                <c:pt idx="3">
                  <c:v>0.44551282051282054</c:v>
                </c:pt>
                <c:pt idx="4">
                  <c:v>0.46022727272727271</c:v>
                </c:pt>
                <c:pt idx="5">
                  <c:v>0.41330645161290325</c:v>
                </c:pt>
                <c:pt idx="6">
                  <c:v>0.36093418259023352</c:v>
                </c:pt>
                <c:pt idx="7">
                  <c:v>0.1876750700280112</c:v>
                </c:pt>
                <c:pt idx="8">
                  <c:v>0.16142557651991615</c:v>
                </c:pt>
                <c:pt idx="9">
                  <c:v>0.17558886509635974</c:v>
                </c:pt>
                <c:pt idx="10">
                  <c:v>0.12680115273775217</c:v>
                </c:pt>
                <c:pt idx="11">
                  <c:v>0.16666666666666666</c:v>
                </c:pt>
                <c:pt idx="12">
                  <c:v>0.1194331983805668</c:v>
                </c:pt>
                <c:pt idx="13">
                  <c:v>0.31321839080459768</c:v>
                </c:pt>
                <c:pt idx="14">
                  <c:v>0.26030927835051548</c:v>
                </c:pt>
                <c:pt idx="15">
                  <c:v>0.11178247734138973</c:v>
                </c:pt>
                <c:pt idx="16">
                  <c:v>0.17782426778242677</c:v>
                </c:pt>
                <c:pt idx="17">
                  <c:v>0.13053613053613053</c:v>
                </c:pt>
                <c:pt idx="18">
                  <c:v>0.14767932489451477</c:v>
                </c:pt>
                <c:pt idx="19">
                  <c:v>0.24773413897280966</c:v>
                </c:pt>
                <c:pt idx="20">
                  <c:v>0.28199566160520606</c:v>
                </c:pt>
                <c:pt idx="21">
                  <c:v>0.28162291169451076</c:v>
                </c:pt>
                <c:pt idx="22">
                  <c:v>0.23741007194244604</c:v>
                </c:pt>
                <c:pt idx="23">
                  <c:v>0.28103044496487117</c:v>
                </c:pt>
                <c:pt idx="24">
                  <c:v>0.40160642570281124</c:v>
                </c:pt>
                <c:pt idx="25">
                  <c:v>0.3203125</c:v>
                </c:pt>
                <c:pt idx="26">
                  <c:v>0.24148606811145512</c:v>
                </c:pt>
                <c:pt idx="27">
                  <c:v>0.20259740259740261</c:v>
                </c:pt>
                <c:pt idx="28">
                  <c:v>0.27918781725888325</c:v>
                </c:pt>
                <c:pt idx="29">
                  <c:v>0.27932960893854747</c:v>
                </c:pt>
                <c:pt idx="30">
                  <c:v>0.19801980198019803</c:v>
                </c:pt>
                <c:pt idx="31">
                  <c:v>0.20321931589537223</c:v>
                </c:pt>
                <c:pt idx="32">
                  <c:v>0.25887265135699372</c:v>
                </c:pt>
                <c:pt idx="33">
                  <c:v>0.31225296442687744</c:v>
                </c:pt>
                <c:pt idx="34">
                  <c:v>0.36822429906542054</c:v>
                </c:pt>
                <c:pt idx="35">
                  <c:v>0.2966252220248668</c:v>
                </c:pt>
                <c:pt idx="36">
                  <c:v>0.31626506024096385</c:v>
                </c:pt>
                <c:pt idx="37">
                  <c:v>0.33064516129032256</c:v>
                </c:pt>
                <c:pt idx="38">
                  <c:v>0.33675213675213678</c:v>
                </c:pt>
                <c:pt idx="39">
                  <c:v>0.40227703984819735</c:v>
                </c:pt>
                <c:pt idx="40">
                  <c:v>0.33643122676579923</c:v>
                </c:pt>
                <c:pt idx="41">
                  <c:v>0.39761092150170646</c:v>
                </c:pt>
                <c:pt idx="42">
                  <c:v>0.41638225255972694</c:v>
                </c:pt>
                <c:pt idx="43">
                  <c:v>0.3294314381270903</c:v>
                </c:pt>
                <c:pt idx="44">
                  <c:v>0.67341040462427748</c:v>
                </c:pt>
                <c:pt idx="45">
                  <c:v>0.59452054794520548</c:v>
                </c:pt>
                <c:pt idx="46">
                  <c:v>0.57272727272727275</c:v>
                </c:pt>
                <c:pt idx="47">
                  <c:v>0.44680851063829785</c:v>
                </c:pt>
                <c:pt idx="48">
                  <c:v>0.35836909871244638</c:v>
                </c:pt>
                <c:pt idx="49">
                  <c:v>0.74454828660436134</c:v>
                </c:pt>
                <c:pt idx="50">
                  <c:v>0.65048543689320393</c:v>
                </c:pt>
                <c:pt idx="51">
                  <c:v>0.60640732265446229</c:v>
                </c:pt>
                <c:pt idx="52">
                  <c:v>0.45492662473794548</c:v>
                </c:pt>
                <c:pt idx="53">
                  <c:v>0.34869739478957917</c:v>
                </c:pt>
                <c:pt idx="54">
                  <c:v>0.66876971608832803</c:v>
                </c:pt>
                <c:pt idx="55">
                  <c:v>0.65891472868217049</c:v>
                </c:pt>
                <c:pt idx="56">
                  <c:v>0.63440860215053763</c:v>
                </c:pt>
                <c:pt idx="57">
                  <c:v>0.61658031088082899</c:v>
                </c:pt>
                <c:pt idx="58">
                  <c:v>0.34957020057306593</c:v>
                </c:pt>
                <c:pt idx="59">
                  <c:v>0.44191919191919193</c:v>
                </c:pt>
                <c:pt idx="60">
                  <c:v>0.45359019264448336</c:v>
                </c:pt>
                <c:pt idx="61">
                  <c:v>0.45028142589118197</c:v>
                </c:pt>
                <c:pt idx="62">
                  <c:v>0.36197440585009139</c:v>
                </c:pt>
                <c:pt idx="63">
                  <c:v>0.75</c:v>
                </c:pt>
                <c:pt idx="64">
                  <c:v>0.84024896265560167</c:v>
                </c:pt>
                <c:pt idx="65">
                  <c:v>0.71218487394957986</c:v>
                </c:pt>
                <c:pt idx="66">
                  <c:v>0.35072463768115941</c:v>
                </c:pt>
                <c:pt idx="67">
                  <c:v>0.30204081632653063</c:v>
                </c:pt>
                <c:pt idx="68">
                  <c:v>0.30339321357285431</c:v>
                </c:pt>
                <c:pt idx="69">
                  <c:v>0.70253164556962022</c:v>
                </c:pt>
                <c:pt idx="70">
                  <c:v>0.59928443649373886</c:v>
                </c:pt>
                <c:pt idx="71">
                  <c:v>0.32798573975044565</c:v>
                </c:pt>
                <c:pt idx="72">
                  <c:v>0.83586626139817632</c:v>
                </c:pt>
                <c:pt idx="73">
                  <c:v>0.87323943661971826</c:v>
                </c:pt>
                <c:pt idx="74">
                  <c:v>0.89221556886227549</c:v>
                </c:pt>
                <c:pt idx="75">
                  <c:v>0.88323353293413176</c:v>
                </c:pt>
                <c:pt idx="76">
                  <c:v>0.78260869565217395</c:v>
                </c:pt>
                <c:pt idx="77">
                  <c:v>0.8101983002832861</c:v>
                </c:pt>
                <c:pt idx="78">
                  <c:v>0.83557951482479786</c:v>
                </c:pt>
                <c:pt idx="79">
                  <c:v>0.84210526315789469</c:v>
                </c:pt>
                <c:pt idx="80">
                  <c:v>0.82032667876588017</c:v>
                </c:pt>
                <c:pt idx="81">
                  <c:v>0.80705009276437845</c:v>
                </c:pt>
                <c:pt idx="82">
                  <c:v>0.77490774907749083</c:v>
                </c:pt>
                <c:pt idx="83">
                  <c:v>0.77014925373134324</c:v>
                </c:pt>
                <c:pt idx="84">
                  <c:v>0.88988095238095233</c:v>
                </c:pt>
                <c:pt idx="85">
                  <c:v>0.79939209726443772</c:v>
                </c:pt>
                <c:pt idx="86">
                  <c:v>0.62202380952380953</c:v>
                </c:pt>
                <c:pt idx="87">
                  <c:v>0.77596741344195519</c:v>
                </c:pt>
                <c:pt idx="88">
                  <c:v>0.73835920177383596</c:v>
                </c:pt>
                <c:pt idx="89">
                  <c:v>0.72584269662921352</c:v>
                </c:pt>
                <c:pt idx="90">
                  <c:v>0.78073089700996678</c:v>
                </c:pt>
                <c:pt idx="91">
                  <c:v>0.82561307901907355</c:v>
                </c:pt>
                <c:pt idx="92">
                  <c:v>0.84931506849315064</c:v>
                </c:pt>
                <c:pt idx="93">
                  <c:v>0.7696245733788396</c:v>
                </c:pt>
                <c:pt idx="94">
                  <c:v>0.1226158038147139</c:v>
                </c:pt>
                <c:pt idx="95">
                  <c:v>0.22538293216630198</c:v>
                </c:pt>
                <c:pt idx="96">
                  <c:v>0.22717149220489977</c:v>
                </c:pt>
                <c:pt idx="97">
                  <c:v>0.21987315010570824</c:v>
                </c:pt>
                <c:pt idx="98">
                  <c:v>0.57232704402515722</c:v>
                </c:pt>
                <c:pt idx="99">
                  <c:v>0.53846153846153844</c:v>
                </c:pt>
                <c:pt idx="100">
                  <c:v>0.51711711711711716</c:v>
                </c:pt>
                <c:pt idx="101">
                  <c:v>0.53921568627450978</c:v>
                </c:pt>
                <c:pt idx="102">
                  <c:v>0.56809338521400776</c:v>
                </c:pt>
                <c:pt idx="103">
                  <c:v>0.53805309734513274</c:v>
                </c:pt>
                <c:pt idx="104">
                  <c:v>0.38938053097345132</c:v>
                </c:pt>
                <c:pt idx="105">
                  <c:v>0.4985754985754986</c:v>
                </c:pt>
                <c:pt idx="106">
                  <c:v>0.48533333333333334</c:v>
                </c:pt>
                <c:pt idx="107">
                  <c:v>0.54039497307001794</c:v>
                </c:pt>
                <c:pt idx="108">
                  <c:v>0.53321364452423703</c:v>
                </c:pt>
                <c:pt idx="109">
                  <c:v>0.52115384615384619</c:v>
                </c:pt>
                <c:pt idx="110">
                  <c:v>0.51537070524412298</c:v>
                </c:pt>
                <c:pt idx="111">
                  <c:v>0.49828178694158076</c:v>
                </c:pt>
                <c:pt idx="112">
                  <c:v>0.43771043771043772</c:v>
                </c:pt>
                <c:pt idx="113">
                  <c:v>0.58677685950413228</c:v>
                </c:pt>
                <c:pt idx="114">
                  <c:v>0.53262786596119926</c:v>
                </c:pt>
                <c:pt idx="115">
                  <c:v>0.57760314341846763</c:v>
                </c:pt>
                <c:pt idx="116">
                  <c:v>0.5757575757575758</c:v>
                </c:pt>
                <c:pt idx="117">
                  <c:v>0.63229571984435795</c:v>
                </c:pt>
                <c:pt idx="118">
                  <c:v>0.59001782531194291</c:v>
                </c:pt>
                <c:pt idx="119">
                  <c:v>0.52982456140350875</c:v>
                </c:pt>
                <c:pt idx="120">
                  <c:v>0.75806451612903225</c:v>
                </c:pt>
                <c:pt idx="121">
                  <c:v>0.7438692098092643</c:v>
                </c:pt>
                <c:pt idx="122">
                  <c:v>0.88139059304703471</c:v>
                </c:pt>
                <c:pt idx="123">
                  <c:v>0.87447698744769875</c:v>
                </c:pt>
                <c:pt idx="124">
                  <c:v>0.84861407249466947</c:v>
                </c:pt>
                <c:pt idx="125">
                  <c:v>0.8123620309050773</c:v>
                </c:pt>
                <c:pt idx="126">
                  <c:v>0.81366459627329191</c:v>
                </c:pt>
                <c:pt idx="127">
                  <c:v>0.87903225806451613</c:v>
                </c:pt>
                <c:pt idx="128">
                  <c:v>0.90462427745664742</c:v>
                </c:pt>
                <c:pt idx="129">
                  <c:v>0.89344262295081966</c:v>
                </c:pt>
                <c:pt idx="130">
                  <c:v>0.89211618257261416</c:v>
                </c:pt>
                <c:pt idx="131">
                  <c:v>0.91555555555555557</c:v>
                </c:pt>
                <c:pt idx="132">
                  <c:v>0.9360730593607306</c:v>
                </c:pt>
                <c:pt idx="133">
                  <c:v>0.92749999999999999</c:v>
                </c:pt>
                <c:pt idx="134">
                  <c:v>0.90104166666666663</c:v>
                </c:pt>
                <c:pt idx="135">
                  <c:v>0.93058568329718006</c:v>
                </c:pt>
                <c:pt idx="136">
                  <c:v>0.86885245901639341</c:v>
                </c:pt>
                <c:pt idx="137">
                  <c:v>0.86376811594202896</c:v>
                </c:pt>
                <c:pt idx="138">
                  <c:v>0.91761363636363635</c:v>
                </c:pt>
                <c:pt idx="139">
                  <c:v>0.93333333333333335</c:v>
                </c:pt>
                <c:pt idx="140">
                  <c:v>0.91552511415525117</c:v>
                </c:pt>
                <c:pt idx="141">
                  <c:v>0.88518518518518519</c:v>
                </c:pt>
                <c:pt idx="142">
                  <c:v>0.88953488372093026</c:v>
                </c:pt>
                <c:pt idx="143">
                  <c:v>0.90313390313390318</c:v>
                </c:pt>
                <c:pt idx="144">
                  <c:v>0.92647058823529416</c:v>
                </c:pt>
                <c:pt idx="145">
                  <c:v>0.92910447761194026</c:v>
                </c:pt>
                <c:pt idx="146">
                  <c:v>0.92063492063492058</c:v>
                </c:pt>
                <c:pt idx="147">
                  <c:v>0.90558766859344897</c:v>
                </c:pt>
                <c:pt idx="148">
                  <c:v>0.83177570093457942</c:v>
                </c:pt>
                <c:pt idx="149">
                  <c:v>0.89440993788819878</c:v>
                </c:pt>
                <c:pt idx="150">
                  <c:v>0.92879256965944268</c:v>
                </c:pt>
                <c:pt idx="151">
                  <c:v>0.91988950276243098</c:v>
                </c:pt>
                <c:pt idx="152">
                  <c:v>0.91885441527446299</c:v>
                </c:pt>
                <c:pt idx="153">
                  <c:v>0.93450881612090675</c:v>
                </c:pt>
                <c:pt idx="154">
                  <c:v>0.94808743169398912</c:v>
                </c:pt>
                <c:pt idx="155">
                  <c:v>0.9064171122994652</c:v>
                </c:pt>
                <c:pt idx="156">
                  <c:v>0.87398373983739841</c:v>
                </c:pt>
                <c:pt idx="157">
                  <c:v>0.93859649122807021</c:v>
                </c:pt>
                <c:pt idx="158">
                  <c:v>0.90858725761772852</c:v>
                </c:pt>
                <c:pt idx="159">
                  <c:v>0.90981963927855714</c:v>
                </c:pt>
                <c:pt idx="160">
                  <c:v>0.92903225806451617</c:v>
                </c:pt>
                <c:pt idx="161">
                  <c:v>0.92417061611374407</c:v>
                </c:pt>
                <c:pt idx="162">
                  <c:v>0.93205944798301488</c:v>
                </c:pt>
                <c:pt idx="163">
                  <c:v>0.52583586626139822</c:v>
                </c:pt>
                <c:pt idx="164">
                  <c:v>0.45429362880886426</c:v>
                </c:pt>
                <c:pt idx="165">
                  <c:v>0.51883561643835618</c:v>
                </c:pt>
                <c:pt idx="166">
                  <c:v>0.40842490842490842</c:v>
                </c:pt>
                <c:pt idx="167">
                  <c:v>0.44606946983546619</c:v>
                </c:pt>
                <c:pt idx="168">
                  <c:v>0.49503311258278143</c:v>
                </c:pt>
                <c:pt idx="169">
                  <c:v>0.72888888888888892</c:v>
                </c:pt>
                <c:pt idx="170">
                  <c:v>0.78674351585014413</c:v>
                </c:pt>
                <c:pt idx="171">
                  <c:v>0.79629629629629628</c:v>
                </c:pt>
                <c:pt idx="172">
                  <c:v>0.78538812785388123</c:v>
                </c:pt>
                <c:pt idx="173">
                  <c:v>0.73598130841121501</c:v>
                </c:pt>
                <c:pt idx="174">
                  <c:v>0.66417910447761197</c:v>
                </c:pt>
                <c:pt idx="175">
                  <c:v>0.64039408866995073</c:v>
                </c:pt>
                <c:pt idx="176">
                  <c:v>0.66371681415929207</c:v>
                </c:pt>
                <c:pt idx="177">
                  <c:v>0.89824561403508774</c:v>
                </c:pt>
                <c:pt idx="178">
                  <c:v>0.9080779944289693</c:v>
                </c:pt>
                <c:pt idx="179">
                  <c:v>0.8972868217054264</c:v>
                </c:pt>
                <c:pt idx="180">
                  <c:v>0.55378486055776888</c:v>
                </c:pt>
                <c:pt idx="181">
                  <c:v>0.5330073349633252</c:v>
                </c:pt>
                <c:pt idx="182">
                  <c:v>0.82889733840304181</c:v>
                </c:pt>
                <c:pt idx="183">
                  <c:v>0.83183183183183185</c:v>
                </c:pt>
                <c:pt idx="184">
                  <c:v>0.632996632996633</c:v>
                </c:pt>
                <c:pt idx="185">
                  <c:v>0.25316455696202533</c:v>
                </c:pt>
                <c:pt idx="186">
                  <c:v>0.24935732647814909</c:v>
                </c:pt>
                <c:pt idx="187">
                  <c:v>0.32180851063829785</c:v>
                </c:pt>
                <c:pt idx="188">
                  <c:v>0.26217228464419473</c:v>
                </c:pt>
                <c:pt idx="189">
                  <c:v>0.26653696498054474</c:v>
                </c:pt>
                <c:pt idx="190">
                  <c:v>0.25100401606425704</c:v>
                </c:pt>
                <c:pt idx="191">
                  <c:v>0.34630350194552528</c:v>
                </c:pt>
                <c:pt idx="192">
                  <c:v>0.33455882352941174</c:v>
                </c:pt>
                <c:pt idx="193">
                  <c:v>0.21657754010695188</c:v>
                </c:pt>
                <c:pt idx="194">
                  <c:v>0.21008403361344538</c:v>
                </c:pt>
                <c:pt idx="195">
                  <c:v>0.3108108108108108</c:v>
                </c:pt>
                <c:pt idx="196">
                  <c:v>0.28900255754475701</c:v>
                </c:pt>
                <c:pt idx="197">
                  <c:v>0.66972477064220182</c:v>
                </c:pt>
                <c:pt idx="198">
                  <c:v>0.71352785145888598</c:v>
                </c:pt>
                <c:pt idx="199">
                  <c:v>0.79133858267716539</c:v>
                </c:pt>
                <c:pt idx="200">
                  <c:v>0.71047227926078027</c:v>
                </c:pt>
                <c:pt idx="201">
                  <c:v>0.54661016949152541</c:v>
                </c:pt>
                <c:pt idx="202">
                  <c:v>0.33242506811989103</c:v>
                </c:pt>
                <c:pt idx="203">
                  <c:v>0.2871536523929471</c:v>
                </c:pt>
                <c:pt idx="204">
                  <c:v>0.33072407045009783</c:v>
                </c:pt>
                <c:pt idx="205">
                  <c:v>0.30497925311203322</c:v>
                </c:pt>
                <c:pt idx="206">
                  <c:v>0.39411764705882352</c:v>
                </c:pt>
                <c:pt idx="207">
                  <c:v>0.41745730550284632</c:v>
                </c:pt>
                <c:pt idx="208">
                  <c:v>0.32789855072463769</c:v>
                </c:pt>
                <c:pt idx="209">
                  <c:v>0.625</c:v>
                </c:pt>
                <c:pt idx="210">
                  <c:v>0.49479166666666669</c:v>
                </c:pt>
                <c:pt idx="211">
                  <c:v>0.52631578947368418</c:v>
                </c:pt>
                <c:pt idx="212">
                  <c:v>0.57471264367816088</c:v>
                </c:pt>
                <c:pt idx="213">
                  <c:v>0.524896265560166</c:v>
                </c:pt>
                <c:pt idx="214">
                  <c:v>0.48697394789579157</c:v>
                </c:pt>
                <c:pt idx="215">
                  <c:v>0.45309381237524948</c:v>
                </c:pt>
                <c:pt idx="216">
                  <c:v>0.48766603415559773</c:v>
                </c:pt>
                <c:pt idx="217">
                  <c:v>0.3688073394495413</c:v>
                </c:pt>
                <c:pt idx="218">
                  <c:v>0.44554455445544555</c:v>
                </c:pt>
                <c:pt idx="219">
                  <c:v>0.449438202247191</c:v>
                </c:pt>
                <c:pt idx="220">
                  <c:v>0.43846153846153846</c:v>
                </c:pt>
                <c:pt idx="221">
                  <c:v>0.3960674157303371</c:v>
                </c:pt>
                <c:pt idx="222">
                  <c:v>0.36639118457300274</c:v>
                </c:pt>
                <c:pt idx="223">
                  <c:v>0.36986301369863012</c:v>
                </c:pt>
                <c:pt idx="224">
                  <c:v>0.18367346938775511</c:v>
                </c:pt>
                <c:pt idx="225">
                  <c:v>0.20104438642297651</c:v>
                </c:pt>
                <c:pt idx="226">
                  <c:v>0.26857142857142857</c:v>
                </c:pt>
                <c:pt idx="227">
                  <c:v>0.20874751491053678</c:v>
                </c:pt>
                <c:pt idx="228">
                  <c:v>0.17819706498951782</c:v>
                </c:pt>
                <c:pt idx="229">
                  <c:v>0.21063394683026584</c:v>
                </c:pt>
                <c:pt idx="230">
                  <c:v>0.21984435797665369</c:v>
                </c:pt>
                <c:pt idx="231">
                  <c:v>0.42222222222222222</c:v>
                </c:pt>
                <c:pt idx="232">
                  <c:v>0.44032258064516128</c:v>
                </c:pt>
                <c:pt idx="233">
                  <c:v>0.50751879699248126</c:v>
                </c:pt>
                <c:pt idx="234">
                  <c:v>0.5</c:v>
                </c:pt>
                <c:pt idx="235">
                  <c:v>0.44875776397515527</c:v>
                </c:pt>
                <c:pt idx="236">
                  <c:v>0.5536723163841808</c:v>
                </c:pt>
                <c:pt idx="237">
                  <c:v>0.59603960396039601</c:v>
                </c:pt>
                <c:pt idx="238">
                  <c:v>0.55378486055776888</c:v>
                </c:pt>
                <c:pt idx="239">
                  <c:v>0.44112149532710282</c:v>
                </c:pt>
                <c:pt idx="240">
                  <c:v>0.80519480519480524</c:v>
                </c:pt>
                <c:pt idx="241">
                  <c:v>0.76160990712074306</c:v>
                </c:pt>
                <c:pt idx="242">
                  <c:v>0.740506329113924</c:v>
                </c:pt>
                <c:pt idx="243">
                  <c:v>0.76470588235294112</c:v>
                </c:pt>
                <c:pt idx="244">
                  <c:v>0.29411764705882354</c:v>
                </c:pt>
                <c:pt idx="245">
                  <c:v>0.26121372031662271</c:v>
                </c:pt>
                <c:pt idx="246">
                  <c:v>0.22680412371134021</c:v>
                </c:pt>
                <c:pt idx="247">
                  <c:v>0.31223628691983124</c:v>
                </c:pt>
                <c:pt idx="248">
                  <c:v>0.23300970873786409</c:v>
                </c:pt>
                <c:pt idx="249">
                  <c:v>0.26631853785900783</c:v>
                </c:pt>
                <c:pt idx="250">
                  <c:v>0.23351158645276293</c:v>
                </c:pt>
                <c:pt idx="251">
                  <c:v>0.26037735849056604</c:v>
                </c:pt>
                <c:pt idx="252">
                  <c:v>0.27440147329650094</c:v>
                </c:pt>
                <c:pt idx="253">
                  <c:v>0.39154411764705882</c:v>
                </c:pt>
                <c:pt idx="254">
                  <c:v>0.33102253032928941</c:v>
                </c:pt>
                <c:pt idx="255">
                  <c:v>0.21676300578034682</c:v>
                </c:pt>
                <c:pt idx="256">
                  <c:v>0.23917995444191345</c:v>
                </c:pt>
                <c:pt idx="257">
                  <c:v>0.31308411214953269</c:v>
                </c:pt>
                <c:pt idx="258">
                  <c:v>0.32420091324200911</c:v>
                </c:pt>
                <c:pt idx="259">
                  <c:v>0.43302180685358255</c:v>
                </c:pt>
                <c:pt idx="260">
                  <c:v>0.55525606469002697</c:v>
                </c:pt>
                <c:pt idx="261">
                  <c:v>0.66153846153846152</c:v>
                </c:pt>
                <c:pt idx="262">
                  <c:v>0.62169312169312174</c:v>
                </c:pt>
                <c:pt idx="263">
                  <c:v>0.57567567567567568</c:v>
                </c:pt>
                <c:pt idx="264">
                  <c:v>0.546875</c:v>
                </c:pt>
                <c:pt idx="265">
                  <c:v>0.59661016949152545</c:v>
                </c:pt>
                <c:pt idx="266">
                  <c:v>0.6</c:v>
                </c:pt>
                <c:pt idx="267">
                  <c:v>0.53387533875338755</c:v>
                </c:pt>
                <c:pt idx="268">
                  <c:v>0.52222222222222225</c:v>
                </c:pt>
                <c:pt idx="269">
                  <c:v>0.46136363636363636</c:v>
                </c:pt>
                <c:pt idx="270">
                  <c:v>0.46244131455399062</c:v>
                </c:pt>
                <c:pt idx="271">
                  <c:v>0.4356223175965665</c:v>
                </c:pt>
                <c:pt idx="272">
                  <c:v>0.27051671732522797</c:v>
                </c:pt>
                <c:pt idx="273">
                  <c:v>0.24338624338624337</c:v>
                </c:pt>
                <c:pt idx="274">
                  <c:v>0.2111692844677138</c:v>
                </c:pt>
                <c:pt idx="275">
                  <c:v>0.17297297297297298</c:v>
                </c:pt>
                <c:pt idx="276">
                  <c:v>0.28166666666666668</c:v>
                </c:pt>
                <c:pt idx="277">
                  <c:v>0.1487603305785124</c:v>
                </c:pt>
                <c:pt idx="278">
                  <c:v>0.2017353579175705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531-4719-BBE3-E80F70E9E4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4301024"/>
        <c:axId val="1547841584"/>
      </c:scatterChart>
      <c:valAx>
        <c:axId val="1584301024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7841584"/>
        <c:crosses val="autoZero"/>
        <c:crossBetween val="midCat"/>
      </c:valAx>
      <c:valAx>
        <c:axId val="1547841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43010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PN% vs Malay% P128 Seremban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1753455818022747"/>
                  <c:y val="-9.3102945465150189E-2"/>
                </c:manualLayout>
              </c:layout>
              <c:numFmt formatCode="General" sourceLinked="0"/>
              <c:spPr>
                <a:solidFill>
                  <a:schemeClr val="bg1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RaceWorksheet!$K$2:$K$280</c:f>
              <c:numCache>
                <c:formatCode>0.0%</c:formatCode>
                <c:ptCount val="279"/>
                <c:pt idx="0">
                  <c:v>0.20666666666666667</c:v>
                </c:pt>
                <c:pt idx="1">
                  <c:v>0.22546972860125261</c:v>
                </c:pt>
                <c:pt idx="2">
                  <c:v>0.34029227557411273</c:v>
                </c:pt>
                <c:pt idx="3">
                  <c:v>0.3888888888888889</c:v>
                </c:pt>
                <c:pt idx="4">
                  <c:v>0.37555555555555553</c:v>
                </c:pt>
                <c:pt idx="5">
                  <c:v>0.44346549192364171</c:v>
                </c:pt>
                <c:pt idx="6">
                  <c:v>0.6217008797653959</c:v>
                </c:pt>
                <c:pt idx="7">
                  <c:v>0.8666666666666667</c:v>
                </c:pt>
                <c:pt idx="8">
                  <c:v>0.93594306049822062</c:v>
                </c:pt>
                <c:pt idx="9">
                  <c:v>0.98223801065719363</c:v>
                </c:pt>
                <c:pt idx="10">
                  <c:v>0.96888888888888891</c:v>
                </c:pt>
                <c:pt idx="11">
                  <c:v>0.97844112769485903</c:v>
                </c:pt>
                <c:pt idx="12">
                  <c:v>0.97512437810945274</c:v>
                </c:pt>
                <c:pt idx="13">
                  <c:v>0.78222222222222226</c:v>
                </c:pt>
                <c:pt idx="14">
                  <c:v>0.84538152610441764</c:v>
                </c:pt>
                <c:pt idx="15">
                  <c:v>0.98666666666666669</c:v>
                </c:pt>
                <c:pt idx="16">
                  <c:v>0.989247311827957</c:v>
                </c:pt>
                <c:pt idx="17">
                  <c:v>0.9946236559139785</c:v>
                </c:pt>
                <c:pt idx="18">
                  <c:v>1</c:v>
                </c:pt>
                <c:pt idx="19">
                  <c:v>0.84</c:v>
                </c:pt>
                <c:pt idx="20">
                  <c:v>0.77436823104693142</c:v>
                </c:pt>
                <c:pt idx="21">
                  <c:v>0.69133574007220222</c:v>
                </c:pt>
                <c:pt idx="22">
                  <c:v>0.79819819819819815</c:v>
                </c:pt>
                <c:pt idx="23">
                  <c:v>0.84324324324324329</c:v>
                </c:pt>
                <c:pt idx="24">
                  <c:v>0.5993975903614458</c:v>
                </c:pt>
                <c:pt idx="25">
                  <c:v>0.73873873873873874</c:v>
                </c:pt>
                <c:pt idx="26">
                  <c:v>0.30444444444444446</c:v>
                </c:pt>
                <c:pt idx="27">
                  <c:v>0.43111111111111111</c:v>
                </c:pt>
                <c:pt idx="28">
                  <c:v>0.5244122965641953</c:v>
                </c:pt>
                <c:pt idx="29">
                  <c:v>0.75090252707581229</c:v>
                </c:pt>
                <c:pt idx="30">
                  <c:v>0.8267148014440433</c:v>
                </c:pt>
                <c:pt idx="31">
                  <c:v>0.83777777777777773</c:v>
                </c:pt>
                <c:pt idx="32">
                  <c:v>0.93333333333333335</c:v>
                </c:pt>
                <c:pt idx="33">
                  <c:v>0.87777777777777777</c:v>
                </c:pt>
                <c:pt idx="34">
                  <c:v>0.83410138248847931</c:v>
                </c:pt>
                <c:pt idx="35">
                  <c:v>0.89247311827956988</c:v>
                </c:pt>
                <c:pt idx="36">
                  <c:v>0.96006144393241166</c:v>
                </c:pt>
                <c:pt idx="37">
                  <c:v>0.956989247311828</c:v>
                </c:pt>
                <c:pt idx="38">
                  <c:v>0.96159754224270355</c:v>
                </c:pt>
                <c:pt idx="39">
                  <c:v>0.94478527607361962</c:v>
                </c:pt>
                <c:pt idx="40">
                  <c:v>0.94171779141104295</c:v>
                </c:pt>
                <c:pt idx="41">
                  <c:v>0.70666666666666667</c:v>
                </c:pt>
                <c:pt idx="42">
                  <c:v>0.80444444444444441</c:v>
                </c:pt>
                <c:pt idx="43">
                  <c:v>0.73022598870056499</c:v>
                </c:pt>
                <c:pt idx="44">
                  <c:v>0.69209039548022599</c:v>
                </c:pt>
                <c:pt idx="45">
                  <c:v>0.79519774011299438</c:v>
                </c:pt>
                <c:pt idx="46">
                  <c:v>0.83757062146892658</c:v>
                </c:pt>
                <c:pt idx="47">
                  <c:v>0.86741889985895626</c:v>
                </c:pt>
                <c:pt idx="48">
                  <c:v>0.86318758815232721</c:v>
                </c:pt>
                <c:pt idx="49">
                  <c:v>0.25555555555555554</c:v>
                </c:pt>
                <c:pt idx="50">
                  <c:v>0.29113924050632911</c:v>
                </c:pt>
                <c:pt idx="51">
                  <c:v>0.41561181434599154</c:v>
                </c:pt>
                <c:pt idx="52">
                  <c:v>0.44</c:v>
                </c:pt>
                <c:pt idx="53">
                  <c:v>0.16888888888888889</c:v>
                </c:pt>
                <c:pt idx="54">
                  <c:v>0.35451505016722407</c:v>
                </c:pt>
                <c:pt idx="55">
                  <c:v>0.43311036789297658</c:v>
                </c:pt>
                <c:pt idx="56">
                  <c:v>0.62876254180602009</c:v>
                </c:pt>
                <c:pt idx="57">
                  <c:v>0.77629382303839733</c:v>
                </c:pt>
                <c:pt idx="58">
                  <c:v>0.50666666666666671</c:v>
                </c:pt>
                <c:pt idx="59">
                  <c:v>0.5377777777777778</c:v>
                </c:pt>
                <c:pt idx="60">
                  <c:v>0.57602339181286555</c:v>
                </c:pt>
                <c:pt idx="61">
                  <c:v>0.67836257309941517</c:v>
                </c:pt>
                <c:pt idx="62">
                  <c:v>0.76934306569343069</c:v>
                </c:pt>
                <c:pt idx="63">
                  <c:v>4.4444444444444446E-2</c:v>
                </c:pt>
                <c:pt idx="64">
                  <c:v>0.11015490533562823</c:v>
                </c:pt>
                <c:pt idx="65">
                  <c:v>0.36144578313253012</c:v>
                </c:pt>
                <c:pt idx="66">
                  <c:v>0.56666666666666665</c:v>
                </c:pt>
                <c:pt idx="67">
                  <c:v>0.78090766823161184</c:v>
                </c:pt>
                <c:pt idx="68">
                  <c:v>0.82316118935837246</c:v>
                </c:pt>
                <c:pt idx="69">
                  <c:v>0.18</c:v>
                </c:pt>
                <c:pt idx="70">
                  <c:v>0.42398884239888424</c:v>
                </c:pt>
                <c:pt idx="71">
                  <c:v>0.75766016713091922</c:v>
                </c:pt>
                <c:pt idx="72">
                  <c:v>2.5000000000000001E-2</c:v>
                </c:pt>
                <c:pt idx="73">
                  <c:v>4.0178571428571432E-2</c:v>
                </c:pt>
                <c:pt idx="74">
                  <c:v>6.9196428571428575E-2</c:v>
                </c:pt>
                <c:pt idx="75">
                  <c:v>6.25E-2</c:v>
                </c:pt>
                <c:pt idx="76">
                  <c:v>0.10249999999999999</c:v>
                </c:pt>
                <c:pt idx="77">
                  <c:v>8.3732057416267949E-2</c:v>
                </c:pt>
                <c:pt idx="78">
                  <c:v>0.1674641148325359</c:v>
                </c:pt>
                <c:pt idx="79">
                  <c:v>8.4444444444444447E-2</c:v>
                </c:pt>
                <c:pt idx="80">
                  <c:v>9.1111111111111115E-2</c:v>
                </c:pt>
                <c:pt idx="81">
                  <c:v>0.10222222222222223</c:v>
                </c:pt>
                <c:pt idx="82">
                  <c:v>0.10964912280701754</c:v>
                </c:pt>
                <c:pt idx="83">
                  <c:v>0.16081871345029239</c:v>
                </c:pt>
                <c:pt idx="84">
                  <c:v>0.16959064327485379</c:v>
                </c:pt>
                <c:pt idx="85">
                  <c:v>0.26608187134502925</c:v>
                </c:pt>
                <c:pt idx="86">
                  <c:v>0.23555555555555555</c:v>
                </c:pt>
                <c:pt idx="87">
                  <c:v>0.15641476274165203</c:v>
                </c:pt>
                <c:pt idx="88">
                  <c:v>0.23198594024604569</c:v>
                </c:pt>
                <c:pt idx="89">
                  <c:v>0.25483304042179261</c:v>
                </c:pt>
                <c:pt idx="90">
                  <c:v>5.3333333333333337E-2</c:v>
                </c:pt>
                <c:pt idx="91">
                  <c:v>0.10444444444444445</c:v>
                </c:pt>
                <c:pt idx="92">
                  <c:v>0.12382234185733512</c:v>
                </c:pt>
                <c:pt idx="93">
                  <c:v>0.22715053763440859</c:v>
                </c:pt>
                <c:pt idx="94">
                  <c:v>0.87777777777777777</c:v>
                </c:pt>
                <c:pt idx="95">
                  <c:v>0.76672694394213381</c:v>
                </c:pt>
                <c:pt idx="96">
                  <c:v>0.83363471971066905</c:v>
                </c:pt>
                <c:pt idx="97">
                  <c:v>0.8666666666666667</c:v>
                </c:pt>
                <c:pt idx="98">
                  <c:v>0.46888888888888891</c:v>
                </c:pt>
                <c:pt idx="99">
                  <c:v>0.51466275659824046</c:v>
                </c:pt>
                <c:pt idx="100">
                  <c:v>0.51466275659824046</c:v>
                </c:pt>
                <c:pt idx="101">
                  <c:v>0.55425219941348969</c:v>
                </c:pt>
                <c:pt idx="102">
                  <c:v>0.59677419354838712</c:v>
                </c:pt>
                <c:pt idx="103">
                  <c:v>0.63049853372434017</c:v>
                </c:pt>
                <c:pt idx="104">
                  <c:v>0.66812865497076024</c:v>
                </c:pt>
                <c:pt idx="105">
                  <c:v>0.5</c:v>
                </c:pt>
                <c:pt idx="106">
                  <c:v>0.52888888888888885</c:v>
                </c:pt>
                <c:pt idx="107">
                  <c:v>0.50909090909090904</c:v>
                </c:pt>
                <c:pt idx="108">
                  <c:v>0.54405594405594404</c:v>
                </c:pt>
                <c:pt idx="109">
                  <c:v>0.62937062937062938</c:v>
                </c:pt>
                <c:pt idx="110">
                  <c:v>0.6685314685314685</c:v>
                </c:pt>
                <c:pt idx="111">
                  <c:v>0.73463687150837986</c:v>
                </c:pt>
                <c:pt idx="112">
                  <c:v>0.76117318435754189</c:v>
                </c:pt>
                <c:pt idx="113">
                  <c:v>0.36444444444444446</c:v>
                </c:pt>
                <c:pt idx="114">
                  <c:v>0.47333333333333333</c:v>
                </c:pt>
                <c:pt idx="115">
                  <c:v>0.53868613138686128</c:v>
                </c:pt>
                <c:pt idx="116">
                  <c:v>0.54598540145985397</c:v>
                </c:pt>
                <c:pt idx="117">
                  <c:v>0.63065693430656933</c:v>
                </c:pt>
                <c:pt idx="118">
                  <c:v>0.66277372262773726</c:v>
                </c:pt>
                <c:pt idx="119">
                  <c:v>0.76496350364963506</c:v>
                </c:pt>
                <c:pt idx="120">
                  <c:v>0.10444444444444445</c:v>
                </c:pt>
                <c:pt idx="121">
                  <c:v>0.14000000000000001</c:v>
                </c:pt>
                <c:pt idx="122">
                  <c:v>7.6799999999999993E-2</c:v>
                </c:pt>
                <c:pt idx="123">
                  <c:v>6.5600000000000006E-2</c:v>
                </c:pt>
                <c:pt idx="124">
                  <c:v>8.9599999999999999E-2</c:v>
                </c:pt>
                <c:pt idx="125">
                  <c:v>0.18240000000000001</c:v>
                </c:pt>
                <c:pt idx="126">
                  <c:v>0.20960000000000001</c:v>
                </c:pt>
                <c:pt idx="127">
                  <c:v>8.8888888888888889E-3</c:v>
                </c:pt>
                <c:pt idx="128">
                  <c:v>4.4444444444444444E-3</c:v>
                </c:pt>
                <c:pt idx="129">
                  <c:v>1.5555555555555555E-2</c:v>
                </c:pt>
                <c:pt idx="130">
                  <c:v>3.6395147313691506E-2</c:v>
                </c:pt>
                <c:pt idx="131">
                  <c:v>4.5060658578856154E-2</c:v>
                </c:pt>
                <c:pt idx="132">
                  <c:v>2.4263431542461005E-2</c:v>
                </c:pt>
                <c:pt idx="133">
                  <c:v>6.2391681109185443E-2</c:v>
                </c:pt>
                <c:pt idx="134">
                  <c:v>6.9324090121317156E-2</c:v>
                </c:pt>
                <c:pt idx="135">
                  <c:v>5.0173010380622836E-2</c:v>
                </c:pt>
                <c:pt idx="136">
                  <c:v>1.7777777777777778E-2</c:v>
                </c:pt>
                <c:pt idx="137">
                  <c:v>1.3333333333333334E-2</c:v>
                </c:pt>
                <c:pt idx="138">
                  <c:v>6.6666666666666671E-3</c:v>
                </c:pt>
                <c:pt idx="139">
                  <c:v>2.6041666666666668E-2</c:v>
                </c:pt>
                <c:pt idx="140">
                  <c:v>5.7192374350086658E-2</c:v>
                </c:pt>
                <c:pt idx="141">
                  <c:v>3.111111111111111E-2</c:v>
                </c:pt>
                <c:pt idx="142">
                  <c:v>0.02</c:v>
                </c:pt>
                <c:pt idx="143">
                  <c:v>0.02</c:v>
                </c:pt>
                <c:pt idx="144">
                  <c:v>3.6061026352288486E-2</c:v>
                </c:pt>
                <c:pt idx="145">
                  <c:v>5.5478502080443831E-2</c:v>
                </c:pt>
                <c:pt idx="146">
                  <c:v>6.9348127600554782E-2</c:v>
                </c:pt>
                <c:pt idx="147">
                  <c:v>7.3407202216066489E-2</c:v>
                </c:pt>
                <c:pt idx="148">
                  <c:v>1.7777777777777778E-2</c:v>
                </c:pt>
                <c:pt idx="149">
                  <c:v>6.6666666666666671E-3</c:v>
                </c:pt>
                <c:pt idx="150">
                  <c:v>1.7777777777777778E-2</c:v>
                </c:pt>
                <c:pt idx="151">
                  <c:v>8.7912087912087912E-3</c:v>
                </c:pt>
                <c:pt idx="152">
                  <c:v>2.34375E-2</c:v>
                </c:pt>
                <c:pt idx="153">
                  <c:v>3.90625E-2</c:v>
                </c:pt>
                <c:pt idx="154">
                  <c:v>4.8828125E-2</c:v>
                </c:pt>
                <c:pt idx="155">
                  <c:v>0.109375</c:v>
                </c:pt>
                <c:pt idx="156">
                  <c:v>1.7777777777777778E-2</c:v>
                </c:pt>
                <c:pt idx="157">
                  <c:v>1.1111111111111112E-2</c:v>
                </c:pt>
                <c:pt idx="158">
                  <c:v>0.04</c:v>
                </c:pt>
                <c:pt idx="159">
                  <c:v>2.2580645161290321E-2</c:v>
                </c:pt>
                <c:pt idx="160">
                  <c:v>5.6451612903225805E-2</c:v>
                </c:pt>
                <c:pt idx="161">
                  <c:v>5.6451612903225805E-2</c:v>
                </c:pt>
                <c:pt idx="162">
                  <c:v>5.4838709677419356E-2</c:v>
                </c:pt>
                <c:pt idx="163">
                  <c:v>0.51111111111111107</c:v>
                </c:pt>
                <c:pt idx="164">
                  <c:v>0.52888888888888885</c:v>
                </c:pt>
                <c:pt idx="165">
                  <c:v>0.48930481283422461</c:v>
                </c:pt>
                <c:pt idx="166">
                  <c:v>0.65374331550802134</c:v>
                </c:pt>
                <c:pt idx="167">
                  <c:v>0.6568758344459279</c:v>
                </c:pt>
                <c:pt idx="168">
                  <c:v>0.70761014686248336</c:v>
                </c:pt>
                <c:pt idx="169">
                  <c:v>0.18222222222222223</c:v>
                </c:pt>
                <c:pt idx="170">
                  <c:v>0.12444444444444444</c:v>
                </c:pt>
                <c:pt idx="171">
                  <c:v>0.1431159420289855</c:v>
                </c:pt>
                <c:pt idx="172">
                  <c:v>0.189873417721519</c:v>
                </c:pt>
                <c:pt idx="173">
                  <c:v>0.24593128390596744</c:v>
                </c:pt>
                <c:pt idx="174">
                  <c:v>0.35081374321880648</c:v>
                </c:pt>
                <c:pt idx="175">
                  <c:v>0.4267631103074141</c:v>
                </c:pt>
                <c:pt idx="176">
                  <c:v>0.44665461121157324</c:v>
                </c:pt>
                <c:pt idx="177">
                  <c:v>1.1111111111111112E-2</c:v>
                </c:pt>
                <c:pt idx="178">
                  <c:v>1.5555555555555555E-2</c:v>
                </c:pt>
                <c:pt idx="179">
                  <c:v>5.0746268656716415E-2</c:v>
                </c:pt>
                <c:pt idx="180">
                  <c:v>0.34888888888888892</c:v>
                </c:pt>
                <c:pt idx="181">
                  <c:v>0.44427480916030532</c:v>
                </c:pt>
                <c:pt idx="182">
                  <c:v>0.12037037037037036</c:v>
                </c:pt>
                <c:pt idx="183">
                  <c:v>0.1875</c:v>
                </c:pt>
                <c:pt idx="184">
                  <c:v>0.38425925925925924</c:v>
                </c:pt>
                <c:pt idx="185">
                  <c:v>0.98</c:v>
                </c:pt>
                <c:pt idx="186">
                  <c:v>0.98474945533769065</c:v>
                </c:pt>
                <c:pt idx="187">
                  <c:v>0.9956521739130435</c:v>
                </c:pt>
                <c:pt idx="188">
                  <c:v>0.99782608695652175</c:v>
                </c:pt>
                <c:pt idx="189">
                  <c:v>0.85777777777777775</c:v>
                </c:pt>
                <c:pt idx="190">
                  <c:v>0.9244444444444444</c:v>
                </c:pt>
                <c:pt idx="191">
                  <c:v>0.9244444444444444</c:v>
                </c:pt>
                <c:pt idx="192">
                  <c:v>0.91551459293394777</c:v>
                </c:pt>
                <c:pt idx="193">
                  <c:v>0.92944785276073616</c:v>
                </c:pt>
                <c:pt idx="194">
                  <c:v>0.94478527607361962</c:v>
                </c:pt>
                <c:pt idx="195">
                  <c:v>0.96165644171779141</c:v>
                </c:pt>
                <c:pt idx="196">
                  <c:v>0.97085889570552142</c:v>
                </c:pt>
                <c:pt idx="197">
                  <c:v>0.19333333333333333</c:v>
                </c:pt>
                <c:pt idx="198">
                  <c:v>0.25333333333333335</c:v>
                </c:pt>
                <c:pt idx="199">
                  <c:v>0.21864951768488747</c:v>
                </c:pt>
                <c:pt idx="200">
                  <c:v>0.30546623794212219</c:v>
                </c:pt>
                <c:pt idx="201">
                  <c:v>0.50482315112540188</c:v>
                </c:pt>
                <c:pt idx="202">
                  <c:v>0.74</c:v>
                </c:pt>
                <c:pt idx="203">
                  <c:v>0.79555555555555557</c:v>
                </c:pt>
                <c:pt idx="204">
                  <c:v>0.77725118483412325</c:v>
                </c:pt>
                <c:pt idx="205">
                  <c:v>0.80410742496050558</c:v>
                </c:pt>
                <c:pt idx="206">
                  <c:v>0.84360189573459721</c:v>
                </c:pt>
                <c:pt idx="207">
                  <c:v>0.87697160883280756</c:v>
                </c:pt>
                <c:pt idx="208">
                  <c:v>0.89905362776025233</c:v>
                </c:pt>
                <c:pt idx="209">
                  <c:v>0.3288888888888889</c:v>
                </c:pt>
                <c:pt idx="210">
                  <c:v>0.48</c:v>
                </c:pt>
                <c:pt idx="211">
                  <c:v>0.47597597597597596</c:v>
                </c:pt>
                <c:pt idx="212">
                  <c:v>0.45645645645645644</c:v>
                </c:pt>
                <c:pt idx="213">
                  <c:v>0.51651651651651653</c:v>
                </c:pt>
                <c:pt idx="214">
                  <c:v>0.56906906906906907</c:v>
                </c:pt>
                <c:pt idx="215">
                  <c:v>0.64264264264264259</c:v>
                </c:pt>
                <c:pt idx="216">
                  <c:v>0.65217391304347827</c:v>
                </c:pt>
                <c:pt idx="217">
                  <c:v>0.71664167916041976</c:v>
                </c:pt>
                <c:pt idx="218">
                  <c:v>0.58444444444444443</c:v>
                </c:pt>
                <c:pt idx="219">
                  <c:v>0.60222222222222221</c:v>
                </c:pt>
                <c:pt idx="220">
                  <c:v>0.62880324543610544</c:v>
                </c:pt>
                <c:pt idx="221">
                  <c:v>0.69776876267748478</c:v>
                </c:pt>
                <c:pt idx="222">
                  <c:v>0.82186234817813764</c:v>
                </c:pt>
                <c:pt idx="223">
                  <c:v>0.82793522267206476</c:v>
                </c:pt>
                <c:pt idx="224">
                  <c:v>0.62444444444444447</c:v>
                </c:pt>
                <c:pt idx="225">
                  <c:v>0.66355140186915884</c:v>
                </c:pt>
                <c:pt idx="226">
                  <c:v>0.62082777036048065</c:v>
                </c:pt>
                <c:pt idx="227">
                  <c:v>0.69025367156208273</c:v>
                </c:pt>
                <c:pt idx="228">
                  <c:v>0.75834445927903871</c:v>
                </c:pt>
                <c:pt idx="229">
                  <c:v>0.90666666666666662</c:v>
                </c:pt>
                <c:pt idx="230">
                  <c:v>0.89111111111111108</c:v>
                </c:pt>
                <c:pt idx="231">
                  <c:v>0.88153846153846149</c:v>
                </c:pt>
                <c:pt idx="232">
                  <c:v>0.91230769230769226</c:v>
                </c:pt>
                <c:pt idx="233">
                  <c:v>0.9061538461538462</c:v>
                </c:pt>
                <c:pt idx="234">
                  <c:v>0.91846153846153844</c:v>
                </c:pt>
                <c:pt idx="235">
                  <c:v>0.94316436251920122</c:v>
                </c:pt>
                <c:pt idx="236">
                  <c:v>0.48</c:v>
                </c:pt>
                <c:pt idx="237">
                  <c:v>0.4351145038167939</c:v>
                </c:pt>
                <c:pt idx="238">
                  <c:v>0.58931297709923669</c:v>
                </c:pt>
                <c:pt idx="239">
                  <c:v>0.71145038167938934</c:v>
                </c:pt>
                <c:pt idx="240">
                  <c:v>0.15777777777777777</c:v>
                </c:pt>
                <c:pt idx="241">
                  <c:v>0.24666666666666667</c:v>
                </c:pt>
                <c:pt idx="242">
                  <c:v>0.26819126819126821</c:v>
                </c:pt>
                <c:pt idx="243">
                  <c:v>0.35550935550935553</c:v>
                </c:pt>
                <c:pt idx="244">
                  <c:v>0.88222222222222224</c:v>
                </c:pt>
                <c:pt idx="245">
                  <c:v>0.9244444444444444</c:v>
                </c:pt>
                <c:pt idx="246">
                  <c:v>0.94127806563039729</c:v>
                </c:pt>
                <c:pt idx="247">
                  <c:v>0.96034482758620687</c:v>
                </c:pt>
                <c:pt idx="248">
                  <c:v>0.96444444444444444</c:v>
                </c:pt>
                <c:pt idx="249">
                  <c:v>0.98</c:v>
                </c:pt>
                <c:pt idx="250">
                  <c:v>0.97234352256186318</c:v>
                </c:pt>
                <c:pt idx="251">
                  <c:v>0.99126637554585151</c:v>
                </c:pt>
                <c:pt idx="252">
                  <c:v>0.99272197962154296</c:v>
                </c:pt>
                <c:pt idx="253">
                  <c:v>0.98835516739446871</c:v>
                </c:pt>
                <c:pt idx="254">
                  <c:v>0.9941860465116279</c:v>
                </c:pt>
                <c:pt idx="255">
                  <c:v>0.94444444444444442</c:v>
                </c:pt>
                <c:pt idx="256">
                  <c:v>0.93956043956043955</c:v>
                </c:pt>
                <c:pt idx="257">
                  <c:v>0.9285714285714286</c:v>
                </c:pt>
                <c:pt idx="258">
                  <c:v>0.92335766423357668</c:v>
                </c:pt>
                <c:pt idx="259">
                  <c:v>0.6</c:v>
                </c:pt>
                <c:pt idx="260">
                  <c:v>0.46</c:v>
                </c:pt>
                <c:pt idx="261">
                  <c:v>0.35140562248995982</c:v>
                </c:pt>
                <c:pt idx="262">
                  <c:v>0.4408817635270541</c:v>
                </c:pt>
                <c:pt idx="263">
                  <c:v>0.4909819639278557</c:v>
                </c:pt>
                <c:pt idx="264">
                  <c:v>0.5531062124248497</c:v>
                </c:pt>
                <c:pt idx="265">
                  <c:v>0.34</c:v>
                </c:pt>
                <c:pt idx="266">
                  <c:v>0.33555555555555555</c:v>
                </c:pt>
                <c:pt idx="267">
                  <c:v>0.47333333333333333</c:v>
                </c:pt>
                <c:pt idx="268">
                  <c:v>0.52753108348134992</c:v>
                </c:pt>
                <c:pt idx="269">
                  <c:v>0.5968028419182948</c:v>
                </c:pt>
                <c:pt idx="270">
                  <c:v>0.61634103019538189</c:v>
                </c:pt>
                <c:pt idx="271">
                  <c:v>0.69680851063829785</c:v>
                </c:pt>
                <c:pt idx="272">
                  <c:v>0.97333333333333338</c:v>
                </c:pt>
                <c:pt idx="273">
                  <c:v>0.98788927335640142</c:v>
                </c:pt>
                <c:pt idx="274">
                  <c:v>0.85777777777777775</c:v>
                </c:pt>
                <c:pt idx="275">
                  <c:v>0.88888888888888884</c:v>
                </c:pt>
                <c:pt idx="276">
                  <c:v>0.91876750700280108</c:v>
                </c:pt>
                <c:pt idx="277">
                  <c:v>0.95938375350140059</c:v>
                </c:pt>
                <c:pt idx="278">
                  <c:v>0.98319327731092432</c:v>
                </c:pt>
              </c:numCache>
            </c:numRef>
          </c:xVal>
          <c:yVal>
            <c:numRef>
              <c:f>RaceWorksheet!$B$2:$B$280</c:f>
              <c:numCache>
                <c:formatCode>0.0%</c:formatCode>
                <c:ptCount val="279"/>
                <c:pt idx="0">
                  <c:v>6.4066852367688026E-2</c:v>
                </c:pt>
                <c:pt idx="1">
                  <c:v>9.7989949748743713E-2</c:v>
                </c:pt>
                <c:pt idx="2">
                  <c:v>0.19191919191919191</c:v>
                </c:pt>
                <c:pt idx="3">
                  <c:v>7.371794871794872E-2</c:v>
                </c:pt>
                <c:pt idx="4">
                  <c:v>0.13068181818181818</c:v>
                </c:pt>
                <c:pt idx="5">
                  <c:v>0.24193548387096775</c:v>
                </c:pt>
                <c:pt idx="6">
                  <c:v>0.29087048832271761</c:v>
                </c:pt>
                <c:pt idx="7">
                  <c:v>0.17647058823529413</c:v>
                </c:pt>
                <c:pt idx="8">
                  <c:v>0.40461215932914046</c:v>
                </c:pt>
                <c:pt idx="9">
                  <c:v>0.50107066381156318</c:v>
                </c:pt>
                <c:pt idx="10">
                  <c:v>0.2334293948126801</c:v>
                </c:pt>
                <c:pt idx="11">
                  <c:v>0.39803921568627448</c:v>
                </c:pt>
                <c:pt idx="12">
                  <c:v>0.52834008097165996</c:v>
                </c:pt>
                <c:pt idx="13">
                  <c:v>0.19827586206896552</c:v>
                </c:pt>
                <c:pt idx="14">
                  <c:v>0.43814432989690721</c:v>
                </c:pt>
                <c:pt idx="15">
                  <c:v>0.24471299093655588</c:v>
                </c:pt>
                <c:pt idx="16">
                  <c:v>0.35774058577405859</c:v>
                </c:pt>
                <c:pt idx="17">
                  <c:v>0.51515151515151514</c:v>
                </c:pt>
                <c:pt idx="18">
                  <c:v>0.50843881856540085</c:v>
                </c:pt>
                <c:pt idx="19">
                  <c:v>0.22054380664652568</c:v>
                </c:pt>
                <c:pt idx="20">
                  <c:v>0.30151843817787416</c:v>
                </c:pt>
                <c:pt idx="21">
                  <c:v>0.41050119331742241</c:v>
                </c:pt>
                <c:pt idx="22">
                  <c:v>0.47482014388489208</c:v>
                </c:pt>
                <c:pt idx="23">
                  <c:v>0.41451990632318503</c:v>
                </c:pt>
                <c:pt idx="24">
                  <c:v>0.16867469879518071</c:v>
                </c:pt>
                <c:pt idx="25">
                  <c:v>0.38671875</c:v>
                </c:pt>
                <c:pt idx="26">
                  <c:v>0.18885448916408668</c:v>
                </c:pt>
                <c:pt idx="27">
                  <c:v>0.37142857142857144</c:v>
                </c:pt>
                <c:pt idx="28">
                  <c:v>0.37817258883248733</c:v>
                </c:pt>
                <c:pt idx="29">
                  <c:v>0.42271880819366853</c:v>
                </c:pt>
                <c:pt idx="30">
                  <c:v>0.50495049504950495</c:v>
                </c:pt>
                <c:pt idx="31">
                  <c:v>0.50704225352112675</c:v>
                </c:pt>
                <c:pt idx="32">
                  <c:v>0.4801670146137787</c:v>
                </c:pt>
                <c:pt idx="33">
                  <c:v>0.48221343873517786</c:v>
                </c:pt>
                <c:pt idx="34">
                  <c:v>0.39813084112149533</c:v>
                </c:pt>
                <c:pt idx="35">
                  <c:v>0.49023090586145646</c:v>
                </c:pt>
                <c:pt idx="36">
                  <c:v>0.23795180722891565</c:v>
                </c:pt>
                <c:pt idx="37">
                  <c:v>0.32258064516129031</c:v>
                </c:pt>
                <c:pt idx="38">
                  <c:v>0.4</c:v>
                </c:pt>
                <c:pt idx="39">
                  <c:v>0.37571157495256169</c:v>
                </c:pt>
                <c:pt idx="40">
                  <c:v>0.43308550185873607</c:v>
                </c:pt>
                <c:pt idx="41">
                  <c:v>0.4112627986348123</c:v>
                </c:pt>
                <c:pt idx="42">
                  <c:v>0.39590443686006827</c:v>
                </c:pt>
                <c:pt idx="43">
                  <c:v>0.46153846153846156</c:v>
                </c:pt>
                <c:pt idx="44">
                  <c:v>8.0924855491329481E-2</c:v>
                </c:pt>
                <c:pt idx="45">
                  <c:v>0.18904109589041096</c:v>
                </c:pt>
                <c:pt idx="46">
                  <c:v>0.27954545454545454</c:v>
                </c:pt>
                <c:pt idx="47">
                  <c:v>0.34515366430260047</c:v>
                </c:pt>
                <c:pt idx="48">
                  <c:v>0.47854077253218885</c:v>
                </c:pt>
                <c:pt idx="49">
                  <c:v>9.0342679127725853E-2</c:v>
                </c:pt>
                <c:pt idx="50">
                  <c:v>0.22524271844660193</c:v>
                </c:pt>
                <c:pt idx="51">
                  <c:v>0.27459954233409611</c:v>
                </c:pt>
                <c:pt idx="52">
                  <c:v>0.44025157232704404</c:v>
                </c:pt>
                <c:pt idx="53">
                  <c:v>0.53707414829659317</c:v>
                </c:pt>
                <c:pt idx="54">
                  <c:v>0.1167192429022082</c:v>
                </c:pt>
                <c:pt idx="55">
                  <c:v>0.16020671834625322</c:v>
                </c:pt>
                <c:pt idx="56">
                  <c:v>0.19892473118279569</c:v>
                </c:pt>
                <c:pt idx="57">
                  <c:v>0.23056994818652848</c:v>
                </c:pt>
                <c:pt idx="58">
                  <c:v>0.19197707736389685</c:v>
                </c:pt>
                <c:pt idx="59">
                  <c:v>0.23232323232323232</c:v>
                </c:pt>
                <c:pt idx="60">
                  <c:v>0.3309982486865149</c:v>
                </c:pt>
                <c:pt idx="61">
                  <c:v>0.3696060037523452</c:v>
                </c:pt>
                <c:pt idx="62">
                  <c:v>0.45703839122486289</c:v>
                </c:pt>
                <c:pt idx="63">
                  <c:v>5.5232558139534885E-2</c:v>
                </c:pt>
                <c:pt idx="64">
                  <c:v>6.8464730290456438E-2</c:v>
                </c:pt>
                <c:pt idx="65">
                  <c:v>0.17436974789915966</c:v>
                </c:pt>
                <c:pt idx="66">
                  <c:v>0.19130434782608696</c:v>
                </c:pt>
                <c:pt idx="67">
                  <c:v>0.4</c:v>
                </c:pt>
                <c:pt idx="68">
                  <c:v>0.44111776447105788</c:v>
                </c:pt>
                <c:pt idx="69">
                  <c:v>8.2278481012658222E-2</c:v>
                </c:pt>
                <c:pt idx="70">
                  <c:v>0.23971377459749552</c:v>
                </c:pt>
                <c:pt idx="71">
                  <c:v>0.45632798573975042</c:v>
                </c:pt>
                <c:pt idx="72">
                  <c:v>6.0790273556231003E-3</c:v>
                </c:pt>
                <c:pt idx="73">
                  <c:v>1.1267605633802818E-2</c:v>
                </c:pt>
                <c:pt idx="74">
                  <c:v>2.0958083832335328E-2</c:v>
                </c:pt>
                <c:pt idx="75">
                  <c:v>3.5928143712574849E-2</c:v>
                </c:pt>
                <c:pt idx="76">
                  <c:v>3.6231884057971016E-2</c:v>
                </c:pt>
                <c:pt idx="77">
                  <c:v>2.5495750708215296E-2</c:v>
                </c:pt>
                <c:pt idx="78">
                  <c:v>3.5040431266846361E-2</c:v>
                </c:pt>
                <c:pt idx="79">
                  <c:v>4.3557168784029036E-2</c:v>
                </c:pt>
                <c:pt idx="80">
                  <c:v>8.1669691470054442E-2</c:v>
                </c:pt>
                <c:pt idx="81">
                  <c:v>7.9777365491651209E-2</c:v>
                </c:pt>
                <c:pt idx="82">
                  <c:v>0.14022140221402213</c:v>
                </c:pt>
                <c:pt idx="83">
                  <c:v>6.8656716417910449E-2</c:v>
                </c:pt>
                <c:pt idx="84">
                  <c:v>4.1666666666666664E-2</c:v>
                </c:pt>
                <c:pt idx="85">
                  <c:v>8.8145896656534953E-2</c:v>
                </c:pt>
                <c:pt idx="86">
                  <c:v>6.25E-2</c:v>
                </c:pt>
                <c:pt idx="87">
                  <c:v>7.128309572301425E-2</c:v>
                </c:pt>
                <c:pt idx="88">
                  <c:v>0.10643015521064302</c:v>
                </c:pt>
                <c:pt idx="89">
                  <c:v>0.15730337078651685</c:v>
                </c:pt>
                <c:pt idx="90">
                  <c:v>2.3255813953488372E-2</c:v>
                </c:pt>
                <c:pt idx="91">
                  <c:v>3.2697547683923703E-2</c:v>
                </c:pt>
                <c:pt idx="92">
                  <c:v>7.8767123287671229E-2</c:v>
                </c:pt>
                <c:pt idx="93">
                  <c:v>0.15187713310580206</c:v>
                </c:pt>
                <c:pt idx="94">
                  <c:v>0.16621253405994552</c:v>
                </c:pt>
                <c:pt idx="95">
                  <c:v>0.32166301969365424</c:v>
                </c:pt>
                <c:pt idx="96">
                  <c:v>0.38975501113585748</c:v>
                </c:pt>
                <c:pt idx="97">
                  <c:v>0.49682875264270615</c:v>
                </c:pt>
                <c:pt idx="98">
                  <c:v>0.20125786163522014</c:v>
                </c:pt>
                <c:pt idx="99">
                  <c:v>0.3156498673740053</c:v>
                </c:pt>
                <c:pt idx="100">
                  <c:v>0.36756756756756759</c:v>
                </c:pt>
                <c:pt idx="101">
                  <c:v>0.34509803921568627</c:v>
                </c:pt>
                <c:pt idx="102">
                  <c:v>0.33073929961089493</c:v>
                </c:pt>
                <c:pt idx="103">
                  <c:v>0.36460176991150445</c:v>
                </c:pt>
                <c:pt idx="104">
                  <c:v>0.49734513274336284</c:v>
                </c:pt>
                <c:pt idx="105">
                  <c:v>0.27635327635327633</c:v>
                </c:pt>
                <c:pt idx="106">
                  <c:v>0.28799999999999998</c:v>
                </c:pt>
                <c:pt idx="107">
                  <c:v>0.31418312387791741</c:v>
                </c:pt>
                <c:pt idx="108">
                  <c:v>0.33931777378815081</c:v>
                </c:pt>
                <c:pt idx="109">
                  <c:v>0.37307692307692308</c:v>
                </c:pt>
                <c:pt idx="110">
                  <c:v>0.36708860759493672</c:v>
                </c:pt>
                <c:pt idx="111">
                  <c:v>0.36597938144329895</c:v>
                </c:pt>
                <c:pt idx="112">
                  <c:v>0.43434343434343436</c:v>
                </c:pt>
                <c:pt idx="113">
                  <c:v>0.2231404958677686</c:v>
                </c:pt>
                <c:pt idx="114">
                  <c:v>0.35449735449735448</c:v>
                </c:pt>
                <c:pt idx="115">
                  <c:v>0.32416502946954812</c:v>
                </c:pt>
                <c:pt idx="116">
                  <c:v>0.32727272727272727</c:v>
                </c:pt>
                <c:pt idx="117">
                  <c:v>0.27042801556420232</c:v>
                </c:pt>
                <c:pt idx="118">
                  <c:v>0.32976827094474154</c:v>
                </c:pt>
                <c:pt idx="119">
                  <c:v>0.4</c:v>
                </c:pt>
                <c:pt idx="120">
                  <c:v>2.5806451612903226E-2</c:v>
                </c:pt>
                <c:pt idx="121">
                  <c:v>4.632152588555858E-2</c:v>
                </c:pt>
                <c:pt idx="122">
                  <c:v>3.4764826175869123E-2</c:v>
                </c:pt>
                <c:pt idx="123">
                  <c:v>3.1380753138075312E-2</c:v>
                </c:pt>
                <c:pt idx="124">
                  <c:v>4.6908315565031986E-2</c:v>
                </c:pt>
                <c:pt idx="125">
                  <c:v>8.6092715231788075E-2</c:v>
                </c:pt>
                <c:pt idx="126">
                  <c:v>9.5238095238095233E-2</c:v>
                </c:pt>
                <c:pt idx="127">
                  <c:v>2.8225806451612902E-2</c:v>
                </c:pt>
                <c:pt idx="128">
                  <c:v>8.670520231213872E-3</c:v>
                </c:pt>
                <c:pt idx="129">
                  <c:v>1.092896174863388E-2</c:v>
                </c:pt>
                <c:pt idx="130">
                  <c:v>1.6597510373443983E-2</c:v>
                </c:pt>
                <c:pt idx="131">
                  <c:v>1.5555555555555555E-2</c:v>
                </c:pt>
                <c:pt idx="132">
                  <c:v>1.8264840182648401E-2</c:v>
                </c:pt>
                <c:pt idx="133">
                  <c:v>2.2499999999999999E-2</c:v>
                </c:pt>
                <c:pt idx="134">
                  <c:v>3.6458333333333336E-2</c:v>
                </c:pt>
                <c:pt idx="135">
                  <c:v>1.5184381778741865E-2</c:v>
                </c:pt>
                <c:pt idx="136">
                  <c:v>2.4590163934426229E-2</c:v>
                </c:pt>
                <c:pt idx="137">
                  <c:v>1.4492753623188406E-2</c:v>
                </c:pt>
                <c:pt idx="138">
                  <c:v>1.7045454545454544E-2</c:v>
                </c:pt>
                <c:pt idx="139">
                  <c:v>8.8888888888888889E-3</c:v>
                </c:pt>
                <c:pt idx="140">
                  <c:v>3.4246575342465752E-2</c:v>
                </c:pt>
                <c:pt idx="141">
                  <c:v>1.1111111111111112E-2</c:v>
                </c:pt>
                <c:pt idx="142">
                  <c:v>1.4534883720930232E-2</c:v>
                </c:pt>
                <c:pt idx="143">
                  <c:v>1.7094017094017096E-2</c:v>
                </c:pt>
                <c:pt idx="144">
                  <c:v>9.1911764705882356E-3</c:v>
                </c:pt>
                <c:pt idx="145">
                  <c:v>2.4253731343283583E-2</c:v>
                </c:pt>
                <c:pt idx="146">
                  <c:v>2.3809523809523808E-2</c:v>
                </c:pt>
                <c:pt idx="147">
                  <c:v>3.2755298651252408E-2</c:v>
                </c:pt>
                <c:pt idx="148">
                  <c:v>2.8037383177570093E-2</c:v>
                </c:pt>
                <c:pt idx="149">
                  <c:v>9.316770186335404E-3</c:v>
                </c:pt>
                <c:pt idx="150">
                  <c:v>6.1919504643962852E-3</c:v>
                </c:pt>
                <c:pt idx="151">
                  <c:v>1.3812154696132596E-2</c:v>
                </c:pt>
                <c:pt idx="152">
                  <c:v>9.5465393794749408E-3</c:v>
                </c:pt>
                <c:pt idx="153">
                  <c:v>1.0075566750629723E-2</c:v>
                </c:pt>
                <c:pt idx="154">
                  <c:v>1.6393442622950821E-2</c:v>
                </c:pt>
                <c:pt idx="155">
                  <c:v>4.2780748663101602E-2</c:v>
                </c:pt>
                <c:pt idx="156">
                  <c:v>1.6260162601626018E-2</c:v>
                </c:pt>
                <c:pt idx="157">
                  <c:v>5.8479532163742687E-3</c:v>
                </c:pt>
                <c:pt idx="158">
                  <c:v>2.4930747922437674E-2</c:v>
                </c:pt>
                <c:pt idx="159">
                  <c:v>1.8036072144288578E-2</c:v>
                </c:pt>
                <c:pt idx="160">
                  <c:v>2.3655913978494623E-2</c:v>
                </c:pt>
                <c:pt idx="161">
                  <c:v>1.1848341232227487E-2</c:v>
                </c:pt>
                <c:pt idx="162">
                  <c:v>3.6093418259023353E-2</c:v>
                </c:pt>
                <c:pt idx="163">
                  <c:v>0.14285714285714285</c:v>
                </c:pt>
                <c:pt idx="164">
                  <c:v>0.2077562326869806</c:v>
                </c:pt>
                <c:pt idx="165">
                  <c:v>0.23287671232876711</c:v>
                </c:pt>
                <c:pt idx="166">
                  <c:v>0.33516483516483514</c:v>
                </c:pt>
                <c:pt idx="167">
                  <c:v>0.34734917733089582</c:v>
                </c:pt>
                <c:pt idx="168">
                  <c:v>0.31953642384105962</c:v>
                </c:pt>
                <c:pt idx="169">
                  <c:v>3.111111111111111E-2</c:v>
                </c:pt>
                <c:pt idx="170">
                  <c:v>3.1700288184438041E-2</c:v>
                </c:pt>
                <c:pt idx="171">
                  <c:v>4.6296296296296294E-2</c:v>
                </c:pt>
                <c:pt idx="172">
                  <c:v>7.3059360730593603E-2</c:v>
                </c:pt>
                <c:pt idx="173">
                  <c:v>0.11214953271028037</c:v>
                </c:pt>
                <c:pt idx="174">
                  <c:v>0.15920398009950248</c:v>
                </c:pt>
                <c:pt idx="175">
                  <c:v>0.21921182266009853</c:v>
                </c:pt>
                <c:pt idx="176">
                  <c:v>0.23230088495575221</c:v>
                </c:pt>
                <c:pt idx="177">
                  <c:v>1.4035087719298246E-2</c:v>
                </c:pt>
                <c:pt idx="178">
                  <c:v>0</c:v>
                </c:pt>
                <c:pt idx="179">
                  <c:v>1.937984496124031E-2</c:v>
                </c:pt>
                <c:pt idx="180">
                  <c:v>0.11952191235059761</c:v>
                </c:pt>
                <c:pt idx="181">
                  <c:v>0.22004889975550121</c:v>
                </c:pt>
                <c:pt idx="182">
                  <c:v>4.9429657794676805E-2</c:v>
                </c:pt>
                <c:pt idx="183">
                  <c:v>6.9069069069069067E-2</c:v>
                </c:pt>
                <c:pt idx="184">
                  <c:v>0.22895622895622897</c:v>
                </c:pt>
                <c:pt idx="185">
                  <c:v>0.23734177215189872</c:v>
                </c:pt>
                <c:pt idx="186">
                  <c:v>0.29820051413881749</c:v>
                </c:pt>
                <c:pt idx="187">
                  <c:v>0.31648936170212766</c:v>
                </c:pt>
                <c:pt idx="188">
                  <c:v>0.44756554307116103</c:v>
                </c:pt>
                <c:pt idx="189">
                  <c:v>0.45136186770428016</c:v>
                </c:pt>
                <c:pt idx="190">
                  <c:v>0.41767068273092367</c:v>
                </c:pt>
                <c:pt idx="191">
                  <c:v>0.39494163424124512</c:v>
                </c:pt>
                <c:pt idx="192">
                  <c:v>0.41176470588235292</c:v>
                </c:pt>
                <c:pt idx="193">
                  <c:v>0.40106951871657753</c:v>
                </c:pt>
                <c:pt idx="194">
                  <c:v>0.50980392156862742</c:v>
                </c:pt>
                <c:pt idx="195">
                  <c:v>0.48378378378378378</c:v>
                </c:pt>
                <c:pt idx="196">
                  <c:v>0.45012787723785164</c:v>
                </c:pt>
                <c:pt idx="197">
                  <c:v>6.7278287461773695E-2</c:v>
                </c:pt>
                <c:pt idx="198">
                  <c:v>6.1007957559681698E-2</c:v>
                </c:pt>
                <c:pt idx="199">
                  <c:v>0.1062992125984252</c:v>
                </c:pt>
                <c:pt idx="200">
                  <c:v>0.16016427104722791</c:v>
                </c:pt>
                <c:pt idx="201">
                  <c:v>0.26271186440677968</c:v>
                </c:pt>
                <c:pt idx="202">
                  <c:v>0.28610354223433243</c:v>
                </c:pt>
                <c:pt idx="203">
                  <c:v>0.4282115869017632</c:v>
                </c:pt>
                <c:pt idx="204">
                  <c:v>0.48336594911937375</c:v>
                </c:pt>
                <c:pt idx="205">
                  <c:v>0.49792531120331951</c:v>
                </c:pt>
                <c:pt idx="206">
                  <c:v>0.396078431372549</c:v>
                </c:pt>
                <c:pt idx="207">
                  <c:v>0.396584440227704</c:v>
                </c:pt>
                <c:pt idx="208">
                  <c:v>0.52173913043478259</c:v>
                </c:pt>
                <c:pt idx="209">
                  <c:v>0.10975609756097561</c:v>
                </c:pt>
                <c:pt idx="210">
                  <c:v>0.15885416666666666</c:v>
                </c:pt>
                <c:pt idx="211">
                  <c:v>0.24319419237749546</c:v>
                </c:pt>
                <c:pt idx="212">
                  <c:v>0.22988505747126436</c:v>
                </c:pt>
                <c:pt idx="213">
                  <c:v>0.2863070539419087</c:v>
                </c:pt>
                <c:pt idx="214">
                  <c:v>0.34268537074148298</c:v>
                </c:pt>
                <c:pt idx="215">
                  <c:v>0.3532934131736527</c:v>
                </c:pt>
                <c:pt idx="216">
                  <c:v>0.3776091081593928</c:v>
                </c:pt>
                <c:pt idx="217">
                  <c:v>0.44220183486238535</c:v>
                </c:pt>
                <c:pt idx="218">
                  <c:v>0.13531353135313531</c:v>
                </c:pt>
                <c:pt idx="219">
                  <c:v>0.14325842696629212</c:v>
                </c:pt>
                <c:pt idx="220">
                  <c:v>0.23846153846153847</c:v>
                </c:pt>
                <c:pt idx="221">
                  <c:v>0.3342696629213483</c:v>
                </c:pt>
                <c:pt idx="222">
                  <c:v>0.39118457300275483</c:v>
                </c:pt>
                <c:pt idx="223">
                  <c:v>0.37534246575342467</c:v>
                </c:pt>
                <c:pt idx="224">
                  <c:v>0.26239067055393583</c:v>
                </c:pt>
                <c:pt idx="225">
                  <c:v>0.30809399477806787</c:v>
                </c:pt>
                <c:pt idx="226">
                  <c:v>0.41904761904761906</c:v>
                </c:pt>
                <c:pt idx="227">
                  <c:v>0.50894632206759438</c:v>
                </c:pt>
                <c:pt idx="228">
                  <c:v>0.53249475890985321</c:v>
                </c:pt>
                <c:pt idx="229">
                  <c:v>0.50920245398773001</c:v>
                </c:pt>
                <c:pt idx="230">
                  <c:v>0.53501945525291827</c:v>
                </c:pt>
                <c:pt idx="231">
                  <c:v>0.27500000000000002</c:v>
                </c:pt>
                <c:pt idx="232">
                  <c:v>0.35806451612903228</c:v>
                </c:pt>
                <c:pt idx="233">
                  <c:v>0.35526315789473684</c:v>
                </c:pt>
                <c:pt idx="234">
                  <c:v>0.35166666666666668</c:v>
                </c:pt>
                <c:pt idx="235">
                  <c:v>0.39130434782608697</c:v>
                </c:pt>
                <c:pt idx="236">
                  <c:v>0.16101694915254236</c:v>
                </c:pt>
                <c:pt idx="237">
                  <c:v>0.22376237623762377</c:v>
                </c:pt>
                <c:pt idx="238">
                  <c:v>0.29880478087649404</c:v>
                </c:pt>
                <c:pt idx="239">
                  <c:v>0.39065420560747666</c:v>
                </c:pt>
                <c:pt idx="240">
                  <c:v>6.9264069264069264E-2</c:v>
                </c:pt>
                <c:pt idx="241">
                  <c:v>0.1238390092879257</c:v>
                </c:pt>
                <c:pt idx="242">
                  <c:v>0.18037974683544303</c:v>
                </c:pt>
                <c:pt idx="243">
                  <c:v>0.14241486068111456</c:v>
                </c:pt>
                <c:pt idx="244">
                  <c:v>0.19934640522875818</c:v>
                </c:pt>
                <c:pt idx="245">
                  <c:v>0.30079155672823221</c:v>
                </c:pt>
                <c:pt idx="246">
                  <c:v>0.44329896907216493</c:v>
                </c:pt>
                <c:pt idx="247">
                  <c:v>0.4472573839662447</c:v>
                </c:pt>
                <c:pt idx="248">
                  <c:v>0.28155339805825241</c:v>
                </c:pt>
                <c:pt idx="249">
                  <c:v>0.33420365535248042</c:v>
                </c:pt>
                <c:pt idx="250">
                  <c:v>0.44385026737967914</c:v>
                </c:pt>
                <c:pt idx="251">
                  <c:v>0.47735849056603774</c:v>
                </c:pt>
                <c:pt idx="252">
                  <c:v>0.47697974217311234</c:v>
                </c:pt>
                <c:pt idx="253">
                  <c:v>0.40625</c:v>
                </c:pt>
                <c:pt idx="254">
                  <c:v>0.46967071057192372</c:v>
                </c:pt>
                <c:pt idx="255">
                  <c:v>0.32947976878612717</c:v>
                </c:pt>
                <c:pt idx="256">
                  <c:v>0.41230068337129838</c:v>
                </c:pt>
                <c:pt idx="257">
                  <c:v>0.43457943925233644</c:v>
                </c:pt>
                <c:pt idx="258">
                  <c:v>0.4360730593607306</c:v>
                </c:pt>
                <c:pt idx="259">
                  <c:v>0.2087227414330218</c:v>
                </c:pt>
                <c:pt idx="260">
                  <c:v>0.16981132075471697</c:v>
                </c:pt>
                <c:pt idx="261">
                  <c:v>0.1641025641025641</c:v>
                </c:pt>
                <c:pt idx="262">
                  <c:v>0.22222222222222221</c:v>
                </c:pt>
                <c:pt idx="263">
                  <c:v>0.24324324324324326</c:v>
                </c:pt>
                <c:pt idx="264">
                  <c:v>0.27083333333333331</c:v>
                </c:pt>
                <c:pt idx="265">
                  <c:v>9.152542372881356E-2</c:v>
                </c:pt>
                <c:pt idx="266">
                  <c:v>0.11891891891891893</c:v>
                </c:pt>
                <c:pt idx="267">
                  <c:v>0.17886178861788618</c:v>
                </c:pt>
                <c:pt idx="268">
                  <c:v>0.27777777777777779</c:v>
                </c:pt>
                <c:pt idx="269">
                  <c:v>0.32727272727272727</c:v>
                </c:pt>
                <c:pt idx="270">
                  <c:v>0.33568075117370894</c:v>
                </c:pt>
                <c:pt idx="271">
                  <c:v>0.36909871244635195</c:v>
                </c:pt>
                <c:pt idx="272">
                  <c:v>0.24316109422492402</c:v>
                </c:pt>
                <c:pt idx="273">
                  <c:v>0.34126984126984128</c:v>
                </c:pt>
                <c:pt idx="274">
                  <c:v>0.46422338568935428</c:v>
                </c:pt>
                <c:pt idx="275">
                  <c:v>0.53873873873873879</c:v>
                </c:pt>
                <c:pt idx="276">
                  <c:v>0.5083333333333333</c:v>
                </c:pt>
                <c:pt idx="277">
                  <c:v>0.35261707988980717</c:v>
                </c:pt>
                <c:pt idx="278">
                  <c:v>0.45553145336225598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983-48E2-85BE-EAF1BF5F61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4301024"/>
        <c:axId val="1547841584"/>
      </c:scatterChart>
      <c:valAx>
        <c:axId val="1584301024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7841584"/>
        <c:crosses val="autoZero"/>
        <c:crossBetween val="midCat"/>
      </c:valAx>
      <c:valAx>
        <c:axId val="1547841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43010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BN% vs Malay% P128 Seremban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1753455818022747"/>
                  <c:y val="-9.3102945465150189E-2"/>
                </c:manualLayout>
              </c:layout>
              <c:numFmt formatCode="General" sourceLinked="0"/>
              <c:spPr>
                <a:solidFill>
                  <a:schemeClr val="bg1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RaceWorksheet!$K$2:$K$280</c:f>
              <c:numCache>
                <c:formatCode>0.0%</c:formatCode>
                <c:ptCount val="279"/>
                <c:pt idx="0">
                  <c:v>0.20666666666666667</c:v>
                </c:pt>
                <c:pt idx="1">
                  <c:v>0.22546972860125261</c:v>
                </c:pt>
                <c:pt idx="2">
                  <c:v>0.34029227557411273</c:v>
                </c:pt>
                <c:pt idx="3">
                  <c:v>0.3888888888888889</c:v>
                </c:pt>
                <c:pt idx="4">
                  <c:v>0.37555555555555553</c:v>
                </c:pt>
                <c:pt idx="5">
                  <c:v>0.44346549192364171</c:v>
                </c:pt>
                <c:pt idx="6">
                  <c:v>0.6217008797653959</c:v>
                </c:pt>
                <c:pt idx="7">
                  <c:v>0.8666666666666667</c:v>
                </c:pt>
                <c:pt idx="8">
                  <c:v>0.93594306049822062</c:v>
                </c:pt>
                <c:pt idx="9">
                  <c:v>0.98223801065719363</c:v>
                </c:pt>
                <c:pt idx="10">
                  <c:v>0.96888888888888891</c:v>
                </c:pt>
                <c:pt idx="11">
                  <c:v>0.97844112769485903</c:v>
                </c:pt>
                <c:pt idx="12">
                  <c:v>0.97512437810945274</c:v>
                </c:pt>
                <c:pt idx="13">
                  <c:v>0.78222222222222226</c:v>
                </c:pt>
                <c:pt idx="14">
                  <c:v>0.84538152610441764</c:v>
                </c:pt>
                <c:pt idx="15">
                  <c:v>0.98666666666666669</c:v>
                </c:pt>
                <c:pt idx="16">
                  <c:v>0.989247311827957</c:v>
                </c:pt>
                <c:pt idx="17">
                  <c:v>0.9946236559139785</c:v>
                </c:pt>
                <c:pt idx="18">
                  <c:v>1</c:v>
                </c:pt>
                <c:pt idx="19">
                  <c:v>0.84</c:v>
                </c:pt>
                <c:pt idx="20">
                  <c:v>0.77436823104693142</c:v>
                </c:pt>
                <c:pt idx="21">
                  <c:v>0.69133574007220222</c:v>
                </c:pt>
                <c:pt idx="22">
                  <c:v>0.79819819819819815</c:v>
                </c:pt>
                <c:pt idx="23">
                  <c:v>0.84324324324324329</c:v>
                </c:pt>
                <c:pt idx="24">
                  <c:v>0.5993975903614458</c:v>
                </c:pt>
                <c:pt idx="25">
                  <c:v>0.73873873873873874</c:v>
                </c:pt>
                <c:pt idx="26">
                  <c:v>0.30444444444444446</c:v>
                </c:pt>
                <c:pt idx="27">
                  <c:v>0.43111111111111111</c:v>
                </c:pt>
                <c:pt idx="28">
                  <c:v>0.5244122965641953</c:v>
                </c:pt>
                <c:pt idx="29">
                  <c:v>0.75090252707581229</c:v>
                </c:pt>
                <c:pt idx="30">
                  <c:v>0.8267148014440433</c:v>
                </c:pt>
                <c:pt idx="31">
                  <c:v>0.83777777777777773</c:v>
                </c:pt>
                <c:pt idx="32">
                  <c:v>0.93333333333333335</c:v>
                </c:pt>
                <c:pt idx="33">
                  <c:v>0.87777777777777777</c:v>
                </c:pt>
                <c:pt idx="34">
                  <c:v>0.83410138248847931</c:v>
                </c:pt>
                <c:pt idx="35">
                  <c:v>0.89247311827956988</c:v>
                </c:pt>
                <c:pt idx="36">
                  <c:v>0.96006144393241166</c:v>
                </c:pt>
                <c:pt idx="37">
                  <c:v>0.956989247311828</c:v>
                </c:pt>
                <c:pt idx="38">
                  <c:v>0.96159754224270355</c:v>
                </c:pt>
                <c:pt idx="39">
                  <c:v>0.94478527607361962</c:v>
                </c:pt>
                <c:pt idx="40">
                  <c:v>0.94171779141104295</c:v>
                </c:pt>
                <c:pt idx="41">
                  <c:v>0.70666666666666667</c:v>
                </c:pt>
                <c:pt idx="42">
                  <c:v>0.80444444444444441</c:v>
                </c:pt>
                <c:pt idx="43">
                  <c:v>0.73022598870056499</c:v>
                </c:pt>
                <c:pt idx="44">
                  <c:v>0.69209039548022599</c:v>
                </c:pt>
                <c:pt idx="45">
                  <c:v>0.79519774011299438</c:v>
                </c:pt>
                <c:pt idx="46">
                  <c:v>0.83757062146892658</c:v>
                </c:pt>
                <c:pt idx="47">
                  <c:v>0.86741889985895626</c:v>
                </c:pt>
                <c:pt idx="48">
                  <c:v>0.86318758815232721</c:v>
                </c:pt>
                <c:pt idx="49">
                  <c:v>0.25555555555555554</c:v>
                </c:pt>
                <c:pt idx="50">
                  <c:v>0.29113924050632911</c:v>
                </c:pt>
                <c:pt idx="51">
                  <c:v>0.41561181434599154</c:v>
                </c:pt>
                <c:pt idx="52">
                  <c:v>0.44</c:v>
                </c:pt>
                <c:pt idx="53">
                  <c:v>0.16888888888888889</c:v>
                </c:pt>
                <c:pt idx="54">
                  <c:v>0.35451505016722407</c:v>
                </c:pt>
                <c:pt idx="55">
                  <c:v>0.43311036789297658</c:v>
                </c:pt>
                <c:pt idx="56">
                  <c:v>0.62876254180602009</c:v>
                </c:pt>
                <c:pt idx="57">
                  <c:v>0.77629382303839733</c:v>
                </c:pt>
                <c:pt idx="58">
                  <c:v>0.50666666666666671</c:v>
                </c:pt>
                <c:pt idx="59">
                  <c:v>0.5377777777777778</c:v>
                </c:pt>
                <c:pt idx="60">
                  <c:v>0.57602339181286555</c:v>
                </c:pt>
                <c:pt idx="61">
                  <c:v>0.67836257309941517</c:v>
                </c:pt>
                <c:pt idx="62">
                  <c:v>0.76934306569343069</c:v>
                </c:pt>
                <c:pt idx="63">
                  <c:v>4.4444444444444446E-2</c:v>
                </c:pt>
                <c:pt idx="64">
                  <c:v>0.11015490533562823</c:v>
                </c:pt>
                <c:pt idx="65">
                  <c:v>0.36144578313253012</c:v>
                </c:pt>
                <c:pt idx="66">
                  <c:v>0.56666666666666665</c:v>
                </c:pt>
                <c:pt idx="67">
                  <c:v>0.78090766823161184</c:v>
                </c:pt>
                <c:pt idx="68">
                  <c:v>0.82316118935837246</c:v>
                </c:pt>
                <c:pt idx="69">
                  <c:v>0.18</c:v>
                </c:pt>
                <c:pt idx="70">
                  <c:v>0.42398884239888424</c:v>
                </c:pt>
                <c:pt idx="71">
                  <c:v>0.75766016713091922</c:v>
                </c:pt>
                <c:pt idx="72">
                  <c:v>2.5000000000000001E-2</c:v>
                </c:pt>
                <c:pt idx="73">
                  <c:v>4.0178571428571432E-2</c:v>
                </c:pt>
                <c:pt idx="74">
                  <c:v>6.9196428571428575E-2</c:v>
                </c:pt>
                <c:pt idx="75">
                  <c:v>6.25E-2</c:v>
                </c:pt>
                <c:pt idx="76">
                  <c:v>0.10249999999999999</c:v>
                </c:pt>
                <c:pt idx="77">
                  <c:v>8.3732057416267949E-2</c:v>
                </c:pt>
                <c:pt idx="78">
                  <c:v>0.1674641148325359</c:v>
                </c:pt>
                <c:pt idx="79">
                  <c:v>8.4444444444444447E-2</c:v>
                </c:pt>
                <c:pt idx="80">
                  <c:v>9.1111111111111115E-2</c:v>
                </c:pt>
                <c:pt idx="81">
                  <c:v>0.10222222222222223</c:v>
                </c:pt>
                <c:pt idx="82">
                  <c:v>0.10964912280701754</c:v>
                </c:pt>
                <c:pt idx="83">
                  <c:v>0.16081871345029239</c:v>
                </c:pt>
                <c:pt idx="84">
                  <c:v>0.16959064327485379</c:v>
                </c:pt>
                <c:pt idx="85">
                  <c:v>0.26608187134502925</c:v>
                </c:pt>
                <c:pt idx="86">
                  <c:v>0.23555555555555555</c:v>
                </c:pt>
                <c:pt idx="87">
                  <c:v>0.15641476274165203</c:v>
                </c:pt>
                <c:pt idx="88">
                  <c:v>0.23198594024604569</c:v>
                </c:pt>
                <c:pt idx="89">
                  <c:v>0.25483304042179261</c:v>
                </c:pt>
                <c:pt idx="90">
                  <c:v>5.3333333333333337E-2</c:v>
                </c:pt>
                <c:pt idx="91">
                  <c:v>0.10444444444444445</c:v>
                </c:pt>
                <c:pt idx="92">
                  <c:v>0.12382234185733512</c:v>
                </c:pt>
                <c:pt idx="93">
                  <c:v>0.22715053763440859</c:v>
                </c:pt>
                <c:pt idx="94">
                  <c:v>0.87777777777777777</c:v>
                </c:pt>
                <c:pt idx="95">
                  <c:v>0.76672694394213381</c:v>
                </c:pt>
                <c:pt idx="96">
                  <c:v>0.83363471971066905</c:v>
                </c:pt>
                <c:pt idx="97">
                  <c:v>0.8666666666666667</c:v>
                </c:pt>
                <c:pt idx="98">
                  <c:v>0.46888888888888891</c:v>
                </c:pt>
                <c:pt idx="99">
                  <c:v>0.51466275659824046</c:v>
                </c:pt>
                <c:pt idx="100">
                  <c:v>0.51466275659824046</c:v>
                </c:pt>
                <c:pt idx="101">
                  <c:v>0.55425219941348969</c:v>
                </c:pt>
                <c:pt idx="102">
                  <c:v>0.59677419354838712</c:v>
                </c:pt>
                <c:pt idx="103">
                  <c:v>0.63049853372434017</c:v>
                </c:pt>
                <c:pt idx="104">
                  <c:v>0.66812865497076024</c:v>
                </c:pt>
                <c:pt idx="105">
                  <c:v>0.5</c:v>
                </c:pt>
                <c:pt idx="106">
                  <c:v>0.52888888888888885</c:v>
                </c:pt>
                <c:pt idx="107">
                  <c:v>0.50909090909090904</c:v>
                </c:pt>
                <c:pt idx="108">
                  <c:v>0.54405594405594404</c:v>
                </c:pt>
                <c:pt idx="109">
                  <c:v>0.62937062937062938</c:v>
                </c:pt>
                <c:pt idx="110">
                  <c:v>0.6685314685314685</c:v>
                </c:pt>
                <c:pt idx="111">
                  <c:v>0.73463687150837986</c:v>
                </c:pt>
                <c:pt idx="112">
                  <c:v>0.76117318435754189</c:v>
                </c:pt>
                <c:pt idx="113">
                  <c:v>0.36444444444444446</c:v>
                </c:pt>
                <c:pt idx="114">
                  <c:v>0.47333333333333333</c:v>
                </c:pt>
                <c:pt idx="115">
                  <c:v>0.53868613138686128</c:v>
                </c:pt>
                <c:pt idx="116">
                  <c:v>0.54598540145985397</c:v>
                </c:pt>
                <c:pt idx="117">
                  <c:v>0.63065693430656933</c:v>
                </c:pt>
                <c:pt idx="118">
                  <c:v>0.66277372262773726</c:v>
                </c:pt>
                <c:pt idx="119">
                  <c:v>0.76496350364963506</c:v>
                </c:pt>
                <c:pt idx="120">
                  <c:v>0.10444444444444445</c:v>
                </c:pt>
                <c:pt idx="121">
                  <c:v>0.14000000000000001</c:v>
                </c:pt>
                <c:pt idx="122">
                  <c:v>7.6799999999999993E-2</c:v>
                </c:pt>
                <c:pt idx="123">
                  <c:v>6.5600000000000006E-2</c:v>
                </c:pt>
                <c:pt idx="124">
                  <c:v>8.9599999999999999E-2</c:v>
                </c:pt>
                <c:pt idx="125">
                  <c:v>0.18240000000000001</c:v>
                </c:pt>
                <c:pt idx="126">
                  <c:v>0.20960000000000001</c:v>
                </c:pt>
                <c:pt idx="127">
                  <c:v>8.8888888888888889E-3</c:v>
                </c:pt>
                <c:pt idx="128">
                  <c:v>4.4444444444444444E-3</c:v>
                </c:pt>
                <c:pt idx="129">
                  <c:v>1.5555555555555555E-2</c:v>
                </c:pt>
                <c:pt idx="130">
                  <c:v>3.6395147313691506E-2</c:v>
                </c:pt>
                <c:pt idx="131">
                  <c:v>4.5060658578856154E-2</c:v>
                </c:pt>
                <c:pt idx="132">
                  <c:v>2.4263431542461005E-2</c:v>
                </c:pt>
                <c:pt idx="133">
                  <c:v>6.2391681109185443E-2</c:v>
                </c:pt>
                <c:pt idx="134">
                  <c:v>6.9324090121317156E-2</c:v>
                </c:pt>
                <c:pt idx="135">
                  <c:v>5.0173010380622836E-2</c:v>
                </c:pt>
                <c:pt idx="136">
                  <c:v>1.7777777777777778E-2</c:v>
                </c:pt>
                <c:pt idx="137">
                  <c:v>1.3333333333333334E-2</c:v>
                </c:pt>
                <c:pt idx="138">
                  <c:v>6.6666666666666671E-3</c:v>
                </c:pt>
                <c:pt idx="139">
                  <c:v>2.6041666666666668E-2</c:v>
                </c:pt>
                <c:pt idx="140">
                  <c:v>5.7192374350086658E-2</c:v>
                </c:pt>
                <c:pt idx="141">
                  <c:v>3.111111111111111E-2</c:v>
                </c:pt>
                <c:pt idx="142">
                  <c:v>0.02</c:v>
                </c:pt>
                <c:pt idx="143">
                  <c:v>0.02</c:v>
                </c:pt>
                <c:pt idx="144">
                  <c:v>3.6061026352288486E-2</c:v>
                </c:pt>
                <c:pt idx="145">
                  <c:v>5.5478502080443831E-2</c:v>
                </c:pt>
                <c:pt idx="146">
                  <c:v>6.9348127600554782E-2</c:v>
                </c:pt>
                <c:pt idx="147">
                  <c:v>7.3407202216066489E-2</c:v>
                </c:pt>
                <c:pt idx="148">
                  <c:v>1.7777777777777778E-2</c:v>
                </c:pt>
                <c:pt idx="149">
                  <c:v>6.6666666666666671E-3</c:v>
                </c:pt>
                <c:pt idx="150">
                  <c:v>1.7777777777777778E-2</c:v>
                </c:pt>
                <c:pt idx="151">
                  <c:v>8.7912087912087912E-3</c:v>
                </c:pt>
                <c:pt idx="152">
                  <c:v>2.34375E-2</c:v>
                </c:pt>
                <c:pt idx="153">
                  <c:v>3.90625E-2</c:v>
                </c:pt>
                <c:pt idx="154">
                  <c:v>4.8828125E-2</c:v>
                </c:pt>
                <c:pt idx="155">
                  <c:v>0.109375</c:v>
                </c:pt>
                <c:pt idx="156">
                  <c:v>1.7777777777777778E-2</c:v>
                </c:pt>
                <c:pt idx="157">
                  <c:v>1.1111111111111112E-2</c:v>
                </c:pt>
                <c:pt idx="158">
                  <c:v>0.04</c:v>
                </c:pt>
                <c:pt idx="159">
                  <c:v>2.2580645161290321E-2</c:v>
                </c:pt>
                <c:pt idx="160">
                  <c:v>5.6451612903225805E-2</c:v>
                </c:pt>
                <c:pt idx="161">
                  <c:v>5.6451612903225805E-2</c:v>
                </c:pt>
                <c:pt idx="162">
                  <c:v>5.4838709677419356E-2</c:v>
                </c:pt>
                <c:pt idx="163">
                  <c:v>0.51111111111111107</c:v>
                </c:pt>
                <c:pt idx="164">
                  <c:v>0.52888888888888885</c:v>
                </c:pt>
                <c:pt idx="165">
                  <c:v>0.48930481283422461</c:v>
                </c:pt>
                <c:pt idx="166">
                  <c:v>0.65374331550802134</c:v>
                </c:pt>
                <c:pt idx="167">
                  <c:v>0.6568758344459279</c:v>
                </c:pt>
                <c:pt idx="168">
                  <c:v>0.70761014686248336</c:v>
                </c:pt>
                <c:pt idx="169">
                  <c:v>0.18222222222222223</c:v>
                </c:pt>
                <c:pt idx="170">
                  <c:v>0.12444444444444444</c:v>
                </c:pt>
                <c:pt idx="171">
                  <c:v>0.1431159420289855</c:v>
                </c:pt>
                <c:pt idx="172">
                  <c:v>0.189873417721519</c:v>
                </c:pt>
                <c:pt idx="173">
                  <c:v>0.24593128390596744</c:v>
                </c:pt>
                <c:pt idx="174">
                  <c:v>0.35081374321880648</c:v>
                </c:pt>
                <c:pt idx="175">
                  <c:v>0.4267631103074141</c:v>
                </c:pt>
                <c:pt idx="176">
                  <c:v>0.44665461121157324</c:v>
                </c:pt>
                <c:pt idx="177">
                  <c:v>1.1111111111111112E-2</c:v>
                </c:pt>
                <c:pt idx="178">
                  <c:v>1.5555555555555555E-2</c:v>
                </c:pt>
                <c:pt idx="179">
                  <c:v>5.0746268656716415E-2</c:v>
                </c:pt>
                <c:pt idx="180">
                  <c:v>0.34888888888888892</c:v>
                </c:pt>
                <c:pt idx="181">
                  <c:v>0.44427480916030532</c:v>
                </c:pt>
                <c:pt idx="182">
                  <c:v>0.12037037037037036</c:v>
                </c:pt>
                <c:pt idx="183">
                  <c:v>0.1875</c:v>
                </c:pt>
                <c:pt idx="184">
                  <c:v>0.38425925925925924</c:v>
                </c:pt>
                <c:pt idx="185">
                  <c:v>0.98</c:v>
                </c:pt>
                <c:pt idx="186">
                  <c:v>0.98474945533769065</c:v>
                </c:pt>
                <c:pt idx="187">
                  <c:v>0.9956521739130435</c:v>
                </c:pt>
                <c:pt idx="188">
                  <c:v>0.99782608695652175</c:v>
                </c:pt>
                <c:pt idx="189">
                  <c:v>0.85777777777777775</c:v>
                </c:pt>
                <c:pt idx="190">
                  <c:v>0.9244444444444444</c:v>
                </c:pt>
                <c:pt idx="191">
                  <c:v>0.9244444444444444</c:v>
                </c:pt>
                <c:pt idx="192">
                  <c:v>0.91551459293394777</c:v>
                </c:pt>
                <c:pt idx="193">
                  <c:v>0.92944785276073616</c:v>
                </c:pt>
                <c:pt idx="194">
                  <c:v>0.94478527607361962</c:v>
                </c:pt>
                <c:pt idx="195">
                  <c:v>0.96165644171779141</c:v>
                </c:pt>
                <c:pt idx="196">
                  <c:v>0.97085889570552142</c:v>
                </c:pt>
                <c:pt idx="197">
                  <c:v>0.19333333333333333</c:v>
                </c:pt>
                <c:pt idx="198">
                  <c:v>0.25333333333333335</c:v>
                </c:pt>
                <c:pt idx="199">
                  <c:v>0.21864951768488747</c:v>
                </c:pt>
                <c:pt idx="200">
                  <c:v>0.30546623794212219</c:v>
                </c:pt>
                <c:pt idx="201">
                  <c:v>0.50482315112540188</c:v>
                </c:pt>
                <c:pt idx="202">
                  <c:v>0.74</c:v>
                </c:pt>
                <c:pt idx="203">
                  <c:v>0.79555555555555557</c:v>
                </c:pt>
                <c:pt idx="204">
                  <c:v>0.77725118483412325</c:v>
                </c:pt>
                <c:pt idx="205">
                  <c:v>0.80410742496050558</c:v>
                </c:pt>
                <c:pt idx="206">
                  <c:v>0.84360189573459721</c:v>
                </c:pt>
                <c:pt idx="207">
                  <c:v>0.87697160883280756</c:v>
                </c:pt>
                <c:pt idx="208">
                  <c:v>0.89905362776025233</c:v>
                </c:pt>
                <c:pt idx="209">
                  <c:v>0.3288888888888889</c:v>
                </c:pt>
                <c:pt idx="210">
                  <c:v>0.48</c:v>
                </c:pt>
                <c:pt idx="211">
                  <c:v>0.47597597597597596</c:v>
                </c:pt>
                <c:pt idx="212">
                  <c:v>0.45645645645645644</c:v>
                </c:pt>
                <c:pt idx="213">
                  <c:v>0.51651651651651653</c:v>
                </c:pt>
                <c:pt idx="214">
                  <c:v>0.56906906906906907</c:v>
                </c:pt>
                <c:pt idx="215">
                  <c:v>0.64264264264264259</c:v>
                </c:pt>
                <c:pt idx="216">
                  <c:v>0.65217391304347827</c:v>
                </c:pt>
                <c:pt idx="217">
                  <c:v>0.71664167916041976</c:v>
                </c:pt>
                <c:pt idx="218">
                  <c:v>0.58444444444444443</c:v>
                </c:pt>
                <c:pt idx="219">
                  <c:v>0.60222222222222221</c:v>
                </c:pt>
                <c:pt idx="220">
                  <c:v>0.62880324543610544</c:v>
                </c:pt>
                <c:pt idx="221">
                  <c:v>0.69776876267748478</c:v>
                </c:pt>
                <c:pt idx="222">
                  <c:v>0.82186234817813764</c:v>
                </c:pt>
                <c:pt idx="223">
                  <c:v>0.82793522267206476</c:v>
                </c:pt>
                <c:pt idx="224">
                  <c:v>0.62444444444444447</c:v>
                </c:pt>
                <c:pt idx="225">
                  <c:v>0.66355140186915884</c:v>
                </c:pt>
                <c:pt idx="226">
                  <c:v>0.62082777036048065</c:v>
                </c:pt>
                <c:pt idx="227">
                  <c:v>0.69025367156208273</c:v>
                </c:pt>
                <c:pt idx="228">
                  <c:v>0.75834445927903871</c:v>
                </c:pt>
                <c:pt idx="229">
                  <c:v>0.90666666666666662</c:v>
                </c:pt>
                <c:pt idx="230">
                  <c:v>0.89111111111111108</c:v>
                </c:pt>
                <c:pt idx="231">
                  <c:v>0.88153846153846149</c:v>
                </c:pt>
                <c:pt idx="232">
                  <c:v>0.91230769230769226</c:v>
                </c:pt>
                <c:pt idx="233">
                  <c:v>0.9061538461538462</c:v>
                </c:pt>
                <c:pt idx="234">
                  <c:v>0.91846153846153844</c:v>
                </c:pt>
                <c:pt idx="235">
                  <c:v>0.94316436251920122</c:v>
                </c:pt>
                <c:pt idx="236">
                  <c:v>0.48</c:v>
                </c:pt>
                <c:pt idx="237">
                  <c:v>0.4351145038167939</c:v>
                </c:pt>
                <c:pt idx="238">
                  <c:v>0.58931297709923669</c:v>
                </c:pt>
                <c:pt idx="239">
                  <c:v>0.71145038167938934</c:v>
                </c:pt>
                <c:pt idx="240">
                  <c:v>0.15777777777777777</c:v>
                </c:pt>
                <c:pt idx="241">
                  <c:v>0.24666666666666667</c:v>
                </c:pt>
                <c:pt idx="242">
                  <c:v>0.26819126819126821</c:v>
                </c:pt>
                <c:pt idx="243">
                  <c:v>0.35550935550935553</c:v>
                </c:pt>
                <c:pt idx="244">
                  <c:v>0.88222222222222224</c:v>
                </c:pt>
                <c:pt idx="245">
                  <c:v>0.9244444444444444</c:v>
                </c:pt>
                <c:pt idx="246">
                  <c:v>0.94127806563039729</c:v>
                </c:pt>
                <c:pt idx="247">
                  <c:v>0.96034482758620687</c:v>
                </c:pt>
                <c:pt idx="248">
                  <c:v>0.96444444444444444</c:v>
                </c:pt>
                <c:pt idx="249">
                  <c:v>0.98</c:v>
                </c:pt>
                <c:pt idx="250">
                  <c:v>0.97234352256186318</c:v>
                </c:pt>
                <c:pt idx="251">
                  <c:v>0.99126637554585151</c:v>
                </c:pt>
                <c:pt idx="252">
                  <c:v>0.99272197962154296</c:v>
                </c:pt>
                <c:pt idx="253">
                  <c:v>0.98835516739446871</c:v>
                </c:pt>
                <c:pt idx="254">
                  <c:v>0.9941860465116279</c:v>
                </c:pt>
                <c:pt idx="255">
                  <c:v>0.94444444444444442</c:v>
                </c:pt>
                <c:pt idx="256">
                  <c:v>0.93956043956043955</c:v>
                </c:pt>
                <c:pt idx="257">
                  <c:v>0.9285714285714286</c:v>
                </c:pt>
                <c:pt idx="258">
                  <c:v>0.92335766423357668</c:v>
                </c:pt>
                <c:pt idx="259">
                  <c:v>0.6</c:v>
                </c:pt>
                <c:pt idx="260">
                  <c:v>0.46</c:v>
                </c:pt>
                <c:pt idx="261">
                  <c:v>0.35140562248995982</c:v>
                </c:pt>
                <c:pt idx="262">
                  <c:v>0.4408817635270541</c:v>
                </c:pt>
                <c:pt idx="263">
                  <c:v>0.4909819639278557</c:v>
                </c:pt>
                <c:pt idx="264">
                  <c:v>0.5531062124248497</c:v>
                </c:pt>
                <c:pt idx="265">
                  <c:v>0.34</c:v>
                </c:pt>
                <c:pt idx="266">
                  <c:v>0.33555555555555555</c:v>
                </c:pt>
                <c:pt idx="267">
                  <c:v>0.47333333333333333</c:v>
                </c:pt>
                <c:pt idx="268">
                  <c:v>0.52753108348134992</c:v>
                </c:pt>
                <c:pt idx="269">
                  <c:v>0.5968028419182948</c:v>
                </c:pt>
                <c:pt idx="270">
                  <c:v>0.61634103019538189</c:v>
                </c:pt>
                <c:pt idx="271">
                  <c:v>0.69680851063829785</c:v>
                </c:pt>
                <c:pt idx="272">
                  <c:v>0.97333333333333338</c:v>
                </c:pt>
                <c:pt idx="273">
                  <c:v>0.98788927335640142</c:v>
                </c:pt>
                <c:pt idx="274">
                  <c:v>0.85777777777777775</c:v>
                </c:pt>
                <c:pt idx="275">
                  <c:v>0.88888888888888884</c:v>
                </c:pt>
                <c:pt idx="276">
                  <c:v>0.91876750700280108</c:v>
                </c:pt>
                <c:pt idx="277">
                  <c:v>0.95938375350140059</c:v>
                </c:pt>
                <c:pt idx="278">
                  <c:v>0.98319327731092432</c:v>
                </c:pt>
              </c:numCache>
            </c:numRef>
          </c:xVal>
          <c:yVal>
            <c:numRef>
              <c:f>RaceWorksheet!$C$2:$C$280</c:f>
              <c:numCache>
                <c:formatCode>0.0%</c:formatCode>
                <c:ptCount val="279"/>
                <c:pt idx="0">
                  <c:v>0.28133704735376047</c:v>
                </c:pt>
                <c:pt idx="1">
                  <c:v>0.17839195979899497</c:v>
                </c:pt>
                <c:pt idx="2">
                  <c:v>0.15151515151515152</c:v>
                </c:pt>
                <c:pt idx="3">
                  <c:v>0.40705128205128205</c:v>
                </c:pt>
                <c:pt idx="4">
                  <c:v>0.39204545454545453</c:v>
                </c:pt>
                <c:pt idx="5">
                  <c:v>0.33669354838709675</c:v>
                </c:pt>
                <c:pt idx="6">
                  <c:v>0.33757961783439489</c:v>
                </c:pt>
                <c:pt idx="7">
                  <c:v>0.58823529411764708</c:v>
                </c:pt>
                <c:pt idx="8">
                  <c:v>0.41299790356394128</c:v>
                </c:pt>
                <c:pt idx="9">
                  <c:v>0.30406852248394006</c:v>
                </c:pt>
                <c:pt idx="10">
                  <c:v>0.61095100864553309</c:v>
                </c:pt>
                <c:pt idx="11">
                  <c:v>0.41764705882352943</c:v>
                </c:pt>
                <c:pt idx="12">
                  <c:v>0.34615384615384615</c:v>
                </c:pt>
                <c:pt idx="13">
                  <c:v>0.4454022988505747</c:v>
                </c:pt>
                <c:pt idx="14">
                  <c:v>0.29123711340206188</c:v>
                </c:pt>
                <c:pt idx="15">
                  <c:v>0.59818731117824775</c:v>
                </c:pt>
                <c:pt idx="16">
                  <c:v>0.44560669456066948</c:v>
                </c:pt>
                <c:pt idx="17">
                  <c:v>0.33799533799533799</c:v>
                </c:pt>
                <c:pt idx="18">
                  <c:v>0.3270042194092827</c:v>
                </c:pt>
                <c:pt idx="19">
                  <c:v>0.4380664652567976</c:v>
                </c:pt>
                <c:pt idx="20">
                  <c:v>0.37744034707158353</c:v>
                </c:pt>
                <c:pt idx="21">
                  <c:v>0.2935560859188544</c:v>
                </c:pt>
                <c:pt idx="22">
                  <c:v>0.25179856115107913</c:v>
                </c:pt>
                <c:pt idx="23">
                  <c:v>0.2857142857142857</c:v>
                </c:pt>
                <c:pt idx="24">
                  <c:v>0.40562248995983935</c:v>
                </c:pt>
                <c:pt idx="25">
                  <c:v>0.24609375</c:v>
                </c:pt>
                <c:pt idx="26">
                  <c:v>0.53869969040247678</c:v>
                </c:pt>
                <c:pt idx="27">
                  <c:v>0.38701298701298703</c:v>
                </c:pt>
                <c:pt idx="28">
                  <c:v>0.31472081218274112</c:v>
                </c:pt>
                <c:pt idx="29">
                  <c:v>0.27001862197392923</c:v>
                </c:pt>
                <c:pt idx="30">
                  <c:v>0.28712871287128711</c:v>
                </c:pt>
                <c:pt idx="31">
                  <c:v>0.25754527162977869</c:v>
                </c:pt>
                <c:pt idx="32">
                  <c:v>0.23382045929018788</c:v>
                </c:pt>
                <c:pt idx="33">
                  <c:v>0.18379446640316205</c:v>
                </c:pt>
                <c:pt idx="34">
                  <c:v>0.21869158878504674</c:v>
                </c:pt>
                <c:pt idx="35">
                  <c:v>0.20071047957371227</c:v>
                </c:pt>
                <c:pt idx="36">
                  <c:v>0.40963855421686746</c:v>
                </c:pt>
                <c:pt idx="37">
                  <c:v>0.33064516129032256</c:v>
                </c:pt>
                <c:pt idx="38">
                  <c:v>0.2376068376068376</c:v>
                </c:pt>
                <c:pt idx="39">
                  <c:v>0.20872865275142316</c:v>
                </c:pt>
                <c:pt idx="40">
                  <c:v>0.20631970260223048</c:v>
                </c:pt>
                <c:pt idx="41">
                  <c:v>0.15870307167235495</c:v>
                </c:pt>
                <c:pt idx="42">
                  <c:v>0.17576791808873721</c:v>
                </c:pt>
                <c:pt idx="43">
                  <c:v>0.19230769230769232</c:v>
                </c:pt>
                <c:pt idx="44">
                  <c:v>0.20231213872832371</c:v>
                </c:pt>
                <c:pt idx="45">
                  <c:v>0.18904109589041096</c:v>
                </c:pt>
                <c:pt idx="46">
                  <c:v>0.13409090909090909</c:v>
                </c:pt>
                <c:pt idx="47">
                  <c:v>0.19148936170212766</c:v>
                </c:pt>
                <c:pt idx="48">
                  <c:v>0.15236051502145923</c:v>
                </c:pt>
                <c:pt idx="49">
                  <c:v>0.13707165109034267</c:v>
                </c:pt>
                <c:pt idx="50">
                  <c:v>0.10097087378640776</c:v>
                </c:pt>
                <c:pt idx="51">
                  <c:v>0.10755148741418764</c:v>
                </c:pt>
                <c:pt idx="52">
                  <c:v>0.10272536687631027</c:v>
                </c:pt>
                <c:pt idx="53">
                  <c:v>0.10020040080160321</c:v>
                </c:pt>
                <c:pt idx="54">
                  <c:v>0.18296529968454259</c:v>
                </c:pt>
                <c:pt idx="55">
                  <c:v>0.16537467700258399</c:v>
                </c:pt>
                <c:pt idx="56">
                  <c:v>0.15053763440860216</c:v>
                </c:pt>
                <c:pt idx="57">
                  <c:v>0.14766839378238342</c:v>
                </c:pt>
                <c:pt idx="58">
                  <c:v>0.38395415472779371</c:v>
                </c:pt>
                <c:pt idx="59">
                  <c:v>0.30303030303030304</c:v>
                </c:pt>
                <c:pt idx="60">
                  <c:v>0.20140105078809106</c:v>
                </c:pt>
                <c:pt idx="61">
                  <c:v>0.16135084427767354</c:v>
                </c:pt>
                <c:pt idx="62">
                  <c:v>0.16087751371115175</c:v>
                </c:pt>
                <c:pt idx="63">
                  <c:v>0.14244186046511628</c:v>
                </c:pt>
                <c:pt idx="64">
                  <c:v>8.0912863070539423E-2</c:v>
                </c:pt>
                <c:pt idx="65">
                  <c:v>9.2436974789915971E-2</c:v>
                </c:pt>
                <c:pt idx="66">
                  <c:v>0.41449275362318838</c:v>
                </c:pt>
                <c:pt idx="67">
                  <c:v>0.27346938775510204</c:v>
                </c:pt>
                <c:pt idx="68">
                  <c:v>0.2315369261477046</c:v>
                </c:pt>
                <c:pt idx="69">
                  <c:v>0.15822784810126583</c:v>
                </c:pt>
                <c:pt idx="70">
                  <c:v>0.14311270125223613</c:v>
                </c:pt>
                <c:pt idx="71">
                  <c:v>0.20499108734402852</c:v>
                </c:pt>
                <c:pt idx="72">
                  <c:v>0.1337386018237082</c:v>
                </c:pt>
                <c:pt idx="73">
                  <c:v>0.10140845070422536</c:v>
                </c:pt>
                <c:pt idx="74">
                  <c:v>8.3832335329341312E-2</c:v>
                </c:pt>
                <c:pt idx="75">
                  <c:v>7.7844311377245512E-2</c:v>
                </c:pt>
                <c:pt idx="76">
                  <c:v>0.17028985507246377</c:v>
                </c:pt>
                <c:pt idx="77">
                  <c:v>0.15297450424929179</c:v>
                </c:pt>
                <c:pt idx="78">
                  <c:v>0.10242587601078167</c:v>
                </c:pt>
                <c:pt idx="79">
                  <c:v>0.10344827586206896</c:v>
                </c:pt>
                <c:pt idx="80">
                  <c:v>8.3484573502722328E-2</c:v>
                </c:pt>
                <c:pt idx="81">
                  <c:v>0.10760667903525047</c:v>
                </c:pt>
                <c:pt idx="82">
                  <c:v>8.3025830258302583E-2</c:v>
                </c:pt>
                <c:pt idx="83">
                  <c:v>0.12238805970149254</c:v>
                </c:pt>
                <c:pt idx="84">
                  <c:v>6.5476190476190479E-2</c:v>
                </c:pt>
                <c:pt idx="85">
                  <c:v>0.10638297872340426</c:v>
                </c:pt>
                <c:pt idx="86">
                  <c:v>0.26488095238095238</c:v>
                </c:pt>
                <c:pt idx="87">
                  <c:v>0.13645621181262729</c:v>
                </c:pt>
                <c:pt idx="88">
                  <c:v>0.14855875831485588</c:v>
                </c:pt>
                <c:pt idx="89">
                  <c:v>0.10337078651685393</c:v>
                </c:pt>
                <c:pt idx="90">
                  <c:v>0.15946843853820597</c:v>
                </c:pt>
                <c:pt idx="91">
                  <c:v>0.13623978201634879</c:v>
                </c:pt>
                <c:pt idx="92">
                  <c:v>6.1643835616438353E-2</c:v>
                </c:pt>
                <c:pt idx="93">
                  <c:v>5.6313993174061432E-2</c:v>
                </c:pt>
                <c:pt idx="94">
                  <c:v>0.69482288828337879</c:v>
                </c:pt>
                <c:pt idx="95">
                  <c:v>0.42231947483588622</c:v>
                </c:pt>
                <c:pt idx="96">
                  <c:v>0.37416481069042318</c:v>
                </c:pt>
                <c:pt idx="97">
                  <c:v>0.27695560253699791</c:v>
                </c:pt>
                <c:pt idx="98">
                  <c:v>0.16037735849056603</c:v>
                </c:pt>
                <c:pt idx="99">
                  <c:v>0.1273209549071618</c:v>
                </c:pt>
                <c:pt idx="100">
                  <c:v>9.3693693693693694E-2</c:v>
                </c:pt>
                <c:pt idx="101">
                  <c:v>9.6078431372549025E-2</c:v>
                </c:pt>
                <c:pt idx="102">
                  <c:v>7.9766536964980539E-2</c:v>
                </c:pt>
                <c:pt idx="103">
                  <c:v>7.9646017699115043E-2</c:v>
                </c:pt>
                <c:pt idx="104">
                  <c:v>9.7345132743362831E-2</c:v>
                </c:pt>
                <c:pt idx="105">
                  <c:v>0.17663817663817663</c:v>
                </c:pt>
                <c:pt idx="106">
                  <c:v>0.19466666666666665</c:v>
                </c:pt>
                <c:pt idx="107">
                  <c:v>0.12567324955116696</c:v>
                </c:pt>
                <c:pt idx="108">
                  <c:v>9.8743267504488336E-2</c:v>
                </c:pt>
                <c:pt idx="109">
                  <c:v>7.8846153846153844E-2</c:v>
                </c:pt>
                <c:pt idx="110">
                  <c:v>0.10307414104882459</c:v>
                </c:pt>
                <c:pt idx="111">
                  <c:v>0.12371134020618557</c:v>
                </c:pt>
                <c:pt idx="112">
                  <c:v>0.1026936026936027</c:v>
                </c:pt>
                <c:pt idx="113">
                  <c:v>0.17079889807162535</c:v>
                </c:pt>
                <c:pt idx="114">
                  <c:v>8.8183421516754845E-2</c:v>
                </c:pt>
                <c:pt idx="115">
                  <c:v>8.0550098231827114E-2</c:v>
                </c:pt>
                <c:pt idx="116">
                  <c:v>7.8787878787878782E-2</c:v>
                </c:pt>
                <c:pt idx="117">
                  <c:v>8.171206225680934E-2</c:v>
                </c:pt>
                <c:pt idx="118">
                  <c:v>6.5953654188948302E-2</c:v>
                </c:pt>
                <c:pt idx="119">
                  <c:v>5.9649122807017542E-2</c:v>
                </c:pt>
                <c:pt idx="120">
                  <c:v>0.16451612903225807</c:v>
                </c:pt>
                <c:pt idx="121">
                  <c:v>0.18256130790190736</c:v>
                </c:pt>
                <c:pt idx="122">
                  <c:v>7.3619631901840496E-2</c:v>
                </c:pt>
                <c:pt idx="123">
                  <c:v>9.2050209205020925E-2</c:v>
                </c:pt>
                <c:pt idx="124">
                  <c:v>9.3816631130063971E-2</c:v>
                </c:pt>
                <c:pt idx="125">
                  <c:v>0.10154525386313466</c:v>
                </c:pt>
                <c:pt idx="126">
                  <c:v>8.4886128364389232E-2</c:v>
                </c:pt>
                <c:pt idx="127">
                  <c:v>6.4516129032258063E-2</c:v>
                </c:pt>
                <c:pt idx="128">
                  <c:v>7.2254335260115612E-2</c:v>
                </c:pt>
                <c:pt idx="129">
                  <c:v>6.5573770491803282E-2</c:v>
                </c:pt>
                <c:pt idx="130">
                  <c:v>7.2614107883817433E-2</c:v>
                </c:pt>
                <c:pt idx="131">
                  <c:v>6.222222222222222E-2</c:v>
                </c:pt>
                <c:pt idx="132">
                  <c:v>3.6529680365296802E-2</c:v>
                </c:pt>
                <c:pt idx="133">
                  <c:v>0.05</c:v>
                </c:pt>
                <c:pt idx="134">
                  <c:v>4.6875E-2</c:v>
                </c:pt>
                <c:pt idx="135">
                  <c:v>3.6876355748373099E-2</c:v>
                </c:pt>
                <c:pt idx="136">
                  <c:v>9.0163934426229511E-2</c:v>
                </c:pt>
                <c:pt idx="137">
                  <c:v>8.1159420289855067E-2</c:v>
                </c:pt>
                <c:pt idx="138">
                  <c:v>5.113636363636364E-2</c:v>
                </c:pt>
                <c:pt idx="139">
                  <c:v>5.3333333333333337E-2</c:v>
                </c:pt>
                <c:pt idx="140">
                  <c:v>4.7945205479452052E-2</c:v>
                </c:pt>
                <c:pt idx="141">
                  <c:v>8.5185185185185183E-2</c:v>
                </c:pt>
                <c:pt idx="142">
                  <c:v>7.8488372093023256E-2</c:v>
                </c:pt>
                <c:pt idx="143">
                  <c:v>5.6980056980056981E-2</c:v>
                </c:pt>
                <c:pt idx="144">
                  <c:v>5.6985294117647058E-2</c:v>
                </c:pt>
                <c:pt idx="145">
                  <c:v>4.2910447761194029E-2</c:v>
                </c:pt>
                <c:pt idx="146">
                  <c:v>5.3571428571428568E-2</c:v>
                </c:pt>
                <c:pt idx="147">
                  <c:v>5.5876685934489405E-2</c:v>
                </c:pt>
                <c:pt idx="148">
                  <c:v>0.10280373831775701</c:v>
                </c:pt>
                <c:pt idx="149">
                  <c:v>6.8322981366459631E-2</c:v>
                </c:pt>
                <c:pt idx="150">
                  <c:v>4.9535603715170282E-2</c:v>
                </c:pt>
                <c:pt idx="151">
                  <c:v>6.3535911602209949E-2</c:v>
                </c:pt>
                <c:pt idx="152">
                  <c:v>6.205250596658711E-2</c:v>
                </c:pt>
                <c:pt idx="153">
                  <c:v>4.7858942065491183E-2</c:v>
                </c:pt>
                <c:pt idx="154">
                  <c:v>3.2786885245901641E-2</c:v>
                </c:pt>
                <c:pt idx="155">
                  <c:v>4.5454545454545456E-2</c:v>
                </c:pt>
                <c:pt idx="156">
                  <c:v>6.5040650406504072E-2</c:v>
                </c:pt>
                <c:pt idx="157">
                  <c:v>5.2631578947368418E-2</c:v>
                </c:pt>
                <c:pt idx="158">
                  <c:v>5.2631578947368418E-2</c:v>
                </c:pt>
                <c:pt idx="159">
                  <c:v>6.4128256513026047E-2</c:v>
                </c:pt>
                <c:pt idx="160">
                  <c:v>3.870967741935484E-2</c:v>
                </c:pt>
                <c:pt idx="161">
                  <c:v>5.6872037914691941E-2</c:v>
                </c:pt>
                <c:pt idx="162">
                  <c:v>2.5477707006369428E-2</c:v>
                </c:pt>
                <c:pt idx="163">
                  <c:v>0.29483282674772038</c:v>
                </c:pt>
                <c:pt idx="164">
                  <c:v>0.29916897506925205</c:v>
                </c:pt>
                <c:pt idx="165">
                  <c:v>0.20547945205479451</c:v>
                </c:pt>
                <c:pt idx="166">
                  <c:v>0.2216117216117216</c:v>
                </c:pt>
                <c:pt idx="167">
                  <c:v>0.1773308957952468</c:v>
                </c:pt>
                <c:pt idx="168">
                  <c:v>0.16225165562913907</c:v>
                </c:pt>
                <c:pt idx="169">
                  <c:v>0.19111111111111112</c:v>
                </c:pt>
                <c:pt idx="170">
                  <c:v>0.15850144092219021</c:v>
                </c:pt>
                <c:pt idx="171">
                  <c:v>0.13425925925925927</c:v>
                </c:pt>
                <c:pt idx="172">
                  <c:v>0.13698630136986301</c:v>
                </c:pt>
                <c:pt idx="173">
                  <c:v>0.14485981308411214</c:v>
                </c:pt>
                <c:pt idx="174">
                  <c:v>0.17164179104477612</c:v>
                </c:pt>
                <c:pt idx="175">
                  <c:v>0.12561576354679804</c:v>
                </c:pt>
                <c:pt idx="176">
                  <c:v>9.9557522123893807E-2</c:v>
                </c:pt>
                <c:pt idx="177">
                  <c:v>7.0175438596491224E-2</c:v>
                </c:pt>
                <c:pt idx="178">
                  <c:v>6.6852367688022288E-2</c:v>
                </c:pt>
                <c:pt idx="179">
                  <c:v>7.5581395348837205E-2</c:v>
                </c:pt>
                <c:pt idx="180">
                  <c:v>0.30278884462151395</c:v>
                </c:pt>
                <c:pt idx="181">
                  <c:v>0.23471882640586797</c:v>
                </c:pt>
                <c:pt idx="182">
                  <c:v>8.7452471482889732E-2</c:v>
                </c:pt>
                <c:pt idx="183">
                  <c:v>9.3093093093093091E-2</c:v>
                </c:pt>
                <c:pt idx="184">
                  <c:v>0.13468013468013468</c:v>
                </c:pt>
                <c:pt idx="185">
                  <c:v>0.47784810126582278</c:v>
                </c:pt>
                <c:pt idx="186">
                  <c:v>0.43958868894601544</c:v>
                </c:pt>
                <c:pt idx="187">
                  <c:v>0.3271276595744681</c:v>
                </c:pt>
                <c:pt idx="188">
                  <c:v>0.25093632958801498</c:v>
                </c:pt>
                <c:pt idx="189">
                  <c:v>0.23929961089494164</c:v>
                </c:pt>
                <c:pt idx="190">
                  <c:v>0.28915662650602408</c:v>
                </c:pt>
                <c:pt idx="191">
                  <c:v>0.23735408560311283</c:v>
                </c:pt>
                <c:pt idx="192">
                  <c:v>0.23529411764705882</c:v>
                </c:pt>
                <c:pt idx="193">
                  <c:v>0.33957219251336901</c:v>
                </c:pt>
                <c:pt idx="194">
                  <c:v>0.24369747899159663</c:v>
                </c:pt>
                <c:pt idx="195">
                  <c:v>0.18378378378378379</c:v>
                </c:pt>
                <c:pt idx="196">
                  <c:v>0.24296675191815856</c:v>
                </c:pt>
                <c:pt idx="197">
                  <c:v>0.22324159021406728</c:v>
                </c:pt>
                <c:pt idx="198">
                  <c:v>0.1856763925729443</c:v>
                </c:pt>
                <c:pt idx="199">
                  <c:v>9.055118110236221E-2</c:v>
                </c:pt>
                <c:pt idx="200">
                  <c:v>0.11704312114989733</c:v>
                </c:pt>
                <c:pt idx="201">
                  <c:v>0.18432203389830509</c:v>
                </c:pt>
                <c:pt idx="202">
                  <c:v>0.34877384196185285</c:v>
                </c:pt>
                <c:pt idx="203">
                  <c:v>0.24937027707808565</c:v>
                </c:pt>
                <c:pt idx="204">
                  <c:v>0.17025440313111545</c:v>
                </c:pt>
                <c:pt idx="205">
                  <c:v>0.17842323651452283</c:v>
                </c:pt>
                <c:pt idx="206">
                  <c:v>0.19215686274509805</c:v>
                </c:pt>
                <c:pt idx="207">
                  <c:v>0.16129032258064516</c:v>
                </c:pt>
                <c:pt idx="208">
                  <c:v>0.12681159420289856</c:v>
                </c:pt>
                <c:pt idx="209">
                  <c:v>0.19817073170731708</c:v>
                </c:pt>
                <c:pt idx="210">
                  <c:v>0.31770833333333331</c:v>
                </c:pt>
                <c:pt idx="211">
                  <c:v>0.21052631578947367</c:v>
                </c:pt>
                <c:pt idx="212">
                  <c:v>0.17624521072796934</c:v>
                </c:pt>
                <c:pt idx="213">
                  <c:v>0.17012448132780084</c:v>
                </c:pt>
                <c:pt idx="214">
                  <c:v>0.16232464929859719</c:v>
                </c:pt>
                <c:pt idx="215">
                  <c:v>0.17764471057884232</c:v>
                </c:pt>
                <c:pt idx="216">
                  <c:v>0.13282732447817835</c:v>
                </c:pt>
                <c:pt idx="217">
                  <c:v>0.1798165137614679</c:v>
                </c:pt>
                <c:pt idx="218">
                  <c:v>0.36303630363036304</c:v>
                </c:pt>
                <c:pt idx="219">
                  <c:v>0.37359550561797755</c:v>
                </c:pt>
                <c:pt idx="220">
                  <c:v>0.27948717948717949</c:v>
                </c:pt>
                <c:pt idx="221">
                  <c:v>0.25</c:v>
                </c:pt>
                <c:pt idx="222">
                  <c:v>0.22865013774104684</c:v>
                </c:pt>
                <c:pt idx="223">
                  <c:v>0.24109589041095891</c:v>
                </c:pt>
                <c:pt idx="224">
                  <c:v>0.52478134110787167</c:v>
                </c:pt>
                <c:pt idx="225">
                  <c:v>0.46736292428198434</c:v>
                </c:pt>
                <c:pt idx="226">
                  <c:v>0.29523809523809524</c:v>
                </c:pt>
                <c:pt idx="227">
                  <c:v>0.26043737574552683</c:v>
                </c:pt>
                <c:pt idx="228">
                  <c:v>0.26834381551362685</c:v>
                </c:pt>
                <c:pt idx="229">
                  <c:v>0.26789366053169733</c:v>
                </c:pt>
                <c:pt idx="230">
                  <c:v>0.23540856031128404</c:v>
                </c:pt>
                <c:pt idx="231">
                  <c:v>0.27500000000000002</c:v>
                </c:pt>
                <c:pt idx="232">
                  <c:v>0.18387096774193548</c:v>
                </c:pt>
                <c:pt idx="233">
                  <c:v>0.12593984962406016</c:v>
                </c:pt>
                <c:pt idx="234">
                  <c:v>0.13500000000000001</c:v>
                </c:pt>
                <c:pt idx="235">
                  <c:v>0.14285714285714285</c:v>
                </c:pt>
                <c:pt idx="236">
                  <c:v>0.24858757062146894</c:v>
                </c:pt>
                <c:pt idx="237">
                  <c:v>0.16237623762376238</c:v>
                </c:pt>
                <c:pt idx="238">
                  <c:v>0.13147410358565736</c:v>
                </c:pt>
                <c:pt idx="239">
                  <c:v>0.13457943925233645</c:v>
                </c:pt>
                <c:pt idx="240">
                  <c:v>9.0909090909090912E-2</c:v>
                </c:pt>
                <c:pt idx="241">
                  <c:v>8.6687306501547989E-2</c:v>
                </c:pt>
                <c:pt idx="242">
                  <c:v>7.2784810126582278E-2</c:v>
                </c:pt>
                <c:pt idx="243">
                  <c:v>8.6687306501547989E-2</c:v>
                </c:pt>
                <c:pt idx="244">
                  <c:v>0.48692810457516339</c:v>
                </c:pt>
                <c:pt idx="245">
                  <c:v>0.38258575197889183</c:v>
                </c:pt>
                <c:pt idx="246">
                  <c:v>0.29690721649484536</c:v>
                </c:pt>
                <c:pt idx="247">
                  <c:v>0.22573839662447256</c:v>
                </c:pt>
                <c:pt idx="248">
                  <c:v>0.44012944983818769</c:v>
                </c:pt>
                <c:pt idx="249">
                  <c:v>0.36031331592689297</c:v>
                </c:pt>
                <c:pt idx="250">
                  <c:v>0.28877005347593582</c:v>
                </c:pt>
                <c:pt idx="251">
                  <c:v>0.2339622641509434</c:v>
                </c:pt>
                <c:pt idx="252">
                  <c:v>0.21915285451197053</c:v>
                </c:pt>
                <c:pt idx="253">
                  <c:v>0.18014705882352941</c:v>
                </c:pt>
                <c:pt idx="254">
                  <c:v>0.17504332755632582</c:v>
                </c:pt>
                <c:pt idx="255">
                  <c:v>0.41040462427745666</c:v>
                </c:pt>
                <c:pt idx="256">
                  <c:v>0.32118451025056949</c:v>
                </c:pt>
                <c:pt idx="257">
                  <c:v>0.22897196261682243</c:v>
                </c:pt>
                <c:pt idx="258">
                  <c:v>0.22146118721461186</c:v>
                </c:pt>
                <c:pt idx="259">
                  <c:v>0.32087227414330216</c:v>
                </c:pt>
                <c:pt idx="260">
                  <c:v>0.25336927223719674</c:v>
                </c:pt>
                <c:pt idx="261">
                  <c:v>0.16666666666666666</c:v>
                </c:pt>
                <c:pt idx="262">
                  <c:v>0.14285714285714285</c:v>
                </c:pt>
                <c:pt idx="263">
                  <c:v>0.16756756756756758</c:v>
                </c:pt>
                <c:pt idx="264">
                  <c:v>0.17708333333333334</c:v>
                </c:pt>
                <c:pt idx="265">
                  <c:v>0.25423728813559321</c:v>
                </c:pt>
                <c:pt idx="266">
                  <c:v>0.24594594594594596</c:v>
                </c:pt>
                <c:pt idx="267">
                  <c:v>0.26829268292682928</c:v>
                </c:pt>
                <c:pt idx="268">
                  <c:v>0.18</c:v>
                </c:pt>
                <c:pt idx="269">
                  <c:v>0.20227272727272727</c:v>
                </c:pt>
                <c:pt idx="270">
                  <c:v>0.19014084507042253</c:v>
                </c:pt>
                <c:pt idx="271">
                  <c:v>0.19098712446351931</c:v>
                </c:pt>
                <c:pt idx="272">
                  <c:v>0.44376899696048633</c:v>
                </c:pt>
                <c:pt idx="273">
                  <c:v>0.37301587301587302</c:v>
                </c:pt>
                <c:pt idx="274">
                  <c:v>0.28970331588132636</c:v>
                </c:pt>
                <c:pt idx="275">
                  <c:v>0.26306306306306304</c:v>
                </c:pt>
                <c:pt idx="276">
                  <c:v>0.19</c:v>
                </c:pt>
                <c:pt idx="277">
                  <c:v>0.44077134986225897</c:v>
                </c:pt>
                <c:pt idx="278">
                  <c:v>0.31670281995661603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BFE-44E7-9F0E-2B13C4AC61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4301024"/>
        <c:axId val="1547841584"/>
      </c:scatterChart>
      <c:valAx>
        <c:axId val="1584301024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7841584"/>
        <c:crosses val="autoZero"/>
        <c:crossBetween val="midCat"/>
      </c:valAx>
      <c:valAx>
        <c:axId val="1547841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43010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PH% vs Chinese% P128 Seremban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7.9932852143482058E-2"/>
                  <c:y val="0.29729549431321084"/>
                </c:manualLayout>
              </c:layout>
              <c:numFmt formatCode="General" sourceLinked="0"/>
              <c:spPr>
                <a:solidFill>
                  <a:schemeClr val="bg1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RaceWorksheet!$L$2:$L$280</c:f>
              <c:numCache>
                <c:formatCode>0.0%</c:formatCode>
                <c:ptCount val="279"/>
                <c:pt idx="0">
                  <c:v>0.77333333333333332</c:v>
                </c:pt>
                <c:pt idx="1">
                  <c:v>0.75991649269311068</c:v>
                </c:pt>
                <c:pt idx="2">
                  <c:v>0.62004175365344472</c:v>
                </c:pt>
                <c:pt idx="3">
                  <c:v>0.34666666666666668</c:v>
                </c:pt>
                <c:pt idx="4">
                  <c:v>0.30888888888888888</c:v>
                </c:pt>
                <c:pt idx="5">
                  <c:v>0.22907488986784141</c:v>
                </c:pt>
                <c:pt idx="6">
                  <c:v>0.20674486803519063</c:v>
                </c:pt>
                <c:pt idx="7">
                  <c:v>1.1111111111111112E-2</c:v>
                </c:pt>
                <c:pt idx="8">
                  <c:v>8.8967971530249119E-3</c:v>
                </c:pt>
                <c:pt idx="9">
                  <c:v>1.0657193605683837E-2</c:v>
                </c:pt>
                <c:pt idx="10">
                  <c:v>4.4444444444444444E-3</c:v>
                </c:pt>
                <c:pt idx="11">
                  <c:v>6.6334991708126038E-3</c:v>
                </c:pt>
                <c:pt idx="12">
                  <c:v>9.9502487562189053E-3</c:v>
                </c:pt>
                <c:pt idx="13">
                  <c:v>0.19111111111111112</c:v>
                </c:pt>
                <c:pt idx="14">
                  <c:v>0.12048192771084337</c:v>
                </c:pt>
                <c:pt idx="15">
                  <c:v>2.2222222222222222E-3</c:v>
                </c:pt>
                <c:pt idx="16">
                  <c:v>0</c:v>
                </c:pt>
                <c:pt idx="17">
                  <c:v>1.7921146953405018E-3</c:v>
                </c:pt>
                <c:pt idx="18">
                  <c:v>0</c:v>
                </c:pt>
                <c:pt idx="19">
                  <c:v>7.7777777777777779E-2</c:v>
                </c:pt>
                <c:pt idx="20">
                  <c:v>9.9277978339350176E-2</c:v>
                </c:pt>
                <c:pt idx="21">
                  <c:v>0.16425992779783394</c:v>
                </c:pt>
                <c:pt idx="22">
                  <c:v>8.8288288288288289E-2</c:v>
                </c:pt>
                <c:pt idx="23">
                  <c:v>5.9459459459459463E-2</c:v>
                </c:pt>
                <c:pt idx="24">
                  <c:v>0.31325301204819278</c:v>
                </c:pt>
                <c:pt idx="25">
                  <c:v>9.3093093093093091E-2</c:v>
                </c:pt>
                <c:pt idx="26">
                  <c:v>0.67777777777777781</c:v>
                </c:pt>
                <c:pt idx="27">
                  <c:v>0.55111111111111111</c:v>
                </c:pt>
                <c:pt idx="28">
                  <c:v>0.45207956600361665</c:v>
                </c:pt>
                <c:pt idx="29">
                  <c:v>0.22382671480144403</c:v>
                </c:pt>
                <c:pt idx="30">
                  <c:v>0.14801444043321299</c:v>
                </c:pt>
                <c:pt idx="31">
                  <c:v>8.8888888888888892E-2</c:v>
                </c:pt>
                <c:pt idx="32">
                  <c:v>3.111111111111111E-2</c:v>
                </c:pt>
                <c:pt idx="33">
                  <c:v>6.6666666666666666E-2</c:v>
                </c:pt>
                <c:pt idx="34">
                  <c:v>9.2165898617511524E-2</c:v>
                </c:pt>
                <c:pt idx="35">
                  <c:v>5.0691244239631339E-2</c:v>
                </c:pt>
                <c:pt idx="36">
                  <c:v>1.3824884792626729E-2</c:v>
                </c:pt>
                <c:pt idx="37">
                  <c:v>1.6897081413210446E-2</c:v>
                </c:pt>
                <c:pt idx="38">
                  <c:v>1.0752688172043012E-2</c:v>
                </c:pt>
                <c:pt idx="39">
                  <c:v>1.6871165644171779E-2</c:v>
                </c:pt>
                <c:pt idx="40">
                  <c:v>1.8404907975460124E-2</c:v>
                </c:pt>
                <c:pt idx="41">
                  <c:v>0.17777777777777778</c:v>
                </c:pt>
                <c:pt idx="42">
                  <c:v>0.11555555555555555</c:v>
                </c:pt>
                <c:pt idx="43">
                  <c:v>0.16807909604519775</c:v>
                </c:pt>
                <c:pt idx="44">
                  <c:v>0.21892655367231639</c:v>
                </c:pt>
                <c:pt idx="45">
                  <c:v>0.14124293785310735</c:v>
                </c:pt>
                <c:pt idx="46">
                  <c:v>0.11440677966101695</c:v>
                </c:pt>
                <c:pt idx="47">
                  <c:v>8.0394922425952045E-2</c:v>
                </c:pt>
                <c:pt idx="48">
                  <c:v>8.6036671368124124E-2</c:v>
                </c:pt>
                <c:pt idx="49">
                  <c:v>0.46666666666666667</c:v>
                </c:pt>
                <c:pt idx="50">
                  <c:v>0.48523206751054854</c:v>
                </c:pt>
                <c:pt idx="51">
                  <c:v>0.36075949367088606</c:v>
                </c:pt>
                <c:pt idx="52">
                  <c:v>0.28421052631578947</c:v>
                </c:pt>
                <c:pt idx="53">
                  <c:v>0.72666666666666668</c:v>
                </c:pt>
                <c:pt idx="54">
                  <c:v>0.50167224080267558</c:v>
                </c:pt>
                <c:pt idx="55">
                  <c:v>0.36622073578595316</c:v>
                </c:pt>
                <c:pt idx="56">
                  <c:v>0.20234113712374582</c:v>
                </c:pt>
                <c:pt idx="57">
                  <c:v>9.849749582637729E-2</c:v>
                </c:pt>
                <c:pt idx="58">
                  <c:v>7.1111111111111111E-2</c:v>
                </c:pt>
                <c:pt idx="59">
                  <c:v>8.4444444444444447E-2</c:v>
                </c:pt>
                <c:pt idx="60">
                  <c:v>0.10964912280701754</c:v>
                </c:pt>
                <c:pt idx="61">
                  <c:v>7.0175438596491224E-2</c:v>
                </c:pt>
                <c:pt idx="62">
                  <c:v>4.8175182481751823E-2</c:v>
                </c:pt>
                <c:pt idx="63">
                  <c:v>0.73777777777777775</c:v>
                </c:pt>
                <c:pt idx="64">
                  <c:v>0.59552495697074015</c:v>
                </c:pt>
                <c:pt idx="65">
                  <c:v>0.32702237521514632</c:v>
                </c:pt>
                <c:pt idx="66">
                  <c:v>0.11333333333333333</c:v>
                </c:pt>
                <c:pt idx="67">
                  <c:v>7.5117370892018781E-2</c:v>
                </c:pt>
                <c:pt idx="68">
                  <c:v>8.2942097026604072E-2</c:v>
                </c:pt>
                <c:pt idx="69">
                  <c:v>0.64666666666666661</c:v>
                </c:pt>
                <c:pt idx="70">
                  <c:v>0.38912133891213391</c:v>
                </c:pt>
                <c:pt idx="71">
                  <c:v>9.8885793871866301E-2</c:v>
                </c:pt>
                <c:pt idx="72">
                  <c:v>0.94772727272727275</c:v>
                </c:pt>
                <c:pt idx="73">
                  <c:v>0.8928571428571429</c:v>
                </c:pt>
                <c:pt idx="74">
                  <c:v>0.796875</c:v>
                </c:pt>
                <c:pt idx="75">
                  <c:v>0.7633928571428571</c:v>
                </c:pt>
                <c:pt idx="76">
                  <c:v>0.48</c:v>
                </c:pt>
                <c:pt idx="77">
                  <c:v>0.50239234449760761</c:v>
                </c:pt>
                <c:pt idx="78">
                  <c:v>0.45454545454545453</c:v>
                </c:pt>
                <c:pt idx="79">
                  <c:v>0.82666666666666666</c:v>
                </c:pt>
                <c:pt idx="80">
                  <c:v>0.82222222222222219</c:v>
                </c:pt>
                <c:pt idx="81">
                  <c:v>0.77777777777777779</c:v>
                </c:pt>
                <c:pt idx="82">
                  <c:v>0.72368421052631582</c:v>
                </c:pt>
                <c:pt idx="83">
                  <c:v>0.62865497076023391</c:v>
                </c:pt>
                <c:pt idx="84">
                  <c:v>0.60526315789473684</c:v>
                </c:pt>
                <c:pt idx="85">
                  <c:v>0.53801169590643272</c:v>
                </c:pt>
                <c:pt idx="86">
                  <c:v>0.44888888888888889</c:v>
                </c:pt>
                <c:pt idx="87">
                  <c:v>0.5061511423550088</c:v>
                </c:pt>
                <c:pt idx="88">
                  <c:v>0.43760984182776802</c:v>
                </c:pt>
                <c:pt idx="89">
                  <c:v>0.4024604569420035</c:v>
                </c:pt>
                <c:pt idx="90">
                  <c:v>0.78888888888888886</c:v>
                </c:pt>
                <c:pt idx="91">
                  <c:v>0.67777777777777781</c:v>
                </c:pt>
                <c:pt idx="92">
                  <c:v>0.55181695827725441</c:v>
                </c:pt>
                <c:pt idx="93">
                  <c:v>0.41263440860215056</c:v>
                </c:pt>
                <c:pt idx="94">
                  <c:v>3.111111111111111E-2</c:v>
                </c:pt>
                <c:pt idx="95">
                  <c:v>0.10126582278481013</c:v>
                </c:pt>
                <c:pt idx="96">
                  <c:v>7.5949367088607597E-2</c:v>
                </c:pt>
                <c:pt idx="97">
                  <c:v>5.4054054054054057E-2</c:v>
                </c:pt>
                <c:pt idx="98">
                  <c:v>0.28444444444444444</c:v>
                </c:pt>
                <c:pt idx="99">
                  <c:v>0.26392961876832843</c:v>
                </c:pt>
                <c:pt idx="100">
                  <c:v>0.26979472140762462</c:v>
                </c:pt>
                <c:pt idx="101">
                  <c:v>0.26686217008797652</c:v>
                </c:pt>
                <c:pt idx="102">
                  <c:v>0.24340175953079179</c:v>
                </c:pt>
                <c:pt idx="103">
                  <c:v>0.23753665689149561</c:v>
                </c:pt>
                <c:pt idx="104">
                  <c:v>0.20175438596491227</c:v>
                </c:pt>
                <c:pt idx="105">
                  <c:v>0.18222222222222223</c:v>
                </c:pt>
                <c:pt idx="106">
                  <c:v>0.19777777777777777</c:v>
                </c:pt>
                <c:pt idx="107">
                  <c:v>0.19300699300699301</c:v>
                </c:pt>
                <c:pt idx="108">
                  <c:v>0.11888111888111888</c:v>
                </c:pt>
                <c:pt idx="109">
                  <c:v>0.1048951048951049</c:v>
                </c:pt>
                <c:pt idx="110">
                  <c:v>9.5104895104895101E-2</c:v>
                </c:pt>
                <c:pt idx="111">
                  <c:v>6.4245810055865923E-2</c:v>
                </c:pt>
                <c:pt idx="112">
                  <c:v>5.4469273743016758E-2</c:v>
                </c:pt>
                <c:pt idx="113">
                  <c:v>0.18888888888888888</c:v>
                </c:pt>
                <c:pt idx="114">
                  <c:v>0.18</c:v>
                </c:pt>
                <c:pt idx="115">
                  <c:v>0.12554744525547445</c:v>
                </c:pt>
                <c:pt idx="116">
                  <c:v>0.15474452554744525</c:v>
                </c:pt>
                <c:pt idx="117">
                  <c:v>0.10948905109489052</c:v>
                </c:pt>
                <c:pt idx="118">
                  <c:v>9.7810218978102187E-2</c:v>
                </c:pt>
                <c:pt idx="119">
                  <c:v>7.7372262773722625E-2</c:v>
                </c:pt>
                <c:pt idx="120">
                  <c:v>0.49333333333333335</c:v>
                </c:pt>
                <c:pt idx="121">
                  <c:v>0.38</c:v>
                </c:pt>
                <c:pt idx="122">
                  <c:v>0.49759999999999999</c:v>
                </c:pt>
                <c:pt idx="123">
                  <c:v>0.4864</c:v>
                </c:pt>
                <c:pt idx="124">
                  <c:v>0.40639999999999998</c:v>
                </c:pt>
                <c:pt idx="125">
                  <c:v>0.3856</c:v>
                </c:pt>
                <c:pt idx="126">
                  <c:v>0.36320000000000002</c:v>
                </c:pt>
                <c:pt idx="127">
                  <c:v>0.77111111111111108</c:v>
                </c:pt>
                <c:pt idx="128">
                  <c:v>0.74888888888888894</c:v>
                </c:pt>
                <c:pt idx="129">
                  <c:v>0.77777777777777779</c:v>
                </c:pt>
                <c:pt idx="130">
                  <c:v>0.74523396880415949</c:v>
                </c:pt>
                <c:pt idx="131">
                  <c:v>0.7365684575389948</c:v>
                </c:pt>
                <c:pt idx="132">
                  <c:v>0.75216637781629114</c:v>
                </c:pt>
                <c:pt idx="133">
                  <c:v>0.7036395147313691</c:v>
                </c:pt>
                <c:pt idx="134">
                  <c:v>0.71057192374350087</c:v>
                </c:pt>
                <c:pt idx="135">
                  <c:v>0.69377162629757783</c:v>
                </c:pt>
                <c:pt idx="136">
                  <c:v>0.74444444444444446</c:v>
                </c:pt>
                <c:pt idx="137">
                  <c:v>0.76</c:v>
                </c:pt>
                <c:pt idx="138">
                  <c:v>0.76</c:v>
                </c:pt>
                <c:pt idx="139">
                  <c:v>0.80034722222222221</c:v>
                </c:pt>
                <c:pt idx="140">
                  <c:v>0.70537261698440212</c:v>
                </c:pt>
                <c:pt idx="141">
                  <c:v>0.86444444444444446</c:v>
                </c:pt>
                <c:pt idx="142">
                  <c:v>0.87111111111111106</c:v>
                </c:pt>
                <c:pt idx="143">
                  <c:v>0.82222222222222219</c:v>
                </c:pt>
                <c:pt idx="144">
                  <c:v>0.76560332871012482</c:v>
                </c:pt>
                <c:pt idx="145">
                  <c:v>0.78085991678224687</c:v>
                </c:pt>
                <c:pt idx="146">
                  <c:v>0.75034674063800277</c:v>
                </c:pt>
                <c:pt idx="147">
                  <c:v>0.75069252077562332</c:v>
                </c:pt>
                <c:pt idx="148">
                  <c:v>0.9244444444444444</c:v>
                </c:pt>
                <c:pt idx="149">
                  <c:v>0.93333333333333335</c:v>
                </c:pt>
                <c:pt idx="150">
                  <c:v>0.91555555555555557</c:v>
                </c:pt>
                <c:pt idx="151">
                  <c:v>0.90329670329670331</c:v>
                </c:pt>
                <c:pt idx="152">
                  <c:v>0.888671875</c:v>
                </c:pt>
                <c:pt idx="153">
                  <c:v>0.900390625</c:v>
                </c:pt>
                <c:pt idx="154">
                  <c:v>0.822265625</c:v>
                </c:pt>
                <c:pt idx="155">
                  <c:v>0.79296875</c:v>
                </c:pt>
                <c:pt idx="156">
                  <c:v>0.85333333333333339</c:v>
                </c:pt>
                <c:pt idx="157">
                  <c:v>0.88222222222222224</c:v>
                </c:pt>
                <c:pt idx="158">
                  <c:v>0.77777777777777779</c:v>
                </c:pt>
                <c:pt idx="159">
                  <c:v>0.77741935483870972</c:v>
                </c:pt>
                <c:pt idx="160">
                  <c:v>0.67419354838709677</c:v>
                </c:pt>
                <c:pt idx="161">
                  <c:v>0.68870967741935485</c:v>
                </c:pt>
                <c:pt idx="162">
                  <c:v>0.69838709677419353</c:v>
                </c:pt>
                <c:pt idx="163">
                  <c:v>0.20666666666666667</c:v>
                </c:pt>
                <c:pt idx="164">
                  <c:v>0.21333333333333335</c:v>
                </c:pt>
                <c:pt idx="165">
                  <c:v>0.20053475935828877</c:v>
                </c:pt>
                <c:pt idx="166">
                  <c:v>0.15641711229946523</c:v>
                </c:pt>
                <c:pt idx="167">
                  <c:v>0.14018691588785046</c:v>
                </c:pt>
                <c:pt idx="168">
                  <c:v>8.4112149532710276E-2</c:v>
                </c:pt>
                <c:pt idx="169">
                  <c:v>0.68444444444444441</c:v>
                </c:pt>
                <c:pt idx="170">
                  <c:v>0.7533333333333333</c:v>
                </c:pt>
                <c:pt idx="171">
                  <c:v>0.73007246376811596</c:v>
                </c:pt>
                <c:pt idx="172">
                  <c:v>0.66365280289330919</c:v>
                </c:pt>
                <c:pt idx="173">
                  <c:v>0.58589511754068713</c:v>
                </c:pt>
                <c:pt idx="174">
                  <c:v>0.47016274864376129</c:v>
                </c:pt>
                <c:pt idx="175">
                  <c:v>0.43399638336347196</c:v>
                </c:pt>
                <c:pt idx="176">
                  <c:v>0.44484629294755879</c:v>
                </c:pt>
                <c:pt idx="177">
                  <c:v>0.9622222222222222</c:v>
                </c:pt>
                <c:pt idx="178">
                  <c:v>0.9555555555555556</c:v>
                </c:pt>
                <c:pt idx="179">
                  <c:v>0.88358208955223883</c:v>
                </c:pt>
                <c:pt idx="180">
                  <c:v>0.44222222222222224</c:v>
                </c:pt>
                <c:pt idx="181">
                  <c:v>0.3801526717557252</c:v>
                </c:pt>
                <c:pt idx="182">
                  <c:v>0.77314814814814814</c:v>
                </c:pt>
                <c:pt idx="183">
                  <c:v>0.6875</c:v>
                </c:pt>
                <c:pt idx="184">
                  <c:v>0.44675925925925924</c:v>
                </c:pt>
                <c:pt idx="185">
                  <c:v>6.6666666666666671E-3</c:v>
                </c:pt>
                <c:pt idx="186">
                  <c:v>4.3572984749455342E-3</c:v>
                </c:pt>
                <c:pt idx="187">
                  <c:v>0</c:v>
                </c:pt>
                <c:pt idx="188">
                  <c:v>0</c:v>
                </c:pt>
                <c:pt idx="189">
                  <c:v>4.4444444444444446E-2</c:v>
                </c:pt>
                <c:pt idx="190">
                  <c:v>3.111111111111111E-2</c:v>
                </c:pt>
                <c:pt idx="191">
                  <c:v>1.3333333333333334E-2</c:v>
                </c:pt>
                <c:pt idx="192">
                  <c:v>1.9969278033794162E-2</c:v>
                </c:pt>
                <c:pt idx="193">
                  <c:v>2.7607361963190184E-2</c:v>
                </c:pt>
                <c:pt idx="194">
                  <c:v>2.4539877300613498E-2</c:v>
                </c:pt>
                <c:pt idx="195">
                  <c:v>9.202453987730062E-3</c:v>
                </c:pt>
                <c:pt idx="196">
                  <c:v>3.0674846625766872E-3</c:v>
                </c:pt>
                <c:pt idx="197">
                  <c:v>0.76666666666666672</c:v>
                </c:pt>
                <c:pt idx="198">
                  <c:v>0.7088888888888889</c:v>
                </c:pt>
                <c:pt idx="199">
                  <c:v>0.76688102893890675</c:v>
                </c:pt>
                <c:pt idx="200">
                  <c:v>0.65112540192926049</c:v>
                </c:pt>
                <c:pt idx="201">
                  <c:v>0.45016077170418006</c:v>
                </c:pt>
                <c:pt idx="202">
                  <c:v>0.16</c:v>
                </c:pt>
                <c:pt idx="203">
                  <c:v>0.13555555555555557</c:v>
                </c:pt>
                <c:pt idx="204">
                  <c:v>0.16903633491311215</c:v>
                </c:pt>
                <c:pt idx="205">
                  <c:v>0.14060031595576619</c:v>
                </c:pt>
                <c:pt idx="206">
                  <c:v>9.4786729857819899E-2</c:v>
                </c:pt>
                <c:pt idx="207">
                  <c:v>8.8328075709779186E-2</c:v>
                </c:pt>
                <c:pt idx="208">
                  <c:v>7.0977917981072558E-2</c:v>
                </c:pt>
                <c:pt idx="209">
                  <c:v>0.44444444444444442</c:v>
                </c:pt>
                <c:pt idx="210">
                  <c:v>0.37555555555555553</c:v>
                </c:pt>
                <c:pt idx="211">
                  <c:v>0.39039039039039036</c:v>
                </c:pt>
                <c:pt idx="212">
                  <c:v>0.3783783783783784</c:v>
                </c:pt>
                <c:pt idx="213">
                  <c:v>0.34384384384384387</c:v>
                </c:pt>
                <c:pt idx="214">
                  <c:v>0.29429429429429427</c:v>
                </c:pt>
                <c:pt idx="215">
                  <c:v>0.25675675675675674</c:v>
                </c:pt>
                <c:pt idx="216">
                  <c:v>0.22938530734632684</c:v>
                </c:pt>
                <c:pt idx="217">
                  <c:v>0.18590704647676162</c:v>
                </c:pt>
                <c:pt idx="218">
                  <c:v>0.18444444444444444</c:v>
                </c:pt>
                <c:pt idx="219">
                  <c:v>0.17777777777777778</c:v>
                </c:pt>
                <c:pt idx="220">
                  <c:v>0.20486815415821502</c:v>
                </c:pt>
                <c:pt idx="221">
                  <c:v>0.16024340770791076</c:v>
                </c:pt>
                <c:pt idx="222">
                  <c:v>8.2995951417004055E-2</c:v>
                </c:pt>
                <c:pt idx="223">
                  <c:v>8.5020242914979755E-2</c:v>
                </c:pt>
                <c:pt idx="224">
                  <c:v>0.19555555555555557</c:v>
                </c:pt>
                <c:pt idx="225">
                  <c:v>0.23230974632843793</c:v>
                </c:pt>
                <c:pt idx="226">
                  <c:v>0.26702269692923897</c:v>
                </c:pt>
                <c:pt idx="227">
                  <c:v>0.22029372496662217</c:v>
                </c:pt>
                <c:pt idx="228">
                  <c:v>0.18024032042723631</c:v>
                </c:pt>
                <c:pt idx="229">
                  <c:v>5.3333333333333337E-2</c:v>
                </c:pt>
                <c:pt idx="230">
                  <c:v>3.111111111111111E-2</c:v>
                </c:pt>
                <c:pt idx="231">
                  <c:v>5.5384615384615386E-2</c:v>
                </c:pt>
                <c:pt idx="232">
                  <c:v>4.1538461538461538E-2</c:v>
                </c:pt>
                <c:pt idx="233">
                  <c:v>3.8461538461538464E-2</c:v>
                </c:pt>
                <c:pt idx="234">
                  <c:v>4.1538461538461538E-2</c:v>
                </c:pt>
                <c:pt idx="235">
                  <c:v>1.6897081413210446E-2</c:v>
                </c:pt>
                <c:pt idx="236">
                  <c:v>0.37777777777777777</c:v>
                </c:pt>
                <c:pt idx="237">
                  <c:v>0.47328244274809161</c:v>
                </c:pt>
                <c:pt idx="238">
                  <c:v>0.29770992366412213</c:v>
                </c:pt>
                <c:pt idx="239">
                  <c:v>0.19694656488549619</c:v>
                </c:pt>
                <c:pt idx="240">
                  <c:v>0.56666666666666665</c:v>
                </c:pt>
                <c:pt idx="241">
                  <c:v>0.52666666666666662</c:v>
                </c:pt>
                <c:pt idx="242">
                  <c:v>0.5072765072765073</c:v>
                </c:pt>
                <c:pt idx="243">
                  <c:v>0.40748440748440751</c:v>
                </c:pt>
                <c:pt idx="244">
                  <c:v>7.3333333333333334E-2</c:v>
                </c:pt>
                <c:pt idx="245">
                  <c:v>0.04</c:v>
                </c:pt>
                <c:pt idx="246">
                  <c:v>2.9360967184801381E-2</c:v>
                </c:pt>
                <c:pt idx="247">
                  <c:v>2.7586206896551724E-2</c:v>
                </c:pt>
                <c:pt idx="248">
                  <c:v>0.02</c:v>
                </c:pt>
                <c:pt idx="249">
                  <c:v>1.3333333333333334E-2</c:v>
                </c:pt>
                <c:pt idx="250">
                  <c:v>7.2780203784570596E-3</c:v>
                </c:pt>
                <c:pt idx="251">
                  <c:v>0</c:v>
                </c:pt>
                <c:pt idx="252">
                  <c:v>1.455604075691412E-3</c:v>
                </c:pt>
                <c:pt idx="253">
                  <c:v>5.822416302765648E-3</c:v>
                </c:pt>
                <c:pt idx="254">
                  <c:v>2.9069767441860465E-3</c:v>
                </c:pt>
                <c:pt idx="255">
                  <c:v>6.6666666666666671E-3</c:v>
                </c:pt>
                <c:pt idx="256">
                  <c:v>3.1135531135531136E-2</c:v>
                </c:pt>
                <c:pt idx="257">
                  <c:v>5.3113553113553112E-2</c:v>
                </c:pt>
                <c:pt idx="258">
                  <c:v>4.9270072992700732E-2</c:v>
                </c:pt>
                <c:pt idx="259">
                  <c:v>0.23777777777777778</c:v>
                </c:pt>
                <c:pt idx="260">
                  <c:v>0.34444444444444444</c:v>
                </c:pt>
                <c:pt idx="261">
                  <c:v>0.44779116465863456</c:v>
                </c:pt>
                <c:pt idx="262">
                  <c:v>0.35671342685370744</c:v>
                </c:pt>
                <c:pt idx="263">
                  <c:v>0.34268537074148298</c:v>
                </c:pt>
                <c:pt idx="264">
                  <c:v>0.28857715430861725</c:v>
                </c:pt>
                <c:pt idx="265">
                  <c:v>0.4777777777777778</c:v>
                </c:pt>
                <c:pt idx="266">
                  <c:v>0.47333333333333333</c:v>
                </c:pt>
                <c:pt idx="267">
                  <c:v>0.38</c:v>
                </c:pt>
                <c:pt idx="268">
                  <c:v>0.30017761989342806</c:v>
                </c:pt>
                <c:pt idx="269">
                  <c:v>0.27708703374777977</c:v>
                </c:pt>
                <c:pt idx="270">
                  <c:v>0.23623445825932504</c:v>
                </c:pt>
                <c:pt idx="271">
                  <c:v>0.1773049645390071</c:v>
                </c:pt>
                <c:pt idx="272">
                  <c:v>2.2222222222222222E-3</c:v>
                </c:pt>
                <c:pt idx="273">
                  <c:v>0</c:v>
                </c:pt>
                <c:pt idx="274">
                  <c:v>6.222222222222222E-2</c:v>
                </c:pt>
                <c:pt idx="275">
                  <c:v>4.8888888888888891E-2</c:v>
                </c:pt>
                <c:pt idx="276">
                  <c:v>3.2212885154061621E-2</c:v>
                </c:pt>
                <c:pt idx="277">
                  <c:v>2.2408963585434174E-2</c:v>
                </c:pt>
                <c:pt idx="278">
                  <c:v>4.2016806722689074E-3</c:v>
                </c:pt>
              </c:numCache>
            </c:numRef>
          </c:xVal>
          <c:yVal>
            <c:numRef>
              <c:f>RaceWorksheet!$A$2:$A$280</c:f>
              <c:numCache>
                <c:formatCode>0.0%</c:formatCode>
                <c:ptCount val="279"/>
                <c:pt idx="0">
                  <c:v>0.64066852367688021</c:v>
                </c:pt>
                <c:pt idx="1">
                  <c:v>0.70351758793969854</c:v>
                </c:pt>
                <c:pt idx="2">
                  <c:v>0.65151515151515149</c:v>
                </c:pt>
                <c:pt idx="3">
                  <c:v>0.44551282051282054</c:v>
                </c:pt>
                <c:pt idx="4">
                  <c:v>0.46022727272727271</c:v>
                </c:pt>
                <c:pt idx="5">
                  <c:v>0.41330645161290325</c:v>
                </c:pt>
                <c:pt idx="6">
                  <c:v>0.36093418259023352</c:v>
                </c:pt>
                <c:pt idx="7">
                  <c:v>0.1876750700280112</c:v>
                </c:pt>
                <c:pt idx="8">
                  <c:v>0.16142557651991615</c:v>
                </c:pt>
                <c:pt idx="9">
                  <c:v>0.17558886509635974</c:v>
                </c:pt>
                <c:pt idx="10">
                  <c:v>0.12680115273775217</c:v>
                </c:pt>
                <c:pt idx="11">
                  <c:v>0.16666666666666666</c:v>
                </c:pt>
                <c:pt idx="12">
                  <c:v>0.1194331983805668</c:v>
                </c:pt>
                <c:pt idx="13">
                  <c:v>0.31321839080459768</c:v>
                </c:pt>
                <c:pt idx="14">
                  <c:v>0.26030927835051548</c:v>
                </c:pt>
                <c:pt idx="15">
                  <c:v>0.11178247734138973</c:v>
                </c:pt>
                <c:pt idx="16">
                  <c:v>0.17782426778242677</c:v>
                </c:pt>
                <c:pt idx="17">
                  <c:v>0.13053613053613053</c:v>
                </c:pt>
                <c:pt idx="18">
                  <c:v>0.14767932489451477</c:v>
                </c:pt>
                <c:pt idx="19">
                  <c:v>0.24773413897280966</c:v>
                </c:pt>
                <c:pt idx="20">
                  <c:v>0.28199566160520606</c:v>
                </c:pt>
                <c:pt idx="21">
                  <c:v>0.28162291169451076</c:v>
                </c:pt>
                <c:pt idx="22">
                  <c:v>0.23741007194244604</c:v>
                </c:pt>
                <c:pt idx="23">
                  <c:v>0.28103044496487117</c:v>
                </c:pt>
                <c:pt idx="24">
                  <c:v>0.40160642570281124</c:v>
                </c:pt>
                <c:pt idx="25">
                  <c:v>0.3203125</c:v>
                </c:pt>
                <c:pt idx="26">
                  <c:v>0.24148606811145512</c:v>
                </c:pt>
                <c:pt idx="27">
                  <c:v>0.20259740259740261</c:v>
                </c:pt>
                <c:pt idx="28">
                  <c:v>0.27918781725888325</c:v>
                </c:pt>
                <c:pt idx="29">
                  <c:v>0.27932960893854747</c:v>
                </c:pt>
                <c:pt idx="30">
                  <c:v>0.19801980198019803</c:v>
                </c:pt>
                <c:pt idx="31">
                  <c:v>0.20321931589537223</c:v>
                </c:pt>
                <c:pt idx="32">
                  <c:v>0.25887265135699372</c:v>
                </c:pt>
                <c:pt idx="33">
                  <c:v>0.31225296442687744</c:v>
                </c:pt>
                <c:pt idx="34">
                  <c:v>0.36822429906542054</c:v>
                </c:pt>
                <c:pt idx="35">
                  <c:v>0.2966252220248668</c:v>
                </c:pt>
                <c:pt idx="36">
                  <c:v>0.31626506024096385</c:v>
                </c:pt>
                <c:pt idx="37">
                  <c:v>0.33064516129032256</c:v>
                </c:pt>
                <c:pt idx="38">
                  <c:v>0.33675213675213678</c:v>
                </c:pt>
                <c:pt idx="39">
                  <c:v>0.40227703984819735</c:v>
                </c:pt>
                <c:pt idx="40">
                  <c:v>0.33643122676579923</c:v>
                </c:pt>
                <c:pt idx="41">
                  <c:v>0.39761092150170646</c:v>
                </c:pt>
                <c:pt idx="42">
                  <c:v>0.41638225255972694</c:v>
                </c:pt>
                <c:pt idx="43">
                  <c:v>0.3294314381270903</c:v>
                </c:pt>
                <c:pt idx="44">
                  <c:v>0.67341040462427748</c:v>
                </c:pt>
                <c:pt idx="45">
                  <c:v>0.59452054794520548</c:v>
                </c:pt>
                <c:pt idx="46">
                  <c:v>0.57272727272727275</c:v>
                </c:pt>
                <c:pt idx="47">
                  <c:v>0.44680851063829785</c:v>
                </c:pt>
                <c:pt idx="48">
                  <c:v>0.35836909871244638</c:v>
                </c:pt>
                <c:pt idx="49">
                  <c:v>0.74454828660436134</c:v>
                </c:pt>
                <c:pt idx="50">
                  <c:v>0.65048543689320393</c:v>
                </c:pt>
                <c:pt idx="51">
                  <c:v>0.60640732265446229</c:v>
                </c:pt>
                <c:pt idx="52">
                  <c:v>0.45492662473794548</c:v>
                </c:pt>
                <c:pt idx="53">
                  <c:v>0.34869739478957917</c:v>
                </c:pt>
                <c:pt idx="54">
                  <c:v>0.66876971608832803</c:v>
                </c:pt>
                <c:pt idx="55">
                  <c:v>0.65891472868217049</c:v>
                </c:pt>
                <c:pt idx="56">
                  <c:v>0.63440860215053763</c:v>
                </c:pt>
                <c:pt idx="57">
                  <c:v>0.61658031088082899</c:v>
                </c:pt>
                <c:pt idx="58">
                  <c:v>0.34957020057306593</c:v>
                </c:pt>
                <c:pt idx="59">
                  <c:v>0.44191919191919193</c:v>
                </c:pt>
                <c:pt idx="60">
                  <c:v>0.45359019264448336</c:v>
                </c:pt>
                <c:pt idx="61">
                  <c:v>0.45028142589118197</c:v>
                </c:pt>
                <c:pt idx="62">
                  <c:v>0.36197440585009139</c:v>
                </c:pt>
                <c:pt idx="63">
                  <c:v>0.75</c:v>
                </c:pt>
                <c:pt idx="64">
                  <c:v>0.84024896265560167</c:v>
                </c:pt>
                <c:pt idx="65">
                  <c:v>0.71218487394957986</c:v>
                </c:pt>
                <c:pt idx="66">
                  <c:v>0.35072463768115941</c:v>
                </c:pt>
                <c:pt idx="67">
                  <c:v>0.30204081632653063</c:v>
                </c:pt>
                <c:pt idx="68">
                  <c:v>0.30339321357285431</c:v>
                </c:pt>
                <c:pt idx="69">
                  <c:v>0.70253164556962022</c:v>
                </c:pt>
                <c:pt idx="70">
                  <c:v>0.59928443649373886</c:v>
                </c:pt>
                <c:pt idx="71">
                  <c:v>0.32798573975044565</c:v>
                </c:pt>
                <c:pt idx="72">
                  <c:v>0.83586626139817632</c:v>
                </c:pt>
                <c:pt idx="73">
                  <c:v>0.87323943661971826</c:v>
                </c:pt>
                <c:pt idx="74">
                  <c:v>0.89221556886227549</c:v>
                </c:pt>
                <c:pt idx="75">
                  <c:v>0.88323353293413176</c:v>
                </c:pt>
                <c:pt idx="76">
                  <c:v>0.78260869565217395</c:v>
                </c:pt>
                <c:pt idx="77">
                  <c:v>0.8101983002832861</c:v>
                </c:pt>
                <c:pt idx="78">
                  <c:v>0.83557951482479786</c:v>
                </c:pt>
                <c:pt idx="79">
                  <c:v>0.84210526315789469</c:v>
                </c:pt>
                <c:pt idx="80">
                  <c:v>0.82032667876588017</c:v>
                </c:pt>
                <c:pt idx="81">
                  <c:v>0.80705009276437845</c:v>
                </c:pt>
                <c:pt idx="82">
                  <c:v>0.77490774907749083</c:v>
                </c:pt>
                <c:pt idx="83">
                  <c:v>0.77014925373134324</c:v>
                </c:pt>
                <c:pt idx="84">
                  <c:v>0.88988095238095233</c:v>
                </c:pt>
                <c:pt idx="85">
                  <c:v>0.79939209726443772</c:v>
                </c:pt>
                <c:pt idx="86">
                  <c:v>0.62202380952380953</c:v>
                </c:pt>
                <c:pt idx="87">
                  <c:v>0.77596741344195519</c:v>
                </c:pt>
                <c:pt idx="88">
                  <c:v>0.73835920177383596</c:v>
                </c:pt>
                <c:pt idx="89">
                  <c:v>0.72584269662921352</c:v>
                </c:pt>
                <c:pt idx="90">
                  <c:v>0.78073089700996678</c:v>
                </c:pt>
                <c:pt idx="91">
                  <c:v>0.82561307901907355</c:v>
                </c:pt>
                <c:pt idx="92">
                  <c:v>0.84931506849315064</c:v>
                </c:pt>
                <c:pt idx="93">
                  <c:v>0.7696245733788396</c:v>
                </c:pt>
                <c:pt idx="94">
                  <c:v>0.1226158038147139</c:v>
                </c:pt>
                <c:pt idx="95">
                  <c:v>0.22538293216630198</c:v>
                </c:pt>
                <c:pt idx="96">
                  <c:v>0.22717149220489977</c:v>
                </c:pt>
                <c:pt idx="97">
                  <c:v>0.21987315010570824</c:v>
                </c:pt>
                <c:pt idx="98">
                  <c:v>0.57232704402515722</c:v>
                </c:pt>
                <c:pt idx="99">
                  <c:v>0.53846153846153844</c:v>
                </c:pt>
                <c:pt idx="100">
                  <c:v>0.51711711711711716</c:v>
                </c:pt>
                <c:pt idx="101">
                  <c:v>0.53921568627450978</c:v>
                </c:pt>
                <c:pt idx="102">
                  <c:v>0.56809338521400776</c:v>
                </c:pt>
                <c:pt idx="103">
                  <c:v>0.53805309734513274</c:v>
                </c:pt>
                <c:pt idx="104">
                  <c:v>0.38938053097345132</c:v>
                </c:pt>
                <c:pt idx="105">
                  <c:v>0.4985754985754986</c:v>
                </c:pt>
                <c:pt idx="106">
                  <c:v>0.48533333333333334</c:v>
                </c:pt>
                <c:pt idx="107">
                  <c:v>0.54039497307001794</c:v>
                </c:pt>
                <c:pt idx="108">
                  <c:v>0.53321364452423703</c:v>
                </c:pt>
                <c:pt idx="109">
                  <c:v>0.52115384615384619</c:v>
                </c:pt>
                <c:pt idx="110">
                  <c:v>0.51537070524412298</c:v>
                </c:pt>
                <c:pt idx="111">
                  <c:v>0.49828178694158076</c:v>
                </c:pt>
                <c:pt idx="112">
                  <c:v>0.43771043771043772</c:v>
                </c:pt>
                <c:pt idx="113">
                  <c:v>0.58677685950413228</c:v>
                </c:pt>
                <c:pt idx="114">
                  <c:v>0.53262786596119926</c:v>
                </c:pt>
                <c:pt idx="115">
                  <c:v>0.57760314341846763</c:v>
                </c:pt>
                <c:pt idx="116">
                  <c:v>0.5757575757575758</c:v>
                </c:pt>
                <c:pt idx="117">
                  <c:v>0.63229571984435795</c:v>
                </c:pt>
                <c:pt idx="118">
                  <c:v>0.59001782531194291</c:v>
                </c:pt>
                <c:pt idx="119">
                  <c:v>0.52982456140350875</c:v>
                </c:pt>
                <c:pt idx="120">
                  <c:v>0.75806451612903225</c:v>
                </c:pt>
                <c:pt idx="121">
                  <c:v>0.7438692098092643</c:v>
                </c:pt>
                <c:pt idx="122">
                  <c:v>0.88139059304703471</c:v>
                </c:pt>
                <c:pt idx="123">
                  <c:v>0.87447698744769875</c:v>
                </c:pt>
                <c:pt idx="124">
                  <c:v>0.84861407249466947</c:v>
                </c:pt>
                <c:pt idx="125">
                  <c:v>0.8123620309050773</c:v>
                </c:pt>
                <c:pt idx="126">
                  <c:v>0.81366459627329191</c:v>
                </c:pt>
                <c:pt idx="127">
                  <c:v>0.87903225806451613</c:v>
                </c:pt>
                <c:pt idx="128">
                  <c:v>0.90462427745664742</c:v>
                </c:pt>
                <c:pt idx="129">
                  <c:v>0.89344262295081966</c:v>
                </c:pt>
                <c:pt idx="130">
                  <c:v>0.89211618257261416</c:v>
                </c:pt>
                <c:pt idx="131">
                  <c:v>0.91555555555555557</c:v>
                </c:pt>
                <c:pt idx="132">
                  <c:v>0.9360730593607306</c:v>
                </c:pt>
                <c:pt idx="133">
                  <c:v>0.92749999999999999</c:v>
                </c:pt>
                <c:pt idx="134">
                  <c:v>0.90104166666666663</c:v>
                </c:pt>
                <c:pt idx="135">
                  <c:v>0.93058568329718006</c:v>
                </c:pt>
                <c:pt idx="136">
                  <c:v>0.86885245901639341</c:v>
                </c:pt>
                <c:pt idx="137">
                  <c:v>0.86376811594202896</c:v>
                </c:pt>
                <c:pt idx="138">
                  <c:v>0.91761363636363635</c:v>
                </c:pt>
                <c:pt idx="139">
                  <c:v>0.93333333333333335</c:v>
                </c:pt>
                <c:pt idx="140">
                  <c:v>0.91552511415525117</c:v>
                </c:pt>
                <c:pt idx="141">
                  <c:v>0.88518518518518519</c:v>
                </c:pt>
                <c:pt idx="142">
                  <c:v>0.88953488372093026</c:v>
                </c:pt>
                <c:pt idx="143">
                  <c:v>0.90313390313390318</c:v>
                </c:pt>
                <c:pt idx="144">
                  <c:v>0.92647058823529416</c:v>
                </c:pt>
                <c:pt idx="145">
                  <c:v>0.92910447761194026</c:v>
                </c:pt>
                <c:pt idx="146">
                  <c:v>0.92063492063492058</c:v>
                </c:pt>
                <c:pt idx="147">
                  <c:v>0.90558766859344897</c:v>
                </c:pt>
                <c:pt idx="148">
                  <c:v>0.83177570093457942</c:v>
                </c:pt>
                <c:pt idx="149">
                  <c:v>0.89440993788819878</c:v>
                </c:pt>
                <c:pt idx="150">
                  <c:v>0.92879256965944268</c:v>
                </c:pt>
                <c:pt idx="151">
                  <c:v>0.91988950276243098</c:v>
                </c:pt>
                <c:pt idx="152">
                  <c:v>0.91885441527446299</c:v>
                </c:pt>
                <c:pt idx="153">
                  <c:v>0.93450881612090675</c:v>
                </c:pt>
                <c:pt idx="154">
                  <c:v>0.94808743169398912</c:v>
                </c:pt>
                <c:pt idx="155">
                  <c:v>0.9064171122994652</c:v>
                </c:pt>
                <c:pt idx="156">
                  <c:v>0.87398373983739841</c:v>
                </c:pt>
                <c:pt idx="157">
                  <c:v>0.93859649122807021</c:v>
                </c:pt>
                <c:pt idx="158">
                  <c:v>0.90858725761772852</c:v>
                </c:pt>
                <c:pt idx="159">
                  <c:v>0.90981963927855714</c:v>
                </c:pt>
                <c:pt idx="160">
                  <c:v>0.92903225806451617</c:v>
                </c:pt>
                <c:pt idx="161">
                  <c:v>0.92417061611374407</c:v>
                </c:pt>
                <c:pt idx="162">
                  <c:v>0.93205944798301488</c:v>
                </c:pt>
                <c:pt idx="163">
                  <c:v>0.52583586626139822</c:v>
                </c:pt>
                <c:pt idx="164">
                  <c:v>0.45429362880886426</c:v>
                </c:pt>
                <c:pt idx="165">
                  <c:v>0.51883561643835618</c:v>
                </c:pt>
                <c:pt idx="166">
                  <c:v>0.40842490842490842</c:v>
                </c:pt>
                <c:pt idx="167">
                  <c:v>0.44606946983546619</c:v>
                </c:pt>
                <c:pt idx="168">
                  <c:v>0.49503311258278143</c:v>
                </c:pt>
                <c:pt idx="169">
                  <c:v>0.72888888888888892</c:v>
                </c:pt>
                <c:pt idx="170">
                  <c:v>0.78674351585014413</c:v>
                </c:pt>
                <c:pt idx="171">
                  <c:v>0.79629629629629628</c:v>
                </c:pt>
                <c:pt idx="172">
                  <c:v>0.78538812785388123</c:v>
                </c:pt>
                <c:pt idx="173">
                  <c:v>0.73598130841121501</c:v>
                </c:pt>
                <c:pt idx="174">
                  <c:v>0.66417910447761197</c:v>
                </c:pt>
                <c:pt idx="175">
                  <c:v>0.64039408866995073</c:v>
                </c:pt>
                <c:pt idx="176">
                  <c:v>0.66371681415929207</c:v>
                </c:pt>
                <c:pt idx="177">
                  <c:v>0.89824561403508774</c:v>
                </c:pt>
                <c:pt idx="178">
                  <c:v>0.9080779944289693</c:v>
                </c:pt>
                <c:pt idx="179">
                  <c:v>0.8972868217054264</c:v>
                </c:pt>
                <c:pt idx="180">
                  <c:v>0.55378486055776888</c:v>
                </c:pt>
                <c:pt idx="181">
                  <c:v>0.5330073349633252</c:v>
                </c:pt>
                <c:pt idx="182">
                  <c:v>0.82889733840304181</c:v>
                </c:pt>
                <c:pt idx="183">
                  <c:v>0.83183183183183185</c:v>
                </c:pt>
                <c:pt idx="184">
                  <c:v>0.632996632996633</c:v>
                </c:pt>
                <c:pt idx="185">
                  <c:v>0.25316455696202533</c:v>
                </c:pt>
                <c:pt idx="186">
                  <c:v>0.24935732647814909</c:v>
                </c:pt>
                <c:pt idx="187">
                  <c:v>0.32180851063829785</c:v>
                </c:pt>
                <c:pt idx="188">
                  <c:v>0.26217228464419473</c:v>
                </c:pt>
                <c:pt idx="189">
                  <c:v>0.26653696498054474</c:v>
                </c:pt>
                <c:pt idx="190">
                  <c:v>0.25100401606425704</c:v>
                </c:pt>
                <c:pt idx="191">
                  <c:v>0.34630350194552528</c:v>
                </c:pt>
                <c:pt idx="192">
                  <c:v>0.33455882352941174</c:v>
                </c:pt>
                <c:pt idx="193">
                  <c:v>0.21657754010695188</c:v>
                </c:pt>
                <c:pt idx="194">
                  <c:v>0.21008403361344538</c:v>
                </c:pt>
                <c:pt idx="195">
                  <c:v>0.3108108108108108</c:v>
                </c:pt>
                <c:pt idx="196">
                  <c:v>0.28900255754475701</c:v>
                </c:pt>
                <c:pt idx="197">
                  <c:v>0.66972477064220182</c:v>
                </c:pt>
                <c:pt idx="198">
                  <c:v>0.71352785145888598</c:v>
                </c:pt>
                <c:pt idx="199">
                  <c:v>0.79133858267716539</c:v>
                </c:pt>
                <c:pt idx="200">
                  <c:v>0.71047227926078027</c:v>
                </c:pt>
                <c:pt idx="201">
                  <c:v>0.54661016949152541</c:v>
                </c:pt>
                <c:pt idx="202">
                  <c:v>0.33242506811989103</c:v>
                </c:pt>
                <c:pt idx="203">
                  <c:v>0.2871536523929471</c:v>
                </c:pt>
                <c:pt idx="204">
                  <c:v>0.33072407045009783</c:v>
                </c:pt>
                <c:pt idx="205">
                  <c:v>0.30497925311203322</c:v>
                </c:pt>
                <c:pt idx="206">
                  <c:v>0.39411764705882352</c:v>
                </c:pt>
                <c:pt idx="207">
                  <c:v>0.41745730550284632</c:v>
                </c:pt>
                <c:pt idx="208">
                  <c:v>0.32789855072463769</c:v>
                </c:pt>
                <c:pt idx="209">
                  <c:v>0.625</c:v>
                </c:pt>
                <c:pt idx="210">
                  <c:v>0.49479166666666669</c:v>
                </c:pt>
                <c:pt idx="211">
                  <c:v>0.52631578947368418</c:v>
                </c:pt>
                <c:pt idx="212">
                  <c:v>0.57471264367816088</c:v>
                </c:pt>
                <c:pt idx="213">
                  <c:v>0.524896265560166</c:v>
                </c:pt>
                <c:pt idx="214">
                  <c:v>0.48697394789579157</c:v>
                </c:pt>
                <c:pt idx="215">
                  <c:v>0.45309381237524948</c:v>
                </c:pt>
                <c:pt idx="216">
                  <c:v>0.48766603415559773</c:v>
                </c:pt>
                <c:pt idx="217">
                  <c:v>0.3688073394495413</c:v>
                </c:pt>
                <c:pt idx="218">
                  <c:v>0.44554455445544555</c:v>
                </c:pt>
                <c:pt idx="219">
                  <c:v>0.449438202247191</c:v>
                </c:pt>
                <c:pt idx="220">
                  <c:v>0.43846153846153846</c:v>
                </c:pt>
                <c:pt idx="221">
                  <c:v>0.3960674157303371</c:v>
                </c:pt>
                <c:pt idx="222">
                  <c:v>0.36639118457300274</c:v>
                </c:pt>
                <c:pt idx="223">
                  <c:v>0.36986301369863012</c:v>
                </c:pt>
                <c:pt idx="224">
                  <c:v>0.18367346938775511</c:v>
                </c:pt>
                <c:pt idx="225">
                  <c:v>0.20104438642297651</c:v>
                </c:pt>
                <c:pt idx="226">
                  <c:v>0.26857142857142857</c:v>
                </c:pt>
                <c:pt idx="227">
                  <c:v>0.20874751491053678</c:v>
                </c:pt>
                <c:pt idx="228">
                  <c:v>0.17819706498951782</c:v>
                </c:pt>
                <c:pt idx="229">
                  <c:v>0.21063394683026584</c:v>
                </c:pt>
                <c:pt idx="230">
                  <c:v>0.21984435797665369</c:v>
                </c:pt>
                <c:pt idx="231">
                  <c:v>0.42222222222222222</c:v>
                </c:pt>
                <c:pt idx="232">
                  <c:v>0.44032258064516128</c:v>
                </c:pt>
                <c:pt idx="233">
                  <c:v>0.50751879699248126</c:v>
                </c:pt>
                <c:pt idx="234">
                  <c:v>0.5</c:v>
                </c:pt>
                <c:pt idx="235">
                  <c:v>0.44875776397515527</c:v>
                </c:pt>
                <c:pt idx="236">
                  <c:v>0.5536723163841808</c:v>
                </c:pt>
                <c:pt idx="237">
                  <c:v>0.59603960396039601</c:v>
                </c:pt>
                <c:pt idx="238">
                  <c:v>0.55378486055776888</c:v>
                </c:pt>
                <c:pt idx="239">
                  <c:v>0.44112149532710282</c:v>
                </c:pt>
                <c:pt idx="240">
                  <c:v>0.80519480519480524</c:v>
                </c:pt>
                <c:pt idx="241">
                  <c:v>0.76160990712074306</c:v>
                </c:pt>
                <c:pt idx="242">
                  <c:v>0.740506329113924</c:v>
                </c:pt>
                <c:pt idx="243">
                  <c:v>0.76470588235294112</c:v>
                </c:pt>
                <c:pt idx="244">
                  <c:v>0.29411764705882354</c:v>
                </c:pt>
                <c:pt idx="245">
                  <c:v>0.26121372031662271</c:v>
                </c:pt>
                <c:pt idx="246">
                  <c:v>0.22680412371134021</c:v>
                </c:pt>
                <c:pt idx="247">
                  <c:v>0.31223628691983124</c:v>
                </c:pt>
                <c:pt idx="248">
                  <c:v>0.23300970873786409</c:v>
                </c:pt>
                <c:pt idx="249">
                  <c:v>0.26631853785900783</c:v>
                </c:pt>
                <c:pt idx="250">
                  <c:v>0.23351158645276293</c:v>
                </c:pt>
                <c:pt idx="251">
                  <c:v>0.26037735849056604</c:v>
                </c:pt>
                <c:pt idx="252">
                  <c:v>0.27440147329650094</c:v>
                </c:pt>
                <c:pt idx="253">
                  <c:v>0.39154411764705882</c:v>
                </c:pt>
                <c:pt idx="254">
                  <c:v>0.33102253032928941</c:v>
                </c:pt>
                <c:pt idx="255">
                  <c:v>0.21676300578034682</c:v>
                </c:pt>
                <c:pt idx="256">
                  <c:v>0.23917995444191345</c:v>
                </c:pt>
                <c:pt idx="257">
                  <c:v>0.31308411214953269</c:v>
                </c:pt>
                <c:pt idx="258">
                  <c:v>0.32420091324200911</c:v>
                </c:pt>
                <c:pt idx="259">
                  <c:v>0.43302180685358255</c:v>
                </c:pt>
                <c:pt idx="260">
                  <c:v>0.55525606469002697</c:v>
                </c:pt>
                <c:pt idx="261">
                  <c:v>0.66153846153846152</c:v>
                </c:pt>
                <c:pt idx="262">
                  <c:v>0.62169312169312174</c:v>
                </c:pt>
                <c:pt idx="263">
                  <c:v>0.57567567567567568</c:v>
                </c:pt>
                <c:pt idx="264">
                  <c:v>0.546875</c:v>
                </c:pt>
                <c:pt idx="265">
                  <c:v>0.59661016949152545</c:v>
                </c:pt>
                <c:pt idx="266">
                  <c:v>0.6</c:v>
                </c:pt>
                <c:pt idx="267">
                  <c:v>0.53387533875338755</c:v>
                </c:pt>
                <c:pt idx="268">
                  <c:v>0.52222222222222225</c:v>
                </c:pt>
                <c:pt idx="269">
                  <c:v>0.46136363636363636</c:v>
                </c:pt>
                <c:pt idx="270">
                  <c:v>0.46244131455399062</c:v>
                </c:pt>
                <c:pt idx="271">
                  <c:v>0.4356223175965665</c:v>
                </c:pt>
                <c:pt idx="272">
                  <c:v>0.27051671732522797</c:v>
                </c:pt>
                <c:pt idx="273">
                  <c:v>0.24338624338624337</c:v>
                </c:pt>
                <c:pt idx="274">
                  <c:v>0.2111692844677138</c:v>
                </c:pt>
                <c:pt idx="275">
                  <c:v>0.17297297297297298</c:v>
                </c:pt>
                <c:pt idx="276">
                  <c:v>0.28166666666666668</c:v>
                </c:pt>
                <c:pt idx="277">
                  <c:v>0.1487603305785124</c:v>
                </c:pt>
                <c:pt idx="278">
                  <c:v>0.2017353579175705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8EF-40B9-9B64-68037D9970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4301024"/>
        <c:axId val="1547841584"/>
      </c:scatterChart>
      <c:valAx>
        <c:axId val="1584301024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7841584"/>
        <c:crosses val="autoZero"/>
        <c:crossBetween val="midCat"/>
      </c:valAx>
      <c:valAx>
        <c:axId val="1547841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43010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PH% vs Indian% P128 Seremban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34856583552055992"/>
                  <c:y val="0.13847222222222222"/>
                </c:manualLayout>
              </c:layout>
              <c:numFmt formatCode="General" sourceLinked="0"/>
              <c:spPr>
                <a:solidFill>
                  <a:schemeClr val="bg1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RaceWorksheet!$M$2:$M$280</c:f>
              <c:numCache>
                <c:formatCode>0.0%</c:formatCode>
                <c:ptCount val="279"/>
                <c:pt idx="0">
                  <c:v>1.7777777777777778E-2</c:v>
                </c:pt>
                <c:pt idx="1">
                  <c:v>1.4613778705636743E-2</c:v>
                </c:pt>
                <c:pt idx="2">
                  <c:v>3.3402922755741124E-2</c:v>
                </c:pt>
                <c:pt idx="3">
                  <c:v>0.1711111111111111</c:v>
                </c:pt>
                <c:pt idx="4">
                  <c:v>0.14888888888888888</c:v>
                </c:pt>
                <c:pt idx="5">
                  <c:v>0.1277533039647577</c:v>
                </c:pt>
                <c:pt idx="6">
                  <c:v>0.13049853372434017</c:v>
                </c:pt>
                <c:pt idx="7">
                  <c:v>0.11777777777777777</c:v>
                </c:pt>
                <c:pt idx="8">
                  <c:v>5.3380782918149468E-2</c:v>
                </c:pt>
                <c:pt idx="9">
                  <c:v>7.104795737122558E-3</c:v>
                </c:pt>
                <c:pt idx="10">
                  <c:v>2.2222222222222223E-2</c:v>
                </c:pt>
                <c:pt idx="11">
                  <c:v>1.1608623548922056E-2</c:v>
                </c:pt>
                <c:pt idx="12">
                  <c:v>1.3266998341625208E-2</c:v>
                </c:pt>
                <c:pt idx="13">
                  <c:v>2.4444444444444446E-2</c:v>
                </c:pt>
                <c:pt idx="14">
                  <c:v>3.4136546184738957E-2</c:v>
                </c:pt>
                <c:pt idx="15">
                  <c:v>6.6666666666666671E-3</c:v>
                </c:pt>
                <c:pt idx="16">
                  <c:v>3.5842293906810036E-3</c:v>
                </c:pt>
                <c:pt idx="17">
                  <c:v>0</c:v>
                </c:pt>
                <c:pt idx="18">
                  <c:v>0</c:v>
                </c:pt>
                <c:pt idx="19">
                  <c:v>5.1111111111111114E-2</c:v>
                </c:pt>
                <c:pt idx="20">
                  <c:v>8.1227436823104696E-2</c:v>
                </c:pt>
                <c:pt idx="21">
                  <c:v>8.1227436823104696E-2</c:v>
                </c:pt>
                <c:pt idx="22">
                  <c:v>5.9459459459459463E-2</c:v>
                </c:pt>
                <c:pt idx="23">
                  <c:v>7.2072072072072071E-2</c:v>
                </c:pt>
                <c:pt idx="24">
                  <c:v>8.4337349397590355E-2</c:v>
                </c:pt>
                <c:pt idx="25">
                  <c:v>0.15615615615615616</c:v>
                </c:pt>
                <c:pt idx="26">
                  <c:v>1.7777777777777778E-2</c:v>
                </c:pt>
                <c:pt idx="27">
                  <c:v>1.3333333333333334E-2</c:v>
                </c:pt>
                <c:pt idx="28">
                  <c:v>2.3508137432188065E-2</c:v>
                </c:pt>
                <c:pt idx="29">
                  <c:v>2.1660649819494584E-2</c:v>
                </c:pt>
                <c:pt idx="30">
                  <c:v>2.5270758122743681E-2</c:v>
                </c:pt>
                <c:pt idx="31">
                  <c:v>6.8888888888888888E-2</c:v>
                </c:pt>
                <c:pt idx="32">
                  <c:v>3.3333333333333333E-2</c:v>
                </c:pt>
                <c:pt idx="33">
                  <c:v>5.1111111111111114E-2</c:v>
                </c:pt>
                <c:pt idx="34">
                  <c:v>7.0660522273425494E-2</c:v>
                </c:pt>
                <c:pt idx="35">
                  <c:v>4.6082949308755762E-2</c:v>
                </c:pt>
                <c:pt idx="36">
                  <c:v>2.6113671274961597E-2</c:v>
                </c:pt>
                <c:pt idx="37">
                  <c:v>2.6113671274961597E-2</c:v>
                </c:pt>
                <c:pt idx="38">
                  <c:v>2.6113671274961597E-2</c:v>
                </c:pt>
                <c:pt idx="39">
                  <c:v>3.834355828220859E-2</c:v>
                </c:pt>
                <c:pt idx="40">
                  <c:v>3.9877300613496931E-2</c:v>
                </c:pt>
                <c:pt idx="41">
                  <c:v>0.1111111111111111</c:v>
                </c:pt>
                <c:pt idx="42">
                  <c:v>7.7777777777777779E-2</c:v>
                </c:pt>
                <c:pt idx="43">
                  <c:v>9.4632768361581923E-2</c:v>
                </c:pt>
                <c:pt idx="44">
                  <c:v>8.3333333333333329E-2</c:v>
                </c:pt>
                <c:pt idx="45">
                  <c:v>6.0734463276836161E-2</c:v>
                </c:pt>
                <c:pt idx="46">
                  <c:v>4.6610169491525424E-2</c:v>
                </c:pt>
                <c:pt idx="47">
                  <c:v>5.2186177715091681E-2</c:v>
                </c:pt>
                <c:pt idx="48">
                  <c:v>4.9365303244005641E-2</c:v>
                </c:pt>
                <c:pt idx="49">
                  <c:v>0.27333333333333332</c:v>
                </c:pt>
                <c:pt idx="50">
                  <c:v>0.21940928270042195</c:v>
                </c:pt>
                <c:pt idx="51">
                  <c:v>0.21729957805907174</c:v>
                </c:pt>
                <c:pt idx="52">
                  <c:v>0.27368421052631581</c:v>
                </c:pt>
                <c:pt idx="53">
                  <c:v>0.10222222222222223</c:v>
                </c:pt>
                <c:pt idx="54">
                  <c:v>0.14046822742474915</c:v>
                </c:pt>
                <c:pt idx="55">
                  <c:v>0.18729096989966554</c:v>
                </c:pt>
                <c:pt idx="56">
                  <c:v>0.16387959866220736</c:v>
                </c:pt>
                <c:pt idx="57">
                  <c:v>0.12353923205342238</c:v>
                </c:pt>
                <c:pt idx="58">
                  <c:v>0.39333333333333331</c:v>
                </c:pt>
                <c:pt idx="59">
                  <c:v>0.33333333333333331</c:v>
                </c:pt>
                <c:pt idx="60">
                  <c:v>0.27485380116959063</c:v>
                </c:pt>
                <c:pt idx="61">
                  <c:v>0.22368421052631579</c:v>
                </c:pt>
                <c:pt idx="62">
                  <c:v>0.18102189781021899</c:v>
                </c:pt>
                <c:pt idx="63">
                  <c:v>0.21555555555555556</c:v>
                </c:pt>
                <c:pt idx="64">
                  <c:v>0.28915662650602408</c:v>
                </c:pt>
                <c:pt idx="65">
                  <c:v>0.30636833046471601</c:v>
                </c:pt>
                <c:pt idx="66">
                  <c:v>0.29555555555555557</c:v>
                </c:pt>
                <c:pt idx="67">
                  <c:v>0.10954616588419405</c:v>
                </c:pt>
                <c:pt idx="68">
                  <c:v>9.2331768388106417E-2</c:v>
                </c:pt>
                <c:pt idx="69">
                  <c:v>0.16</c:v>
                </c:pt>
                <c:pt idx="70">
                  <c:v>0.1701534170153417</c:v>
                </c:pt>
                <c:pt idx="71">
                  <c:v>0.13370473537604458</c:v>
                </c:pt>
                <c:pt idx="72">
                  <c:v>2.7272727272727271E-2</c:v>
                </c:pt>
                <c:pt idx="73">
                  <c:v>6.4732142857142863E-2</c:v>
                </c:pt>
                <c:pt idx="74">
                  <c:v>0.13169642857142858</c:v>
                </c:pt>
                <c:pt idx="75">
                  <c:v>0.171875</c:v>
                </c:pt>
                <c:pt idx="76">
                  <c:v>0.40500000000000003</c:v>
                </c:pt>
                <c:pt idx="77">
                  <c:v>0.4138755980861244</c:v>
                </c:pt>
                <c:pt idx="78">
                  <c:v>0.37799043062200954</c:v>
                </c:pt>
                <c:pt idx="79">
                  <c:v>8.666666666666667E-2</c:v>
                </c:pt>
                <c:pt idx="80">
                  <c:v>8.666666666666667E-2</c:v>
                </c:pt>
                <c:pt idx="81">
                  <c:v>0.11555555555555555</c:v>
                </c:pt>
                <c:pt idx="82">
                  <c:v>0.15350877192982457</c:v>
                </c:pt>
                <c:pt idx="83">
                  <c:v>0.20175438596491227</c:v>
                </c:pt>
                <c:pt idx="84">
                  <c:v>0.22222222222222221</c:v>
                </c:pt>
                <c:pt idx="85">
                  <c:v>0.195906432748538</c:v>
                </c:pt>
                <c:pt idx="86">
                  <c:v>0.29333333333333333</c:v>
                </c:pt>
                <c:pt idx="87">
                  <c:v>0.33040421792618629</c:v>
                </c:pt>
                <c:pt idx="88">
                  <c:v>0.32688927943760981</c:v>
                </c:pt>
                <c:pt idx="89">
                  <c:v>0.34094903339191562</c:v>
                </c:pt>
                <c:pt idx="90">
                  <c:v>0.15333333333333332</c:v>
                </c:pt>
                <c:pt idx="91">
                  <c:v>0.21111111111111111</c:v>
                </c:pt>
                <c:pt idx="92">
                  <c:v>0.32166890982503366</c:v>
                </c:pt>
                <c:pt idx="93">
                  <c:v>0.35618279569892475</c:v>
                </c:pt>
                <c:pt idx="94">
                  <c:v>6.8888888888888888E-2</c:v>
                </c:pt>
                <c:pt idx="95">
                  <c:v>7.5949367088607597E-2</c:v>
                </c:pt>
                <c:pt idx="96">
                  <c:v>6.50994575045208E-2</c:v>
                </c:pt>
                <c:pt idx="97">
                  <c:v>7.9279279279279274E-2</c:v>
                </c:pt>
                <c:pt idx="98">
                  <c:v>0.2311111111111111</c:v>
                </c:pt>
                <c:pt idx="99">
                  <c:v>0.19941348973607037</c:v>
                </c:pt>
                <c:pt idx="100">
                  <c:v>0.20381231671554254</c:v>
                </c:pt>
                <c:pt idx="101">
                  <c:v>0.17008797653958943</c:v>
                </c:pt>
                <c:pt idx="102">
                  <c:v>0.15689149560117302</c:v>
                </c:pt>
                <c:pt idx="103">
                  <c:v>0.13196480938416422</c:v>
                </c:pt>
                <c:pt idx="104">
                  <c:v>0.12573099415204678</c:v>
                </c:pt>
                <c:pt idx="105">
                  <c:v>0.29777777777777775</c:v>
                </c:pt>
                <c:pt idx="106">
                  <c:v>0.26</c:v>
                </c:pt>
                <c:pt idx="107">
                  <c:v>0.28111888111888111</c:v>
                </c:pt>
                <c:pt idx="108">
                  <c:v>0.31888111888111886</c:v>
                </c:pt>
                <c:pt idx="109">
                  <c:v>0.25174825174825177</c:v>
                </c:pt>
                <c:pt idx="110">
                  <c:v>0.23496503496503496</c:v>
                </c:pt>
                <c:pt idx="111">
                  <c:v>0.2011173184357542</c:v>
                </c:pt>
                <c:pt idx="112">
                  <c:v>0.18435754189944134</c:v>
                </c:pt>
                <c:pt idx="113">
                  <c:v>0.43555555555555553</c:v>
                </c:pt>
                <c:pt idx="114">
                  <c:v>0.33111111111111113</c:v>
                </c:pt>
                <c:pt idx="115">
                  <c:v>0.31532846715328466</c:v>
                </c:pt>
                <c:pt idx="116">
                  <c:v>0.28467153284671531</c:v>
                </c:pt>
                <c:pt idx="117">
                  <c:v>0.25255474452554744</c:v>
                </c:pt>
                <c:pt idx="118">
                  <c:v>0.23941605839416058</c:v>
                </c:pt>
                <c:pt idx="119">
                  <c:v>0.15474452554744525</c:v>
                </c:pt>
                <c:pt idx="120">
                  <c:v>0.36888888888888888</c:v>
                </c:pt>
                <c:pt idx="121">
                  <c:v>0.43111111111111111</c:v>
                </c:pt>
                <c:pt idx="122">
                  <c:v>0.38080000000000003</c:v>
                </c:pt>
                <c:pt idx="123">
                  <c:v>0.38080000000000003</c:v>
                </c:pt>
                <c:pt idx="124">
                  <c:v>0.4304</c:v>
                </c:pt>
                <c:pt idx="125">
                  <c:v>0.41599999999999998</c:v>
                </c:pt>
                <c:pt idx="126">
                  <c:v>0.41920000000000002</c:v>
                </c:pt>
                <c:pt idx="127">
                  <c:v>0.21777777777777776</c:v>
                </c:pt>
                <c:pt idx="128">
                  <c:v>0.24444444444444444</c:v>
                </c:pt>
                <c:pt idx="129">
                  <c:v>0.20444444444444446</c:v>
                </c:pt>
                <c:pt idx="130">
                  <c:v>0.21143847487001732</c:v>
                </c:pt>
                <c:pt idx="131">
                  <c:v>0.20623916811091855</c:v>
                </c:pt>
                <c:pt idx="132">
                  <c:v>0.21837088388214904</c:v>
                </c:pt>
                <c:pt idx="133">
                  <c:v>0.22876949740034663</c:v>
                </c:pt>
                <c:pt idx="134">
                  <c:v>0.21663778162911612</c:v>
                </c:pt>
                <c:pt idx="135">
                  <c:v>0.25259515570934254</c:v>
                </c:pt>
                <c:pt idx="136">
                  <c:v>0.22</c:v>
                </c:pt>
                <c:pt idx="137">
                  <c:v>0.22</c:v>
                </c:pt>
                <c:pt idx="138">
                  <c:v>0.23333333333333334</c:v>
                </c:pt>
                <c:pt idx="139">
                  <c:v>0.16840277777777779</c:v>
                </c:pt>
                <c:pt idx="140">
                  <c:v>0.23223570190641249</c:v>
                </c:pt>
                <c:pt idx="141">
                  <c:v>9.555555555555556E-2</c:v>
                </c:pt>
                <c:pt idx="142">
                  <c:v>9.555555555555556E-2</c:v>
                </c:pt>
                <c:pt idx="143">
                  <c:v>0.15333333333333332</c:v>
                </c:pt>
                <c:pt idx="144">
                  <c:v>0.1941747572815534</c:v>
                </c:pt>
                <c:pt idx="145">
                  <c:v>0.15811373092926492</c:v>
                </c:pt>
                <c:pt idx="146">
                  <c:v>0.17753120665742025</c:v>
                </c:pt>
                <c:pt idx="147">
                  <c:v>0.17590027700831026</c:v>
                </c:pt>
                <c:pt idx="148">
                  <c:v>5.7777777777777775E-2</c:v>
                </c:pt>
                <c:pt idx="149">
                  <c:v>0.06</c:v>
                </c:pt>
                <c:pt idx="150">
                  <c:v>6.222222222222222E-2</c:v>
                </c:pt>
                <c:pt idx="151">
                  <c:v>8.1318681318681321E-2</c:v>
                </c:pt>
                <c:pt idx="152">
                  <c:v>8.203125E-2</c:v>
                </c:pt>
                <c:pt idx="153">
                  <c:v>5.859375E-2</c:v>
                </c:pt>
                <c:pt idx="154">
                  <c:v>0.12890625</c:v>
                </c:pt>
                <c:pt idx="155">
                  <c:v>9.765625E-2</c:v>
                </c:pt>
                <c:pt idx="156">
                  <c:v>0.12666666666666668</c:v>
                </c:pt>
                <c:pt idx="157">
                  <c:v>9.7777777777777783E-2</c:v>
                </c:pt>
                <c:pt idx="158">
                  <c:v>0.17555555555555555</c:v>
                </c:pt>
                <c:pt idx="159">
                  <c:v>0.19354838709677419</c:v>
                </c:pt>
                <c:pt idx="160">
                  <c:v>0.26451612903225807</c:v>
                </c:pt>
                <c:pt idx="161">
                  <c:v>0.24677419354838709</c:v>
                </c:pt>
                <c:pt idx="162">
                  <c:v>0.24516129032258063</c:v>
                </c:pt>
                <c:pt idx="163">
                  <c:v>0.2688888888888889</c:v>
                </c:pt>
                <c:pt idx="164">
                  <c:v>0.24666666666666667</c:v>
                </c:pt>
                <c:pt idx="165">
                  <c:v>0.29278074866310161</c:v>
                </c:pt>
                <c:pt idx="166">
                  <c:v>0.17379679144385027</c:v>
                </c:pt>
                <c:pt idx="167">
                  <c:v>0.1855807743658211</c:v>
                </c:pt>
                <c:pt idx="168">
                  <c:v>0.20160213618157544</c:v>
                </c:pt>
                <c:pt idx="169">
                  <c:v>0.12666666666666668</c:v>
                </c:pt>
                <c:pt idx="170">
                  <c:v>0.10222222222222223</c:v>
                </c:pt>
                <c:pt idx="171">
                  <c:v>0.1213768115942029</c:v>
                </c:pt>
                <c:pt idx="172">
                  <c:v>0.13743218806509946</c:v>
                </c:pt>
                <c:pt idx="173">
                  <c:v>0.15913200723327306</c:v>
                </c:pt>
                <c:pt idx="174">
                  <c:v>0.16455696202531644</c:v>
                </c:pt>
                <c:pt idx="175">
                  <c:v>0.12296564195298372</c:v>
                </c:pt>
                <c:pt idx="176">
                  <c:v>0.10669077757685352</c:v>
                </c:pt>
                <c:pt idx="177">
                  <c:v>2.6666666666666668E-2</c:v>
                </c:pt>
                <c:pt idx="178">
                  <c:v>2.6666666666666668E-2</c:v>
                </c:pt>
                <c:pt idx="179">
                  <c:v>6.5671641791044774E-2</c:v>
                </c:pt>
                <c:pt idx="180">
                  <c:v>0.19777777777777777</c:v>
                </c:pt>
                <c:pt idx="181">
                  <c:v>0.15572519083969466</c:v>
                </c:pt>
                <c:pt idx="182">
                  <c:v>9.2592592592592587E-2</c:v>
                </c:pt>
                <c:pt idx="183">
                  <c:v>0.11805555555555555</c:v>
                </c:pt>
                <c:pt idx="184">
                  <c:v>0.16666666666666666</c:v>
                </c:pt>
                <c:pt idx="185">
                  <c:v>4.4444444444444444E-3</c:v>
                </c:pt>
                <c:pt idx="186">
                  <c:v>8.7145969498910684E-3</c:v>
                </c:pt>
                <c:pt idx="187">
                  <c:v>2.1739130434782609E-3</c:v>
                </c:pt>
                <c:pt idx="188">
                  <c:v>2.1739130434782609E-3</c:v>
                </c:pt>
                <c:pt idx="189">
                  <c:v>8.8888888888888892E-2</c:v>
                </c:pt>
                <c:pt idx="190">
                  <c:v>3.7777777777777778E-2</c:v>
                </c:pt>
                <c:pt idx="191">
                  <c:v>5.1111111111111114E-2</c:v>
                </c:pt>
                <c:pt idx="192">
                  <c:v>5.683563748079877E-2</c:v>
                </c:pt>
                <c:pt idx="193">
                  <c:v>3.6809815950920248E-2</c:v>
                </c:pt>
                <c:pt idx="194">
                  <c:v>2.9141104294478526E-2</c:v>
                </c:pt>
                <c:pt idx="195">
                  <c:v>2.9141104294478526E-2</c:v>
                </c:pt>
                <c:pt idx="196">
                  <c:v>2.6073619631901839E-2</c:v>
                </c:pt>
                <c:pt idx="197">
                  <c:v>3.5555555555555556E-2</c:v>
                </c:pt>
                <c:pt idx="198">
                  <c:v>2.6666666666666668E-2</c:v>
                </c:pt>
                <c:pt idx="199">
                  <c:v>1.2861736334405145E-2</c:v>
                </c:pt>
                <c:pt idx="200">
                  <c:v>4.0192926045016078E-2</c:v>
                </c:pt>
                <c:pt idx="201">
                  <c:v>3.8585209003215437E-2</c:v>
                </c:pt>
                <c:pt idx="202">
                  <c:v>9.7777777777777783E-2</c:v>
                </c:pt>
                <c:pt idx="203">
                  <c:v>6.4444444444444443E-2</c:v>
                </c:pt>
                <c:pt idx="204">
                  <c:v>4.5813586097946286E-2</c:v>
                </c:pt>
                <c:pt idx="205">
                  <c:v>5.5292259083728278E-2</c:v>
                </c:pt>
                <c:pt idx="206">
                  <c:v>6.0031595576619273E-2</c:v>
                </c:pt>
                <c:pt idx="207">
                  <c:v>3.4700315457413249E-2</c:v>
                </c:pt>
                <c:pt idx="208">
                  <c:v>2.996845425867508E-2</c:v>
                </c:pt>
                <c:pt idx="209">
                  <c:v>0.21777777777777776</c:v>
                </c:pt>
                <c:pt idx="210">
                  <c:v>0.13555555555555557</c:v>
                </c:pt>
                <c:pt idx="211">
                  <c:v>0.12462462462462462</c:v>
                </c:pt>
                <c:pt idx="212">
                  <c:v>0.14864864864864866</c:v>
                </c:pt>
                <c:pt idx="213">
                  <c:v>0.13513513513513514</c:v>
                </c:pt>
                <c:pt idx="214">
                  <c:v>0.13213213213213212</c:v>
                </c:pt>
                <c:pt idx="215">
                  <c:v>0.1006006006006006</c:v>
                </c:pt>
                <c:pt idx="216">
                  <c:v>0.1184407796101949</c:v>
                </c:pt>
                <c:pt idx="217">
                  <c:v>9.7451274362818585E-2</c:v>
                </c:pt>
                <c:pt idx="218">
                  <c:v>0.2088888888888889</c:v>
                </c:pt>
                <c:pt idx="219">
                  <c:v>0.21777777777777776</c:v>
                </c:pt>
                <c:pt idx="220">
                  <c:v>0.16024340770791076</c:v>
                </c:pt>
                <c:pt idx="221">
                  <c:v>0.12778904665314403</c:v>
                </c:pt>
                <c:pt idx="222">
                  <c:v>9.3117408906882596E-2</c:v>
                </c:pt>
                <c:pt idx="223">
                  <c:v>8.2995951417004055E-2</c:v>
                </c:pt>
                <c:pt idx="224">
                  <c:v>0.17333333333333334</c:v>
                </c:pt>
                <c:pt idx="225">
                  <c:v>9.6128170894526035E-2</c:v>
                </c:pt>
                <c:pt idx="226">
                  <c:v>0.1068090787716956</c:v>
                </c:pt>
                <c:pt idx="227">
                  <c:v>8.5447263017356473E-2</c:v>
                </c:pt>
                <c:pt idx="228">
                  <c:v>6.008010680907877E-2</c:v>
                </c:pt>
                <c:pt idx="229">
                  <c:v>3.7777777777777778E-2</c:v>
                </c:pt>
                <c:pt idx="230">
                  <c:v>7.1111111111111111E-2</c:v>
                </c:pt>
                <c:pt idx="231">
                  <c:v>5.8461538461538461E-2</c:v>
                </c:pt>
                <c:pt idx="232">
                  <c:v>4.4615384615384612E-2</c:v>
                </c:pt>
                <c:pt idx="233">
                  <c:v>5.3846153846153849E-2</c:v>
                </c:pt>
                <c:pt idx="234">
                  <c:v>3.6923076923076927E-2</c:v>
                </c:pt>
                <c:pt idx="235">
                  <c:v>3.9938556067588324E-2</c:v>
                </c:pt>
                <c:pt idx="236">
                  <c:v>0.13555555555555557</c:v>
                </c:pt>
                <c:pt idx="237">
                  <c:v>8.3969465648854963E-2</c:v>
                </c:pt>
                <c:pt idx="238">
                  <c:v>0.11145038167938931</c:v>
                </c:pt>
                <c:pt idx="239">
                  <c:v>9.0076335877862596E-2</c:v>
                </c:pt>
                <c:pt idx="240">
                  <c:v>0.26</c:v>
                </c:pt>
                <c:pt idx="241">
                  <c:v>0.21333333333333335</c:v>
                </c:pt>
                <c:pt idx="242">
                  <c:v>0.20582120582120583</c:v>
                </c:pt>
                <c:pt idx="243">
                  <c:v>0.22661122661122662</c:v>
                </c:pt>
                <c:pt idx="244">
                  <c:v>0.04</c:v>
                </c:pt>
                <c:pt idx="245">
                  <c:v>2.4444444444444446E-2</c:v>
                </c:pt>
                <c:pt idx="246">
                  <c:v>1.8998272884283247E-2</c:v>
                </c:pt>
                <c:pt idx="247">
                  <c:v>8.6206896551724137E-3</c:v>
                </c:pt>
                <c:pt idx="248">
                  <c:v>1.1111111111111112E-2</c:v>
                </c:pt>
                <c:pt idx="249">
                  <c:v>6.6666666666666671E-3</c:v>
                </c:pt>
                <c:pt idx="250">
                  <c:v>1.3100436681222707E-2</c:v>
                </c:pt>
                <c:pt idx="251">
                  <c:v>4.3668122270742356E-3</c:v>
                </c:pt>
                <c:pt idx="252">
                  <c:v>2.911208151382824E-3</c:v>
                </c:pt>
                <c:pt idx="253">
                  <c:v>1.455604075691412E-3</c:v>
                </c:pt>
                <c:pt idx="254">
                  <c:v>2.9069767441860465E-3</c:v>
                </c:pt>
                <c:pt idx="255">
                  <c:v>3.3333333333333333E-2</c:v>
                </c:pt>
                <c:pt idx="256">
                  <c:v>2.564102564102564E-2</c:v>
                </c:pt>
                <c:pt idx="257">
                  <c:v>1.282051282051282E-2</c:v>
                </c:pt>
                <c:pt idx="258">
                  <c:v>2.7372262773722629E-2</c:v>
                </c:pt>
                <c:pt idx="259">
                  <c:v>0.15111111111111111</c:v>
                </c:pt>
                <c:pt idx="260">
                  <c:v>0.1711111111111111</c:v>
                </c:pt>
                <c:pt idx="261">
                  <c:v>0.19879518072289157</c:v>
                </c:pt>
                <c:pt idx="262">
                  <c:v>0.19839679358717435</c:v>
                </c:pt>
                <c:pt idx="263">
                  <c:v>0.16633266533066132</c:v>
                </c:pt>
                <c:pt idx="264">
                  <c:v>0.15631262525050099</c:v>
                </c:pt>
                <c:pt idx="265">
                  <c:v>0.18</c:v>
                </c:pt>
                <c:pt idx="266">
                  <c:v>0.17777777777777778</c:v>
                </c:pt>
                <c:pt idx="267">
                  <c:v>0.13333333333333333</c:v>
                </c:pt>
                <c:pt idx="268">
                  <c:v>0.16873889875666073</c:v>
                </c:pt>
                <c:pt idx="269">
                  <c:v>0.12078152753108348</c:v>
                </c:pt>
                <c:pt idx="270">
                  <c:v>0.14031971580817051</c:v>
                </c:pt>
                <c:pt idx="271">
                  <c:v>0.12588652482269502</c:v>
                </c:pt>
                <c:pt idx="272">
                  <c:v>2.2222222222222223E-2</c:v>
                </c:pt>
                <c:pt idx="273">
                  <c:v>5.1903114186851208E-3</c:v>
                </c:pt>
                <c:pt idx="274">
                  <c:v>6.8888888888888888E-2</c:v>
                </c:pt>
                <c:pt idx="275">
                  <c:v>5.7777777777777775E-2</c:v>
                </c:pt>
                <c:pt idx="276">
                  <c:v>3.5014005602240897E-2</c:v>
                </c:pt>
                <c:pt idx="277">
                  <c:v>5.6022408963585435E-3</c:v>
                </c:pt>
                <c:pt idx="278">
                  <c:v>7.0028011204481795E-3</c:v>
                </c:pt>
              </c:numCache>
            </c:numRef>
          </c:xVal>
          <c:yVal>
            <c:numRef>
              <c:f>RaceWorksheet!$A$2:$A$280</c:f>
              <c:numCache>
                <c:formatCode>0.0%</c:formatCode>
                <c:ptCount val="279"/>
                <c:pt idx="0">
                  <c:v>0.64066852367688021</c:v>
                </c:pt>
                <c:pt idx="1">
                  <c:v>0.70351758793969854</c:v>
                </c:pt>
                <c:pt idx="2">
                  <c:v>0.65151515151515149</c:v>
                </c:pt>
                <c:pt idx="3">
                  <c:v>0.44551282051282054</c:v>
                </c:pt>
                <c:pt idx="4">
                  <c:v>0.46022727272727271</c:v>
                </c:pt>
                <c:pt idx="5">
                  <c:v>0.41330645161290325</c:v>
                </c:pt>
                <c:pt idx="6">
                  <c:v>0.36093418259023352</c:v>
                </c:pt>
                <c:pt idx="7">
                  <c:v>0.1876750700280112</c:v>
                </c:pt>
                <c:pt idx="8">
                  <c:v>0.16142557651991615</c:v>
                </c:pt>
                <c:pt idx="9">
                  <c:v>0.17558886509635974</c:v>
                </c:pt>
                <c:pt idx="10">
                  <c:v>0.12680115273775217</c:v>
                </c:pt>
                <c:pt idx="11">
                  <c:v>0.16666666666666666</c:v>
                </c:pt>
                <c:pt idx="12">
                  <c:v>0.1194331983805668</c:v>
                </c:pt>
                <c:pt idx="13">
                  <c:v>0.31321839080459768</c:v>
                </c:pt>
                <c:pt idx="14">
                  <c:v>0.26030927835051548</c:v>
                </c:pt>
                <c:pt idx="15">
                  <c:v>0.11178247734138973</c:v>
                </c:pt>
                <c:pt idx="16">
                  <c:v>0.17782426778242677</c:v>
                </c:pt>
                <c:pt idx="17">
                  <c:v>0.13053613053613053</c:v>
                </c:pt>
                <c:pt idx="18">
                  <c:v>0.14767932489451477</c:v>
                </c:pt>
                <c:pt idx="19">
                  <c:v>0.24773413897280966</c:v>
                </c:pt>
                <c:pt idx="20">
                  <c:v>0.28199566160520606</c:v>
                </c:pt>
                <c:pt idx="21">
                  <c:v>0.28162291169451076</c:v>
                </c:pt>
                <c:pt idx="22">
                  <c:v>0.23741007194244604</c:v>
                </c:pt>
                <c:pt idx="23">
                  <c:v>0.28103044496487117</c:v>
                </c:pt>
                <c:pt idx="24">
                  <c:v>0.40160642570281124</c:v>
                </c:pt>
                <c:pt idx="25">
                  <c:v>0.3203125</c:v>
                </c:pt>
                <c:pt idx="26">
                  <c:v>0.24148606811145512</c:v>
                </c:pt>
                <c:pt idx="27">
                  <c:v>0.20259740259740261</c:v>
                </c:pt>
                <c:pt idx="28">
                  <c:v>0.27918781725888325</c:v>
                </c:pt>
                <c:pt idx="29">
                  <c:v>0.27932960893854747</c:v>
                </c:pt>
                <c:pt idx="30">
                  <c:v>0.19801980198019803</c:v>
                </c:pt>
                <c:pt idx="31">
                  <c:v>0.20321931589537223</c:v>
                </c:pt>
                <c:pt idx="32">
                  <c:v>0.25887265135699372</c:v>
                </c:pt>
                <c:pt idx="33">
                  <c:v>0.31225296442687744</c:v>
                </c:pt>
                <c:pt idx="34">
                  <c:v>0.36822429906542054</c:v>
                </c:pt>
                <c:pt idx="35">
                  <c:v>0.2966252220248668</c:v>
                </c:pt>
                <c:pt idx="36">
                  <c:v>0.31626506024096385</c:v>
                </c:pt>
                <c:pt idx="37">
                  <c:v>0.33064516129032256</c:v>
                </c:pt>
                <c:pt idx="38">
                  <c:v>0.33675213675213678</c:v>
                </c:pt>
                <c:pt idx="39">
                  <c:v>0.40227703984819735</c:v>
                </c:pt>
                <c:pt idx="40">
                  <c:v>0.33643122676579923</c:v>
                </c:pt>
                <c:pt idx="41">
                  <c:v>0.39761092150170646</c:v>
                </c:pt>
                <c:pt idx="42">
                  <c:v>0.41638225255972694</c:v>
                </c:pt>
                <c:pt idx="43">
                  <c:v>0.3294314381270903</c:v>
                </c:pt>
                <c:pt idx="44">
                  <c:v>0.67341040462427748</c:v>
                </c:pt>
                <c:pt idx="45">
                  <c:v>0.59452054794520548</c:v>
                </c:pt>
                <c:pt idx="46">
                  <c:v>0.57272727272727275</c:v>
                </c:pt>
                <c:pt idx="47">
                  <c:v>0.44680851063829785</c:v>
                </c:pt>
                <c:pt idx="48">
                  <c:v>0.35836909871244638</c:v>
                </c:pt>
                <c:pt idx="49">
                  <c:v>0.74454828660436134</c:v>
                </c:pt>
                <c:pt idx="50">
                  <c:v>0.65048543689320393</c:v>
                </c:pt>
                <c:pt idx="51">
                  <c:v>0.60640732265446229</c:v>
                </c:pt>
                <c:pt idx="52">
                  <c:v>0.45492662473794548</c:v>
                </c:pt>
                <c:pt idx="53">
                  <c:v>0.34869739478957917</c:v>
                </c:pt>
                <c:pt idx="54">
                  <c:v>0.66876971608832803</c:v>
                </c:pt>
                <c:pt idx="55">
                  <c:v>0.65891472868217049</c:v>
                </c:pt>
                <c:pt idx="56">
                  <c:v>0.63440860215053763</c:v>
                </c:pt>
                <c:pt idx="57">
                  <c:v>0.61658031088082899</c:v>
                </c:pt>
                <c:pt idx="58">
                  <c:v>0.34957020057306593</c:v>
                </c:pt>
                <c:pt idx="59">
                  <c:v>0.44191919191919193</c:v>
                </c:pt>
                <c:pt idx="60">
                  <c:v>0.45359019264448336</c:v>
                </c:pt>
                <c:pt idx="61">
                  <c:v>0.45028142589118197</c:v>
                </c:pt>
                <c:pt idx="62">
                  <c:v>0.36197440585009139</c:v>
                </c:pt>
                <c:pt idx="63">
                  <c:v>0.75</c:v>
                </c:pt>
                <c:pt idx="64">
                  <c:v>0.84024896265560167</c:v>
                </c:pt>
                <c:pt idx="65">
                  <c:v>0.71218487394957986</c:v>
                </c:pt>
                <c:pt idx="66">
                  <c:v>0.35072463768115941</c:v>
                </c:pt>
                <c:pt idx="67">
                  <c:v>0.30204081632653063</c:v>
                </c:pt>
                <c:pt idx="68">
                  <c:v>0.30339321357285431</c:v>
                </c:pt>
                <c:pt idx="69">
                  <c:v>0.70253164556962022</c:v>
                </c:pt>
                <c:pt idx="70">
                  <c:v>0.59928443649373886</c:v>
                </c:pt>
                <c:pt idx="71">
                  <c:v>0.32798573975044565</c:v>
                </c:pt>
                <c:pt idx="72">
                  <c:v>0.83586626139817632</c:v>
                </c:pt>
                <c:pt idx="73">
                  <c:v>0.87323943661971826</c:v>
                </c:pt>
                <c:pt idx="74">
                  <c:v>0.89221556886227549</c:v>
                </c:pt>
                <c:pt idx="75">
                  <c:v>0.88323353293413176</c:v>
                </c:pt>
                <c:pt idx="76">
                  <c:v>0.78260869565217395</c:v>
                </c:pt>
                <c:pt idx="77">
                  <c:v>0.8101983002832861</c:v>
                </c:pt>
                <c:pt idx="78">
                  <c:v>0.83557951482479786</c:v>
                </c:pt>
                <c:pt idx="79">
                  <c:v>0.84210526315789469</c:v>
                </c:pt>
                <c:pt idx="80">
                  <c:v>0.82032667876588017</c:v>
                </c:pt>
                <c:pt idx="81">
                  <c:v>0.80705009276437845</c:v>
                </c:pt>
                <c:pt idx="82">
                  <c:v>0.77490774907749083</c:v>
                </c:pt>
                <c:pt idx="83">
                  <c:v>0.77014925373134324</c:v>
                </c:pt>
                <c:pt idx="84">
                  <c:v>0.88988095238095233</c:v>
                </c:pt>
                <c:pt idx="85">
                  <c:v>0.79939209726443772</c:v>
                </c:pt>
                <c:pt idx="86">
                  <c:v>0.62202380952380953</c:v>
                </c:pt>
                <c:pt idx="87">
                  <c:v>0.77596741344195519</c:v>
                </c:pt>
                <c:pt idx="88">
                  <c:v>0.73835920177383596</c:v>
                </c:pt>
                <c:pt idx="89">
                  <c:v>0.72584269662921352</c:v>
                </c:pt>
                <c:pt idx="90">
                  <c:v>0.78073089700996678</c:v>
                </c:pt>
                <c:pt idx="91">
                  <c:v>0.82561307901907355</c:v>
                </c:pt>
                <c:pt idx="92">
                  <c:v>0.84931506849315064</c:v>
                </c:pt>
                <c:pt idx="93">
                  <c:v>0.7696245733788396</c:v>
                </c:pt>
                <c:pt idx="94">
                  <c:v>0.1226158038147139</c:v>
                </c:pt>
                <c:pt idx="95">
                  <c:v>0.22538293216630198</c:v>
                </c:pt>
                <c:pt idx="96">
                  <c:v>0.22717149220489977</c:v>
                </c:pt>
                <c:pt idx="97">
                  <c:v>0.21987315010570824</c:v>
                </c:pt>
                <c:pt idx="98">
                  <c:v>0.57232704402515722</c:v>
                </c:pt>
                <c:pt idx="99">
                  <c:v>0.53846153846153844</c:v>
                </c:pt>
                <c:pt idx="100">
                  <c:v>0.51711711711711716</c:v>
                </c:pt>
                <c:pt idx="101">
                  <c:v>0.53921568627450978</c:v>
                </c:pt>
                <c:pt idx="102">
                  <c:v>0.56809338521400776</c:v>
                </c:pt>
                <c:pt idx="103">
                  <c:v>0.53805309734513274</c:v>
                </c:pt>
                <c:pt idx="104">
                  <c:v>0.38938053097345132</c:v>
                </c:pt>
                <c:pt idx="105">
                  <c:v>0.4985754985754986</c:v>
                </c:pt>
                <c:pt idx="106">
                  <c:v>0.48533333333333334</c:v>
                </c:pt>
                <c:pt idx="107">
                  <c:v>0.54039497307001794</c:v>
                </c:pt>
                <c:pt idx="108">
                  <c:v>0.53321364452423703</c:v>
                </c:pt>
                <c:pt idx="109">
                  <c:v>0.52115384615384619</c:v>
                </c:pt>
                <c:pt idx="110">
                  <c:v>0.51537070524412298</c:v>
                </c:pt>
                <c:pt idx="111">
                  <c:v>0.49828178694158076</c:v>
                </c:pt>
                <c:pt idx="112">
                  <c:v>0.43771043771043772</c:v>
                </c:pt>
                <c:pt idx="113">
                  <c:v>0.58677685950413228</c:v>
                </c:pt>
                <c:pt idx="114">
                  <c:v>0.53262786596119926</c:v>
                </c:pt>
                <c:pt idx="115">
                  <c:v>0.57760314341846763</c:v>
                </c:pt>
                <c:pt idx="116">
                  <c:v>0.5757575757575758</c:v>
                </c:pt>
                <c:pt idx="117">
                  <c:v>0.63229571984435795</c:v>
                </c:pt>
                <c:pt idx="118">
                  <c:v>0.59001782531194291</c:v>
                </c:pt>
                <c:pt idx="119">
                  <c:v>0.52982456140350875</c:v>
                </c:pt>
                <c:pt idx="120">
                  <c:v>0.75806451612903225</c:v>
                </c:pt>
                <c:pt idx="121">
                  <c:v>0.7438692098092643</c:v>
                </c:pt>
                <c:pt idx="122">
                  <c:v>0.88139059304703471</c:v>
                </c:pt>
                <c:pt idx="123">
                  <c:v>0.87447698744769875</c:v>
                </c:pt>
                <c:pt idx="124">
                  <c:v>0.84861407249466947</c:v>
                </c:pt>
                <c:pt idx="125">
                  <c:v>0.8123620309050773</c:v>
                </c:pt>
                <c:pt idx="126">
                  <c:v>0.81366459627329191</c:v>
                </c:pt>
                <c:pt idx="127">
                  <c:v>0.87903225806451613</c:v>
                </c:pt>
                <c:pt idx="128">
                  <c:v>0.90462427745664742</c:v>
                </c:pt>
                <c:pt idx="129">
                  <c:v>0.89344262295081966</c:v>
                </c:pt>
                <c:pt idx="130">
                  <c:v>0.89211618257261416</c:v>
                </c:pt>
                <c:pt idx="131">
                  <c:v>0.91555555555555557</c:v>
                </c:pt>
                <c:pt idx="132">
                  <c:v>0.9360730593607306</c:v>
                </c:pt>
                <c:pt idx="133">
                  <c:v>0.92749999999999999</c:v>
                </c:pt>
                <c:pt idx="134">
                  <c:v>0.90104166666666663</c:v>
                </c:pt>
                <c:pt idx="135">
                  <c:v>0.93058568329718006</c:v>
                </c:pt>
                <c:pt idx="136">
                  <c:v>0.86885245901639341</c:v>
                </c:pt>
                <c:pt idx="137">
                  <c:v>0.86376811594202896</c:v>
                </c:pt>
                <c:pt idx="138">
                  <c:v>0.91761363636363635</c:v>
                </c:pt>
                <c:pt idx="139">
                  <c:v>0.93333333333333335</c:v>
                </c:pt>
                <c:pt idx="140">
                  <c:v>0.91552511415525117</c:v>
                </c:pt>
                <c:pt idx="141">
                  <c:v>0.88518518518518519</c:v>
                </c:pt>
                <c:pt idx="142">
                  <c:v>0.88953488372093026</c:v>
                </c:pt>
                <c:pt idx="143">
                  <c:v>0.90313390313390318</c:v>
                </c:pt>
                <c:pt idx="144">
                  <c:v>0.92647058823529416</c:v>
                </c:pt>
                <c:pt idx="145">
                  <c:v>0.92910447761194026</c:v>
                </c:pt>
                <c:pt idx="146">
                  <c:v>0.92063492063492058</c:v>
                </c:pt>
                <c:pt idx="147">
                  <c:v>0.90558766859344897</c:v>
                </c:pt>
                <c:pt idx="148">
                  <c:v>0.83177570093457942</c:v>
                </c:pt>
                <c:pt idx="149">
                  <c:v>0.89440993788819878</c:v>
                </c:pt>
                <c:pt idx="150">
                  <c:v>0.92879256965944268</c:v>
                </c:pt>
                <c:pt idx="151">
                  <c:v>0.91988950276243098</c:v>
                </c:pt>
                <c:pt idx="152">
                  <c:v>0.91885441527446299</c:v>
                </c:pt>
                <c:pt idx="153">
                  <c:v>0.93450881612090675</c:v>
                </c:pt>
                <c:pt idx="154">
                  <c:v>0.94808743169398912</c:v>
                </c:pt>
                <c:pt idx="155">
                  <c:v>0.9064171122994652</c:v>
                </c:pt>
                <c:pt idx="156">
                  <c:v>0.87398373983739841</c:v>
                </c:pt>
                <c:pt idx="157">
                  <c:v>0.93859649122807021</c:v>
                </c:pt>
                <c:pt idx="158">
                  <c:v>0.90858725761772852</c:v>
                </c:pt>
                <c:pt idx="159">
                  <c:v>0.90981963927855714</c:v>
                </c:pt>
                <c:pt idx="160">
                  <c:v>0.92903225806451617</c:v>
                </c:pt>
                <c:pt idx="161">
                  <c:v>0.92417061611374407</c:v>
                </c:pt>
                <c:pt idx="162">
                  <c:v>0.93205944798301488</c:v>
                </c:pt>
                <c:pt idx="163">
                  <c:v>0.52583586626139822</c:v>
                </c:pt>
                <c:pt idx="164">
                  <c:v>0.45429362880886426</c:v>
                </c:pt>
                <c:pt idx="165">
                  <c:v>0.51883561643835618</c:v>
                </c:pt>
                <c:pt idx="166">
                  <c:v>0.40842490842490842</c:v>
                </c:pt>
                <c:pt idx="167">
                  <c:v>0.44606946983546619</c:v>
                </c:pt>
                <c:pt idx="168">
                  <c:v>0.49503311258278143</c:v>
                </c:pt>
                <c:pt idx="169">
                  <c:v>0.72888888888888892</c:v>
                </c:pt>
                <c:pt idx="170">
                  <c:v>0.78674351585014413</c:v>
                </c:pt>
                <c:pt idx="171">
                  <c:v>0.79629629629629628</c:v>
                </c:pt>
                <c:pt idx="172">
                  <c:v>0.78538812785388123</c:v>
                </c:pt>
                <c:pt idx="173">
                  <c:v>0.73598130841121501</c:v>
                </c:pt>
                <c:pt idx="174">
                  <c:v>0.66417910447761197</c:v>
                </c:pt>
                <c:pt idx="175">
                  <c:v>0.64039408866995073</c:v>
                </c:pt>
                <c:pt idx="176">
                  <c:v>0.66371681415929207</c:v>
                </c:pt>
                <c:pt idx="177">
                  <c:v>0.89824561403508774</c:v>
                </c:pt>
                <c:pt idx="178">
                  <c:v>0.9080779944289693</c:v>
                </c:pt>
                <c:pt idx="179">
                  <c:v>0.8972868217054264</c:v>
                </c:pt>
                <c:pt idx="180">
                  <c:v>0.55378486055776888</c:v>
                </c:pt>
                <c:pt idx="181">
                  <c:v>0.5330073349633252</c:v>
                </c:pt>
                <c:pt idx="182">
                  <c:v>0.82889733840304181</c:v>
                </c:pt>
                <c:pt idx="183">
                  <c:v>0.83183183183183185</c:v>
                </c:pt>
                <c:pt idx="184">
                  <c:v>0.632996632996633</c:v>
                </c:pt>
                <c:pt idx="185">
                  <c:v>0.25316455696202533</c:v>
                </c:pt>
                <c:pt idx="186">
                  <c:v>0.24935732647814909</c:v>
                </c:pt>
                <c:pt idx="187">
                  <c:v>0.32180851063829785</c:v>
                </c:pt>
                <c:pt idx="188">
                  <c:v>0.26217228464419473</c:v>
                </c:pt>
                <c:pt idx="189">
                  <c:v>0.26653696498054474</c:v>
                </c:pt>
                <c:pt idx="190">
                  <c:v>0.25100401606425704</c:v>
                </c:pt>
                <c:pt idx="191">
                  <c:v>0.34630350194552528</c:v>
                </c:pt>
                <c:pt idx="192">
                  <c:v>0.33455882352941174</c:v>
                </c:pt>
                <c:pt idx="193">
                  <c:v>0.21657754010695188</c:v>
                </c:pt>
                <c:pt idx="194">
                  <c:v>0.21008403361344538</c:v>
                </c:pt>
                <c:pt idx="195">
                  <c:v>0.3108108108108108</c:v>
                </c:pt>
                <c:pt idx="196">
                  <c:v>0.28900255754475701</c:v>
                </c:pt>
                <c:pt idx="197">
                  <c:v>0.66972477064220182</c:v>
                </c:pt>
                <c:pt idx="198">
                  <c:v>0.71352785145888598</c:v>
                </c:pt>
                <c:pt idx="199">
                  <c:v>0.79133858267716539</c:v>
                </c:pt>
                <c:pt idx="200">
                  <c:v>0.71047227926078027</c:v>
                </c:pt>
                <c:pt idx="201">
                  <c:v>0.54661016949152541</c:v>
                </c:pt>
                <c:pt idx="202">
                  <c:v>0.33242506811989103</c:v>
                </c:pt>
                <c:pt idx="203">
                  <c:v>0.2871536523929471</c:v>
                </c:pt>
                <c:pt idx="204">
                  <c:v>0.33072407045009783</c:v>
                </c:pt>
                <c:pt idx="205">
                  <c:v>0.30497925311203322</c:v>
                </c:pt>
                <c:pt idx="206">
                  <c:v>0.39411764705882352</c:v>
                </c:pt>
                <c:pt idx="207">
                  <c:v>0.41745730550284632</c:v>
                </c:pt>
                <c:pt idx="208">
                  <c:v>0.32789855072463769</c:v>
                </c:pt>
                <c:pt idx="209">
                  <c:v>0.625</c:v>
                </c:pt>
                <c:pt idx="210">
                  <c:v>0.49479166666666669</c:v>
                </c:pt>
                <c:pt idx="211">
                  <c:v>0.52631578947368418</c:v>
                </c:pt>
                <c:pt idx="212">
                  <c:v>0.57471264367816088</c:v>
                </c:pt>
                <c:pt idx="213">
                  <c:v>0.524896265560166</c:v>
                </c:pt>
                <c:pt idx="214">
                  <c:v>0.48697394789579157</c:v>
                </c:pt>
                <c:pt idx="215">
                  <c:v>0.45309381237524948</c:v>
                </c:pt>
                <c:pt idx="216">
                  <c:v>0.48766603415559773</c:v>
                </c:pt>
                <c:pt idx="217">
                  <c:v>0.3688073394495413</c:v>
                </c:pt>
                <c:pt idx="218">
                  <c:v>0.44554455445544555</c:v>
                </c:pt>
                <c:pt idx="219">
                  <c:v>0.449438202247191</c:v>
                </c:pt>
                <c:pt idx="220">
                  <c:v>0.43846153846153846</c:v>
                </c:pt>
                <c:pt idx="221">
                  <c:v>0.3960674157303371</c:v>
                </c:pt>
                <c:pt idx="222">
                  <c:v>0.36639118457300274</c:v>
                </c:pt>
                <c:pt idx="223">
                  <c:v>0.36986301369863012</c:v>
                </c:pt>
                <c:pt idx="224">
                  <c:v>0.18367346938775511</c:v>
                </c:pt>
                <c:pt idx="225">
                  <c:v>0.20104438642297651</c:v>
                </c:pt>
                <c:pt idx="226">
                  <c:v>0.26857142857142857</c:v>
                </c:pt>
                <c:pt idx="227">
                  <c:v>0.20874751491053678</c:v>
                </c:pt>
                <c:pt idx="228">
                  <c:v>0.17819706498951782</c:v>
                </c:pt>
                <c:pt idx="229">
                  <c:v>0.21063394683026584</c:v>
                </c:pt>
                <c:pt idx="230">
                  <c:v>0.21984435797665369</c:v>
                </c:pt>
                <c:pt idx="231">
                  <c:v>0.42222222222222222</c:v>
                </c:pt>
                <c:pt idx="232">
                  <c:v>0.44032258064516128</c:v>
                </c:pt>
                <c:pt idx="233">
                  <c:v>0.50751879699248126</c:v>
                </c:pt>
                <c:pt idx="234">
                  <c:v>0.5</c:v>
                </c:pt>
                <c:pt idx="235">
                  <c:v>0.44875776397515527</c:v>
                </c:pt>
                <c:pt idx="236">
                  <c:v>0.5536723163841808</c:v>
                </c:pt>
                <c:pt idx="237">
                  <c:v>0.59603960396039601</c:v>
                </c:pt>
                <c:pt idx="238">
                  <c:v>0.55378486055776888</c:v>
                </c:pt>
                <c:pt idx="239">
                  <c:v>0.44112149532710282</c:v>
                </c:pt>
                <c:pt idx="240">
                  <c:v>0.80519480519480524</c:v>
                </c:pt>
                <c:pt idx="241">
                  <c:v>0.76160990712074306</c:v>
                </c:pt>
                <c:pt idx="242">
                  <c:v>0.740506329113924</c:v>
                </c:pt>
                <c:pt idx="243">
                  <c:v>0.76470588235294112</c:v>
                </c:pt>
                <c:pt idx="244">
                  <c:v>0.29411764705882354</c:v>
                </c:pt>
                <c:pt idx="245">
                  <c:v>0.26121372031662271</c:v>
                </c:pt>
                <c:pt idx="246">
                  <c:v>0.22680412371134021</c:v>
                </c:pt>
                <c:pt idx="247">
                  <c:v>0.31223628691983124</c:v>
                </c:pt>
                <c:pt idx="248">
                  <c:v>0.23300970873786409</c:v>
                </c:pt>
                <c:pt idx="249">
                  <c:v>0.26631853785900783</c:v>
                </c:pt>
                <c:pt idx="250">
                  <c:v>0.23351158645276293</c:v>
                </c:pt>
                <c:pt idx="251">
                  <c:v>0.26037735849056604</c:v>
                </c:pt>
                <c:pt idx="252">
                  <c:v>0.27440147329650094</c:v>
                </c:pt>
                <c:pt idx="253">
                  <c:v>0.39154411764705882</c:v>
                </c:pt>
                <c:pt idx="254">
                  <c:v>0.33102253032928941</c:v>
                </c:pt>
                <c:pt idx="255">
                  <c:v>0.21676300578034682</c:v>
                </c:pt>
                <c:pt idx="256">
                  <c:v>0.23917995444191345</c:v>
                </c:pt>
                <c:pt idx="257">
                  <c:v>0.31308411214953269</c:v>
                </c:pt>
                <c:pt idx="258">
                  <c:v>0.32420091324200911</c:v>
                </c:pt>
                <c:pt idx="259">
                  <c:v>0.43302180685358255</c:v>
                </c:pt>
                <c:pt idx="260">
                  <c:v>0.55525606469002697</c:v>
                </c:pt>
                <c:pt idx="261">
                  <c:v>0.66153846153846152</c:v>
                </c:pt>
                <c:pt idx="262">
                  <c:v>0.62169312169312174</c:v>
                </c:pt>
                <c:pt idx="263">
                  <c:v>0.57567567567567568</c:v>
                </c:pt>
                <c:pt idx="264">
                  <c:v>0.546875</c:v>
                </c:pt>
                <c:pt idx="265">
                  <c:v>0.59661016949152545</c:v>
                </c:pt>
                <c:pt idx="266">
                  <c:v>0.6</c:v>
                </c:pt>
                <c:pt idx="267">
                  <c:v>0.53387533875338755</c:v>
                </c:pt>
                <c:pt idx="268">
                  <c:v>0.52222222222222225</c:v>
                </c:pt>
                <c:pt idx="269">
                  <c:v>0.46136363636363636</c:v>
                </c:pt>
                <c:pt idx="270">
                  <c:v>0.46244131455399062</c:v>
                </c:pt>
                <c:pt idx="271">
                  <c:v>0.4356223175965665</c:v>
                </c:pt>
                <c:pt idx="272">
                  <c:v>0.27051671732522797</c:v>
                </c:pt>
                <c:pt idx="273">
                  <c:v>0.24338624338624337</c:v>
                </c:pt>
                <c:pt idx="274">
                  <c:v>0.2111692844677138</c:v>
                </c:pt>
                <c:pt idx="275">
                  <c:v>0.17297297297297298</c:v>
                </c:pt>
                <c:pt idx="276">
                  <c:v>0.28166666666666668</c:v>
                </c:pt>
                <c:pt idx="277">
                  <c:v>0.1487603305785124</c:v>
                </c:pt>
                <c:pt idx="278">
                  <c:v>0.2017353579175705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E21-4167-8DA6-635FD337DB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4301024"/>
        <c:axId val="1547841584"/>
      </c:scatterChart>
      <c:valAx>
        <c:axId val="1584301024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7841584"/>
        <c:crosses val="autoZero"/>
        <c:crossBetween val="midCat"/>
      </c:valAx>
      <c:valAx>
        <c:axId val="1547841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43010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Turnout% vs Malay% N10Nilai GE15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5.9517716535433071E-2"/>
                  <c:y val="0.160487022455526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8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N10Nilai!$E$2:$E$72</c:f>
              <c:numCache>
                <c:formatCode>0.0%</c:formatCode>
                <c:ptCount val="71"/>
                <c:pt idx="0">
                  <c:v>0.16888888888888889</c:v>
                </c:pt>
                <c:pt idx="1">
                  <c:v>0.35451505016722407</c:v>
                </c:pt>
                <c:pt idx="2">
                  <c:v>0.43311036789297658</c:v>
                </c:pt>
                <c:pt idx="3">
                  <c:v>0.62876254180602009</c:v>
                </c:pt>
                <c:pt idx="4">
                  <c:v>0.77629382303839733</c:v>
                </c:pt>
                <c:pt idx="5">
                  <c:v>0.25555555555555554</c:v>
                </c:pt>
                <c:pt idx="6">
                  <c:v>0.29113924050632911</c:v>
                </c:pt>
                <c:pt idx="7">
                  <c:v>0.41561181434599154</c:v>
                </c:pt>
                <c:pt idx="8">
                  <c:v>0.44</c:v>
                </c:pt>
                <c:pt idx="9">
                  <c:v>0.50666666666666671</c:v>
                </c:pt>
                <c:pt idx="10">
                  <c:v>0.5377777777777778</c:v>
                </c:pt>
                <c:pt idx="11">
                  <c:v>0.57602339181286555</c:v>
                </c:pt>
                <c:pt idx="12">
                  <c:v>0.67836257309941517</c:v>
                </c:pt>
                <c:pt idx="13">
                  <c:v>0.76934306569343069</c:v>
                </c:pt>
                <c:pt idx="14">
                  <c:v>4.4444444444444446E-2</c:v>
                </c:pt>
                <c:pt idx="15">
                  <c:v>0.11015490533562823</c:v>
                </c:pt>
                <c:pt idx="16">
                  <c:v>0.36144578313253012</c:v>
                </c:pt>
                <c:pt idx="17">
                  <c:v>0.56666666666666665</c:v>
                </c:pt>
                <c:pt idx="18">
                  <c:v>0.78090766823161184</c:v>
                </c:pt>
                <c:pt idx="19">
                  <c:v>0.82316118935837246</c:v>
                </c:pt>
                <c:pt idx="20">
                  <c:v>0.18</c:v>
                </c:pt>
                <c:pt idx="21">
                  <c:v>0.42398884239888424</c:v>
                </c:pt>
                <c:pt idx="22">
                  <c:v>0.75766016713091922</c:v>
                </c:pt>
                <c:pt idx="23">
                  <c:v>2.5000000000000001E-2</c:v>
                </c:pt>
                <c:pt idx="24">
                  <c:v>4.0178571428571432E-2</c:v>
                </c:pt>
                <c:pt idx="25">
                  <c:v>6.9196428571428575E-2</c:v>
                </c:pt>
                <c:pt idx="26">
                  <c:v>6.25E-2</c:v>
                </c:pt>
                <c:pt idx="27">
                  <c:v>8.4444444444444447E-2</c:v>
                </c:pt>
                <c:pt idx="28">
                  <c:v>9.1111111111111115E-2</c:v>
                </c:pt>
                <c:pt idx="29">
                  <c:v>0.10222222222222223</c:v>
                </c:pt>
                <c:pt idx="30">
                  <c:v>0.10964912280701754</c:v>
                </c:pt>
                <c:pt idx="31">
                  <c:v>0.16081871345029239</c:v>
                </c:pt>
                <c:pt idx="32">
                  <c:v>0.16959064327485379</c:v>
                </c:pt>
                <c:pt idx="33">
                  <c:v>0.26608187134502925</c:v>
                </c:pt>
                <c:pt idx="34">
                  <c:v>0.10249999999999999</c:v>
                </c:pt>
                <c:pt idx="35">
                  <c:v>8.3732057416267949E-2</c:v>
                </c:pt>
                <c:pt idx="36">
                  <c:v>0.1674641148325359</c:v>
                </c:pt>
                <c:pt idx="37">
                  <c:v>0.23555555555555555</c:v>
                </c:pt>
                <c:pt idx="38">
                  <c:v>0.15641476274165203</c:v>
                </c:pt>
                <c:pt idx="39">
                  <c:v>0.23198594024604569</c:v>
                </c:pt>
                <c:pt idx="40">
                  <c:v>0.25483304042179261</c:v>
                </c:pt>
                <c:pt idx="41">
                  <c:v>5.3333333333333337E-2</c:v>
                </c:pt>
                <c:pt idx="42">
                  <c:v>0.10444444444444445</c:v>
                </c:pt>
                <c:pt idx="43">
                  <c:v>0.12382234185733512</c:v>
                </c:pt>
                <c:pt idx="44">
                  <c:v>0.22715053763440859</c:v>
                </c:pt>
                <c:pt idx="45">
                  <c:v>0.87777777777777777</c:v>
                </c:pt>
                <c:pt idx="46">
                  <c:v>0.76672694394213381</c:v>
                </c:pt>
                <c:pt idx="47">
                  <c:v>0.83363471971066905</c:v>
                </c:pt>
                <c:pt idx="48">
                  <c:v>0.8666666666666667</c:v>
                </c:pt>
                <c:pt idx="49">
                  <c:v>0.36444444444444446</c:v>
                </c:pt>
                <c:pt idx="50">
                  <c:v>0.47333333333333333</c:v>
                </c:pt>
                <c:pt idx="51">
                  <c:v>0.53868613138686128</c:v>
                </c:pt>
                <c:pt idx="52">
                  <c:v>0.54598540145985397</c:v>
                </c:pt>
                <c:pt idx="53">
                  <c:v>0.63065693430656933</c:v>
                </c:pt>
                <c:pt idx="54">
                  <c:v>0.66277372262773726</c:v>
                </c:pt>
                <c:pt idx="55">
                  <c:v>0.76496350364963506</c:v>
                </c:pt>
                <c:pt idx="56">
                  <c:v>0.5</c:v>
                </c:pt>
                <c:pt idx="57">
                  <c:v>0.52888888888888885</c:v>
                </c:pt>
                <c:pt idx="58">
                  <c:v>0.50909090909090904</c:v>
                </c:pt>
                <c:pt idx="59">
                  <c:v>0.54405594405594404</c:v>
                </c:pt>
                <c:pt idx="60">
                  <c:v>0.62937062937062938</c:v>
                </c:pt>
                <c:pt idx="61">
                  <c:v>0.6685314685314685</c:v>
                </c:pt>
                <c:pt idx="62">
                  <c:v>0.73463687150837986</c:v>
                </c:pt>
                <c:pt idx="63">
                  <c:v>0.76117318435754189</c:v>
                </c:pt>
                <c:pt idx="64">
                  <c:v>0.46888888888888891</c:v>
                </c:pt>
                <c:pt idx="65">
                  <c:v>0.51466275659824046</c:v>
                </c:pt>
                <c:pt idx="66">
                  <c:v>0.51466275659824046</c:v>
                </c:pt>
                <c:pt idx="67">
                  <c:v>0.55425219941348969</c:v>
                </c:pt>
                <c:pt idx="68">
                  <c:v>0.59677419354838712</c:v>
                </c:pt>
                <c:pt idx="69">
                  <c:v>0.63049853372434017</c:v>
                </c:pt>
                <c:pt idx="70">
                  <c:v>0.66812865497076024</c:v>
                </c:pt>
              </c:numCache>
            </c:numRef>
          </c:xVal>
          <c:yVal>
            <c:numRef>
              <c:f>N10Nilai!$A$2:$A$72</c:f>
              <c:numCache>
                <c:formatCode>0.0%</c:formatCode>
                <c:ptCount val="71"/>
                <c:pt idx="0">
                  <c:v>0.71333333333333337</c:v>
                </c:pt>
                <c:pt idx="1">
                  <c:v>0.8612040133779264</c:v>
                </c:pt>
                <c:pt idx="2">
                  <c:v>0.73076923076923073</c:v>
                </c:pt>
                <c:pt idx="3">
                  <c:v>0.7976588628762542</c:v>
                </c:pt>
                <c:pt idx="4">
                  <c:v>0.8330550918196995</c:v>
                </c:pt>
                <c:pt idx="5">
                  <c:v>0.70444444444444443</c:v>
                </c:pt>
                <c:pt idx="6">
                  <c:v>0.81645569620253167</c:v>
                </c:pt>
                <c:pt idx="7">
                  <c:v>0.78481012658227844</c:v>
                </c:pt>
                <c:pt idx="8">
                  <c:v>0.81263157894736837</c:v>
                </c:pt>
                <c:pt idx="9">
                  <c:v>0.77555555555555555</c:v>
                </c:pt>
                <c:pt idx="10">
                  <c:v>0.88</c:v>
                </c:pt>
                <c:pt idx="11">
                  <c:v>0.83479532163742687</c:v>
                </c:pt>
                <c:pt idx="12">
                  <c:v>0.7792397660818714</c:v>
                </c:pt>
                <c:pt idx="13">
                  <c:v>0.79854014598540146</c:v>
                </c:pt>
                <c:pt idx="14">
                  <c:v>0.76444444444444448</c:v>
                </c:pt>
                <c:pt idx="15">
                  <c:v>0.82960413080895012</c:v>
                </c:pt>
                <c:pt idx="16">
                  <c:v>0.81927710843373491</c:v>
                </c:pt>
                <c:pt idx="17">
                  <c:v>0.76666666666666672</c:v>
                </c:pt>
                <c:pt idx="18">
                  <c:v>0.76682316118935834</c:v>
                </c:pt>
                <c:pt idx="19">
                  <c:v>0.784037558685446</c:v>
                </c:pt>
                <c:pt idx="20">
                  <c:v>0.70222222222222219</c:v>
                </c:pt>
                <c:pt idx="21">
                  <c:v>0.77963737796373778</c:v>
                </c:pt>
                <c:pt idx="22">
                  <c:v>0.78133704735376042</c:v>
                </c:pt>
                <c:pt idx="23">
                  <c:v>0.74772727272727268</c:v>
                </c:pt>
                <c:pt idx="24">
                  <c:v>0.7924107142857143</c:v>
                </c:pt>
                <c:pt idx="25">
                  <c:v>0.7455357142857143</c:v>
                </c:pt>
                <c:pt idx="26">
                  <c:v>0.7455357142857143</c:v>
                </c:pt>
                <c:pt idx="27">
                  <c:v>0.61333333333333329</c:v>
                </c:pt>
                <c:pt idx="28">
                  <c:v>0.7844444444444445</c:v>
                </c:pt>
                <c:pt idx="29">
                  <c:v>0.82444444444444442</c:v>
                </c:pt>
                <c:pt idx="30">
                  <c:v>0.80555555555555558</c:v>
                </c:pt>
                <c:pt idx="31">
                  <c:v>0.80555555555555558</c:v>
                </c:pt>
                <c:pt idx="32">
                  <c:v>0.78801169590643272</c:v>
                </c:pt>
                <c:pt idx="33">
                  <c:v>0.79239766081871343</c:v>
                </c:pt>
                <c:pt idx="34">
                  <c:v>0.83750000000000002</c:v>
                </c:pt>
                <c:pt idx="35">
                  <c:v>0.80382775119617222</c:v>
                </c:pt>
                <c:pt idx="36">
                  <c:v>0.78708133971291872</c:v>
                </c:pt>
                <c:pt idx="37">
                  <c:v>0.7466666666666667</c:v>
                </c:pt>
                <c:pt idx="38">
                  <c:v>0.86291739894551844</c:v>
                </c:pt>
                <c:pt idx="39">
                  <c:v>0.79261862917398951</c:v>
                </c:pt>
                <c:pt idx="40">
                  <c:v>0.78207381370826012</c:v>
                </c:pt>
                <c:pt idx="41">
                  <c:v>0.66888888888888887</c:v>
                </c:pt>
                <c:pt idx="42">
                  <c:v>0.81555555555555559</c:v>
                </c:pt>
                <c:pt idx="43">
                  <c:v>0.78600269179004034</c:v>
                </c:pt>
                <c:pt idx="44">
                  <c:v>0.7876344086021505</c:v>
                </c:pt>
                <c:pt idx="45">
                  <c:v>0.81555555555555559</c:v>
                </c:pt>
                <c:pt idx="46">
                  <c:v>0.82640144665461124</c:v>
                </c:pt>
                <c:pt idx="47">
                  <c:v>0.81193490054249551</c:v>
                </c:pt>
                <c:pt idx="48">
                  <c:v>0.85225225225225221</c:v>
                </c:pt>
                <c:pt idx="49">
                  <c:v>0.70666666666666667</c:v>
                </c:pt>
                <c:pt idx="50">
                  <c:v>0.83777777777777773</c:v>
                </c:pt>
                <c:pt idx="51">
                  <c:v>0.81021897810218979</c:v>
                </c:pt>
                <c:pt idx="52">
                  <c:v>0.74452554744525545</c:v>
                </c:pt>
                <c:pt idx="53">
                  <c:v>0.75036496350364967</c:v>
                </c:pt>
                <c:pt idx="54">
                  <c:v>0.82481751824817517</c:v>
                </c:pt>
                <c:pt idx="55">
                  <c:v>0.82481751824817517</c:v>
                </c:pt>
                <c:pt idx="56">
                  <c:v>0.78</c:v>
                </c:pt>
                <c:pt idx="57">
                  <c:v>0.83333333333333337</c:v>
                </c:pt>
                <c:pt idx="58">
                  <c:v>0.779020979020979</c:v>
                </c:pt>
                <c:pt idx="59">
                  <c:v>0.779020979020979</c:v>
                </c:pt>
                <c:pt idx="60">
                  <c:v>0.72727272727272729</c:v>
                </c:pt>
                <c:pt idx="61">
                  <c:v>0.77342657342657339</c:v>
                </c:pt>
                <c:pt idx="62">
                  <c:v>0.81284916201117319</c:v>
                </c:pt>
                <c:pt idx="63">
                  <c:v>0.82960893854748607</c:v>
                </c:pt>
                <c:pt idx="64">
                  <c:v>0.80666666666666664</c:v>
                </c:pt>
                <c:pt idx="65">
                  <c:v>0.83137829912023464</c:v>
                </c:pt>
                <c:pt idx="66">
                  <c:v>0.74633431085043989</c:v>
                </c:pt>
                <c:pt idx="67">
                  <c:v>0.72580645161290325</c:v>
                </c:pt>
                <c:pt idx="68">
                  <c:v>0.75366568914956011</c:v>
                </c:pt>
                <c:pt idx="69">
                  <c:v>0.82258064516129037</c:v>
                </c:pt>
                <c:pt idx="70">
                  <c:v>0.83333333333333337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207-4D80-B3A3-846C88EC5B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5677647"/>
        <c:axId val="212633407"/>
      </c:scatterChart>
      <c:valAx>
        <c:axId val="2256776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633407"/>
        <c:crosses val="autoZero"/>
        <c:crossBetween val="midCat"/>
      </c:valAx>
      <c:valAx>
        <c:axId val="212633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56776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Turnout% vs Chinese% N10Nilai GE15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5.9517716535433071E-2"/>
                  <c:y val="0.160487022455526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8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N10Nilai!$F$2:$F$72</c:f>
              <c:numCache>
                <c:formatCode>0.0%</c:formatCode>
                <c:ptCount val="71"/>
                <c:pt idx="0">
                  <c:v>0.72666666666666668</c:v>
                </c:pt>
                <c:pt idx="1">
                  <c:v>0.50167224080267558</c:v>
                </c:pt>
                <c:pt idx="2">
                  <c:v>0.36622073578595316</c:v>
                </c:pt>
                <c:pt idx="3">
                  <c:v>0.20234113712374582</c:v>
                </c:pt>
                <c:pt idx="4">
                  <c:v>9.849749582637729E-2</c:v>
                </c:pt>
                <c:pt idx="5">
                  <c:v>0.46666666666666667</c:v>
                </c:pt>
                <c:pt idx="6">
                  <c:v>0.48523206751054854</c:v>
                </c:pt>
                <c:pt idx="7">
                  <c:v>0.36075949367088606</c:v>
                </c:pt>
                <c:pt idx="8">
                  <c:v>0.28421052631578947</c:v>
                </c:pt>
                <c:pt idx="9">
                  <c:v>7.1111111111111111E-2</c:v>
                </c:pt>
                <c:pt idx="10">
                  <c:v>8.4444444444444447E-2</c:v>
                </c:pt>
                <c:pt idx="11">
                  <c:v>0.10964912280701754</c:v>
                </c:pt>
                <c:pt idx="12">
                  <c:v>7.0175438596491224E-2</c:v>
                </c:pt>
                <c:pt idx="13">
                  <c:v>4.8175182481751823E-2</c:v>
                </c:pt>
                <c:pt idx="14">
                  <c:v>0.73777777777777775</c:v>
                </c:pt>
                <c:pt idx="15">
                  <c:v>0.59552495697074015</c:v>
                </c:pt>
                <c:pt idx="16">
                  <c:v>0.32702237521514632</c:v>
                </c:pt>
                <c:pt idx="17">
                  <c:v>0.11333333333333333</c:v>
                </c:pt>
                <c:pt idx="18">
                  <c:v>7.5117370892018781E-2</c:v>
                </c:pt>
                <c:pt idx="19">
                  <c:v>8.2942097026604072E-2</c:v>
                </c:pt>
                <c:pt idx="20">
                  <c:v>0.64666666666666661</c:v>
                </c:pt>
                <c:pt idx="21">
                  <c:v>0.38912133891213391</c:v>
                </c:pt>
                <c:pt idx="22">
                  <c:v>9.8885793871866301E-2</c:v>
                </c:pt>
                <c:pt idx="23">
                  <c:v>0.94772727272727275</c:v>
                </c:pt>
                <c:pt idx="24">
                  <c:v>0.8928571428571429</c:v>
                </c:pt>
                <c:pt idx="25">
                  <c:v>0.796875</c:v>
                </c:pt>
                <c:pt idx="26">
                  <c:v>0.7633928571428571</c:v>
                </c:pt>
                <c:pt idx="27">
                  <c:v>0.82666666666666666</c:v>
                </c:pt>
                <c:pt idx="28">
                  <c:v>0.82222222222222219</c:v>
                </c:pt>
                <c:pt idx="29">
                  <c:v>0.77777777777777779</c:v>
                </c:pt>
                <c:pt idx="30">
                  <c:v>0.72368421052631582</c:v>
                </c:pt>
                <c:pt idx="31">
                  <c:v>0.62865497076023391</c:v>
                </c:pt>
                <c:pt idx="32">
                  <c:v>0.60526315789473684</c:v>
                </c:pt>
                <c:pt idx="33">
                  <c:v>0.53801169590643272</c:v>
                </c:pt>
                <c:pt idx="34">
                  <c:v>0.48</c:v>
                </c:pt>
                <c:pt idx="35">
                  <c:v>0.50239234449760761</c:v>
                </c:pt>
                <c:pt idx="36">
                  <c:v>0.45454545454545453</c:v>
                </c:pt>
                <c:pt idx="37">
                  <c:v>0.44888888888888889</c:v>
                </c:pt>
                <c:pt idx="38">
                  <c:v>0.5061511423550088</c:v>
                </c:pt>
                <c:pt idx="39">
                  <c:v>0.43760984182776802</c:v>
                </c:pt>
                <c:pt idx="40">
                  <c:v>0.4024604569420035</c:v>
                </c:pt>
                <c:pt idx="41">
                  <c:v>0.78888888888888886</c:v>
                </c:pt>
                <c:pt idx="42">
                  <c:v>0.67777777777777781</c:v>
                </c:pt>
                <c:pt idx="43">
                  <c:v>0.55181695827725441</c:v>
                </c:pt>
                <c:pt idx="44">
                  <c:v>0.41263440860215056</c:v>
                </c:pt>
                <c:pt idx="45">
                  <c:v>3.111111111111111E-2</c:v>
                </c:pt>
                <c:pt idx="46">
                  <c:v>0.10126582278481013</c:v>
                </c:pt>
                <c:pt idx="47">
                  <c:v>7.5949367088607597E-2</c:v>
                </c:pt>
                <c:pt idx="48">
                  <c:v>5.4054054054054057E-2</c:v>
                </c:pt>
                <c:pt idx="49">
                  <c:v>0.18888888888888888</c:v>
                </c:pt>
                <c:pt idx="50">
                  <c:v>0.18</c:v>
                </c:pt>
                <c:pt idx="51">
                  <c:v>0.12554744525547445</c:v>
                </c:pt>
                <c:pt idx="52">
                  <c:v>0.15474452554744525</c:v>
                </c:pt>
                <c:pt idx="53">
                  <c:v>0.10948905109489052</c:v>
                </c:pt>
                <c:pt idx="54">
                  <c:v>9.7810218978102187E-2</c:v>
                </c:pt>
                <c:pt idx="55">
                  <c:v>7.7372262773722625E-2</c:v>
                </c:pt>
                <c:pt idx="56">
                  <c:v>0.18222222222222223</c:v>
                </c:pt>
                <c:pt idx="57">
                  <c:v>0.19777777777777777</c:v>
                </c:pt>
                <c:pt idx="58">
                  <c:v>0.19300699300699301</c:v>
                </c:pt>
                <c:pt idx="59">
                  <c:v>0.11888111888111888</c:v>
                </c:pt>
                <c:pt idx="60">
                  <c:v>0.1048951048951049</c:v>
                </c:pt>
                <c:pt idx="61">
                  <c:v>9.5104895104895101E-2</c:v>
                </c:pt>
                <c:pt idx="62">
                  <c:v>6.4245810055865923E-2</c:v>
                </c:pt>
                <c:pt idx="63">
                  <c:v>5.4469273743016758E-2</c:v>
                </c:pt>
                <c:pt idx="64">
                  <c:v>0.28444444444444444</c:v>
                </c:pt>
                <c:pt idx="65">
                  <c:v>0.26392961876832843</c:v>
                </c:pt>
                <c:pt idx="66">
                  <c:v>0.26979472140762462</c:v>
                </c:pt>
                <c:pt idx="67">
                  <c:v>0.26686217008797652</c:v>
                </c:pt>
                <c:pt idx="68">
                  <c:v>0.24340175953079179</c:v>
                </c:pt>
                <c:pt idx="69">
                  <c:v>0.23753665689149561</c:v>
                </c:pt>
                <c:pt idx="70">
                  <c:v>0.20175438596491227</c:v>
                </c:pt>
              </c:numCache>
            </c:numRef>
          </c:xVal>
          <c:yVal>
            <c:numRef>
              <c:f>N10Nilai!$A$2:$A$72</c:f>
              <c:numCache>
                <c:formatCode>0.0%</c:formatCode>
                <c:ptCount val="71"/>
                <c:pt idx="0">
                  <c:v>0.71333333333333337</c:v>
                </c:pt>
                <c:pt idx="1">
                  <c:v>0.8612040133779264</c:v>
                </c:pt>
                <c:pt idx="2">
                  <c:v>0.73076923076923073</c:v>
                </c:pt>
                <c:pt idx="3">
                  <c:v>0.7976588628762542</c:v>
                </c:pt>
                <c:pt idx="4">
                  <c:v>0.8330550918196995</c:v>
                </c:pt>
                <c:pt idx="5">
                  <c:v>0.70444444444444443</c:v>
                </c:pt>
                <c:pt idx="6">
                  <c:v>0.81645569620253167</c:v>
                </c:pt>
                <c:pt idx="7">
                  <c:v>0.78481012658227844</c:v>
                </c:pt>
                <c:pt idx="8">
                  <c:v>0.81263157894736837</c:v>
                </c:pt>
                <c:pt idx="9">
                  <c:v>0.77555555555555555</c:v>
                </c:pt>
                <c:pt idx="10">
                  <c:v>0.88</c:v>
                </c:pt>
                <c:pt idx="11">
                  <c:v>0.83479532163742687</c:v>
                </c:pt>
                <c:pt idx="12">
                  <c:v>0.7792397660818714</c:v>
                </c:pt>
                <c:pt idx="13">
                  <c:v>0.79854014598540146</c:v>
                </c:pt>
                <c:pt idx="14">
                  <c:v>0.76444444444444448</c:v>
                </c:pt>
                <c:pt idx="15">
                  <c:v>0.82960413080895012</c:v>
                </c:pt>
                <c:pt idx="16">
                  <c:v>0.81927710843373491</c:v>
                </c:pt>
                <c:pt idx="17">
                  <c:v>0.76666666666666672</c:v>
                </c:pt>
                <c:pt idx="18">
                  <c:v>0.76682316118935834</c:v>
                </c:pt>
                <c:pt idx="19">
                  <c:v>0.784037558685446</c:v>
                </c:pt>
                <c:pt idx="20">
                  <c:v>0.70222222222222219</c:v>
                </c:pt>
                <c:pt idx="21">
                  <c:v>0.77963737796373778</c:v>
                </c:pt>
                <c:pt idx="22">
                  <c:v>0.78133704735376042</c:v>
                </c:pt>
                <c:pt idx="23">
                  <c:v>0.74772727272727268</c:v>
                </c:pt>
                <c:pt idx="24">
                  <c:v>0.7924107142857143</c:v>
                </c:pt>
                <c:pt idx="25">
                  <c:v>0.7455357142857143</c:v>
                </c:pt>
                <c:pt idx="26">
                  <c:v>0.7455357142857143</c:v>
                </c:pt>
                <c:pt idx="27">
                  <c:v>0.61333333333333329</c:v>
                </c:pt>
                <c:pt idx="28">
                  <c:v>0.7844444444444445</c:v>
                </c:pt>
                <c:pt idx="29">
                  <c:v>0.82444444444444442</c:v>
                </c:pt>
                <c:pt idx="30">
                  <c:v>0.80555555555555558</c:v>
                </c:pt>
                <c:pt idx="31">
                  <c:v>0.80555555555555558</c:v>
                </c:pt>
                <c:pt idx="32">
                  <c:v>0.78801169590643272</c:v>
                </c:pt>
                <c:pt idx="33">
                  <c:v>0.79239766081871343</c:v>
                </c:pt>
                <c:pt idx="34">
                  <c:v>0.83750000000000002</c:v>
                </c:pt>
                <c:pt idx="35">
                  <c:v>0.80382775119617222</c:v>
                </c:pt>
                <c:pt idx="36">
                  <c:v>0.78708133971291872</c:v>
                </c:pt>
                <c:pt idx="37">
                  <c:v>0.7466666666666667</c:v>
                </c:pt>
                <c:pt idx="38">
                  <c:v>0.86291739894551844</c:v>
                </c:pt>
                <c:pt idx="39">
                  <c:v>0.79261862917398951</c:v>
                </c:pt>
                <c:pt idx="40">
                  <c:v>0.78207381370826012</c:v>
                </c:pt>
                <c:pt idx="41">
                  <c:v>0.66888888888888887</c:v>
                </c:pt>
                <c:pt idx="42">
                  <c:v>0.81555555555555559</c:v>
                </c:pt>
                <c:pt idx="43">
                  <c:v>0.78600269179004034</c:v>
                </c:pt>
                <c:pt idx="44">
                  <c:v>0.7876344086021505</c:v>
                </c:pt>
                <c:pt idx="45">
                  <c:v>0.81555555555555559</c:v>
                </c:pt>
                <c:pt idx="46">
                  <c:v>0.82640144665461124</c:v>
                </c:pt>
                <c:pt idx="47">
                  <c:v>0.81193490054249551</c:v>
                </c:pt>
                <c:pt idx="48">
                  <c:v>0.85225225225225221</c:v>
                </c:pt>
                <c:pt idx="49">
                  <c:v>0.70666666666666667</c:v>
                </c:pt>
                <c:pt idx="50">
                  <c:v>0.83777777777777773</c:v>
                </c:pt>
                <c:pt idx="51">
                  <c:v>0.81021897810218979</c:v>
                </c:pt>
                <c:pt idx="52">
                  <c:v>0.74452554744525545</c:v>
                </c:pt>
                <c:pt idx="53">
                  <c:v>0.75036496350364967</c:v>
                </c:pt>
                <c:pt idx="54">
                  <c:v>0.82481751824817517</c:v>
                </c:pt>
                <c:pt idx="55">
                  <c:v>0.82481751824817517</c:v>
                </c:pt>
                <c:pt idx="56">
                  <c:v>0.78</c:v>
                </c:pt>
                <c:pt idx="57">
                  <c:v>0.83333333333333337</c:v>
                </c:pt>
                <c:pt idx="58">
                  <c:v>0.779020979020979</c:v>
                </c:pt>
                <c:pt idx="59">
                  <c:v>0.779020979020979</c:v>
                </c:pt>
                <c:pt idx="60">
                  <c:v>0.72727272727272729</c:v>
                </c:pt>
                <c:pt idx="61">
                  <c:v>0.77342657342657339</c:v>
                </c:pt>
                <c:pt idx="62">
                  <c:v>0.81284916201117319</c:v>
                </c:pt>
                <c:pt idx="63">
                  <c:v>0.82960893854748607</c:v>
                </c:pt>
                <c:pt idx="64">
                  <c:v>0.80666666666666664</c:v>
                </c:pt>
                <c:pt idx="65">
                  <c:v>0.83137829912023464</c:v>
                </c:pt>
                <c:pt idx="66">
                  <c:v>0.74633431085043989</c:v>
                </c:pt>
                <c:pt idx="67">
                  <c:v>0.72580645161290325</c:v>
                </c:pt>
                <c:pt idx="68">
                  <c:v>0.75366568914956011</c:v>
                </c:pt>
                <c:pt idx="69">
                  <c:v>0.82258064516129037</c:v>
                </c:pt>
                <c:pt idx="70">
                  <c:v>0.83333333333333337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5C6-4172-BC8D-A5563C5DAA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5677647"/>
        <c:axId val="212633407"/>
      </c:scatterChart>
      <c:valAx>
        <c:axId val="2256776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633407"/>
        <c:crosses val="autoZero"/>
        <c:crossBetween val="midCat"/>
      </c:valAx>
      <c:valAx>
        <c:axId val="212633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56776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Turnout% vs Indian% N10Nilai GE15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5.9517716535433071E-2"/>
                  <c:y val="0.160487022455526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8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N10Nilai!$G$2:$G$72</c:f>
              <c:numCache>
                <c:formatCode>0.0%</c:formatCode>
                <c:ptCount val="71"/>
                <c:pt idx="0">
                  <c:v>0.10222222222222223</c:v>
                </c:pt>
                <c:pt idx="1">
                  <c:v>0.14046822742474915</c:v>
                </c:pt>
                <c:pt idx="2">
                  <c:v>0.18729096989966554</c:v>
                </c:pt>
                <c:pt idx="3">
                  <c:v>0.16387959866220736</c:v>
                </c:pt>
                <c:pt idx="4">
                  <c:v>0.12353923205342238</c:v>
                </c:pt>
                <c:pt idx="5">
                  <c:v>0.27333333333333332</c:v>
                </c:pt>
                <c:pt idx="6">
                  <c:v>0.21940928270042195</c:v>
                </c:pt>
                <c:pt idx="7">
                  <c:v>0.21729957805907174</c:v>
                </c:pt>
                <c:pt idx="8">
                  <c:v>0.27368421052631581</c:v>
                </c:pt>
                <c:pt idx="9">
                  <c:v>0.39333333333333331</c:v>
                </c:pt>
                <c:pt idx="10">
                  <c:v>0.33333333333333331</c:v>
                </c:pt>
                <c:pt idx="11">
                  <c:v>0.27485380116959063</c:v>
                </c:pt>
                <c:pt idx="12">
                  <c:v>0.22368421052631579</c:v>
                </c:pt>
                <c:pt idx="13">
                  <c:v>0.18102189781021899</c:v>
                </c:pt>
                <c:pt idx="14">
                  <c:v>0.21555555555555556</c:v>
                </c:pt>
                <c:pt idx="15">
                  <c:v>0.28915662650602408</c:v>
                </c:pt>
                <c:pt idx="16">
                  <c:v>0.30636833046471601</c:v>
                </c:pt>
                <c:pt idx="17">
                  <c:v>0.29555555555555557</c:v>
                </c:pt>
                <c:pt idx="18">
                  <c:v>0.10954616588419405</c:v>
                </c:pt>
                <c:pt idx="19">
                  <c:v>9.2331768388106417E-2</c:v>
                </c:pt>
                <c:pt idx="20">
                  <c:v>0.16</c:v>
                </c:pt>
                <c:pt idx="21">
                  <c:v>0.1701534170153417</c:v>
                </c:pt>
                <c:pt idx="22">
                  <c:v>0.13370473537604458</c:v>
                </c:pt>
                <c:pt idx="23">
                  <c:v>2.7272727272727271E-2</c:v>
                </c:pt>
                <c:pt idx="24">
                  <c:v>6.4732142857142863E-2</c:v>
                </c:pt>
                <c:pt idx="25">
                  <c:v>0.13169642857142858</c:v>
                </c:pt>
                <c:pt idx="26">
                  <c:v>0.171875</c:v>
                </c:pt>
                <c:pt idx="27">
                  <c:v>8.666666666666667E-2</c:v>
                </c:pt>
                <c:pt idx="28">
                  <c:v>8.666666666666667E-2</c:v>
                </c:pt>
                <c:pt idx="29">
                  <c:v>0.11555555555555555</c:v>
                </c:pt>
                <c:pt idx="30">
                  <c:v>0.15350877192982457</c:v>
                </c:pt>
                <c:pt idx="31">
                  <c:v>0.20175438596491227</c:v>
                </c:pt>
                <c:pt idx="32">
                  <c:v>0.22222222222222221</c:v>
                </c:pt>
                <c:pt idx="33">
                  <c:v>0.195906432748538</c:v>
                </c:pt>
                <c:pt idx="34">
                  <c:v>0.40500000000000003</c:v>
                </c:pt>
                <c:pt idx="35">
                  <c:v>0.4138755980861244</c:v>
                </c:pt>
                <c:pt idx="36">
                  <c:v>0.37799043062200954</c:v>
                </c:pt>
                <c:pt idx="37">
                  <c:v>0.29333333333333333</c:v>
                </c:pt>
                <c:pt idx="38">
                  <c:v>0.33040421792618629</c:v>
                </c:pt>
                <c:pt idx="39">
                  <c:v>0.32688927943760981</c:v>
                </c:pt>
                <c:pt idx="40">
                  <c:v>0.34094903339191562</c:v>
                </c:pt>
                <c:pt idx="41">
                  <c:v>0.15333333333333332</c:v>
                </c:pt>
                <c:pt idx="42">
                  <c:v>0.21111111111111111</c:v>
                </c:pt>
                <c:pt idx="43">
                  <c:v>0.32166890982503366</c:v>
                </c:pt>
                <c:pt idx="44">
                  <c:v>0.35618279569892475</c:v>
                </c:pt>
                <c:pt idx="45">
                  <c:v>6.8888888888888888E-2</c:v>
                </c:pt>
                <c:pt idx="46">
                  <c:v>7.5949367088607597E-2</c:v>
                </c:pt>
                <c:pt idx="47">
                  <c:v>6.50994575045208E-2</c:v>
                </c:pt>
                <c:pt idx="48">
                  <c:v>7.9279279279279274E-2</c:v>
                </c:pt>
                <c:pt idx="49">
                  <c:v>0.43555555555555553</c:v>
                </c:pt>
                <c:pt idx="50">
                  <c:v>0.33111111111111113</c:v>
                </c:pt>
                <c:pt idx="51">
                  <c:v>0.31532846715328466</c:v>
                </c:pt>
                <c:pt idx="52">
                  <c:v>0.28467153284671531</c:v>
                </c:pt>
                <c:pt idx="53">
                  <c:v>0.25255474452554744</c:v>
                </c:pt>
                <c:pt idx="54">
                  <c:v>0.23941605839416058</c:v>
                </c:pt>
                <c:pt idx="55">
                  <c:v>0.15474452554744525</c:v>
                </c:pt>
                <c:pt idx="56">
                  <c:v>0.29777777777777775</c:v>
                </c:pt>
                <c:pt idx="57">
                  <c:v>0.26</c:v>
                </c:pt>
                <c:pt idx="58">
                  <c:v>0.28111888111888111</c:v>
                </c:pt>
                <c:pt idx="59">
                  <c:v>0.31888111888111886</c:v>
                </c:pt>
                <c:pt idx="60">
                  <c:v>0.25174825174825177</c:v>
                </c:pt>
                <c:pt idx="61">
                  <c:v>0.23496503496503496</c:v>
                </c:pt>
                <c:pt idx="62">
                  <c:v>0.2011173184357542</c:v>
                </c:pt>
                <c:pt idx="63">
                  <c:v>0.18435754189944134</c:v>
                </c:pt>
                <c:pt idx="64">
                  <c:v>0.2311111111111111</c:v>
                </c:pt>
                <c:pt idx="65">
                  <c:v>0.19941348973607037</c:v>
                </c:pt>
                <c:pt idx="66">
                  <c:v>0.20381231671554254</c:v>
                </c:pt>
                <c:pt idx="67">
                  <c:v>0.17008797653958943</c:v>
                </c:pt>
                <c:pt idx="68">
                  <c:v>0.15689149560117302</c:v>
                </c:pt>
                <c:pt idx="69">
                  <c:v>0.13196480938416422</c:v>
                </c:pt>
                <c:pt idx="70">
                  <c:v>0.12573099415204678</c:v>
                </c:pt>
              </c:numCache>
            </c:numRef>
          </c:xVal>
          <c:yVal>
            <c:numRef>
              <c:f>N10Nilai!$A$2:$A$72</c:f>
              <c:numCache>
                <c:formatCode>0.0%</c:formatCode>
                <c:ptCount val="71"/>
                <c:pt idx="0">
                  <c:v>0.71333333333333337</c:v>
                </c:pt>
                <c:pt idx="1">
                  <c:v>0.8612040133779264</c:v>
                </c:pt>
                <c:pt idx="2">
                  <c:v>0.73076923076923073</c:v>
                </c:pt>
                <c:pt idx="3">
                  <c:v>0.7976588628762542</c:v>
                </c:pt>
                <c:pt idx="4">
                  <c:v>0.8330550918196995</c:v>
                </c:pt>
                <c:pt idx="5">
                  <c:v>0.70444444444444443</c:v>
                </c:pt>
                <c:pt idx="6">
                  <c:v>0.81645569620253167</c:v>
                </c:pt>
                <c:pt idx="7">
                  <c:v>0.78481012658227844</c:v>
                </c:pt>
                <c:pt idx="8">
                  <c:v>0.81263157894736837</c:v>
                </c:pt>
                <c:pt idx="9">
                  <c:v>0.77555555555555555</c:v>
                </c:pt>
                <c:pt idx="10">
                  <c:v>0.88</c:v>
                </c:pt>
                <c:pt idx="11">
                  <c:v>0.83479532163742687</c:v>
                </c:pt>
                <c:pt idx="12">
                  <c:v>0.7792397660818714</c:v>
                </c:pt>
                <c:pt idx="13">
                  <c:v>0.79854014598540146</c:v>
                </c:pt>
                <c:pt idx="14">
                  <c:v>0.76444444444444448</c:v>
                </c:pt>
                <c:pt idx="15">
                  <c:v>0.82960413080895012</c:v>
                </c:pt>
                <c:pt idx="16">
                  <c:v>0.81927710843373491</c:v>
                </c:pt>
                <c:pt idx="17">
                  <c:v>0.76666666666666672</c:v>
                </c:pt>
                <c:pt idx="18">
                  <c:v>0.76682316118935834</c:v>
                </c:pt>
                <c:pt idx="19">
                  <c:v>0.784037558685446</c:v>
                </c:pt>
                <c:pt idx="20">
                  <c:v>0.70222222222222219</c:v>
                </c:pt>
                <c:pt idx="21">
                  <c:v>0.77963737796373778</c:v>
                </c:pt>
                <c:pt idx="22">
                  <c:v>0.78133704735376042</c:v>
                </c:pt>
                <c:pt idx="23">
                  <c:v>0.74772727272727268</c:v>
                </c:pt>
                <c:pt idx="24">
                  <c:v>0.7924107142857143</c:v>
                </c:pt>
                <c:pt idx="25">
                  <c:v>0.7455357142857143</c:v>
                </c:pt>
                <c:pt idx="26">
                  <c:v>0.7455357142857143</c:v>
                </c:pt>
                <c:pt idx="27">
                  <c:v>0.61333333333333329</c:v>
                </c:pt>
                <c:pt idx="28">
                  <c:v>0.7844444444444445</c:v>
                </c:pt>
                <c:pt idx="29">
                  <c:v>0.82444444444444442</c:v>
                </c:pt>
                <c:pt idx="30">
                  <c:v>0.80555555555555558</c:v>
                </c:pt>
                <c:pt idx="31">
                  <c:v>0.80555555555555558</c:v>
                </c:pt>
                <c:pt idx="32">
                  <c:v>0.78801169590643272</c:v>
                </c:pt>
                <c:pt idx="33">
                  <c:v>0.79239766081871343</c:v>
                </c:pt>
                <c:pt idx="34">
                  <c:v>0.83750000000000002</c:v>
                </c:pt>
                <c:pt idx="35">
                  <c:v>0.80382775119617222</c:v>
                </c:pt>
                <c:pt idx="36">
                  <c:v>0.78708133971291872</c:v>
                </c:pt>
                <c:pt idx="37">
                  <c:v>0.7466666666666667</c:v>
                </c:pt>
                <c:pt idx="38">
                  <c:v>0.86291739894551844</c:v>
                </c:pt>
                <c:pt idx="39">
                  <c:v>0.79261862917398951</c:v>
                </c:pt>
                <c:pt idx="40">
                  <c:v>0.78207381370826012</c:v>
                </c:pt>
                <c:pt idx="41">
                  <c:v>0.66888888888888887</c:v>
                </c:pt>
                <c:pt idx="42">
                  <c:v>0.81555555555555559</c:v>
                </c:pt>
                <c:pt idx="43">
                  <c:v>0.78600269179004034</c:v>
                </c:pt>
                <c:pt idx="44">
                  <c:v>0.7876344086021505</c:v>
                </c:pt>
                <c:pt idx="45">
                  <c:v>0.81555555555555559</c:v>
                </c:pt>
                <c:pt idx="46">
                  <c:v>0.82640144665461124</c:v>
                </c:pt>
                <c:pt idx="47">
                  <c:v>0.81193490054249551</c:v>
                </c:pt>
                <c:pt idx="48">
                  <c:v>0.85225225225225221</c:v>
                </c:pt>
                <c:pt idx="49">
                  <c:v>0.70666666666666667</c:v>
                </c:pt>
                <c:pt idx="50">
                  <c:v>0.83777777777777773</c:v>
                </c:pt>
                <c:pt idx="51">
                  <c:v>0.81021897810218979</c:v>
                </c:pt>
                <c:pt idx="52">
                  <c:v>0.74452554744525545</c:v>
                </c:pt>
                <c:pt idx="53">
                  <c:v>0.75036496350364967</c:v>
                </c:pt>
                <c:pt idx="54">
                  <c:v>0.82481751824817517</c:v>
                </c:pt>
                <c:pt idx="55">
                  <c:v>0.82481751824817517</c:v>
                </c:pt>
                <c:pt idx="56">
                  <c:v>0.78</c:v>
                </c:pt>
                <c:pt idx="57">
                  <c:v>0.83333333333333337</c:v>
                </c:pt>
                <c:pt idx="58">
                  <c:v>0.779020979020979</c:v>
                </c:pt>
                <c:pt idx="59">
                  <c:v>0.779020979020979</c:v>
                </c:pt>
                <c:pt idx="60">
                  <c:v>0.72727272727272729</c:v>
                </c:pt>
                <c:pt idx="61">
                  <c:v>0.77342657342657339</c:v>
                </c:pt>
                <c:pt idx="62">
                  <c:v>0.81284916201117319</c:v>
                </c:pt>
                <c:pt idx="63">
                  <c:v>0.82960893854748607</c:v>
                </c:pt>
                <c:pt idx="64">
                  <c:v>0.80666666666666664</c:v>
                </c:pt>
                <c:pt idx="65">
                  <c:v>0.83137829912023464</c:v>
                </c:pt>
                <c:pt idx="66">
                  <c:v>0.74633431085043989</c:v>
                </c:pt>
                <c:pt idx="67">
                  <c:v>0.72580645161290325</c:v>
                </c:pt>
                <c:pt idx="68">
                  <c:v>0.75366568914956011</c:v>
                </c:pt>
                <c:pt idx="69">
                  <c:v>0.82258064516129037</c:v>
                </c:pt>
                <c:pt idx="70">
                  <c:v>0.83333333333333337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100-4795-97E5-2693F1238E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5677647"/>
        <c:axId val="212633407"/>
      </c:scatterChart>
      <c:valAx>
        <c:axId val="2256776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633407"/>
        <c:crosses val="autoZero"/>
        <c:crossBetween val="midCat"/>
      </c:valAx>
      <c:valAx>
        <c:axId val="212633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56776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PH% vs Malay% N10Nilai GE15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0521237970253718"/>
                  <c:y val="-0.3699183435403907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8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N10Nilai!$E$2:$E$72</c:f>
              <c:numCache>
                <c:formatCode>0.0%</c:formatCode>
                <c:ptCount val="71"/>
                <c:pt idx="0">
                  <c:v>0.16888888888888889</c:v>
                </c:pt>
                <c:pt idx="1">
                  <c:v>0.35451505016722407</c:v>
                </c:pt>
                <c:pt idx="2">
                  <c:v>0.43311036789297658</c:v>
                </c:pt>
                <c:pt idx="3">
                  <c:v>0.62876254180602009</c:v>
                </c:pt>
                <c:pt idx="4">
                  <c:v>0.77629382303839733</c:v>
                </c:pt>
                <c:pt idx="5">
                  <c:v>0.25555555555555554</c:v>
                </c:pt>
                <c:pt idx="6">
                  <c:v>0.29113924050632911</c:v>
                </c:pt>
                <c:pt idx="7">
                  <c:v>0.41561181434599154</c:v>
                </c:pt>
                <c:pt idx="8">
                  <c:v>0.44</c:v>
                </c:pt>
                <c:pt idx="9">
                  <c:v>0.50666666666666671</c:v>
                </c:pt>
                <c:pt idx="10">
                  <c:v>0.5377777777777778</c:v>
                </c:pt>
                <c:pt idx="11">
                  <c:v>0.57602339181286555</c:v>
                </c:pt>
                <c:pt idx="12">
                  <c:v>0.67836257309941517</c:v>
                </c:pt>
                <c:pt idx="13">
                  <c:v>0.76934306569343069</c:v>
                </c:pt>
                <c:pt idx="14">
                  <c:v>4.4444444444444446E-2</c:v>
                </c:pt>
                <c:pt idx="15">
                  <c:v>0.11015490533562823</c:v>
                </c:pt>
                <c:pt idx="16">
                  <c:v>0.36144578313253012</c:v>
                </c:pt>
                <c:pt idx="17">
                  <c:v>0.56666666666666665</c:v>
                </c:pt>
                <c:pt idx="18">
                  <c:v>0.78090766823161184</c:v>
                </c:pt>
                <c:pt idx="19">
                  <c:v>0.82316118935837246</c:v>
                </c:pt>
                <c:pt idx="20">
                  <c:v>0.18</c:v>
                </c:pt>
                <c:pt idx="21">
                  <c:v>0.42398884239888424</c:v>
                </c:pt>
                <c:pt idx="22">
                  <c:v>0.75766016713091922</c:v>
                </c:pt>
                <c:pt idx="23">
                  <c:v>2.5000000000000001E-2</c:v>
                </c:pt>
                <c:pt idx="24">
                  <c:v>4.0178571428571432E-2</c:v>
                </c:pt>
                <c:pt idx="25">
                  <c:v>6.9196428571428575E-2</c:v>
                </c:pt>
                <c:pt idx="26">
                  <c:v>6.25E-2</c:v>
                </c:pt>
                <c:pt idx="27">
                  <c:v>8.4444444444444447E-2</c:v>
                </c:pt>
                <c:pt idx="28">
                  <c:v>9.1111111111111115E-2</c:v>
                </c:pt>
                <c:pt idx="29">
                  <c:v>0.10222222222222223</c:v>
                </c:pt>
                <c:pt idx="30">
                  <c:v>0.10964912280701754</c:v>
                </c:pt>
                <c:pt idx="31">
                  <c:v>0.16081871345029239</c:v>
                </c:pt>
                <c:pt idx="32">
                  <c:v>0.16959064327485379</c:v>
                </c:pt>
                <c:pt idx="33">
                  <c:v>0.26608187134502925</c:v>
                </c:pt>
                <c:pt idx="34">
                  <c:v>0.10249999999999999</c:v>
                </c:pt>
                <c:pt idx="35">
                  <c:v>8.3732057416267949E-2</c:v>
                </c:pt>
                <c:pt idx="36">
                  <c:v>0.1674641148325359</c:v>
                </c:pt>
                <c:pt idx="37">
                  <c:v>0.23555555555555555</c:v>
                </c:pt>
                <c:pt idx="38">
                  <c:v>0.15641476274165203</c:v>
                </c:pt>
                <c:pt idx="39">
                  <c:v>0.23198594024604569</c:v>
                </c:pt>
                <c:pt idx="40">
                  <c:v>0.25483304042179261</c:v>
                </c:pt>
                <c:pt idx="41">
                  <c:v>5.3333333333333337E-2</c:v>
                </c:pt>
                <c:pt idx="42">
                  <c:v>0.10444444444444445</c:v>
                </c:pt>
                <c:pt idx="43">
                  <c:v>0.12382234185733512</c:v>
                </c:pt>
                <c:pt idx="44">
                  <c:v>0.22715053763440859</c:v>
                </c:pt>
                <c:pt idx="45">
                  <c:v>0.87777777777777777</c:v>
                </c:pt>
                <c:pt idx="46">
                  <c:v>0.76672694394213381</c:v>
                </c:pt>
                <c:pt idx="47">
                  <c:v>0.83363471971066905</c:v>
                </c:pt>
                <c:pt idx="48">
                  <c:v>0.8666666666666667</c:v>
                </c:pt>
                <c:pt idx="49">
                  <c:v>0.36444444444444446</c:v>
                </c:pt>
                <c:pt idx="50">
                  <c:v>0.47333333333333333</c:v>
                </c:pt>
                <c:pt idx="51">
                  <c:v>0.53868613138686128</c:v>
                </c:pt>
                <c:pt idx="52">
                  <c:v>0.54598540145985397</c:v>
                </c:pt>
                <c:pt idx="53">
                  <c:v>0.63065693430656933</c:v>
                </c:pt>
                <c:pt idx="54">
                  <c:v>0.66277372262773726</c:v>
                </c:pt>
                <c:pt idx="55">
                  <c:v>0.76496350364963506</c:v>
                </c:pt>
                <c:pt idx="56">
                  <c:v>0.5</c:v>
                </c:pt>
                <c:pt idx="57">
                  <c:v>0.52888888888888885</c:v>
                </c:pt>
                <c:pt idx="58">
                  <c:v>0.50909090909090904</c:v>
                </c:pt>
                <c:pt idx="59">
                  <c:v>0.54405594405594404</c:v>
                </c:pt>
                <c:pt idx="60">
                  <c:v>0.62937062937062938</c:v>
                </c:pt>
                <c:pt idx="61">
                  <c:v>0.6685314685314685</c:v>
                </c:pt>
                <c:pt idx="62">
                  <c:v>0.73463687150837986</c:v>
                </c:pt>
                <c:pt idx="63">
                  <c:v>0.76117318435754189</c:v>
                </c:pt>
                <c:pt idx="64">
                  <c:v>0.46888888888888891</c:v>
                </c:pt>
                <c:pt idx="65">
                  <c:v>0.51466275659824046</c:v>
                </c:pt>
                <c:pt idx="66">
                  <c:v>0.51466275659824046</c:v>
                </c:pt>
                <c:pt idx="67">
                  <c:v>0.55425219941348969</c:v>
                </c:pt>
                <c:pt idx="68">
                  <c:v>0.59677419354838712</c:v>
                </c:pt>
                <c:pt idx="69">
                  <c:v>0.63049853372434017</c:v>
                </c:pt>
                <c:pt idx="70">
                  <c:v>0.66812865497076024</c:v>
                </c:pt>
              </c:numCache>
            </c:numRef>
          </c:xVal>
          <c:yVal>
            <c:numRef>
              <c:f>N10Nilai!$B$2:$B$72</c:f>
              <c:numCache>
                <c:formatCode>0.0%</c:formatCode>
                <c:ptCount val="71"/>
                <c:pt idx="0">
                  <c:v>0.74454828660436134</c:v>
                </c:pt>
                <c:pt idx="1">
                  <c:v>0.65048543689320393</c:v>
                </c:pt>
                <c:pt idx="2">
                  <c:v>0.60640732265446229</c:v>
                </c:pt>
                <c:pt idx="3">
                  <c:v>0.45492662473794548</c:v>
                </c:pt>
                <c:pt idx="4">
                  <c:v>0.34869739478957917</c:v>
                </c:pt>
                <c:pt idx="5">
                  <c:v>0.66876971608832803</c:v>
                </c:pt>
                <c:pt idx="6">
                  <c:v>0.65891472868217049</c:v>
                </c:pt>
                <c:pt idx="7">
                  <c:v>0.63440860215053763</c:v>
                </c:pt>
                <c:pt idx="8">
                  <c:v>0.61658031088082899</c:v>
                </c:pt>
                <c:pt idx="9">
                  <c:v>0.34957020057306593</c:v>
                </c:pt>
                <c:pt idx="10">
                  <c:v>0.44191919191919193</c:v>
                </c:pt>
                <c:pt idx="11">
                  <c:v>0.45359019264448336</c:v>
                </c:pt>
                <c:pt idx="12">
                  <c:v>0.45028142589118197</c:v>
                </c:pt>
                <c:pt idx="13">
                  <c:v>0.36197440585009139</c:v>
                </c:pt>
                <c:pt idx="14">
                  <c:v>0.75</c:v>
                </c:pt>
                <c:pt idx="15">
                  <c:v>0.84024896265560167</c:v>
                </c:pt>
                <c:pt idx="16">
                  <c:v>0.71218487394957986</c:v>
                </c:pt>
                <c:pt idx="17">
                  <c:v>0.35072463768115941</c:v>
                </c:pt>
                <c:pt idx="18">
                  <c:v>0.30204081632653063</c:v>
                </c:pt>
                <c:pt idx="19">
                  <c:v>0.30339321357285431</c:v>
                </c:pt>
                <c:pt idx="20">
                  <c:v>0.70253164556962022</c:v>
                </c:pt>
                <c:pt idx="21">
                  <c:v>0.59928443649373886</c:v>
                </c:pt>
                <c:pt idx="22">
                  <c:v>0.32798573975044565</c:v>
                </c:pt>
                <c:pt idx="23">
                  <c:v>0.83586626139817632</c:v>
                </c:pt>
                <c:pt idx="24">
                  <c:v>0.87323943661971826</c:v>
                </c:pt>
                <c:pt idx="25">
                  <c:v>0.89221556886227549</c:v>
                </c:pt>
                <c:pt idx="26">
                  <c:v>0.88323353293413176</c:v>
                </c:pt>
                <c:pt idx="27">
                  <c:v>0.78260869565217395</c:v>
                </c:pt>
                <c:pt idx="28">
                  <c:v>0.8101983002832861</c:v>
                </c:pt>
                <c:pt idx="29">
                  <c:v>0.83557951482479786</c:v>
                </c:pt>
                <c:pt idx="30">
                  <c:v>0.84210526315789469</c:v>
                </c:pt>
                <c:pt idx="31">
                  <c:v>0.82032667876588017</c:v>
                </c:pt>
                <c:pt idx="32">
                  <c:v>0.80705009276437845</c:v>
                </c:pt>
                <c:pt idx="33">
                  <c:v>0.77490774907749083</c:v>
                </c:pt>
                <c:pt idx="34">
                  <c:v>0.77014925373134324</c:v>
                </c:pt>
                <c:pt idx="35">
                  <c:v>0.88988095238095233</c:v>
                </c:pt>
                <c:pt idx="36">
                  <c:v>0.79939209726443772</c:v>
                </c:pt>
                <c:pt idx="37">
                  <c:v>0.62202380952380953</c:v>
                </c:pt>
                <c:pt idx="38">
                  <c:v>0.77596741344195519</c:v>
                </c:pt>
                <c:pt idx="39">
                  <c:v>0.73835920177383596</c:v>
                </c:pt>
                <c:pt idx="40">
                  <c:v>0.72584269662921352</c:v>
                </c:pt>
                <c:pt idx="41">
                  <c:v>0.78073089700996678</c:v>
                </c:pt>
                <c:pt idx="42">
                  <c:v>0.82561307901907355</c:v>
                </c:pt>
                <c:pt idx="43">
                  <c:v>0.84931506849315064</c:v>
                </c:pt>
                <c:pt idx="44">
                  <c:v>0.7696245733788396</c:v>
                </c:pt>
                <c:pt idx="45">
                  <c:v>0.1226158038147139</c:v>
                </c:pt>
                <c:pt idx="46">
                  <c:v>0.22538293216630198</c:v>
                </c:pt>
                <c:pt idx="47">
                  <c:v>0.22717149220489977</c:v>
                </c:pt>
                <c:pt idx="48">
                  <c:v>0.21987315010570824</c:v>
                </c:pt>
                <c:pt idx="49">
                  <c:v>0.57232704402515722</c:v>
                </c:pt>
                <c:pt idx="50">
                  <c:v>0.53846153846153844</c:v>
                </c:pt>
                <c:pt idx="51">
                  <c:v>0.51711711711711716</c:v>
                </c:pt>
                <c:pt idx="52">
                  <c:v>0.53921568627450978</c:v>
                </c:pt>
                <c:pt idx="53">
                  <c:v>0.56809338521400776</c:v>
                </c:pt>
                <c:pt idx="54">
                  <c:v>0.53805309734513274</c:v>
                </c:pt>
                <c:pt idx="55">
                  <c:v>0.38938053097345132</c:v>
                </c:pt>
                <c:pt idx="56">
                  <c:v>0.4985754985754986</c:v>
                </c:pt>
                <c:pt idx="57">
                  <c:v>0.48533333333333334</c:v>
                </c:pt>
                <c:pt idx="58">
                  <c:v>0.54039497307001794</c:v>
                </c:pt>
                <c:pt idx="59">
                  <c:v>0.53321364452423703</c:v>
                </c:pt>
                <c:pt idx="60">
                  <c:v>0.52115384615384619</c:v>
                </c:pt>
                <c:pt idx="61">
                  <c:v>0.51537070524412298</c:v>
                </c:pt>
                <c:pt idx="62">
                  <c:v>0.49828178694158076</c:v>
                </c:pt>
                <c:pt idx="63">
                  <c:v>0.43771043771043772</c:v>
                </c:pt>
                <c:pt idx="64">
                  <c:v>0.58677685950413228</c:v>
                </c:pt>
                <c:pt idx="65">
                  <c:v>0.53262786596119926</c:v>
                </c:pt>
                <c:pt idx="66">
                  <c:v>0.57760314341846763</c:v>
                </c:pt>
                <c:pt idx="67">
                  <c:v>0.5757575757575758</c:v>
                </c:pt>
                <c:pt idx="68">
                  <c:v>0.63229571984435795</c:v>
                </c:pt>
                <c:pt idx="69">
                  <c:v>0.59001782531194291</c:v>
                </c:pt>
                <c:pt idx="70">
                  <c:v>0.52982456140350875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F8C-40BF-9D58-1713C04167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5677647"/>
        <c:axId val="212633407"/>
      </c:scatterChart>
      <c:valAx>
        <c:axId val="2256776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633407"/>
        <c:crosses val="autoZero"/>
        <c:crossBetween val="midCat"/>
      </c:valAx>
      <c:valAx>
        <c:axId val="212633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56776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PH% vs Chinese% N10Nilai GE15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3.4574365704286965E-2"/>
                  <c:y val="0.2520702099737532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8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N10Nilai!$F$2:$F$72</c:f>
              <c:numCache>
                <c:formatCode>0.0%</c:formatCode>
                <c:ptCount val="71"/>
                <c:pt idx="0">
                  <c:v>0.72666666666666668</c:v>
                </c:pt>
                <c:pt idx="1">
                  <c:v>0.50167224080267558</c:v>
                </c:pt>
                <c:pt idx="2">
                  <c:v>0.36622073578595316</c:v>
                </c:pt>
                <c:pt idx="3">
                  <c:v>0.20234113712374582</c:v>
                </c:pt>
                <c:pt idx="4">
                  <c:v>9.849749582637729E-2</c:v>
                </c:pt>
                <c:pt idx="5">
                  <c:v>0.46666666666666667</c:v>
                </c:pt>
                <c:pt idx="6">
                  <c:v>0.48523206751054854</c:v>
                </c:pt>
                <c:pt idx="7">
                  <c:v>0.36075949367088606</c:v>
                </c:pt>
                <c:pt idx="8">
                  <c:v>0.28421052631578947</c:v>
                </c:pt>
                <c:pt idx="9">
                  <c:v>7.1111111111111111E-2</c:v>
                </c:pt>
                <c:pt idx="10">
                  <c:v>8.4444444444444447E-2</c:v>
                </c:pt>
                <c:pt idx="11">
                  <c:v>0.10964912280701754</c:v>
                </c:pt>
                <c:pt idx="12">
                  <c:v>7.0175438596491224E-2</c:v>
                </c:pt>
                <c:pt idx="13">
                  <c:v>4.8175182481751823E-2</c:v>
                </c:pt>
                <c:pt idx="14">
                  <c:v>0.73777777777777775</c:v>
                </c:pt>
                <c:pt idx="15">
                  <c:v>0.59552495697074015</c:v>
                </c:pt>
                <c:pt idx="16">
                  <c:v>0.32702237521514632</c:v>
                </c:pt>
                <c:pt idx="17">
                  <c:v>0.11333333333333333</c:v>
                </c:pt>
                <c:pt idx="18">
                  <c:v>7.5117370892018781E-2</c:v>
                </c:pt>
                <c:pt idx="19">
                  <c:v>8.2942097026604072E-2</c:v>
                </c:pt>
                <c:pt idx="20">
                  <c:v>0.64666666666666661</c:v>
                </c:pt>
                <c:pt idx="21">
                  <c:v>0.38912133891213391</c:v>
                </c:pt>
                <c:pt idx="22">
                  <c:v>9.8885793871866301E-2</c:v>
                </c:pt>
                <c:pt idx="23">
                  <c:v>0.94772727272727275</c:v>
                </c:pt>
                <c:pt idx="24">
                  <c:v>0.8928571428571429</c:v>
                </c:pt>
                <c:pt idx="25">
                  <c:v>0.796875</c:v>
                </c:pt>
                <c:pt idx="26">
                  <c:v>0.7633928571428571</c:v>
                </c:pt>
                <c:pt idx="27">
                  <c:v>0.82666666666666666</c:v>
                </c:pt>
                <c:pt idx="28">
                  <c:v>0.82222222222222219</c:v>
                </c:pt>
                <c:pt idx="29">
                  <c:v>0.77777777777777779</c:v>
                </c:pt>
                <c:pt idx="30">
                  <c:v>0.72368421052631582</c:v>
                </c:pt>
                <c:pt idx="31">
                  <c:v>0.62865497076023391</c:v>
                </c:pt>
                <c:pt idx="32">
                  <c:v>0.60526315789473684</c:v>
                </c:pt>
                <c:pt idx="33">
                  <c:v>0.53801169590643272</c:v>
                </c:pt>
                <c:pt idx="34">
                  <c:v>0.48</c:v>
                </c:pt>
                <c:pt idx="35">
                  <c:v>0.50239234449760761</c:v>
                </c:pt>
                <c:pt idx="36">
                  <c:v>0.45454545454545453</c:v>
                </c:pt>
                <c:pt idx="37">
                  <c:v>0.44888888888888889</c:v>
                </c:pt>
                <c:pt idx="38">
                  <c:v>0.5061511423550088</c:v>
                </c:pt>
                <c:pt idx="39">
                  <c:v>0.43760984182776802</c:v>
                </c:pt>
                <c:pt idx="40">
                  <c:v>0.4024604569420035</c:v>
                </c:pt>
                <c:pt idx="41">
                  <c:v>0.78888888888888886</c:v>
                </c:pt>
                <c:pt idx="42">
                  <c:v>0.67777777777777781</c:v>
                </c:pt>
                <c:pt idx="43">
                  <c:v>0.55181695827725441</c:v>
                </c:pt>
                <c:pt idx="44">
                  <c:v>0.41263440860215056</c:v>
                </c:pt>
                <c:pt idx="45">
                  <c:v>3.111111111111111E-2</c:v>
                </c:pt>
                <c:pt idx="46">
                  <c:v>0.10126582278481013</c:v>
                </c:pt>
                <c:pt idx="47">
                  <c:v>7.5949367088607597E-2</c:v>
                </c:pt>
                <c:pt idx="48">
                  <c:v>5.4054054054054057E-2</c:v>
                </c:pt>
                <c:pt idx="49">
                  <c:v>0.18888888888888888</c:v>
                </c:pt>
                <c:pt idx="50">
                  <c:v>0.18</c:v>
                </c:pt>
                <c:pt idx="51">
                  <c:v>0.12554744525547445</c:v>
                </c:pt>
                <c:pt idx="52">
                  <c:v>0.15474452554744525</c:v>
                </c:pt>
                <c:pt idx="53">
                  <c:v>0.10948905109489052</c:v>
                </c:pt>
                <c:pt idx="54">
                  <c:v>9.7810218978102187E-2</c:v>
                </c:pt>
                <c:pt idx="55">
                  <c:v>7.7372262773722625E-2</c:v>
                </c:pt>
                <c:pt idx="56">
                  <c:v>0.18222222222222223</c:v>
                </c:pt>
                <c:pt idx="57">
                  <c:v>0.19777777777777777</c:v>
                </c:pt>
                <c:pt idx="58">
                  <c:v>0.19300699300699301</c:v>
                </c:pt>
                <c:pt idx="59">
                  <c:v>0.11888111888111888</c:v>
                </c:pt>
                <c:pt idx="60">
                  <c:v>0.1048951048951049</c:v>
                </c:pt>
                <c:pt idx="61">
                  <c:v>9.5104895104895101E-2</c:v>
                </c:pt>
                <c:pt idx="62">
                  <c:v>6.4245810055865923E-2</c:v>
                </c:pt>
                <c:pt idx="63">
                  <c:v>5.4469273743016758E-2</c:v>
                </c:pt>
                <c:pt idx="64">
                  <c:v>0.28444444444444444</c:v>
                </c:pt>
                <c:pt idx="65">
                  <c:v>0.26392961876832843</c:v>
                </c:pt>
                <c:pt idx="66">
                  <c:v>0.26979472140762462</c:v>
                </c:pt>
                <c:pt idx="67">
                  <c:v>0.26686217008797652</c:v>
                </c:pt>
                <c:pt idx="68">
                  <c:v>0.24340175953079179</c:v>
                </c:pt>
                <c:pt idx="69">
                  <c:v>0.23753665689149561</c:v>
                </c:pt>
                <c:pt idx="70">
                  <c:v>0.20175438596491227</c:v>
                </c:pt>
              </c:numCache>
            </c:numRef>
          </c:xVal>
          <c:yVal>
            <c:numRef>
              <c:f>N10Nilai!$B$2:$B$72</c:f>
              <c:numCache>
                <c:formatCode>0.0%</c:formatCode>
                <c:ptCount val="71"/>
                <c:pt idx="0">
                  <c:v>0.74454828660436134</c:v>
                </c:pt>
                <c:pt idx="1">
                  <c:v>0.65048543689320393</c:v>
                </c:pt>
                <c:pt idx="2">
                  <c:v>0.60640732265446229</c:v>
                </c:pt>
                <c:pt idx="3">
                  <c:v>0.45492662473794548</c:v>
                </c:pt>
                <c:pt idx="4">
                  <c:v>0.34869739478957917</c:v>
                </c:pt>
                <c:pt idx="5">
                  <c:v>0.66876971608832803</c:v>
                </c:pt>
                <c:pt idx="6">
                  <c:v>0.65891472868217049</c:v>
                </c:pt>
                <c:pt idx="7">
                  <c:v>0.63440860215053763</c:v>
                </c:pt>
                <c:pt idx="8">
                  <c:v>0.61658031088082899</c:v>
                </c:pt>
                <c:pt idx="9">
                  <c:v>0.34957020057306593</c:v>
                </c:pt>
                <c:pt idx="10">
                  <c:v>0.44191919191919193</c:v>
                </c:pt>
                <c:pt idx="11">
                  <c:v>0.45359019264448336</c:v>
                </c:pt>
                <c:pt idx="12">
                  <c:v>0.45028142589118197</c:v>
                </c:pt>
                <c:pt idx="13">
                  <c:v>0.36197440585009139</c:v>
                </c:pt>
                <c:pt idx="14">
                  <c:v>0.75</c:v>
                </c:pt>
                <c:pt idx="15">
                  <c:v>0.84024896265560167</c:v>
                </c:pt>
                <c:pt idx="16">
                  <c:v>0.71218487394957986</c:v>
                </c:pt>
                <c:pt idx="17">
                  <c:v>0.35072463768115941</c:v>
                </c:pt>
                <c:pt idx="18">
                  <c:v>0.30204081632653063</c:v>
                </c:pt>
                <c:pt idx="19">
                  <c:v>0.30339321357285431</c:v>
                </c:pt>
                <c:pt idx="20">
                  <c:v>0.70253164556962022</c:v>
                </c:pt>
                <c:pt idx="21">
                  <c:v>0.59928443649373886</c:v>
                </c:pt>
                <c:pt idx="22">
                  <c:v>0.32798573975044565</c:v>
                </c:pt>
                <c:pt idx="23">
                  <c:v>0.83586626139817632</c:v>
                </c:pt>
                <c:pt idx="24">
                  <c:v>0.87323943661971826</c:v>
                </c:pt>
                <c:pt idx="25">
                  <c:v>0.89221556886227549</c:v>
                </c:pt>
                <c:pt idx="26">
                  <c:v>0.88323353293413176</c:v>
                </c:pt>
                <c:pt idx="27">
                  <c:v>0.78260869565217395</c:v>
                </c:pt>
                <c:pt idx="28">
                  <c:v>0.8101983002832861</c:v>
                </c:pt>
                <c:pt idx="29">
                  <c:v>0.83557951482479786</c:v>
                </c:pt>
                <c:pt idx="30">
                  <c:v>0.84210526315789469</c:v>
                </c:pt>
                <c:pt idx="31">
                  <c:v>0.82032667876588017</c:v>
                </c:pt>
                <c:pt idx="32">
                  <c:v>0.80705009276437845</c:v>
                </c:pt>
                <c:pt idx="33">
                  <c:v>0.77490774907749083</c:v>
                </c:pt>
                <c:pt idx="34">
                  <c:v>0.77014925373134324</c:v>
                </c:pt>
                <c:pt idx="35">
                  <c:v>0.88988095238095233</c:v>
                </c:pt>
                <c:pt idx="36">
                  <c:v>0.79939209726443772</c:v>
                </c:pt>
                <c:pt idx="37">
                  <c:v>0.62202380952380953</c:v>
                </c:pt>
                <c:pt idx="38">
                  <c:v>0.77596741344195519</c:v>
                </c:pt>
                <c:pt idx="39">
                  <c:v>0.73835920177383596</c:v>
                </c:pt>
                <c:pt idx="40">
                  <c:v>0.72584269662921352</c:v>
                </c:pt>
                <c:pt idx="41">
                  <c:v>0.78073089700996678</c:v>
                </c:pt>
                <c:pt idx="42">
                  <c:v>0.82561307901907355</c:v>
                </c:pt>
                <c:pt idx="43">
                  <c:v>0.84931506849315064</c:v>
                </c:pt>
                <c:pt idx="44">
                  <c:v>0.7696245733788396</c:v>
                </c:pt>
                <c:pt idx="45">
                  <c:v>0.1226158038147139</c:v>
                </c:pt>
                <c:pt idx="46">
                  <c:v>0.22538293216630198</c:v>
                </c:pt>
                <c:pt idx="47">
                  <c:v>0.22717149220489977</c:v>
                </c:pt>
                <c:pt idx="48">
                  <c:v>0.21987315010570824</c:v>
                </c:pt>
                <c:pt idx="49">
                  <c:v>0.57232704402515722</c:v>
                </c:pt>
                <c:pt idx="50">
                  <c:v>0.53846153846153844</c:v>
                </c:pt>
                <c:pt idx="51">
                  <c:v>0.51711711711711716</c:v>
                </c:pt>
                <c:pt idx="52">
                  <c:v>0.53921568627450978</c:v>
                </c:pt>
                <c:pt idx="53">
                  <c:v>0.56809338521400776</c:v>
                </c:pt>
                <c:pt idx="54">
                  <c:v>0.53805309734513274</c:v>
                </c:pt>
                <c:pt idx="55">
                  <c:v>0.38938053097345132</c:v>
                </c:pt>
                <c:pt idx="56">
                  <c:v>0.4985754985754986</c:v>
                </c:pt>
                <c:pt idx="57">
                  <c:v>0.48533333333333334</c:v>
                </c:pt>
                <c:pt idx="58">
                  <c:v>0.54039497307001794</c:v>
                </c:pt>
                <c:pt idx="59">
                  <c:v>0.53321364452423703</c:v>
                </c:pt>
                <c:pt idx="60">
                  <c:v>0.52115384615384619</c:v>
                </c:pt>
                <c:pt idx="61">
                  <c:v>0.51537070524412298</c:v>
                </c:pt>
                <c:pt idx="62">
                  <c:v>0.49828178694158076</c:v>
                </c:pt>
                <c:pt idx="63">
                  <c:v>0.43771043771043772</c:v>
                </c:pt>
                <c:pt idx="64">
                  <c:v>0.58677685950413228</c:v>
                </c:pt>
                <c:pt idx="65">
                  <c:v>0.53262786596119926</c:v>
                </c:pt>
                <c:pt idx="66">
                  <c:v>0.57760314341846763</c:v>
                </c:pt>
                <c:pt idx="67">
                  <c:v>0.5757575757575758</c:v>
                </c:pt>
                <c:pt idx="68">
                  <c:v>0.63229571984435795</c:v>
                </c:pt>
                <c:pt idx="69">
                  <c:v>0.59001782531194291</c:v>
                </c:pt>
                <c:pt idx="70">
                  <c:v>0.52982456140350875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E33-4067-94FB-C1A41E5CFA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5677647"/>
        <c:axId val="212633407"/>
      </c:scatterChart>
      <c:valAx>
        <c:axId val="2256776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633407"/>
        <c:crosses val="autoZero"/>
        <c:crossBetween val="midCat"/>
      </c:valAx>
      <c:valAx>
        <c:axId val="212633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56776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PH% vs Indian% N10Nilai GE15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6262685914260723E-2"/>
                  <c:y val="0.3576367016622922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8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N10Nilai!$G$2:$G$72</c:f>
              <c:numCache>
                <c:formatCode>0.0%</c:formatCode>
                <c:ptCount val="71"/>
                <c:pt idx="0">
                  <c:v>0.10222222222222223</c:v>
                </c:pt>
                <c:pt idx="1">
                  <c:v>0.14046822742474915</c:v>
                </c:pt>
                <c:pt idx="2">
                  <c:v>0.18729096989966554</c:v>
                </c:pt>
                <c:pt idx="3">
                  <c:v>0.16387959866220736</c:v>
                </c:pt>
                <c:pt idx="4">
                  <c:v>0.12353923205342238</c:v>
                </c:pt>
                <c:pt idx="5">
                  <c:v>0.27333333333333332</c:v>
                </c:pt>
                <c:pt idx="6">
                  <c:v>0.21940928270042195</c:v>
                </c:pt>
                <c:pt idx="7">
                  <c:v>0.21729957805907174</c:v>
                </c:pt>
                <c:pt idx="8">
                  <c:v>0.27368421052631581</c:v>
                </c:pt>
                <c:pt idx="9">
                  <c:v>0.39333333333333331</c:v>
                </c:pt>
                <c:pt idx="10">
                  <c:v>0.33333333333333331</c:v>
                </c:pt>
                <c:pt idx="11">
                  <c:v>0.27485380116959063</c:v>
                </c:pt>
                <c:pt idx="12">
                  <c:v>0.22368421052631579</c:v>
                </c:pt>
                <c:pt idx="13">
                  <c:v>0.18102189781021899</c:v>
                </c:pt>
                <c:pt idx="14">
                  <c:v>0.21555555555555556</c:v>
                </c:pt>
                <c:pt idx="15">
                  <c:v>0.28915662650602408</c:v>
                </c:pt>
                <c:pt idx="16">
                  <c:v>0.30636833046471601</c:v>
                </c:pt>
                <c:pt idx="17">
                  <c:v>0.29555555555555557</c:v>
                </c:pt>
                <c:pt idx="18">
                  <c:v>0.10954616588419405</c:v>
                </c:pt>
                <c:pt idx="19">
                  <c:v>9.2331768388106417E-2</c:v>
                </c:pt>
                <c:pt idx="20">
                  <c:v>0.16</c:v>
                </c:pt>
                <c:pt idx="21">
                  <c:v>0.1701534170153417</c:v>
                </c:pt>
                <c:pt idx="22">
                  <c:v>0.13370473537604458</c:v>
                </c:pt>
                <c:pt idx="23">
                  <c:v>2.7272727272727271E-2</c:v>
                </c:pt>
                <c:pt idx="24">
                  <c:v>6.4732142857142863E-2</c:v>
                </c:pt>
                <c:pt idx="25">
                  <c:v>0.13169642857142858</c:v>
                </c:pt>
                <c:pt idx="26">
                  <c:v>0.171875</c:v>
                </c:pt>
                <c:pt idx="27">
                  <c:v>8.666666666666667E-2</c:v>
                </c:pt>
                <c:pt idx="28">
                  <c:v>8.666666666666667E-2</c:v>
                </c:pt>
                <c:pt idx="29">
                  <c:v>0.11555555555555555</c:v>
                </c:pt>
                <c:pt idx="30">
                  <c:v>0.15350877192982457</c:v>
                </c:pt>
                <c:pt idx="31">
                  <c:v>0.20175438596491227</c:v>
                </c:pt>
                <c:pt idx="32">
                  <c:v>0.22222222222222221</c:v>
                </c:pt>
                <c:pt idx="33">
                  <c:v>0.195906432748538</c:v>
                </c:pt>
                <c:pt idx="34">
                  <c:v>0.40500000000000003</c:v>
                </c:pt>
                <c:pt idx="35">
                  <c:v>0.4138755980861244</c:v>
                </c:pt>
                <c:pt idx="36">
                  <c:v>0.37799043062200954</c:v>
                </c:pt>
                <c:pt idx="37">
                  <c:v>0.29333333333333333</c:v>
                </c:pt>
                <c:pt idx="38">
                  <c:v>0.33040421792618629</c:v>
                </c:pt>
                <c:pt idx="39">
                  <c:v>0.32688927943760981</c:v>
                </c:pt>
                <c:pt idx="40">
                  <c:v>0.34094903339191562</c:v>
                </c:pt>
                <c:pt idx="41">
                  <c:v>0.15333333333333332</c:v>
                </c:pt>
                <c:pt idx="42">
                  <c:v>0.21111111111111111</c:v>
                </c:pt>
                <c:pt idx="43">
                  <c:v>0.32166890982503366</c:v>
                </c:pt>
                <c:pt idx="44">
                  <c:v>0.35618279569892475</c:v>
                </c:pt>
                <c:pt idx="45">
                  <c:v>6.8888888888888888E-2</c:v>
                </c:pt>
                <c:pt idx="46">
                  <c:v>7.5949367088607597E-2</c:v>
                </c:pt>
                <c:pt idx="47">
                  <c:v>6.50994575045208E-2</c:v>
                </c:pt>
                <c:pt idx="48">
                  <c:v>7.9279279279279274E-2</c:v>
                </c:pt>
                <c:pt idx="49">
                  <c:v>0.43555555555555553</c:v>
                </c:pt>
                <c:pt idx="50">
                  <c:v>0.33111111111111113</c:v>
                </c:pt>
                <c:pt idx="51">
                  <c:v>0.31532846715328466</c:v>
                </c:pt>
                <c:pt idx="52">
                  <c:v>0.28467153284671531</c:v>
                </c:pt>
                <c:pt idx="53">
                  <c:v>0.25255474452554744</c:v>
                </c:pt>
                <c:pt idx="54">
                  <c:v>0.23941605839416058</c:v>
                </c:pt>
                <c:pt idx="55">
                  <c:v>0.15474452554744525</c:v>
                </c:pt>
                <c:pt idx="56">
                  <c:v>0.29777777777777775</c:v>
                </c:pt>
                <c:pt idx="57">
                  <c:v>0.26</c:v>
                </c:pt>
                <c:pt idx="58">
                  <c:v>0.28111888111888111</c:v>
                </c:pt>
                <c:pt idx="59">
                  <c:v>0.31888111888111886</c:v>
                </c:pt>
                <c:pt idx="60">
                  <c:v>0.25174825174825177</c:v>
                </c:pt>
                <c:pt idx="61">
                  <c:v>0.23496503496503496</c:v>
                </c:pt>
                <c:pt idx="62">
                  <c:v>0.2011173184357542</c:v>
                </c:pt>
                <c:pt idx="63">
                  <c:v>0.18435754189944134</c:v>
                </c:pt>
                <c:pt idx="64">
                  <c:v>0.2311111111111111</c:v>
                </c:pt>
                <c:pt idx="65">
                  <c:v>0.19941348973607037</c:v>
                </c:pt>
                <c:pt idx="66">
                  <c:v>0.20381231671554254</c:v>
                </c:pt>
                <c:pt idx="67">
                  <c:v>0.17008797653958943</c:v>
                </c:pt>
                <c:pt idx="68">
                  <c:v>0.15689149560117302</c:v>
                </c:pt>
                <c:pt idx="69">
                  <c:v>0.13196480938416422</c:v>
                </c:pt>
                <c:pt idx="70">
                  <c:v>0.12573099415204678</c:v>
                </c:pt>
              </c:numCache>
            </c:numRef>
          </c:xVal>
          <c:yVal>
            <c:numRef>
              <c:f>N10Nilai!$B$2:$B$72</c:f>
              <c:numCache>
                <c:formatCode>0.0%</c:formatCode>
                <c:ptCount val="71"/>
                <c:pt idx="0">
                  <c:v>0.74454828660436134</c:v>
                </c:pt>
                <c:pt idx="1">
                  <c:v>0.65048543689320393</c:v>
                </c:pt>
                <c:pt idx="2">
                  <c:v>0.60640732265446229</c:v>
                </c:pt>
                <c:pt idx="3">
                  <c:v>0.45492662473794548</c:v>
                </c:pt>
                <c:pt idx="4">
                  <c:v>0.34869739478957917</c:v>
                </c:pt>
                <c:pt idx="5">
                  <c:v>0.66876971608832803</c:v>
                </c:pt>
                <c:pt idx="6">
                  <c:v>0.65891472868217049</c:v>
                </c:pt>
                <c:pt idx="7">
                  <c:v>0.63440860215053763</c:v>
                </c:pt>
                <c:pt idx="8">
                  <c:v>0.61658031088082899</c:v>
                </c:pt>
                <c:pt idx="9">
                  <c:v>0.34957020057306593</c:v>
                </c:pt>
                <c:pt idx="10">
                  <c:v>0.44191919191919193</c:v>
                </c:pt>
                <c:pt idx="11">
                  <c:v>0.45359019264448336</c:v>
                </c:pt>
                <c:pt idx="12">
                  <c:v>0.45028142589118197</c:v>
                </c:pt>
                <c:pt idx="13">
                  <c:v>0.36197440585009139</c:v>
                </c:pt>
                <c:pt idx="14">
                  <c:v>0.75</c:v>
                </c:pt>
                <c:pt idx="15">
                  <c:v>0.84024896265560167</c:v>
                </c:pt>
                <c:pt idx="16">
                  <c:v>0.71218487394957986</c:v>
                </c:pt>
                <c:pt idx="17">
                  <c:v>0.35072463768115941</c:v>
                </c:pt>
                <c:pt idx="18">
                  <c:v>0.30204081632653063</c:v>
                </c:pt>
                <c:pt idx="19">
                  <c:v>0.30339321357285431</c:v>
                </c:pt>
                <c:pt idx="20">
                  <c:v>0.70253164556962022</c:v>
                </c:pt>
                <c:pt idx="21">
                  <c:v>0.59928443649373886</c:v>
                </c:pt>
                <c:pt idx="22">
                  <c:v>0.32798573975044565</c:v>
                </c:pt>
                <c:pt idx="23">
                  <c:v>0.83586626139817632</c:v>
                </c:pt>
                <c:pt idx="24">
                  <c:v>0.87323943661971826</c:v>
                </c:pt>
                <c:pt idx="25">
                  <c:v>0.89221556886227549</c:v>
                </c:pt>
                <c:pt idx="26">
                  <c:v>0.88323353293413176</c:v>
                </c:pt>
                <c:pt idx="27">
                  <c:v>0.78260869565217395</c:v>
                </c:pt>
                <c:pt idx="28">
                  <c:v>0.8101983002832861</c:v>
                </c:pt>
                <c:pt idx="29">
                  <c:v>0.83557951482479786</c:v>
                </c:pt>
                <c:pt idx="30">
                  <c:v>0.84210526315789469</c:v>
                </c:pt>
                <c:pt idx="31">
                  <c:v>0.82032667876588017</c:v>
                </c:pt>
                <c:pt idx="32">
                  <c:v>0.80705009276437845</c:v>
                </c:pt>
                <c:pt idx="33">
                  <c:v>0.77490774907749083</c:v>
                </c:pt>
                <c:pt idx="34">
                  <c:v>0.77014925373134324</c:v>
                </c:pt>
                <c:pt idx="35">
                  <c:v>0.88988095238095233</c:v>
                </c:pt>
                <c:pt idx="36">
                  <c:v>0.79939209726443772</c:v>
                </c:pt>
                <c:pt idx="37">
                  <c:v>0.62202380952380953</c:v>
                </c:pt>
                <c:pt idx="38">
                  <c:v>0.77596741344195519</c:v>
                </c:pt>
                <c:pt idx="39">
                  <c:v>0.73835920177383596</c:v>
                </c:pt>
                <c:pt idx="40">
                  <c:v>0.72584269662921352</c:v>
                </c:pt>
                <c:pt idx="41">
                  <c:v>0.78073089700996678</c:v>
                </c:pt>
                <c:pt idx="42">
                  <c:v>0.82561307901907355</c:v>
                </c:pt>
                <c:pt idx="43">
                  <c:v>0.84931506849315064</c:v>
                </c:pt>
                <c:pt idx="44">
                  <c:v>0.7696245733788396</c:v>
                </c:pt>
                <c:pt idx="45">
                  <c:v>0.1226158038147139</c:v>
                </c:pt>
                <c:pt idx="46">
                  <c:v>0.22538293216630198</c:v>
                </c:pt>
                <c:pt idx="47">
                  <c:v>0.22717149220489977</c:v>
                </c:pt>
                <c:pt idx="48">
                  <c:v>0.21987315010570824</c:v>
                </c:pt>
                <c:pt idx="49">
                  <c:v>0.57232704402515722</c:v>
                </c:pt>
                <c:pt idx="50">
                  <c:v>0.53846153846153844</c:v>
                </c:pt>
                <c:pt idx="51">
                  <c:v>0.51711711711711716</c:v>
                </c:pt>
                <c:pt idx="52">
                  <c:v>0.53921568627450978</c:v>
                </c:pt>
                <c:pt idx="53">
                  <c:v>0.56809338521400776</c:v>
                </c:pt>
                <c:pt idx="54">
                  <c:v>0.53805309734513274</c:v>
                </c:pt>
                <c:pt idx="55">
                  <c:v>0.38938053097345132</c:v>
                </c:pt>
                <c:pt idx="56">
                  <c:v>0.4985754985754986</c:v>
                </c:pt>
                <c:pt idx="57">
                  <c:v>0.48533333333333334</c:v>
                </c:pt>
                <c:pt idx="58">
                  <c:v>0.54039497307001794</c:v>
                </c:pt>
                <c:pt idx="59">
                  <c:v>0.53321364452423703</c:v>
                </c:pt>
                <c:pt idx="60">
                  <c:v>0.52115384615384619</c:v>
                </c:pt>
                <c:pt idx="61">
                  <c:v>0.51537070524412298</c:v>
                </c:pt>
                <c:pt idx="62">
                  <c:v>0.49828178694158076</c:v>
                </c:pt>
                <c:pt idx="63">
                  <c:v>0.43771043771043772</c:v>
                </c:pt>
                <c:pt idx="64">
                  <c:v>0.58677685950413228</c:v>
                </c:pt>
                <c:pt idx="65">
                  <c:v>0.53262786596119926</c:v>
                </c:pt>
                <c:pt idx="66">
                  <c:v>0.57760314341846763</c:v>
                </c:pt>
                <c:pt idx="67">
                  <c:v>0.5757575757575758</c:v>
                </c:pt>
                <c:pt idx="68">
                  <c:v>0.63229571984435795</c:v>
                </c:pt>
                <c:pt idx="69">
                  <c:v>0.59001782531194291</c:v>
                </c:pt>
                <c:pt idx="70">
                  <c:v>0.52982456140350875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31E-4C35-9BAD-C4456773E1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5677647"/>
        <c:axId val="212633407"/>
      </c:scatterChart>
      <c:valAx>
        <c:axId val="2256776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633407"/>
        <c:crosses val="autoZero"/>
        <c:crossBetween val="midCat"/>
      </c:valAx>
      <c:valAx>
        <c:axId val="212633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56776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Turnout% vs Malay% N11Lobak GE15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5.0447944006999125E-2"/>
                  <c:y val="0.137397200349956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8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N11Lobak!$E$2:$E$44</c:f>
              <c:numCache>
                <c:formatCode>0.0%</c:formatCode>
                <c:ptCount val="43"/>
                <c:pt idx="0">
                  <c:v>0.10444444444444445</c:v>
                </c:pt>
                <c:pt idx="1">
                  <c:v>0.14000000000000001</c:v>
                </c:pt>
                <c:pt idx="2">
                  <c:v>7.6799999999999993E-2</c:v>
                </c:pt>
                <c:pt idx="3">
                  <c:v>6.5600000000000006E-2</c:v>
                </c:pt>
                <c:pt idx="4">
                  <c:v>8.9599999999999999E-2</c:v>
                </c:pt>
                <c:pt idx="5">
                  <c:v>0.18240000000000001</c:v>
                </c:pt>
                <c:pt idx="6">
                  <c:v>0.20960000000000001</c:v>
                </c:pt>
                <c:pt idx="7">
                  <c:v>8.8888888888888889E-3</c:v>
                </c:pt>
                <c:pt idx="8">
                  <c:v>4.4444444444444444E-3</c:v>
                </c:pt>
                <c:pt idx="9">
                  <c:v>1.5555555555555555E-2</c:v>
                </c:pt>
                <c:pt idx="10">
                  <c:v>3.6395147313691506E-2</c:v>
                </c:pt>
                <c:pt idx="11">
                  <c:v>4.5060658578856154E-2</c:v>
                </c:pt>
                <c:pt idx="12">
                  <c:v>2.4263431542461005E-2</c:v>
                </c:pt>
                <c:pt idx="13">
                  <c:v>6.2391681109185443E-2</c:v>
                </c:pt>
                <c:pt idx="14">
                  <c:v>6.9324090121317156E-2</c:v>
                </c:pt>
                <c:pt idx="15">
                  <c:v>5.0173010380622836E-2</c:v>
                </c:pt>
                <c:pt idx="16">
                  <c:v>1.7777777777777778E-2</c:v>
                </c:pt>
                <c:pt idx="17">
                  <c:v>1.3333333333333334E-2</c:v>
                </c:pt>
                <c:pt idx="18">
                  <c:v>6.6666666666666671E-3</c:v>
                </c:pt>
                <c:pt idx="19">
                  <c:v>2.6041666666666668E-2</c:v>
                </c:pt>
                <c:pt idx="20">
                  <c:v>5.7192374350086658E-2</c:v>
                </c:pt>
                <c:pt idx="21">
                  <c:v>3.111111111111111E-2</c:v>
                </c:pt>
                <c:pt idx="22">
                  <c:v>0.02</c:v>
                </c:pt>
                <c:pt idx="23">
                  <c:v>0.02</c:v>
                </c:pt>
                <c:pt idx="24">
                  <c:v>3.6061026352288486E-2</c:v>
                </c:pt>
                <c:pt idx="25">
                  <c:v>5.5478502080443831E-2</c:v>
                </c:pt>
                <c:pt idx="26">
                  <c:v>6.9348127600554782E-2</c:v>
                </c:pt>
                <c:pt idx="27">
                  <c:v>7.3407202216066489E-2</c:v>
                </c:pt>
                <c:pt idx="28">
                  <c:v>1.7777777777777778E-2</c:v>
                </c:pt>
                <c:pt idx="29">
                  <c:v>6.6666666666666671E-3</c:v>
                </c:pt>
                <c:pt idx="30">
                  <c:v>1.7777777777777778E-2</c:v>
                </c:pt>
                <c:pt idx="31">
                  <c:v>8.7912087912087912E-3</c:v>
                </c:pt>
                <c:pt idx="32">
                  <c:v>2.34375E-2</c:v>
                </c:pt>
                <c:pt idx="33">
                  <c:v>3.90625E-2</c:v>
                </c:pt>
                <c:pt idx="34">
                  <c:v>4.8828125E-2</c:v>
                </c:pt>
                <c:pt idx="35">
                  <c:v>0.109375</c:v>
                </c:pt>
                <c:pt idx="36">
                  <c:v>1.7777777777777778E-2</c:v>
                </c:pt>
                <c:pt idx="37">
                  <c:v>1.1111111111111112E-2</c:v>
                </c:pt>
                <c:pt idx="38">
                  <c:v>0.04</c:v>
                </c:pt>
                <c:pt idx="39">
                  <c:v>2.2580645161290321E-2</c:v>
                </c:pt>
                <c:pt idx="40">
                  <c:v>5.6451612903225805E-2</c:v>
                </c:pt>
                <c:pt idx="41">
                  <c:v>5.6451612903225805E-2</c:v>
                </c:pt>
                <c:pt idx="42">
                  <c:v>5.4838709677419356E-2</c:v>
                </c:pt>
              </c:numCache>
            </c:numRef>
          </c:xVal>
          <c:yVal>
            <c:numRef>
              <c:f>N11Lobak!$A$2:$A$44</c:f>
              <c:numCache>
                <c:formatCode>0.0%</c:formatCode>
                <c:ptCount val="43"/>
                <c:pt idx="0">
                  <c:v>0.68888888888888888</c:v>
                </c:pt>
                <c:pt idx="1">
                  <c:v>0.81555555555555559</c:v>
                </c:pt>
                <c:pt idx="2">
                  <c:v>0.78239999999999998</c:v>
                </c:pt>
                <c:pt idx="3">
                  <c:v>0.76480000000000004</c:v>
                </c:pt>
                <c:pt idx="4">
                  <c:v>0.75039999999999996</c:v>
                </c:pt>
                <c:pt idx="5">
                  <c:v>0.7248</c:v>
                </c:pt>
                <c:pt idx="6">
                  <c:v>0.77280000000000004</c:v>
                </c:pt>
                <c:pt idx="7">
                  <c:v>0.55111111111111111</c:v>
                </c:pt>
                <c:pt idx="8">
                  <c:v>0.76888888888888884</c:v>
                </c:pt>
                <c:pt idx="9">
                  <c:v>0.81333333333333335</c:v>
                </c:pt>
                <c:pt idx="10">
                  <c:v>0.8353552859618717</c:v>
                </c:pt>
                <c:pt idx="11">
                  <c:v>0.77989601386481799</c:v>
                </c:pt>
                <c:pt idx="12">
                  <c:v>0.75909878682842291</c:v>
                </c:pt>
                <c:pt idx="13">
                  <c:v>0.69324090121317161</c:v>
                </c:pt>
                <c:pt idx="14">
                  <c:v>0.66551126516464476</c:v>
                </c:pt>
                <c:pt idx="15">
                  <c:v>0.79757785467128028</c:v>
                </c:pt>
                <c:pt idx="16">
                  <c:v>0.54222222222222227</c:v>
                </c:pt>
                <c:pt idx="17">
                  <c:v>0.76666666666666672</c:v>
                </c:pt>
                <c:pt idx="18">
                  <c:v>0.78222222222222226</c:v>
                </c:pt>
                <c:pt idx="19">
                  <c:v>0.78125</c:v>
                </c:pt>
                <c:pt idx="20">
                  <c:v>0.75909878682842291</c:v>
                </c:pt>
                <c:pt idx="21">
                  <c:v>0.6</c:v>
                </c:pt>
                <c:pt idx="22">
                  <c:v>0.76444444444444448</c:v>
                </c:pt>
                <c:pt idx="23">
                  <c:v>0.78</c:v>
                </c:pt>
                <c:pt idx="24">
                  <c:v>0.75450762829403606</c:v>
                </c:pt>
                <c:pt idx="25">
                  <c:v>0.7434119278779473</c:v>
                </c:pt>
                <c:pt idx="26">
                  <c:v>0.69902912621359226</c:v>
                </c:pt>
                <c:pt idx="27">
                  <c:v>0.71883656509695293</c:v>
                </c:pt>
                <c:pt idx="28">
                  <c:v>0.47555555555555556</c:v>
                </c:pt>
                <c:pt idx="29">
                  <c:v>0.7155555555555555</c:v>
                </c:pt>
                <c:pt idx="30">
                  <c:v>0.71777777777777774</c:v>
                </c:pt>
                <c:pt idx="31">
                  <c:v>0.79560439560439555</c:v>
                </c:pt>
                <c:pt idx="32">
                  <c:v>0.818359375</c:v>
                </c:pt>
                <c:pt idx="33">
                  <c:v>0.775390625</c:v>
                </c:pt>
                <c:pt idx="34">
                  <c:v>0.71484375</c:v>
                </c:pt>
                <c:pt idx="35">
                  <c:v>0.73046875</c:v>
                </c:pt>
                <c:pt idx="36">
                  <c:v>0.54666666666666663</c:v>
                </c:pt>
                <c:pt idx="37">
                  <c:v>0.76</c:v>
                </c:pt>
                <c:pt idx="38">
                  <c:v>0.80222222222222217</c:v>
                </c:pt>
                <c:pt idx="39">
                  <c:v>0.80483870967741933</c:v>
                </c:pt>
                <c:pt idx="40">
                  <c:v>0.75</c:v>
                </c:pt>
                <c:pt idx="41">
                  <c:v>0.6806451612903226</c:v>
                </c:pt>
                <c:pt idx="42">
                  <c:v>0.75967741935483868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EC7-4E75-8777-BB470A9A09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6102735"/>
        <c:axId val="283135743"/>
      </c:scatterChart>
      <c:valAx>
        <c:axId val="13961027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3135743"/>
        <c:crosses val="autoZero"/>
        <c:crossBetween val="midCat"/>
      </c:valAx>
      <c:valAx>
        <c:axId val="283135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61027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Turnout% vs Chinese% N11Lobak GE15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4.3133202099737533E-2"/>
                  <c:y val="0.3031769466316710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8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N11Lobak!$F$2:$F$44</c:f>
              <c:numCache>
                <c:formatCode>0.0%</c:formatCode>
                <c:ptCount val="43"/>
                <c:pt idx="0">
                  <c:v>0.49333333333333335</c:v>
                </c:pt>
                <c:pt idx="1">
                  <c:v>0.38</c:v>
                </c:pt>
                <c:pt idx="2">
                  <c:v>0.49759999999999999</c:v>
                </c:pt>
                <c:pt idx="3">
                  <c:v>0.4864</c:v>
                </c:pt>
                <c:pt idx="4">
                  <c:v>0.40639999999999998</c:v>
                </c:pt>
                <c:pt idx="5">
                  <c:v>0.3856</c:v>
                </c:pt>
                <c:pt idx="6">
                  <c:v>0.36320000000000002</c:v>
                </c:pt>
                <c:pt idx="7">
                  <c:v>0.77111111111111108</c:v>
                </c:pt>
                <c:pt idx="8">
                  <c:v>0.74888888888888894</c:v>
                </c:pt>
                <c:pt idx="9">
                  <c:v>0.77777777777777779</c:v>
                </c:pt>
                <c:pt idx="10">
                  <c:v>0.74523396880415949</c:v>
                </c:pt>
                <c:pt idx="11">
                  <c:v>0.7365684575389948</c:v>
                </c:pt>
                <c:pt idx="12">
                  <c:v>0.75216637781629114</c:v>
                </c:pt>
                <c:pt idx="13">
                  <c:v>0.7036395147313691</c:v>
                </c:pt>
                <c:pt idx="14">
                  <c:v>0.71057192374350087</c:v>
                </c:pt>
                <c:pt idx="15">
                  <c:v>0.69377162629757783</c:v>
                </c:pt>
                <c:pt idx="16">
                  <c:v>0.74444444444444446</c:v>
                </c:pt>
                <c:pt idx="17">
                  <c:v>0.76</c:v>
                </c:pt>
                <c:pt idx="18">
                  <c:v>0.76</c:v>
                </c:pt>
                <c:pt idx="19">
                  <c:v>0.80034722222222221</c:v>
                </c:pt>
                <c:pt idx="20">
                  <c:v>0.70537261698440212</c:v>
                </c:pt>
                <c:pt idx="21">
                  <c:v>0.86444444444444446</c:v>
                </c:pt>
                <c:pt idx="22">
                  <c:v>0.87111111111111106</c:v>
                </c:pt>
                <c:pt idx="23">
                  <c:v>0.82222222222222219</c:v>
                </c:pt>
                <c:pt idx="24">
                  <c:v>0.76560332871012482</c:v>
                </c:pt>
                <c:pt idx="25">
                  <c:v>0.78085991678224687</c:v>
                </c:pt>
                <c:pt idx="26">
                  <c:v>0.75034674063800277</c:v>
                </c:pt>
                <c:pt idx="27">
                  <c:v>0.75069252077562332</c:v>
                </c:pt>
                <c:pt idx="28">
                  <c:v>0.9244444444444444</c:v>
                </c:pt>
                <c:pt idx="29">
                  <c:v>0.93333333333333335</c:v>
                </c:pt>
                <c:pt idx="30">
                  <c:v>0.91555555555555557</c:v>
                </c:pt>
                <c:pt idx="31">
                  <c:v>0.90329670329670331</c:v>
                </c:pt>
                <c:pt idx="32">
                  <c:v>0.888671875</c:v>
                </c:pt>
                <c:pt idx="33">
                  <c:v>0.900390625</c:v>
                </c:pt>
                <c:pt idx="34">
                  <c:v>0.822265625</c:v>
                </c:pt>
                <c:pt idx="35">
                  <c:v>0.79296875</c:v>
                </c:pt>
                <c:pt idx="36">
                  <c:v>0.85333333333333339</c:v>
                </c:pt>
                <c:pt idx="37">
                  <c:v>0.88222222222222224</c:v>
                </c:pt>
                <c:pt idx="38">
                  <c:v>0.77777777777777779</c:v>
                </c:pt>
                <c:pt idx="39">
                  <c:v>0.77741935483870972</c:v>
                </c:pt>
                <c:pt idx="40">
                  <c:v>0.67419354838709677</c:v>
                </c:pt>
                <c:pt idx="41">
                  <c:v>0.68870967741935485</c:v>
                </c:pt>
                <c:pt idx="42">
                  <c:v>0.69838709677419353</c:v>
                </c:pt>
              </c:numCache>
            </c:numRef>
          </c:xVal>
          <c:yVal>
            <c:numRef>
              <c:f>N11Lobak!$A$2:$A$44</c:f>
              <c:numCache>
                <c:formatCode>0.0%</c:formatCode>
                <c:ptCount val="43"/>
                <c:pt idx="0">
                  <c:v>0.68888888888888888</c:v>
                </c:pt>
                <c:pt idx="1">
                  <c:v>0.81555555555555559</c:v>
                </c:pt>
                <c:pt idx="2">
                  <c:v>0.78239999999999998</c:v>
                </c:pt>
                <c:pt idx="3">
                  <c:v>0.76480000000000004</c:v>
                </c:pt>
                <c:pt idx="4">
                  <c:v>0.75039999999999996</c:v>
                </c:pt>
                <c:pt idx="5">
                  <c:v>0.7248</c:v>
                </c:pt>
                <c:pt idx="6">
                  <c:v>0.77280000000000004</c:v>
                </c:pt>
                <c:pt idx="7">
                  <c:v>0.55111111111111111</c:v>
                </c:pt>
                <c:pt idx="8">
                  <c:v>0.76888888888888884</c:v>
                </c:pt>
                <c:pt idx="9">
                  <c:v>0.81333333333333335</c:v>
                </c:pt>
                <c:pt idx="10">
                  <c:v>0.8353552859618717</c:v>
                </c:pt>
                <c:pt idx="11">
                  <c:v>0.77989601386481799</c:v>
                </c:pt>
                <c:pt idx="12">
                  <c:v>0.75909878682842291</c:v>
                </c:pt>
                <c:pt idx="13">
                  <c:v>0.69324090121317161</c:v>
                </c:pt>
                <c:pt idx="14">
                  <c:v>0.66551126516464476</c:v>
                </c:pt>
                <c:pt idx="15">
                  <c:v>0.79757785467128028</c:v>
                </c:pt>
                <c:pt idx="16">
                  <c:v>0.54222222222222227</c:v>
                </c:pt>
                <c:pt idx="17">
                  <c:v>0.76666666666666672</c:v>
                </c:pt>
                <c:pt idx="18">
                  <c:v>0.78222222222222226</c:v>
                </c:pt>
                <c:pt idx="19">
                  <c:v>0.78125</c:v>
                </c:pt>
                <c:pt idx="20">
                  <c:v>0.75909878682842291</c:v>
                </c:pt>
                <c:pt idx="21">
                  <c:v>0.6</c:v>
                </c:pt>
                <c:pt idx="22">
                  <c:v>0.76444444444444448</c:v>
                </c:pt>
                <c:pt idx="23">
                  <c:v>0.78</c:v>
                </c:pt>
                <c:pt idx="24">
                  <c:v>0.75450762829403606</c:v>
                </c:pt>
                <c:pt idx="25">
                  <c:v>0.7434119278779473</c:v>
                </c:pt>
                <c:pt idx="26">
                  <c:v>0.69902912621359226</c:v>
                </c:pt>
                <c:pt idx="27">
                  <c:v>0.71883656509695293</c:v>
                </c:pt>
                <c:pt idx="28">
                  <c:v>0.47555555555555556</c:v>
                </c:pt>
                <c:pt idx="29">
                  <c:v>0.7155555555555555</c:v>
                </c:pt>
                <c:pt idx="30">
                  <c:v>0.71777777777777774</c:v>
                </c:pt>
                <c:pt idx="31">
                  <c:v>0.79560439560439555</c:v>
                </c:pt>
                <c:pt idx="32">
                  <c:v>0.818359375</c:v>
                </c:pt>
                <c:pt idx="33">
                  <c:v>0.775390625</c:v>
                </c:pt>
                <c:pt idx="34">
                  <c:v>0.71484375</c:v>
                </c:pt>
                <c:pt idx="35">
                  <c:v>0.73046875</c:v>
                </c:pt>
                <c:pt idx="36">
                  <c:v>0.54666666666666663</c:v>
                </c:pt>
                <c:pt idx="37">
                  <c:v>0.76</c:v>
                </c:pt>
                <c:pt idx="38">
                  <c:v>0.80222222222222217</c:v>
                </c:pt>
                <c:pt idx="39">
                  <c:v>0.80483870967741933</c:v>
                </c:pt>
                <c:pt idx="40">
                  <c:v>0.75</c:v>
                </c:pt>
                <c:pt idx="41">
                  <c:v>0.6806451612903226</c:v>
                </c:pt>
                <c:pt idx="42">
                  <c:v>0.75967741935483868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300-479F-842A-E418DC2004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6102735"/>
        <c:axId val="283135743"/>
      </c:scatterChart>
      <c:valAx>
        <c:axId val="13961027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3135743"/>
        <c:crosses val="autoZero"/>
        <c:crossBetween val="midCat"/>
      </c:valAx>
      <c:valAx>
        <c:axId val="283135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61027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Turnout% vs Indian% N11Lobak GE15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4.3133202099737533E-2"/>
                  <c:y val="0.3031769466316710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8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N11Lobak!$G$2:$G$44</c:f>
              <c:numCache>
                <c:formatCode>0.0%</c:formatCode>
                <c:ptCount val="43"/>
                <c:pt idx="0">
                  <c:v>0.36888888888888888</c:v>
                </c:pt>
                <c:pt idx="1">
                  <c:v>0.43111111111111111</c:v>
                </c:pt>
                <c:pt idx="2">
                  <c:v>0.38080000000000003</c:v>
                </c:pt>
                <c:pt idx="3">
                  <c:v>0.38080000000000003</c:v>
                </c:pt>
                <c:pt idx="4">
                  <c:v>0.4304</c:v>
                </c:pt>
                <c:pt idx="5">
                  <c:v>0.41599999999999998</c:v>
                </c:pt>
                <c:pt idx="6">
                  <c:v>0.41920000000000002</c:v>
                </c:pt>
                <c:pt idx="7">
                  <c:v>0.21777777777777776</c:v>
                </c:pt>
                <c:pt idx="8">
                  <c:v>0.24444444444444444</c:v>
                </c:pt>
                <c:pt idx="9">
                  <c:v>0.20444444444444446</c:v>
                </c:pt>
                <c:pt idx="10">
                  <c:v>0.21143847487001732</c:v>
                </c:pt>
                <c:pt idx="11">
                  <c:v>0.20623916811091855</c:v>
                </c:pt>
                <c:pt idx="12">
                  <c:v>0.21837088388214904</c:v>
                </c:pt>
                <c:pt idx="13">
                  <c:v>0.22876949740034663</c:v>
                </c:pt>
                <c:pt idx="14">
                  <c:v>0.21663778162911612</c:v>
                </c:pt>
                <c:pt idx="15">
                  <c:v>0.25259515570934254</c:v>
                </c:pt>
                <c:pt idx="16">
                  <c:v>0.22</c:v>
                </c:pt>
                <c:pt idx="17">
                  <c:v>0.22</c:v>
                </c:pt>
                <c:pt idx="18">
                  <c:v>0.23333333333333334</c:v>
                </c:pt>
                <c:pt idx="19">
                  <c:v>0.16840277777777779</c:v>
                </c:pt>
                <c:pt idx="20">
                  <c:v>0.23223570190641249</c:v>
                </c:pt>
                <c:pt idx="21">
                  <c:v>9.555555555555556E-2</c:v>
                </c:pt>
                <c:pt idx="22">
                  <c:v>9.555555555555556E-2</c:v>
                </c:pt>
                <c:pt idx="23">
                  <c:v>0.15333333333333332</c:v>
                </c:pt>
                <c:pt idx="24">
                  <c:v>0.1941747572815534</c:v>
                </c:pt>
                <c:pt idx="25">
                  <c:v>0.15811373092926492</c:v>
                </c:pt>
                <c:pt idx="26">
                  <c:v>0.17753120665742025</c:v>
                </c:pt>
                <c:pt idx="27">
                  <c:v>0.17590027700831026</c:v>
                </c:pt>
                <c:pt idx="28">
                  <c:v>5.7777777777777775E-2</c:v>
                </c:pt>
                <c:pt idx="29">
                  <c:v>0.06</c:v>
                </c:pt>
                <c:pt idx="30">
                  <c:v>6.222222222222222E-2</c:v>
                </c:pt>
                <c:pt idx="31">
                  <c:v>8.1318681318681321E-2</c:v>
                </c:pt>
                <c:pt idx="32">
                  <c:v>8.203125E-2</c:v>
                </c:pt>
                <c:pt idx="33">
                  <c:v>5.859375E-2</c:v>
                </c:pt>
                <c:pt idx="34">
                  <c:v>0.12890625</c:v>
                </c:pt>
                <c:pt idx="35">
                  <c:v>9.765625E-2</c:v>
                </c:pt>
                <c:pt idx="36">
                  <c:v>0.12666666666666668</c:v>
                </c:pt>
                <c:pt idx="37">
                  <c:v>9.7777777777777783E-2</c:v>
                </c:pt>
                <c:pt idx="38">
                  <c:v>0.17555555555555555</c:v>
                </c:pt>
                <c:pt idx="39">
                  <c:v>0.19354838709677419</c:v>
                </c:pt>
                <c:pt idx="40">
                  <c:v>0.26451612903225807</c:v>
                </c:pt>
                <c:pt idx="41">
                  <c:v>0.24677419354838709</c:v>
                </c:pt>
                <c:pt idx="42">
                  <c:v>0.24516129032258063</c:v>
                </c:pt>
              </c:numCache>
            </c:numRef>
          </c:xVal>
          <c:yVal>
            <c:numRef>
              <c:f>N11Lobak!$A$2:$A$44</c:f>
              <c:numCache>
                <c:formatCode>0.0%</c:formatCode>
                <c:ptCount val="43"/>
                <c:pt idx="0">
                  <c:v>0.68888888888888888</c:v>
                </c:pt>
                <c:pt idx="1">
                  <c:v>0.81555555555555559</c:v>
                </c:pt>
                <c:pt idx="2">
                  <c:v>0.78239999999999998</c:v>
                </c:pt>
                <c:pt idx="3">
                  <c:v>0.76480000000000004</c:v>
                </c:pt>
                <c:pt idx="4">
                  <c:v>0.75039999999999996</c:v>
                </c:pt>
                <c:pt idx="5">
                  <c:v>0.7248</c:v>
                </c:pt>
                <c:pt idx="6">
                  <c:v>0.77280000000000004</c:v>
                </c:pt>
                <c:pt idx="7">
                  <c:v>0.55111111111111111</c:v>
                </c:pt>
                <c:pt idx="8">
                  <c:v>0.76888888888888884</c:v>
                </c:pt>
                <c:pt idx="9">
                  <c:v>0.81333333333333335</c:v>
                </c:pt>
                <c:pt idx="10">
                  <c:v>0.8353552859618717</c:v>
                </c:pt>
                <c:pt idx="11">
                  <c:v>0.77989601386481799</c:v>
                </c:pt>
                <c:pt idx="12">
                  <c:v>0.75909878682842291</c:v>
                </c:pt>
                <c:pt idx="13">
                  <c:v>0.69324090121317161</c:v>
                </c:pt>
                <c:pt idx="14">
                  <c:v>0.66551126516464476</c:v>
                </c:pt>
                <c:pt idx="15">
                  <c:v>0.79757785467128028</c:v>
                </c:pt>
                <c:pt idx="16">
                  <c:v>0.54222222222222227</c:v>
                </c:pt>
                <c:pt idx="17">
                  <c:v>0.76666666666666672</c:v>
                </c:pt>
                <c:pt idx="18">
                  <c:v>0.78222222222222226</c:v>
                </c:pt>
                <c:pt idx="19">
                  <c:v>0.78125</c:v>
                </c:pt>
                <c:pt idx="20">
                  <c:v>0.75909878682842291</c:v>
                </c:pt>
                <c:pt idx="21">
                  <c:v>0.6</c:v>
                </c:pt>
                <c:pt idx="22">
                  <c:v>0.76444444444444448</c:v>
                </c:pt>
                <c:pt idx="23">
                  <c:v>0.78</c:v>
                </c:pt>
                <c:pt idx="24">
                  <c:v>0.75450762829403606</c:v>
                </c:pt>
                <c:pt idx="25">
                  <c:v>0.7434119278779473</c:v>
                </c:pt>
                <c:pt idx="26">
                  <c:v>0.69902912621359226</c:v>
                </c:pt>
                <c:pt idx="27">
                  <c:v>0.71883656509695293</c:v>
                </c:pt>
                <c:pt idx="28">
                  <c:v>0.47555555555555556</c:v>
                </c:pt>
                <c:pt idx="29">
                  <c:v>0.7155555555555555</c:v>
                </c:pt>
                <c:pt idx="30">
                  <c:v>0.71777777777777774</c:v>
                </c:pt>
                <c:pt idx="31">
                  <c:v>0.79560439560439555</c:v>
                </c:pt>
                <c:pt idx="32">
                  <c:v>0.818359375</c:v>
                </c:pt>
                <c:pt idx="33">
                  <c:v>0.775390625</c:v>
                </c:pt>
                <c:pt idx="34">
                  <c:v>0.71484375</c:v>
                </c:pt>
                <c:pt idx="35">
                  <c:v>0.73046875</c:v>
                </c:pt>
                <c:pt idx="36">
                  <c:v>0.54666666666666663</c:v>
                </c:pt>
                <c:pt idx="37">
                  <c:v>0.76</c:v>
                </c:pt>
                <c:pt idx="38">
                  <c:v>0.80222222222222217</c:v>
                </c:pt>
                <c:pt idx="39">
                  <c:v>0.80483870967741933</c:v>
                </c:pt>
                <c:pt idx="40">
                  <c:v>0.75</c:v>
                </c:pt>
                <c:pt idx="41">
                  <c:v>0.6806451612903226</c:v>
                </c:pt>
                <c:pt idx="42">
                  <c:v>0.75967741935483868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A7B-4041-9EA8-091007C600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6102735"/>
        <c:axId val="283135743"/>
      </c:scatterChart>
      <c:valAx>
        <c:axId val="13961027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3135743"/>
        <c:crosses val="autoZero"/>
        <c:crossBetween val="midCat"/>
      </c:valAx>
      <c:valAx>
        <c:axId val="283135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61027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PH% vs Malay% N11Lobak GE15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5.0447944006999125E-2"/>
                  <c:y val="0.137397200349956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8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N11Lobak!$E$2:$E$44</c:f>
              <c:numCache>
                <c:formatCode>0.0%</c:formatCode>
                <c:ptCount val="43"/>
                <c:pt idx="0">
                  <c:v>0.10444444444444445</c:v>
                </c:pt>
                <c:pt idx="1">
                  <c:v>0.14000000000000001</c:v>
                </c:pt>
                <c:pt idx="2">
                  <c:v>7.6799999999999993E-2</c:v>
                </c:pt>
                <c:pt idx="3">
                  <c:v>6.5600000000000006E-2</c:v>
                </c:pt>
                <c:pt idx="4">
                  <c:v>8.9599999999999999E-2</c:v>
                </c:pt>
                <c:pt idx="5">
                  <c:v>0.18240000000000001</c:v>
                </c:pt>
                <c:pt idx="6">
                  <c:v>0.20960000000000001</c:v>
                </c:pt>
                <c:pt idx="7">
                  <c:v>8.8888888888888889E-3</c:v>
                </c:pt>
                <c:pt idx="8">
                  <c:v>4.4444444444444444E-3</c:v>
                </c:pt>
                <c:pt idx="9">
                  <c:v>1.5555555555555555E-2</c:v>
                </c:pt>
                <c:pt idx="10">
                  <c:v>3.6395147313691506E-2</c:v>
                </c:pt>
                <c:pt idx="11">
                  <c:v>4.5060658578856154E-2</c:v>
                </c:pt>
                <c:pt idx="12">
                  <c:v>2.4263431542461005E-2</c:v>
                </c:pt>
                <c:pt idx="13">
                  <c:v>6.2391681109185443E-2</c:v>
                </c:pt>
                <c:pt idx="14">
                  <c:v>6.9324090121317156E-2</c:v>
                </c:pt>
                <c:pt idx="15">
                  <c:v>5.0173010380622836E-2</c:v>
                </c:pt>
                <c:pt idx="16">
                  <c:v>1.7777777777777778E-2</c:v>
                </c:pt>
                <c:pt idx="17">
                  <c:v>1.3333333333333334E-2</c:v>
                </c:pt>
                <c:pt idx="18">
                  <c:v>6.6666666666666671E-3</c:v>
                </c:pt>
                <c:pt idx="19">
                  <c:v>2.6041666666666668E-2</c:v>
                </c:pt>
                <c:pt idx="20">
                  <c:v>5.7192374350086658E-2</c:v>
                </c:pt>
                <c:pt idx="21">
                  <c:v>3.111111111111111E-2</c:v>
                </c:pt>
                <c:pt idx="22">
                  <c:v>0.02</c:v>
                </c:pt>
                <c:pt idx="23">
                  <c:v>0.02</c:v>
                </c:pt>
                <c:pt idx="24">
                  <c:v>3.6061026352288486E-2</c:v>
                </c:pt>
                <c:pt idx="25">
                  <c:v>5.5478502080443831E-2</c:v>
                </c:pt>
                <c:pt idx="26">
                  <c:v>6.9348127600554782E-2</c:v>
                </c:pt>
                <c:pt idx="27">
                  <c:v>7.3407202216066489E-2</c:v>
                </c:pt>
                <c:pt idx="28">
                  <c:v>1.7777777777777778E-2</c:v>
                </c:pt>
                <c:pt idx="29">
                  <c:v>6.6666666666666671E-3</c:v>
                </c:pt>
                <c:pt idx="30">
                  <c:v>1.7777777777777778E-2</c:v>
                </c:pt>
                <c:pt idx="31">
                  <c:v>8.7912087912087912E-3</c:v>
                </c:pt>
                <c:pt idx="32">
                  <c:v>2.34375E-2</c:v>
                </c:pt>
                <c:pt idx="33">
                  <c:v>3.90625E-2</c:v>
                </c:pt>
                <c:pt idx="34">
                  <c:v>4.8828125E-2</c:v>
                </c:pt>
                <c:pt idx="35">
                  <c:v>0.109375</c:v>
                </c:pt>
                <c:pt idx="36">
                  <c:v>1.7777777777777778E-2</c:v>
                </c:pt>
                <c:pt idx="37">
                  <c:v>1.1111111111111112E-2</c:v>
                </c:pt>
                <c:pt idx="38">
                  <c:v>0.04</c:v>
                </c:pt>
                <c:pt idx="39">
                  <c:v>2.2580645161290321E-2</c:v>
                </c:pt>
                <c:pt idx="40">
                  <c:v>5.6451612903225805E-2</c:v>
                </c:pt>
                <c:pt idx="41">
                  <c:v>5.6451612903225805E-2</c:v>
                </c:pt>
                <c:pt idx="42">
                  <c:v>5.4838709677419356E-2</c:v>
                </c:pt>
              </c:numCache>
            </c:numRef>
          </c:xVal>
          <c:yVal>
            <c:numRef>
              <c:f>N11Lobak!$B$2:$B$44</c:f>
              <c:numCache>
                <c:formatCode>0.0%</c:formatCode>
                <c:ptCount val="43"/>
                <c:pt idx="0">
                  <c:v>0.75806451612903225</c:v>
                </c:pt>
                <c:pt idx="1">
                  <c:v>0.7438692098092643</c:v>
                </c:pt>
                <c:pt idx="2">
                  <c:v>0.88139059304703471</c:v>
                </c:pt>
                <c:pt idx="3">
                  <c:v>0.87447698744769875</c:v>
                </c:pt>
                <c:pt idx="4">
                  <c:v>0.84861407249466947</c:v>
                </c:pt>
                <c:pt idx="5">
                  <c:v>0.8123620309050773</c:v>
                </c:pt>
                <c:pt idx="6">
                  <c:v>0.81366459627329191</c:v>
                </c:pt>
                <c:pt idx="7">
                  <c:v>0.87903225806451613</c:v>
                </c:pt>
                <c:pt idx="8">
                  <c:v>0.90462427745664742</c:v>
                </c:pt>
                <c:pt idx="9">
                  <c:v>0.89344262295081966</c:v>
                </c:pt>
                <c:pt idx="10">
                  <c:v>0.89211618257261416</c:v>
                </c:pt>
                <c:pt idx="11">
                  <c:v>0.91555555555555557</c:v>
                </c:pt>
                <c:pt idx="12">
                  <c:v>0.9360730593607306</c:v>
                </c:pt>
                <c:pt idx="13">
                  <c:v>0.92749999999999999</c:v>
                </c:pt>
                <c:pt idx="14">
                  <c:v>0.90104166666666663</c:v>
                </c:pt>
                <c:pt idx="15">
                  <c:v>0.93058568329718006</c:v>
                </c:pt>
                <c:pt idx="16">
                  <c:v>0.86885245901639341</c:v>
                </c:pt>
                <c:pt idx="17">
                  <c:v>0.86376811594202896</c:v>
                </c:pt>
                <c:pt idx="18">
                  <c:v>0.91761363636363635</c:v>
                </c:pt>
                <c:pt idx="19">
                  <c:v>0.93333333333333335</c:v>
                </c:pt>
                <c:pt idx="20">
                  <c:v>0.91552511415525117</c:v>
                </c:pt>
                <c:pt idx="21">
                  <c:v>0.88518518518518519</c:v>
                </c:pt>
                <c:pt idx="22">
                  <c:v>0.88953488372093026</c:v>
                </c:pt>
                <c:pt idx="23">
                  <c:v>0.90313390313390318</c:v>
                </c:pt>
                <c:pt idx="24">
                  <c:v>0.92647058823529416</c:v>
                </c:pt>
                <c:pt idx="25">
                  <c:v>0.92910447761194026</c:v>
                </c:pt>
                <c:pt idx="26">
                  <c:v>0.92063492063492058</c:v>
                </c:pt>
                <c:pt idx="27">
                  <c:v>0.90558766859344897</c:v>
                </c:pt>
                <c:pt idx="28">
                  <c:v>0.83177570093457942</c:v>
                </c:pt>
                <c:pt idx="29">
                  <c:v>0.89440993788819878</c:v>
                </c:pt>
                <c:pt idx="30">
                  <c:v>0.92879256965944268</c:v>
                </c:pt>
                <c:pt idx="31">
                  <c:v>0.91988950276243098</c:v>
                </c:pt>
                <c:pt idx="32">
                  <c:v>0.91885441527446299</c:v>
                </c:pt>
                <c:pt idx="33">
                  <c:v>0.93450881612090675</c:v>
                </c:pt>
                <c:pt idx="34">
                  <c:v>0.94808743169398912</c:v>
                </c:pt>
                <c:pt idx="35">
                  <c:v>0.9064171122994652</c:v>
                </c:pt>
                <c:pt idx="36">
                  <c:v>0.87398373983739841</c:v>
                </c:pt>
                <c:pt idx="37">
                  <c:v>0.93859649122807021</c:v>
                </c:pt>
                <c:pt idx="38">
                  <c:v>0.90858725761772852</c:v>
                </c:pt>
                <c:pt idx="39">
                  <c:v>0.90981963927855714</c:v>
                </c:pt>
                <c:pt idx="40">
                  <c:v>0.92903225806451617</c:v>
                </c:pt>
                <c:pt idx="41">
                  <c:v>0.92417061611374407</c:v>
                </c:pt>
                <c:pt idx="42">
                  <c:v>0.93205944798301488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F50-4E21-A903-AFFE010C3D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6102735"/>
        <c:axId val="283135743"/>
      </c:scatterChart>
      <c:valAx>
        <c:axId val="13961027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3135743"/>
        <c:crosses val="autoZero"/>
        <c:crossBetween val="midCat"/>
      </c:valAx>
      <c:valAx>
        <c:axId val="283135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61027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PH% vs Chinese% N11Lobak GE15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4.375721784776903E-2"/>
                  <c:y val="0.2003703703703703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8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N11Lobak!$F$2:$F$44</c:f>
              <c:numCache>
                <c:formatCode>0.0%</c:formatCode>
                <c:ptCount val="43"/>
                <c:pt idx="0">
                  <c:v>0.49333333333333335</c:v>
                </c:pt>
                <c:pt idx="1">
                  <c:v>0.38</c:v>
                </c:pt>
                <c:pt idx="2">
                  <c:v>0.49759999999999999</c:v>
                </c:pt>
                <c:pt idx="3">
                  <c:v>0.4864</c:v>
                </c:pt>
                <c:pt idx="4">
                  <c:v>0.40639999999999998</c:v>
                </c:pt>
                <c:pt idx="5">
                  <c:v>0.3856</c:v>
                </c:pt>
                <c:pt idx="6">
                  <c:v>0.36320000000000002</c:v>
                </c:pt>
                <c:pt idx="7">
                  <c:v>0.77111111111111108</c:v>
                </c:pt>
                <c:pt idx="8">
                  <c:v>0.74888888888888894</c:v>
                </c:pt>
                <c:pt idx="9">
                  <c:v>0.77777777777777779</c:v>
                </c:pt>
                <c:pt idx="10">
                  <c:v>0.74523396880415949</c:v>
                </c:pt>
                <c:pt idx="11">
                  <c:v>0.7365684575389948</c:v>
                </c:pt>
                <c:pt idx="12">
                  <c:v>0.75216637781629114</c:v>
                </c:pt>
                <c:pt idx="13">
                  <c:v>0.7036395147313691</c:v>
                </c:pt>
                <c:pt idx="14">
                  <c:v>0.71057192374350087</c:v>
                </c:pt>
                <c:pt idx="15">
                  <c:v>0.69377162629757783</c:v>
                </c:pt>
                <c:pt idx="16">
                  <c:v>0.74444444444444446</c:v>
                </c:pt>
                <c:pt idx="17">
                  <c:v>0.76</c:v>
                </c:pt>
                <c:pt idx="18">
                  <c:v>0.76</c:v>
                </c:pt>
                <c:pt idx="19">
                  <c:v>0.80034722222222221</c:v>
                </c:pt>
                <c:pt idx="20">
                  <c:v>0.70537261698440212</c:v>
                </c:pt>
                <c:pt idx="21">
                  <c:v>0.86444444444444446</c:v>
                </c:pt>
                <c:pt idx="22">
                  <c:v>0.87111111111111106</c:v>
                </c:pt>
                <c:pt idx="23">
                  <c:v>0.82222222222222219</c:v>
                </c:pt>
                <c:pt idx="24">
                  <c:v>0.76560332871012482</c:v>
                </c:pt>
                <c:pt idx="25">
                  <c:v>0.78085991678224687</c:v>
                </c:pt>
                <c:pt idx="26">
                  <c:v>0.75034674063800277</c:v>
                </c:pt>
                <c:pt idx="27">
                  <c:v>0.75069252077562332</c:v>
                </c:pt>
                <c:pt idx="28">
                  <c:v>0.9244444444444444</c:v>
                </c:pt>
                <c:pt idx="29">
                  <c:v>0.93333333333333335</c:v>
                </c:pt>
                <c:pt idx="30">
                  <c:v>0.91555555555555557</c:v>
                </c:pt>
                <c:pt idx="31">
                  <c:v>0.90329670329670331</c:v>
                </c:pt>
                <c:pt idx="32">
                  <c:v>0.888671875</c:v>
                </c:pt>
                <c:pt idx="33">
                  <c:v>0.900390625</c:v>
                </c:pt>
                <c:pt idx="34">
                  <c:v>0.822265625</c:v>
                </c:pt>
                <c:pt idx="35">
                  <c:v>0.79296875</c:v>
                </c:pt>
                <c:pt idx="36">
                  <c:v>0.85333333333333339</c:v>
                </c:pt>
                <c:pt idx="37">
                  <c:v>0.88222222222222224</c:v>
                </c:pt>
                <c:pt idx="38">
                  <c:v>0.77777777777777779</c:v>
                </c:pt>
                <c:pt idx="39">
                  <c:v>0.77741935483870972</c:v>
                </c:pt>
                <c:pt idx="40">
                  <c:v>0.67419354838709677</c:v>
                </c:pt>
                <c:pt idx="41">
                  <c:v>0.68870967741935485</c:v>
                </c:pt>
                <c:pt idx="42">
                  <c:v>0.69838709677419353</c:v>
                </c:pt>
              </c:numCache>
            </c:numRef>
          </c:xVal>
          <c:yVal>
            <c:numRef>
              <c:f>N11Lobak!$B$2:$B$44</c:f>
              <c:numCache>
                <c:formatCode>0.0%</c:formatCode>
                <c:ptCount val="43"/>
                <c:pt idx="0">
                  <c:v>0.75806451612903225</c:v>
                </c:pt>
                <c:pt idx="1">
                  <c:v>0.7438692098092643</c:v>
                </c:pt>
                <c:pt idx="2">
                  <c:v>0.88139059304703471</c:v>
                </c:pt>
                <c:pt idx="3">
                  <c:v>0.87447698744769875</c:v>
                </c:pt>
                <c:pt idx="4">
                  <c:v>0.84861407249466947</c:v>
                </c:pt>
                <c:pt idx="5">
                  <c:v>0.8123620309050773</c:v>
                </c:pt>
                <c:pt idx="6">
                  <c:v>0.81366459627329191</c:v>
                </c:pt>
                <c:pt idx="7">
                  <c:v>0.87903225806451613</c:v>
                </c:pt>
                <c:pt idx="8">
                  <c:v>0.90462427745664742</c:v>
                </c:pt>
                <c:pt idx="9">
                  <c:v>0.89344262295081966</c:v>
                </c:pt>
                <c:pt idx="10">
                  <c:v>0.89211618257261416</c:v>
                </c:pt>
                <c:pt idx="11">
                  <c:v>0.91555555555555557</c:v>
                </c:pt>
                <c:pt idx="12">
                  <c:v>0.9360730593607306</c:v>
                </c:pt>
                <c:pt idx="13">
                  <c:v>0.92749999999999999</c:v>
                </c:pt>
                <c:pt idx="14">
                  <c:v>0.90104166666666663</c:v>
                </c:pt>
                <c:pt idx="15">
                  <c:v>0.93058568329718006</c:v>
                </c:pt>
                <c:pt idx="16">
                  <c:v>0.86885245901639341</c:v>
                </c:pt>
                <c:pt idx="17">
                  <c:v>0.86376811594202896</c:v>
                </c:pt>
                <c:pt idx="18">
                  <c:v>0.91761363636363635</c:v>
                </c:pt>
                <c:pt idx="19">
                  <c:v>0.93333333333333335</c:v>
                </c:pt>
                <c:pt idx="20">
                  <c:v>0.91552511415525117</c:v>
                </c:pt>
                <c:pt idx="21">
                  <c:v>0.88518518518518519</c:v>
                </c:pt>
                <c:pt idx="22">
                  <c:v>0.88953488372093026</c:v>
                </c:pt>
                <c:pt idx="23">
                  <c:v>0.90313390313390318</c:v>
                </c:pt>
                <c:pt idx="24">
                  <c:v>0.92647058823529416</c:v>
                </c:pt>
                <c:pt idx="25">
                  <c:v>0.92910447761194026</c:v>
                </c:pt>
                <c:pt idx="26">
                  <c:v>0.92063492063492058</c:v>
                </c:pt>
                <c:pt idx="27">
                  <c:v>0.90558766859344897</c:v>
                </c:pt>
                <c:pt idx="28">
                  <c:v>0.83177570093457942</c:v>
                </c:pt>
                <c:pt idx="29">
                  <c:v>0.89440993788819878</c:v>
                </c:pt>
                <c:pt idx="30">
                  <c:v>0.92879256965944268</c:v>
                </c:pt>
                <c:pt idx="31">
                  <c:v>0.91988950276243098</c:v>
                </c:pt>
                <c:pt idx="32">
                  <c:v>0.91885441527446299</c:v>
                </c:pt>
                <c:pt idx="33">
                  <c:v>0.93450881612090675</c:v>
                </c:pt>
                <c:pt idx="34">
                  <c:v>0.94808743169398912</c:v>
                </c:pt>
                <c:pt idx="35">
                  <c:v>0.9064171122994652</c:v>
                </c:pt>
                <c:pt idx="36">
                  <c:v>0.87398373983739841</c:v>
                </c:pt>
                <c:pt idx="37">
                  <c:v>0.93859649122807021</c:v>
                </c:pt>
                <c:pt idx="38">
                  <c:v>0.90858725761772852</c:v>
                </c:pt>
                <c:pt idx="39">
                  <c:v>0.90981963927855714</c:v>
                </c:pt>
                <c:pt idx="40">
                  <c:v>0.92903225806451617</c:v>
                </c:pt>
                <c:pt idx="41">
                  <c:v>0.92417061611374407</c:v>
                </c:pt>
                <c:pt idx="42">
                  <c:v>0.93205944798301488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B7E-408C-963B-F4986D1D8A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6102735"/>
        <c:axId val="283135743"/>
      </c:scatterChart>
      <c:valAx>
        <c:axId val="13961027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3135743"/>
        <c:crosses val="autoZero"/>
        <c:crossBetween val="midCat"/>
      </c:valAx>
      <c:valAx>
        <c:axId val="283135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61027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PH% vs Indian% N11Lobak GE15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4.375721784776903E-2"/>
                  <c:y val="0.2003703703703703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8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N11Lobak!$G$2:$G$44</c:f>
              <c:numCache>
                <c:formatCode>0.0%</c:formatCode>
                <c:ptCount val="43"/>
                <c:pt idx="0">
                  <c:v>0.36888888888888888</c:v>
                </c:pt>
                <c:pt idx="1">
                  <c:v>0.43111111111111111</c:v>
                </c:pt>
                <c:pt idx="2">
                  <c:v>0.38080000000000003</c:v>
                </c:pt>
                <c:pt idx="3">
                  <c:v>0.38080000000000003</c:v>
                </c:pt>
                <c:pt idx="4">
                  <c:v>0.4304</c:v>
                </c:pt>
                <c:pt idx="5">
                  <c:v>0.41599999999999998</c:v>
                </c:pt>
                <c:pt idx="6">
                  <c:v>0.41920000000000002</c:v>
                </c:pt>
                <c:pt idx="7">
                  <c:v>0.21777777777777776</c:v>
                </c:pt>
                <c:pt idx="8">
                  <c:v>0.24444444444444444</c:v>
                </c:pt>
                <c:pt idx="9">
                  <c:v>0.20444444444444446</c:v>
                </c:pt>
                <c:pt idx="10">
                  <c:v>0.21143847487001732</c:v>
                </c:pt>
                <c:pt idx="11">
                  <c:v>0.20623916811091855</c:v>
                </c:pt>
                <c:pt idx="12">
                  <c:v>0.21837088388214904</c:v>
                </c:pt>
                <c:pt idx="13">
                  <c:v>0.22876949740034663</c:v>
                </c:pt>
                <c:pt idx="14">
                  <c:v>0.21663778162911612</c:v>
                </c:pt>
                <c:pt idx="15">
                  <c:v>0.25259515570934254</c:v>
                </c:pt>
                <c:pt idx="16">
                  <c:v>0.22</c:v>
                </c:pt>
                <c:pt idx="17">
                  <c:v>0.22</c:v>
                </c:pt>
                <c:pt idx="18">
                  <c:v>0.23333333333333334</c:v>
                </c:pt>
                <c:pt idx="19">
                  <c:v>0.16840277777777779</c:v>
                </c:pt>
                <c:pt idx="20">
                  <c:v>0.23223570190641249</c:v>
                </c:pt>
                <c:pt idx="21">
                  <c:v>9.555555555555556E-2</c:v>
                </c:pt>
                <c:pt idx="22">
                  <c:v>9.555555555555556E-2</c:v>
                </c:pt>
                <c:pt idx="23">
                  <c:v>0.15333333333333332</c:v>
                </c:pt>
                <c:pt idx="24">
                  <c:v>0.1941747572815534</c:v>
                </c:pt>
                <c:pt idx="25">
                  <c:v>0.15811373092926492</c:v>
                </c:pt>
                <c:pt idx="26">
                  <c:v>0.17753120665742025</c:v>
                </c:pt>
                <c:pt idx="27">
                  <c:v>0.17590027700831026</c:v>
                </c:pt>
                <c:pt idx="28">
                  <c:v>5.7777777777777775E-2</c:v>
                </c:pt>
                <c:pt idx="29">
                  <c:v>0.06</c:v>
                </c:pt>
                <c:pt idx="30">
                  <c:v>6.222222222222222E-2</c:v>
                </c:pt>
                <c:pt idx="31">
                  <c:v>8.1318681318681321E-2</c:v>
                </c:pt>
                <c:pt idx="32">
                  <c:v>8.203125E-2</c:v>
                </c:pt>
                <c:pt idx="33">
                  <c:v>5.859375E-2</c:v>
                </c:pt>
                <c:pt idx="34">
                  <c:v>0.12890625</c:v>
                </c:pt>
                <c:pt idx="35">
                  <c:v>9.765625E-2</c:v>
                </c:pt>
                <c:pt idx="36">
                  <c:v>0.12666666666666668</c:v>
                </c:pt>
                <c:pt idx="37">
                  <c:v>9.7777777777777783E-2</c:v>
                </c:pt>
                <c:pt idx="38">
                  <c:v>0.17555555555555555</c:v>
                </c:pt>
                <c:pt idx="39">
                  <c:v>0.19354838709677419</c:v>
                </c:pt>
                <c:pt idx="40">
                  <c:v>0.26451612903225807</c:v>
                </c:pt>
                <c:pt idx="41">
                  <c:v>0.24677419354838709</c:v>
                </c:pt>
                <c:pt idx="42">
                  <c:v>0.24516129032258063</c:v>
                </c:pt>
              </c:numCache>
            </c:numRef>
          </c:xVal>
          <c:yVal>
            <c:numRef>
              <c:f>N11Lobak!$B$2:$B$44</c:f>
              <c:numCache>
                <c:formatCode>0.0%</c:formatCode>
                <c:ptCount val="43"/>
                <c:pt idx="0">
                  <c:v>0.75806451612903225</c:v>
                </c:pt>
                <c:pt idx="1">
                  <c:v>0.7438692098092643</c:v>
                </c:pt>
                <c:pt idx="2">
                  <c:v>0.88139059304703471</c:v>
                </c:pt>
                <c:pt idx="3">
                  <c:v>0.87447698744769875</c:v>
                </c:pt>
                <c:pt idx="4">
                  <c:v>0.84861407249466947</c:v>
                </c:pt>
                <c:pt idx="5">
                  <c:v>0.8123620309050773</c:v>
                </c:pt>
                <c:pt idx="6">
                  <c:v>0.81366459627329191</c:v>
                </c:pt>
                <c:pt idx="7">
                  <c:v>0.87903225806451613</c:v>
                </c:pt>
                <c:pt idx="8">
                  <c:v>0.90462427745664742</c:v>
                </c:pt>
                <c:pt idx="9">
                  <c:v>0.89344262295081966</c:v>
                </c:pt>
                <c:pt idx="10">
                  <c:v>0.89211618257261416</c:v>
                </c:pt>
                <c:pt idx="11">
                  <c:v>0.91555555555555557</c:v>
                </c:pt>
                <c:pt idx="12">
                  <c:v>0.9360730593607306</c:v>
                </c:pt>
                <c:pt idx="13">
                  <c:v>0.92749999999999999</c:v>
                </c:pt>
                <c:pt idx="14">
                  <c:v>0.90104166666666663</c:v>
                </c:pt>
                <c:pt idx="15">
                  <c:v>0.93058568329718006</c:v>
                </c:pt>
                <c:pt idx="16">
                  <c:v>0.86885245901639341</c:v>
                </c:pt>
                <c:pt idx="17">
                  <c:v>0.86376811594202896</c:v>
                </c:pt>
                <c:pt idx="18">
                  <c:v>0.91761363636363635</c:v>
                </c:pt>
                <c:pt idx="19">
                  <c:v>0.93333333333333335</c:v>
                </c:pt>
                <c:pt idx="20">
                  <c:v>0.91552511415525117</c:v>
                </c:pt>
                <c:pt idx="21">
                  <c:v>0.88518518518518519</c:v>
                </c:pt>
                <c:pt idx="22">
                  <c:v>0.88953488372093026</c:v>
                </c:pt>
                <c:pt idx="23">
                  <c:v>0.90313390313390318</c:v>
                </c:pt>
                <c:pt idx="24">
                  <c:v>0.92647058823529416</c:v>
                </c:pt>
                <c:pt idx="25">
                  <c:v>0.92910447761194026</c:v>
                </c:pt>
                <c:pt idx="26">
                  <c:v>0.92063492063492058</c:v>
                </c:pt>
                <c:pt idx="27">
                  <c:v>0.90558766859344897</c:v>
                </c:pt>
                <c:pt idx="28">
                  <c:v>0.83177570093457942</c:v>
                </c:pt>
                <c:pt idx="29">
                  <c:v>0.89440993788819878</c:v>
                </c:pt>
                <c:pt idx="30">
                  <c:v>0.92879256965944268</c:v>
                </c:pt>
                <c:pt idx="31">
                  <c:v>0.91988950276243098</c:v>
                </c:pt>
                <c:pt idx="32">
                  <c:v>0.91885441527446299</c:v>
                </c:pt>
                <c:pt idx="33">
                  <c:v>0.93450881612090675</c:v>
                </c:pt>
                <c:pt idx="34">
                  <c:v>0.94808743169398912</c:v>
                </c:pt>
                <c:pt idx="35">
                  <c:v>0.9064171122994652</c:v>
                </c:pt>
                <c:pt idx="36">
                  <c:v>0.87398373983739841</c:v>
                </c:pt>
                <c:pt idx="37">
                  <c:v>0.93859649122807021</c:v>
                </c:pt>
                <c:pt idx="38">
                  <c:v>0.90858725761772852</c:v>
                </c:pt>
                <c:pt idx="39">
                  <c:v>0.90981963927855714</c:v>
                </c:pt>
                <c:pt idx="40">
                  <c:v>0.92903225806451617</c:v>
                </c:pt>
                <c:pt idx="41">
                  <c:v>0.92417061611374407</c:v>
                </c:pt>
                <c:pt idx="42">
                  <c:v>0.93205944798301488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612-4F2A-89C9-8CE28642BB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6102735"/>
        <c:axId val="283135743"/>
      </c:scatterChart>
      <c:valAx>
        <c:axId val="13961027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3135743"/>
        <c:crosses val="autoZero"/>
        <c:crossBetween val="midCat"/>
      </c:valAx>
      <c:valAx>
        <c:axId val="283135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61027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Turnout% vs Malay% N12Temiang GE15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5.5796369203849519E-2"/>
                  <c:y val="0.1498961067366579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8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N12Temiang!$E$2:$E$23</c:f>
              <c:numCache>
                <c:formatCode>0.0%</c:formatCode>
                <c:ptCount val="22"/>
                <c:pt idx="0">
                  <c:v>0.51111111111111107</c:v>
                </c:pt>
                <c:pt idx="1">
                  <c:v>0.52888888888888885</c:v>
                </c:pt>
                <c:pt idx="2">
                  <c:v>0.48930481283422461</c:v>
                </c:pt>
                <c:pt idx="3">
                  <c:v>0.65374331550802134</c:v>
                </c:pt>
                <c:pt idx="4">
                  <c:v>0.6568758344459279</c:v>
                </c:pt>
                <c:pt idx="5">
                  <c:v>0.70761014686248336</c:v>
                </c:pt>
                <c:pt idx="6">
                  <c:v>0.18222222222222223</c:v>
                </c:pt>
                <c:pt idx="7">
                  <c:v>0.12444444444444444</c:v>
                </c:pt>
                <c:pt idx="8">
                  <c:v>0.1431159420289855</c:v>
                </c:pt>
                <c:pt idx="9">
                  <c:v>0.189873417721519</c:v>
                </c:pt>
                <c:pt idx="10">
                  <c:v>0.24593128390596744</c:v>
                </c:pt>
                <c:pt idx="11">
                  <c:v>0.35081374321880648</c:v>
                </c:pt>
                <c:pt idx="12">
                  <c:v>0.4267631103074141</c:v>
                </c:pt>
                <c:pt idx="13">
                  <c:v>0.44665461121157324</c:v>
                </c:pt>
                <c:pt idx="14">
                  <c:v>1.1111111111111112E-2</c:v>
                </c:pt>
                <c:pt idx="15">
                  <c:v>1.5555555555555555E-2</c:v>
                </c:pt>
                <c:pt idx="16">
                  <c:v>5.0746268656716415E-2</c:v>
                </c:pt>
                <c:pt idx="17">
                  <c:v>0.34888888888888892</c:v>
                </c:pt>
                <c:pt idx="18">
                  <c:v>0.44427480916030532</c:v>
                </c:pt>
                <c:pt idx="19">
                  <c:v>0.12037037037037036</c:v>
                </c:pt>
                <c:pt idx="20">
                  <c:v>0.1875</c:v>
                </c:pt>
                <c:pt idx="21">
                  <c:v>0.38425925925925924</c:v>
                </c:pt>
              </c:numCache>
            </c:numRef>
          </c:xVal>
          <c:yVal>
            <c:numRef>
              <c:f>N12Temiang!$A$2:$A$23</c:f>
              <c:numCache>
                <c:formatCode>0.0%</c:formatCode>
                <c:ptCount val="22"/>
                <c:pt idx="0">
                  <c:v>0.73111111111111116</c:v>
                </c:pt>
                <c:pt idx="1">
                  <c:v>0.80222222222222217</c:v>
                </c:pt>
                <c:pt idx="2">
                  <c:v>0.78074866310160429</c:v>
                </c:pt>
                <c:pt idx="3">
                  <c:v>0.72994652406417115</c:v>
                </c:pt>
                <c:pt idx="4">
                  <c:v>0.73030707610146861</c:v>
                </c:pt>
                <c:pt idx="5">
                  <c:v>0.80640854472630175</c:v>
                </c:pt>
                <c:pt idx="6">
                  <c:v>0.5</c:v>
                </c:pt>
                <c:pt idx="7">
                  <c:v>0.77111111111111108</c:v>
                </c:pt>
                <c:pt idx="8">
                  <c:v>0.78260869565217395</c:v>
                </c:pt>
                <c:pt idx="9">
                  <c:v>0.79204339963833637</c:v>
                </c:pt>
                <c:pt idx="10">
                  <c:v>0.77396021699819173</c:v>
                </c:pt>
                <c:pt idx="11">
                  <c:v>0.72694394213381552</c:v>
                </c:pt>
                <c:pt idx="12">
                  <c:v>0.73417721518987344</c:v>
                </c:pt>
                <c:pt idx="13">
                  <c:v>0.81735985533453892</c:v>
                </c:pt>
                <c:pt idx="14">
                  <c:v>0.6333333333333333</c:v>
                </c:pt>
                <c:pt idx="15">
                  <c:v>0.79777777777777781</c:v>
                </c:pt>
                <c:pt idx="16">
                  <c:v>0.77014925373134324</c:v>
                </c:pt>
                <c:pt idx="17">
                  <c:v>0.55777777777777782</c:v>
                </c:pt>
                <c:pt idx="18">
                  <c:v>0.62442748091603051</c:v>
                </c:pt>
                <c:pt idx="19">
                  <c:v>0.60879629629629628</c:v>
                </c:pt>
                <c:pt idx="20">
                  <c:v>0.77083333333333337</c:v>
                </c:pt>
                <c:pt idx="21">
                  <c:v>0.6875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A27-4BCF-8AC9-7726687AFA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4062047"/>
        <c:axId val="277613231"/>
      </c:scatterChart>
      <c:valAx>
        <c:axId val="13840620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7613231"/>
        <c:crosses val="autoZero"/>
        <c:crossBetween val="midCat"/>
      </c:valAx>
      <c:valAx>
        <c:axId val="277613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0620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Turnout% vs Chinese% N12Temiang GE15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5.5796369203849519E-2"/>
                  <c:y val="0.1498961067366579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8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N12Temiang!$F$2:$F$23</c:f>
              <c:numCache>
                <c:formatCode>0.0%</c:formatCode>
                <c:ptCount val="22"/>
                <c:pt idx="0">
                  <c:v>0.20666666666666667</c:v>
                </c:pt>
                <c:pt idx="1">
                  <c:v>0.21333333333333335</c:v>
                </c:pt>
                <c:pt idx="2">
                  <c:v>0.20053475935828877</c:v>
                </c:pt>
                <c:pt idx="3">
                  <c:v>0.15641711229946523</c:v>
                </c:pt>
                <c:pt idx="4">
                  <c:v>0.14018691588785046</c:v>
                </c:pt>
                <c:pt idx="5">
                  <c:v>8.4112149532710276E-2</c:v>
                </c:pt>
                <c:pt idx="6">
                  <c:v>0.68444444444444441</c:v>
                </c:pt>
                <c:pt idx="7">
                  <c:v>0.7533333333333333</c:v>
                </c:pt>
                <c:pt idx="8">
                  <c:v>0.73007246376811596</c:v>
                </c:pt>
                <c:pt idx="9">
                  <c:v>0.66365280289330919</c:v>
                </c:pt>
                <c:pt idx="10">
                  <c:v>0.58589511754068713</c:v>
                </c:pt>
                <c:pt idx="11">
                  <c:v>0.47016274864376129</c:v>
                </c:pt>
                <c:pt idx="12">
                  <c:v>0.43399638336347196</c:v>
                </c:pt>
                <c:pt idx="13">
                  <c:v>0.44484629294755879</c:v>
                </c:pt>
                <c:pt idx="14">
                  <c:v>0.9622222222222222</c:v>
                </c:pt>
                <c:pt idx="15">
                  <c:v>0.9555555555555556</c:v>
                </c:pt>
                <c:pt idx="16">
                  <c:v>0.88358208955223883</c:v>
                </c:pt>
                <c:pt idx="17">
                  <c:v>0.44222222222222224</c:v>
                </c:pt>
                <c:pt idx="18">
                  <c:v>0.3801526717557252</c:v>
                </c:pt>
                <c:pt idx="19">
                  <c:v>0.77314814814814814</c:v>
                </c:pt>
                <c:pt idx="20">
                  <c:v>0.6875</c:v>
                </c:pt>
                <c:pt idx="21">
                  <c:v>0.44675925925925924</c:v>
                </c:pt>
              </c:numCache>
            </c:numRef>
          </c:xVal>
          <c:yVal>
            <c:numRef>
              <c:f>N12Temiang!$A$2:$A$23</c:f>
              <c:numCache>
                <c:formatCode>0.0%</c:formatCode>
                <c:ptCount val="22"/>
                <c:pt idx="0">
                  <c:v>0.73111111111111116</c:v>
                </c:pt>
                <c:pt idx="1">
                  <c:v>0.80222222222222217</c:v>
                </c:pt>
                <c:pt idx="2">
                  <c:v>0.78074866310160429</c:v>
                </c:pt>
                <c:pt idx="3">
                  <c:v>0.72994652406417115</c:v>
                </c:pt>
                <c:pt idx="4">
                  <c:v>0.73030707610146861</c:v>
                </c:pt>
                <c:pt idx="5">
                  <c:v>0.80640854472630175</c:v>
                </c:pt>
                <c:pt idx="6">
                  <c:v>0.5</c:v>
                </c:pt>
                <c:pt idx="7">
                  <c:v>0.77111111111111108</c:v>
                </c:pt>
                <c:pt idx="8">
                  <c:v>0.78260869565217395</c:v>
                </c:pt>
                <c:pt idx="9">
                  <c:v>0.79204339963833637</c:v>
                </c:pt>
                <c:pt idx="10">
                  <c:v>0.77396021699819173</c:v>
                </c:pt>
                <c:pt idx="11">
                  <c:v>0.72694394213381552</c:v>
                </c:pt>
                <c:pt idx="12">
                  <c:v>0.73417721518987344</c:v>
                </c:pt>
                <c:pt idx="13">
                  <c:v>0.81735985533453892</c:v>
                </c:pt>
                <c:pt idx="14">
                  <c:v>0.6333333333333333</c:v>
                </c:pt>
                <c:pt idx="15">
                  <c:v>0.79777777777777781</c:v>
                </c:pt>
                <c:pt idx="16">
                  <c:v>0.77014925373134324</c:v>
                </c:pt>
                <c:pt idx="17">
                  <c:v>0.55777777777777782</c:v>
                </c:pt>
                <c:pt idx="18">
                  <c:v>0.62442748091603051</c:v>
                </c:pt>
                <c:pt idx="19">
                  <c:v>0.60879629629629628</c:v>
                </c:pt>
                <c:pt idx="20">
                  <c:v>0.77083333333333337</c:v>
                </c:pt>
                <c:pt idx="21">
                  <c:v>0.6875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346-4BA1-BD02-5DD8DD4A48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4062047"/>
        <c:axId val="277613231"/>
      </c:scatterChart>
      <c:valAx>
        <c:axId val="13840620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7613231"/>
        <c:crosses val="autoZero"/>
        <c:crossBetween val="midCat"/>
      </c:valAx>
      <c:valAx>
        <c:axId val="277613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0620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Turnout% vs Indian% N12Temiang GE15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5.5796369203849519E-2"/>
                  <c:y val="0.1498961067366579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8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N12Temiang!$G$2:$G$23</c:f>
              <c:numCache>
                <c:formatCode>0.0%</c:formatCode>
                <c:ptCount val="22"/>
                <c:pt idx="0">
                  <c:v>0.2688888888888889</c:v>
                </c:pt>
                <c:pt idx="1">
                  <c:v>0.24666666666666667</c:v>
                </c:pt>
                <c:pt idx="2">
                  <c:v>0.29278074866310161</c:v>
                </c:pt>
                <c:pt idx="3">
                  <c:v>0.17379679144385027</c:v>
                </c:pt>
                <c:pt idx="4">
                  <c:v>0.1855807743658211</c:v>
                </c:pt>
                <c:pt idx="5">
                  <c:v>0.20160213618157544</c:v>
                </c:pt>
                <c:pt idx="6">
                  <c:v>0.12666666666666668</c:v>
                </c:pt>
                <c:pt idx="7">
                  <c:v>0.10222222222222223</c:v>
                </c:pt>
                <c:pt idx="8">
                  <c:v>0.1213768115942029</c:v>
                </c:pt>
                <c:pt idx="9">
                  <c:v>0.13743218806509946</c:v>
                </c:pt>
                <c:pt idx="10">
                  <c:v>0.15913200723327306</c:v>
                </c:pt>
                <c:pt idx="11">
                  <c:v>0.16455696202531644</c:v>
                </c:pt>
                <c:pt idx="12">
                  <c:v>0.12296564195298372</c:v>
                </c:pt>
                <c:pt idx="13">
                  <c:v>0.10669077757685352</c:v>
                </c:pt>
                <c:pt idx="14">
                  <c:v>2.6666666666666668E-2</c:v>
                </c:pt>
                <c:pt idx="15">
                  <c:v>2.6666666666666668E-2</c:v>
                </c:pt>
                <c:pt idx="16">
                  <c:v>6.5671641791044774E-2</c:v>
                </c:pt>
                <c:pt idx="17">
                  <c:v>0.19777777777777777</c:v>
                </c:pt>
                <c:pt idx="18">
                  <c:v>0.15572519083969466</c:v>
                </c:pt>
                <c:pt idx="19">
                  <c:v>9.2592592592592587E-2</c:v>
                </c:pt>
                <c:pt idx="20">
                  <c:v>0.11805555555555555</c:v>
                </c:pt>
                <c:pt idx="21">
                  <c:v>0.16666666666666666</c:v>
                </c:pt>
              </c:numCache>
            </c:numRef>
          </c:xVal>
          <c:yVal>
            <c:numRef>
              <c:f>N12Temiang!$A$2:$A$23</c:f>
              <c:numCache>
                <c:formatCode>0.0%</c:formatCode>
                <c:ptCount val="22"/>
                <c:pt idx="0">
                  <c:v>0.73111111111111116</c:v>
                </c:pt>
                <c:pt idx="1">
                  <c:v>0.80222222222222217</c:v>
                </c:pt>
                <c:pt idx="2">
                  <c:v>0.78074866310160429</c:v>
                </c:pt>
                <c:pt idx="3">
                  <c:v>0.72994652406417115</c:v>
                </c:pt>
                <c:pt idx="4">
                  <c:v>0.73030707610146861</c:v>
                </c:pt>
                <c:pt idx="5">
                  <c:v>0.80640854472630175</c:v>
                </c:pt>
                <c:pt idx="6">
                  <c:v>0.5</c:v>
                </c:pt>
                <c:pt idx="7">
                  <c:v>0.77111111111111108</c:v>
                </c:pt>
                <c:pt idx="8">
                  <c:v>0.78260869565217395</c:v>
                </c:pt>
                <c:pt idx="9">
                  <c:v>0.79204339963833637</c:v>
                </c:pt>
                <c:pt idx="10">
                  <c:v>0.77396021699819173</c:v>
                </c:pt>
                <c:pt idx="11">
                  <c:v>0.72694394213381552</c:v>
                </c:pt>
                <c:pt idx="12">
                  <c:v>0.73417721518987344</c:v>
                </c:pt>
                <c:pt idx="13">
                  <c:v>0.81735985533453892</c:v>
                </c:pt>
                <c:pt idx="14">
                  <c:v>0.6333333333333333</c:v>
                </c:pt>
                <c:pt idx="15">
                  <c:v>0.79777777777777781</c:v>
                </c:pt>
                <c:pt idx="16">
                  <c:v>0.77014925373134324</c:v>
                </c:pt>
                <c:pt idx="17">
                  <c:v>0.55777777777777782</c:v>
                </c:pt>
                <c:pt idx="18">
                  <c:v>0.62442748091603051</c:v>
                </c:pt>
                <c:pt idx="19">
                  <c:v>0.60879629629629628</c:v>
                </c:pt>
                <c:pt idx="20">
                  <c:v>0.77083333333333337</c:v>
                </c:pt>
                <c:pt idx="21">
                  <c:v>0.6875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8C4-42D0-B5CA-55D86FEC6C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4062047"/>
        <c:axId val="277613231"/>
      </c:scatterChart>
      <c:valAx>
        <c:axId val="13840620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7613231"/>
        <c:crosses val="autoZero"/>
        <c:crossBetween val="midCat"/>
      </c:valAx>
      <c:valAx>
        <c:axId val="277613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0620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PH% vs Malay% N12Temiang GE15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5.5796369203849519E-2"/>
                  <c:y val="0.1498961067366579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8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N12Temiang!$E$2:$E$23</c:f>
              <c:numCache>
                <c:formatCode>0.0%</c:formatCode>
                <c:ptCount val="22"/>
                <c:pt idx="0">
                  <c:v>0.51111111111111107</c:v>
                </c:pt>
                <c:pt idx="1">
                  <c:v>0.52888888888888885</c:v>
                </c:pt>
                <c:pt idx="2">
                  <c:v>0.48930481283422461</c:v>
                </c:pt>
                <c:pt idx="3">
                  <c:v>0.65374331550802134</c:v>
                </c:pt>
                <c:pt idx="4">
                  <c:v>0.6568758344459279</c:v>
                </c:pt>
                <c:pt idx="5">
                  <c:v>0.70761014686248336</c:v>
                </c:pt>
                <c:pt idx="6">
                  <c:v>0.18222222222222223</c:v>
                </c:pt>
                <c:pt idx="7">
                  <c:v>0.12444444444444444</c:v>
                </c:pt>
                <c:pt idx="8">
                  <c:v>0.1431159420289855</c:v>
                </c:pt>
                <c:pt idx="9">
                  <c:v>0.189873417721519</c:v>
                </c:pt>
                <c:pt idx="10">
                  <c:v>0.24593128390596744</c:v>
                </c:pt>
                <c:pt idx="11">
                  <c:v>0.35081374321880648</c:v>
                </c:pt>
                <c:pt idx="12">
                  <c:v>0.4267631103074141</c:v>
                </c:pt>
                <c:pt idx="13">
                  <c:v>0.44665461121157324</c:v>
                </c:pt>
                <c:pt idx="14">
                  <c:v>1.1111111111111112E-2</c:v>
                </c:pt>
                <c:pt idx="15">
                  <c:v>1.5555555555555555E-2</c:v>
                </c:pt>
                <c:pt idx="16">
                  <c:v>5.0746268656716415E-2</c:v>
                </c:pt>
                <c:pt idx="17">
                  <c:v>0.34888888888888892</c:v>
                </c:pt>
                <c:pt idx="18">
                  <c:v>0.44427480916030532</c:v>
                </c:pt>
                <c:pt idx="19">
                  <c:v>0.12037037037037036</c:v>
                </c:pt>
                <c:pt idx="20">
                  <c:v>0.1875</c:v>
                </c:pt>
                <c:pt idx="21">
                  <c:v>0.38425925925925924</c:v>
                </c:pt>
              </c:numCache>
            </c:numRef>
          </c:xVal>
          <c:yVal>
            <c:numRef>
              <c:f>N12Temiang!$B$2:$B$23</c:f>
              <c:numCache>
                <c:formatCode>0.0%</c:formatCode>
                <c:ptCount val="22"/>
                <c:pt idx="0">
                  <c:v>0.52583586626139822</c:v>
                </c:pt>
                <c:pt idx="1">
                  <c:v>0.45429362880886426</c:v>
                </c:pt>
                <c:pt idx="2">
                  <c:v>0.51883561643835618</c:v>
                </c:pt>
                <c:pt idx="3">
                  <c:v>0.40842490842490842</c:v>
                </c:pt>
                <c:pt idx="4">
                  <c:v>0.44606946983546619</c:v>
                </c:pt>
                <c:pt idx="5">
                  <c:v>0.49503311258278143</c:v>
                </c:pt>
                <c:pt idx="6">
                  <c:v>0.72888888888888892</c:v>
                </c:pt>
                <c:pt idx="7">
                  <c:v>0.78674351585014413</c:v>
                </c:pt>
                <c:pt idx="8">
                  <c:v>0.79629629629629628</c:v>
                </c:pt>
                <c:pt idx="9">
                  <c:v>0.78538812785388123</c:v>
                </c:pt>
                <c:pt idx="10">
                  <c:v>0.73598130841121501</c:v>
                </c:pt>
                <c:pt idx="11">
                  <c:v>0.66417910447761197</c:v>
                </c:pt>
                <c:pt idx="12">
                  <c:v>0.64039408866995073</c:v>
                </c:pt>
                <c:pt idx="13">
                  <c:v>0.66371681415929207</c:v>
                </c:pt>
                <c:pt idx="14">
                  <c:v>0.89824561403508774</c:v>
                </c:pt>
                <c:pt idx="15">
                  <c:v>0.9080779944289693</c:v>
                </c:pt>
                <c:pt idx="16">
                  <c:v>0.8972868217054264</c:v>
                </c:pt>
                <c:pt idx="17">
                  <c:v>0.55378486055776888</c:v>
                </c:pt>
                <c:pt idx="18">
                  <c:v>0.5330073349633252</c:v>
                </c:pt>
                <c:pt idx="19">
                  <c:v>0.82889733840304181</c:v>
                </c:pt>
                <c:pt idx="20">
                  <c:v>0.83183183183183185</c:v>
                </c:pt>
                <c:pt idx="21">
                  <c:v>0.632996632996633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383-4005-8FE3-E067F17B9D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4062047"/>
        <c:axId val="277613231"/>
      </c:scatterChart>
      <c:valAx>
        <c:axId val="13840620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7613231"/>
        <c:crosses val="autoZero"/>
        <c:crossBetween val="midCat"/>
      </c:valAx>
      <c:valAx>
        <c:axId val="277613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0620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PH% vs Chinese% N12Temiang GE15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8.3718941382327203E-2"/>
                  <c:y val="0.2698148148148148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8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N12Temiang!$F$2:$F$23</c:f>
              <c:numCache>
                <c:formatCode>0.0%</c:formatCode>
                <c:ptCount val="22"/>
                <c:pt idx="0">
                  <c:v>0.20666666666666667</c:v>
                </c:pt>
                <c:pt idx="1">
                  <c:v>0.21333333333333335</c:v>
                </c:pt>
                <c:pt idx="2">
                  <c:v>0.20053475935828877</c:v>
                </c:pt>
                <c:pt idx="3">
                  <c:v>0.15641711229946523</c:v>
                </c:pt>
                <c:pt idx="4">
                  <c:v>0.14018691588785046</c:v>
                </c:pt>
                <c:pt idx="5">
                  <c:v>8.4112149532710276E-2</c:v>
                </c:pt>
                <c:pt idx="6">
                  <c:v>0.68444444444444441</c:v>
                </c:pt>
                <c:pt idx="7">
                  <c:v>0.7533333333333333</c:v>
                </c:pt>
                <c:pt idx="8">
                  <c:v>0.73007246376811596</c:v>
                </c:pt>
                <c:pt idx="9">
                  <c:v>0.66365280289330919</c:v>
                </c:pt>
                <c:pt idx="10">
                  <c:v>0.58589511754068713</c:v>
                </c:pt>
                <c:pt idx="11">
                  <c:v>0.47016274864376129</c:v>
                </c:pt>
                <c:pt idx="12">
                  <c:v>0.43399638336347196</c:v>
                </c:pt>
                <c:pt idx="13">
                  <c:v>0.44484629294755879</c:v>
                </c:pt>
                <c:pt idx="14">
                  <c:v>0.9622222222222222</c:v>
                </c:pt>
                <c:pt idx="15">
                  <c:v>0.9555555555555556</c:v>
                </c:pt>
                <c:pt idx="16">
                  <c:v>0.88358208955223883</c:v>
                </c:pt>
                <c:pt idx="17">
                  <c:v>0.44222222222222224</c:v>
                </c:pt>
                <c:pt idx="18">
                  <c:v>0.3801526717557252</c:v>
                </c:pt>
                <c:pt idx="19">
                  <c:v>0.77314814814814814</c:v>
                </c:pt>
                <c:pt idx="20">
                  <c:v>0.6875</c:v>
                </c:pt>
                <c:pt idx="21">
                  <c:v>0.44675925925925924</c:v>
                </c:pt>
              </c:numCache>
            </c:numRef>
          </c:xVal>
          <c:yVal>
            <c:numRef>
              <c:f>N12Temiang!$B$2:$B$23</c:f>
              <c:numCache>
                <c:formatCode>0.0%</c:formatCode>
                <c:ptCount val="22"/>
                <c:pt idx="0">
                  <c:v>0.52583586626139822</c:v>
                </c:pt>
                <c:pt idx="1">
                  <c:v>0.45429362880886426</c:v>
                </c:pt>
                <c:pt idx="2">
                  <c:v>0.51883561643835618</c:v>
                </c:pt>
                <c:pt idx="3">
                  <c:v>0.40842490842490842</c:v>
                </c:pt>
                <c:pt idx="4">
                  <c:v>0.44606946983546619</c:v>
                </c:pt>
                <c:pt idx="5">
                  <c:v>0.49503311258278143</c:v>
                </c:pt>
                <c:pt idx="6">
                  <c:v>0.72888888888888892</c:v>
                </c:pt>
                <c:pt idx="7">
                  <c:v>0.78674351585014413</c:v>
                </c:pt>
                <c:pt idx="8">
                  <c:v>0.79629629629629628</c:v>
                </c:pt>
                <c:pt idx="9">
                  <c:v>0.78538812785388123</c:v>
                </c:pt>
                <c:pt idx="10">
                  <c:v>0.73598130841121501</c:v>
                </c:pt>
                <c:pt idx="11">
                  <c:v>0.66417910447761197</c:v>
                </c:pt>
                <c:pt idx="12">
                  <c:v>0.64039408866995073</c:v>
                </c:pt>
                <c:pt idx="13">
                  <c:v>0.66371681415929207</c:v>
                </c:pt>
                <c:pt idx="14">
                  <c:v>0.89824561403508774</c:v>
                </c:pt>
                <c:pt idx="15">
                  <c:v>0.9080779944289693</c:v>
                </c:pt>
                <c:pt idx="16">
                  <c:v>0.8972868217054264</c:v>
                </c:pt>
                <c:pt idx="17">
                  <c:v>0.55378486055776888</c:v>
                </c:pt>
                <c:pt idx="18">
                  <c:v>0.5330073349633252</c:v>
                </c:pt>
                <c:pt idx="19">
                  <c:v>0.82889733840304181</c:v>
                </c:pt>
                <c:pt idx="20">
                  <c:v>0.83183183183183185</c:v>
                </c:pt>
                <c:pt idx="21">
                  <c:v>0.632996632996633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93B-4797-9A2E-863C04A91D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4062047"/>
        <c:axId val="277613231"/>
      </c:scatterChart>
      <c:valAx>
        <c:axId val="13840620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7613231"/>
        <c:crosses val="autoZero"/>
        <c:crossBetween val="midCat"/>
      </c:valAx>
      <c:valAx>
        <c:axId val="277613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0620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PH% vs Indian% N12Temiang GE15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0342300962379704E-2"/>
                  <c:y val="-0.3312864537766112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8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N12Temiang!$G$2:$G$23</c:f>
              <c:numCache>
                <c:formatCode>0.0%</c:formatCode>
                <c:ptCount val="22"/>
                <c:pt idx="0">
                  <c:v>0.2688888888888889</c:v>
                </c:pt>
                <c:pt idx="1">
                  <c:v>0.24666666666666667</c:v>
                </c:pt>
                <c:pt idx="2">
                  <c:v>0.29278074866310161</c:v>
                </c:pt>
                <c:pt idx="3">
                  <c:v>0.17379679144385027</c:v>
                </c:pt>
                <c:pt idx="4">
                  <c:v>0.1855807743658211</c:v>
                </c:pt>
                <c:pt idx="5">
                  <c:v>0.20160213618157544</c:v>
                </c:pt>
                <c:pt idx="6">
                  <c:v>0.12666666666666668</c:v>
                </c:pt>
                <c:pt idx="7">
                  <c:v>0.10222222222222223</c:v>
                </c:pt>
                <c:pt idx="8">
                  <c:v>0.1213768115942029</c:v>
                </c:pt>
                <c:pt idx="9">
                  <c:v>0.13743218806509946</c:v>
                </c:pt>
                <c:pt idx="10">
                  <c:v>0.15913200723327306</c:v>
                </c:pt>
                <c:pt idx="11">
                  <c:v>0.16455696202531644</c:v>
                </c:pt>
                <c:pt idx="12">
                  <c:v>0.12296564195298372</c:v>
                </c:pt>
                <c:pt idx="13">
                  <c:v>0.10669077757685352</c:v>
                </c:pt>
                <c:pt idx="14">
                  <c:v>2.6666666666666668E-2</c:v>
                </c:pt>
                <c:pt idx="15">
                  <c:v>2.6666666666666668E-2</c:v>
                </c:pt>
                <c:pt idx="16">
                  <c:v>6.5671641791044774E-2</c:v>
                </c:pt>
                <c:pt idx="17">
                  <c:v>0.19777777777777777</c:v>
                </c:pt>
                <c:pt idx="18">
                  <c:v>0.15572519083969466</c:v>
                </c:pt>
                <c:pt idx="19">
                  <c:v>9.2592592592592587E-2</c:v>
                </c:pt>
                <c:pt idx="20">
                  <c:v>0.11805555555555555</c:v>
                </c:pt>
                <c:pt idx="21">
                  <c:v>0.16666666666666666</c:v>
                </c:pt>
              </c:numCache>
            </c:numRef>
          </c:xVal>
          <c:yVal>
            <c:numRef>
              <c:f>N12Temiang!$B$2:$B$23</c:f>
              <c:numCache>
                <c:formatCode>0.0%</c:formatCode>
                <c:ptCount val="22"/>
                <c:pt idx="0">
                  <c:v>0.52583586626139822</c:v>
                </c:pt>
                <c:pt idx="1">
                  <c:v>0.45429362880886426</c:v>
                </c:pt>
                <c:pt idx="2">
                  <c:v>0.51883561643835618</c:v>
                </c:pt>
                <c:pt idx="3">
                  <c:v>0.40842490842490842</c:v>
                </c:pt>
                <c:pt idx="4">
                  <c:v>0.44606946983546619</c:v>
                </c:pt>
                <c:pt idx="5">
                  <c:v>0.49503311258278143</c:v>
                </c:pt>
                <c:pt idx="6">
                  <c:v>0.72888888888888892</c:v>
                </c:pt>
                <c:pt idx="7">
                  <c:v>0.78674351585014413</c:v>
                </c:pt>
                <c:pt idx="8">
                  <c:v>0.79629629629629628</c:v>
                </c:pt>
                <c:pt idx="9">
                  <c:v>0.78538812785388123</c:v>
                </c:pt>
                <c:pt idx="10">
                  <c:v>0.73598130841121501</c:v>
                </c:pt>
                <c:pt idx="11">
                  <c:v>0.66417910447761197</c:v>
                </c:pt>
                <c:pt idx="12">
                  <c:v>0.64039408866995073</c:v>
                </c:pt>
                <c:pt idx="13">
                  <c:v>0.66371681415929207</c:v>
                </c:pt>
                <c:pt idx="14">
                  <c:v>0.89824561403508774</c:v>
                </c:pt>
                <c:pt idx="15">
                  <c:v>0.9080779944289693</c:v>
                </c:pt>
                <c:pt idx="16">
                  <c:v>0.8972868217054264</c:v>
                </c:pt>
                <c:pt idx="17">
                  <c:v>0.55378486055776888</c:v>
                </c:pt>
                <c:pt idx="18">
                  <c:v>0.5330073349633252</c:v>
                </c:pt>
                <c:pt idx="19">
                  <c:v>0.82889733840304181</c:v>
                </c:pt>
                <c:pt idx="20">
                  <c:v>0.83183183183183185</c:v>
                </c:pt>
                <c:pt idx="21">
                  <c:v>0.632996632996633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113-4CB2-BFE9-AAA3966507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4062047"/>
        <c:axId val="277613231"/>
      </c:scatterChart>
      <c:valAx>
        <c:axId val="13840620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7613231"/>
        <c:crosses val="autoZero"/>
        <c:crossBetween val="midCat"/>
      </c:valAx>
      <c:valAx>
        <c:axId val="277613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0620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6" Type="http://schemas.openxmlformats.org/officeDocument/2006/relationships/chart" Target="../charts/chart11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6" Type="http://schemas.openxmlformats.org/officeDocument/2006/relationships/chart" Target="../charts/chart17.xml"/><Relationship Id="rId5" Type="http://schemas.openxmlformats.org/officeDocument/2006/relationships/chart" Target="../charts/chart16.xml"/><Relationship Id="rId4" Type="http://schemas.openxmlformats.org/officeDocument/2006/relationships/chart" Target="../charts/chart15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0.xml"/><Relationship Id="rId2" Type="http://schemas.openxmlformats.org/officeDocument/2006/relationships/chart" Target="../charts/chart19.xml"/><Relationship Id="rId1" Type="http://schemas.openxmlformats.org/officeDocument/2006/relationships/chart" Target="../charts/chart18.xml"/><Relationship Id="rId6" Type="http://schemas.openxmlformats.org/officeDocument/2006/relationships/chart" Target="../charts/chart23.xml"/><Relationship Id="rId5" Type="http://schemas.openxmlformats.org/officeDocument/2006/relationships/chart" Target="../charts/chart22.xml"/><Relationship Id="rId4" Type="http://schemas.openxmlformats.org/officeDocument/2006/relationships/chart" Target="../charts/chart21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3</xdr:row>
      <xdr:rowOff>0</xdr:rowOff>
    </xdr:from>
    <xdr:to>
      <xdr:col>23</xdr:col>
      <xdr:colOff>304800</xdr:colOff>
      <xdr:row>19</xdr:row>
      <xdr:rowOff>60960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5C9EBE5-0EB3-4D0A-ABCD-C0E09D7A61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22860</xdr:colOff>
      <xdr:row>23</xdr:row>
      <xdr:rowOff>15240</xdr:rowOff>
    </xdr:from>
    <xdr:to>
      <xdr:col>23</xdr:col>
      <xdr:colOff>327660</xdr:colOff>
      <xdr:row>39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979B66A-5475-411E-9ECB-4B67E10A0F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0</xdr:colOff>
      <xdr:row>43</xdr:row>
      <xdr:rowOff>0</xdr:rowOff>
    </xdr:from>
    <xdr:to>
      <xdr:col>23</xdr:col>
      <xdr:colOff>304800</xdr:colOff>
      <xdr:row>59</xdr:row>
      <xdr:rowOff>60960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B8AB7F8-69F7-4F43-A235-F988003B85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25</xdr:col>
      <xdr:colOff>0</xdr:colOff>
      <xdr:row>3</xdr:row>
      <xdr:rowOff>0</xdr:rowOff>
    </xdr:from>
    <xdr:to>
      <xdr:col>32</xdr:col>
      <xdr:colOff>304800</xdr:colOff>
      <xdr:row>19</xdr:row>
      <xdr:rowOff>60960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A2B34BB-6954-4C4D-9CE2-6B1C848B46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34</xdr:col>
      <xdr:colOff>0</xdr:colOff>
      <xdr:row>3</xdr:row>
      <xdr:rowOff>0</xdr:rowOff>
    </xdr:from>
    <xdr:to>
      <xdr:col>41</xdr:col>
      <xdr:colOff>304800</xdr:colOff>
      <xdr:row>19</xdr:row>
      <xdr:rowOff>60960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E250F0B-5EBC-4998-884A-DF21BAD219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182880</xdr:colOff>
      <xdr:row>3</xdr:row>
      <xdr:rowOff>121920</xdr:rowOff>
    </xdr:from>
    <xdr:to>
      <xdr:col>17</xdr:col>
      <xdr:colOff>487680</xdr:colOff>
      <xdr:row>20</xdr:row>
      <xdr:rowOff>15240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BB2A5A4-162C-4343-A724-708F1F3CE3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274320</xdr:colOff>
      <xdr:row>23</xdr:row>
      <xdr:rowOff>22860</xdr:rowOff>
    </xdr:from>
    <xdr:to>
      <xdr:col>17</xdr:col>
      <xdr:colOff>579120</xdr:colOff>
      <xdr:row>39</xdr:row>
      <xdr:rowOff>83820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89EEF12-9996-41B3-8E1B-5979EB0CFA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243840</xdr:colOff>
      <xdr:row>42</xdr:row>
      <xdr:rowOff>15240</xdr:rowOff>
    </xdr:from>
    <xdr:to>
      <xdr:col>17</xdr:col>
      <xdr:colOff>548640</xdr:colOff>
      <xdr:row>58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C892C5E-A3D6-428F-810D-B3FB3F67CF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0</xdr:colOff>
      <xdr:row>4</xdr:row>
      <xdr:rowOff>0</xdr:rowOff>
    </xdr:from>
    <xdr:to>
      <xdr:col>26</xdr:col>
      <xdr:colOff>304800</xdr:colOff>
      <xdr:row>20</xdr:row>
      <xdr:rowOff>60960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D99FCBE-CA94-46EE-ACDB-0D1144AE3B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0</xdr:colOff>
      <xdr:row>23</xdr:row>
      <xdr:rowOff>0</xdr:rowOff>
    </xdr:from>
    <xdr:to>
      <xdr:col>26</xdr:col>
      <xdr:colOff>304800</xdr:colOff>
      <xdr:row>39</xdr:row>
      <xdr:rowOff>60960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4F6C113-F387-49B5-9B47-4E9CE7748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19</xdr:col>
      <xdr:colOff>0</xdr:colOff>
      <xdr:row>42</xdr:row>
      <xdr:rowOff>0</xdr:rowOff>
    </xdr:from>
    <xdr:to>
      <xdr:col>26</xdr:col>
      <xdr:colOff>304800</xdr:colOff>
      <xdr:row>58</xdr:row>
      <xdr:rowOff>60960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3D2BC7D-395B-4BA5-B730-A6AB9A7A6A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83826</xdr:colOff>
      <xdr:row>4</xdr:row>
      <xdr:rowOff>11430</xdr:rowOff>
    </xdr:from>
    <xdr:to>
      <xdr:col>17</xdr:col>
      <xdr:colOff>388626</xdr:colOff>
      <xdr:row>20</xdr:row>
      <xdr:rowOff>72390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EC4755-8D6D-7E69-4E87-F635A4FA89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114300</xdr:colOff>
      <xdr:row>23</xdr:row>
      <xdr:rowOff>7620</xdr:rowOff>
    </xdr:from>
    <xdr:to>
      <xdr:col>17</xdr:col>
      <xdr:colOff>419100</xdr:colOff>
      <xdr:row>39</xdr:row>
      <xdr:rowOff>68580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9327912-04FF-49A3-9E7A-85C326D727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0</xdr:colOff>
      <xdr:row>42</xdr:row>
      <xdr:rowOff>0</xdr:rowOff>
    </xdr:from>
    <xdr:to>
      <xdr:col>17</xdr:col>
      <xdr:colOff>304800</xdr:colOff>
      <xdr:row>58</xdr:row>
      <xdr:rowOff>60960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73E58D-1BB8-47D5-949F-9A5ECB4295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0</xdr:colOff>
      <xdr:row>4</xdr:row>
      <xdr:rowOff>0</xdr:rowOff>
    </xdr:from>
    <xdr:to>
      <xdr:col>26</xdr:col>
      <xdr:colOff>304800</xdr:colOff>
      <xdr:row>20</xdr:row>
      <xdr:rowOff>60960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D3F096A-7B8D-416B-975C-FFF9E4FA49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0</xdr:colOff>
      <xdr:row>23</xdr:row>
      <xdr:rowOff>0</xdr:rowOff>
    </xdr:from>
    <xdr:to>
      <xdr:col>26</xdr:col>
      <xdr:colOff>304800</xdr:colOff>
      <xdr:row>39</xdr:row>
      <xdr:rowOff>60960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CEA137E-8CCD-4EA8-8405-E1621466F1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19</xdr:col>
      <xdr:colOff>0</xdr:colOff>
      <xdr:row>42</xdr:row>
      <xdr:rowOff>0</xdr:rowOff>
    </xdr:from>
    <xdr:to>
      <xdr:col>26</xdr:col>
      <xdr:colOff>304800</xdr:colOff>
      <xdr:row>58</xdr:row>
      <xdr:rowOff>60960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46398CA-98C7-4BE0-8770-181F1B65F5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152406</xdr:colOff>
      <xdr:row>3</xdr:row>
      <xdr:rowOff>80010</xdr:rowOff>
    </xdr:from>
    <xdr:to>
      <xdr:col>17</xdr:col>
      <xdr:colOff>457206</xdr:colOff>
      <xdr:row>19</xdr:row>
      <xdr:rowOff>140970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AFB0E3-E494-880D-F871-C122C11E67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167640</xdr:colOff>
      <xdr:row>22</xdr:row>
      <xdr:rowOff>83820</xdr:rowOff>
    </xdr:from>
    <xdr:to>
      <xdr:col>17</xdr:col>
      <xdr:colOff>472440</xdr:colOff>
      <xdr:row>38</xdr:row>
      <xdr:rowOff>144780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5867FA1-90A2-4292-9A09-59AC8835AE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114300</xdr:colOff>
      <xdr:row>41</xdr:row>
      <xdr:rowOff>144780</xdr:rowOff>
    </xdr:from>
    <xdr:to>
      <xdr:col>17</xdr:col>
      <xdr:colOff>419100</xdr:colOff>
      <xdr:row>58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C99D937-65AE-4F31-9AE1-E583182A84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83820</xdr:colOff>
      <xdr:row>3</xdr:row>
      <xdr:rowOff>129540</xdr:rowOff>
    </xdr:from>
    <xdr:to>
      <xdr:col>26</xdr:col>
      <xdr:colOff>388620</xdr:colOff>
      <xdr:row>20</xdr:row>
      <xdr:rowOff>22860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E15B472-7D7A-4A02-A91D-FB59591758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22860</xdr:colOff>
      <xdr:row>22</xdr:row>
      <xdr:rowOff>152400</xdr:rowOff>
    </xdr:from>
    <xdr:to>
      <xdr:col>26</xdr:col>
      <xdr:colOff>327660</xdr:colOff>
      <xdr:row>39</xdr:row>
      <xdr:rowOff>45720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FB6057E-7483-487F-97F6-EE457F381A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19</xdr:col>
      <xdr:colOff>0</xdr:colOff>
      <xdr:row>42</xdr:row>
      <xdr:rowOff>0</xdr:rowOff>
    </xdr:from>
    <xdr:to>
      <xdr:col>26</xdr:col>
      <xdr:colOff>304800</xdr:colOff>
      <xdr:row>58</xdr:row>
      <xdr:rowOff>60960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F6791FC-2412-4349-8963-22463755B4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541782</xdr:colOff>
      <xdr:row>16</xdr:row>
      <xdr:rowOff>206501</xdr:rowOff>
    </xdr:from>
    <xdr:ext cx="3808729" cy="480059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3808729" cy="480059"/>
        </a:xfrm>
        <a:custGeom>
          <a:avLst/>
          <a:gdLst/>
          <a:ahLst/>
          <a:cxnLst/>
          <a:rect l="0" t="0" r="0" b="0"/>
          <a:pathLst>
            <a:path w="3808729" h="480059">
              <a:moveTo>
                <a:pt x="760476" y="0"/>
              </a:moveTo>
              <a:lnTo>
                <a:pt x="0" y="0"/>
              </a:lnTo>
              <a:lnTo>
                <a:pt x="0" y="480060"/>
              </a:lnTo>
              <a:lnTo>
                <a:pt x="760476" y="480060"/>
              </a:lnTo>
              <a:lnTo>
                <a:pt x="760476" y="0"/>
              </a:lnTo>
              <a:close/>
            </a:path>
            <a:path w="3808729" h="480059">
              <a:moveTo>
                <a:pt x="1522476" y="0"/>
              </a:moveTo>
              <a:lnTo>
                <a:pt x="763524" y="0"/>
              </a:lnTo>
              <a:lnTo>
                <a:pt x="763524" y="480060"/>
              </a:lnTo>
              <a:lnTo>
                <a:pt x="1522476" y="480060"/>
              </a:lnTo>
              <a:lnTo>
                <a:pt x="1522476" y="0"/>
              </a:lnTo>
              <a:close/>
            </a:path>
            <a:path w="3808729" h="480059">
              <a:moveTo>
                <a:pt x="2284463" y="0"/>
              </a:moveTo>
              <a:lnTo>
                <a:pt x="1525524" y="0"/>
              </a:lnTo>
              <a:lnTo>
                <a:pt x="1525524" y="480060"/>
              </a:lnTo>
              <a:lnTo>
                <a:pt x="2284463" y="480060"/>
              </a:lnTo>
              <a:lnTo>
                <a:pt x="2284463" y="0"/>
              </a:lnTo>
              <a:close/>
            </a:path>
            <a:path w="3808729" h="480059">
              <a:moveTo>
                <a:pt x="3046476" y="0"/>
              </a:moveTo>
              <a:lnTo>
                <a:pt x="2287524" y="0"/>
              </a:lnTo>
              <a:lnTo>
                <a:pt x="2287524" y="480060"/>
              </a:lnTo>
              <a:lnTo>
                <a:pt x="3046476" y="480060"/>
              </a:lnTo>
              <a:lnTo>
                <a:pt x="3046476" y="0"/>
              </a:lnTo>
              <a:close/>
            </a:path>
            <a:path w="3808729" h="480059">
              <a:moveTo>
                <a:pt x="3808476" y="0"/>
              </a:moveTo>
              <a:lnTo>
                <a:pt x="3049524" y="0"/>
              </a:lnTo>
              <a:lnTo>
                <a:pt x="3049524" y="480060"/>
              </a:lnTo>
              <a:lnTo>
                <a:pt x="3808476" y="480060"/>
              </a:lnTo>
              <a:lnTo>
                <a:pt x="3808476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5</xdr:col>
      <xdr:colOff>202184</xdr:colOff>
      <xdr:row>3</xdr:row>
      <xdr:rowOff>49142</xdr:rowOff>
    </xdr:from>
    <xdr:ext cx="381000" cy="290285"/>
    <xdr:pic>
      <xdr:nvPicPr>
        <xdr:cNvPr id="3" name="image1.jpe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290285"/>
        </a:xfrm>
        <a:prstGeom prst="rect">
          <a:avLst/>
        </a:prstGeom>
      </xdr:spPr>
    </xdr:pic>
    <xdr:clientData/>
  </xdr:oneCellAnchor>
  <xdr:oneCellAnchor>
    <xdr:from>
      <xdr:col>6</xdr:col>
      <xdr:colOff>201929</xdr:colOff>
      <xdr:row>3</xdr:row>
      <xdr:rowOff>761</xdr:rowOff>
    </xdr:from>
    <xdr:ext cx="338666" cy="381000"/>
    <xdr:pic>
      <xdr:nvPicPr>
        <xdr:cNvPr id="4" name="image2.jpe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38666" cy="381000"/>
        </a:xfrm>
        <a:prstGeom prst="rect">
          <a:avLst/>
        </a:prstGeom>
      </xdr:spPr>
    </xdr:pic>
    <xdr:clientData/>
  </xdr:oneCellAnchor>
  <xdr:oneCellAnchor>
    <xdr:from>
      <xdr:col>7</xdr:col>
      <xdr:colOff>201929</xdr:colOff>
      <xdr:row>3</xdr:row>
      <xdr:rowOff>49142</xdr:rowOff>
    </xdr:from>
    <xdr:ext cx="381000" cy="290285"/>
    <xdr:pic>
      <xdr:nvPicPr>
        <xdr:cNvPr id="5" name="image3.jpe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290285"/>
        </a:xfrm>
        <a:prstGeom prst="rect">
          <a:avLst/>
        </a:prstGeom>
      </xdr:spPr>
    </xdr:pic>
    <xdr:clientData/>
  </xdr:oneCellAnchor>
  <xdr:oneCellAnchor>
    <xdr:from>
      <xdr:col>8</xdr:col>
      <xdr:colOff>298691</xdr:colOff>
      <xdr:row>3</xdr:row>
      <xdr:rowOff>49142</xdr:rowOff>
    </xdr:from>
    <xdr:ext cx="193523" cy="290285"/>
    <xdr:pic>
      <xdr:nvPicPr>
        <xdr:cNvPr id="6" name="image4.jpe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3523" cy="290285"/>
        </a:xfrm>
        <a:prstGeom prst="rect">
          <a:avLst/>
        </a:prstGeom>
      </xdr:spPr>
    </xdr:pic>
    <xdr:clientData/>
  </xdr:oneCellAnchor>
  <xdr:oneCellAnchor>
    <xdr:from>
      <xdr:col>9</xdr:col>
      <xdr:colOff>201929</xdr:colOff>
      <xdr:row>3</xdr:row>
      <xdr:rowOff>761</xdr:rowOff>
    </xdr:from>
    <xdr:ext cx="381000" cy="381000"/>
    <xdr:pic>
      <xdr:nvPicPr>
        <xdr:cNvPr id="7" name="image5.jpe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381000"/>
        </a:xfrm>
        <a:prstGeom prst="rect">
          <a:avLst/>
        </a:prstGeom>
      </xdr:spPr>
    </xdr:pic>
    <xdr:clientData/>
  </xdr:oneCellAnchor>
  <xdr:oneCellAnchor>
    <xdr:from>
      <xdr:col>4</xdr:col>
      <xdr:colOff>541655</xdr:colOff>
      <xdr:row>18</xdr:row>
      <xdr:rowOff>0</xdr:rowOff>
    </xdr:from>
    <xdr:ext cx="4445635" cy="23939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0" y="0"/>
          <a:ext cx="4445635" cy="239395"/>
        </a:xfrm>
        <a:custGeom>
          <a:avLst/>
          <a:gdLst/>
          <a:ahLst/>
          <a:cxnLst/>
          <a:rect l="0" t="0" r="0" b="0"/>
          <a:pathLst>
            <a:path w="4445635" h="239395">
              <a:moveTo>
                <a:pt x="633984" y="0"/>
              </a:moveTo>
              <a:lnTo>
                <a:pt x="0" y="0"/>
              </a:lnTo>
              <a:lnTo>
                <a:pt x="0" y="239268"/>
              </a:lnTo>
              <a:lnTo>
                <a:pt x="633984" y="239268"/>
              </a:lnTo>
              <a:lnTo>
                <a:pt x="633984" y="0"/>
              </a:lnTo>
              <a:close/>
            </a:path>
            <a:path w="4445635" h="239395">
              <a:moveTo>
                <a:pt x="1397508" y="0"/>
              </a:moveTo>
              <a:lnTo>
                <a:pt x="637032" y="0"/>
              </a:lnTo>
              <a:lnTo>
                <a:pt x="637032" y="239268"/>
              </a:lnTo>
              <a:lnTo>
                <a:pt x="1397508" y="239268"/>
              </a:lnTo>
              <a:lnTo>
                <a:pt x="1397508" y="0"/>
              </a:lnTo>
              <a:close/>
            </a:path>
            <a:path w="4445635" h="239395">
              <a:moveTo>
                <a:pt x="2159508" y="0"/>
              </a:moveTo>
              <a:lnTo>
                <a:pt x="1400556" y="0"/>
              </a:lnTo>
              <a:lnTo>
                <a:pt x="1400556" y="239268"/>
              </a:lnTo>
              <a:lnTo>
                <a:pt x="2159508" y="239268"/>
              </a:lnTo>
              <a:lnTo>
                <a:pt x="2159508" y="0"/>
              </a:lnTo>
              <a:close/>
            </a:path>
            <a:path w="4445635" h="239395">
              <a:moveTo>
                <a:pt x="2921495" y="0"/>
              </a:moveTo>
              <a:lnTo>
                <a:pt x="2162556" y="0"/>
              </a:lnTo>
              <a:lnTo>
                <a:pt x="2162556" y="239268"/>
              </a:lnTo>
              <a:lnTo>
                <a:pt x="2921495" y="239268"/>
              </a:lnTo>
              <a:lnTo>
                <a:pt x="2921495" y="0"/>
              </a:lnTo>
              <a:close/>
            </a:path>
            <a:path w="4445635" h="239395">
              <a:moveTo>
                <a:pt x="3683508" y="0"/>
              </a:moveTo>
              <a:lnTo>
                <a:pt x="2924556" y="0"/>
              </a:lnTo>
              <a:lnTo>
                <a:pt x="2924556" y="239268"/>
              </a:lnTo>
              <a:lnTo>
                <a:pt x="3683508" y="239268"/>
              </a:lnTo>
              <a:lnTo>
                <a:pt x="3683508" y="0"/>
              </a:lnTo>
              <a:close/>
            </a:path>
            <a:path w="4445635" h="239395">
              <a:moveTo>
                <a:pt x="4445508" y="0"/>
              </a:moveTo>
              <a:lnTo>
                <a:pt x="3686556" y="0"/>
              </a:lnTo>
              <a:lnTo>
                <a:pt x="3686556" y="239268"/>
              </a:lnTo>
              <a:lnTo>
                <a:pt x="4445508" y="239268"/>
              </a:lnTo>
              <a:lnTo>
                <a:pt x="4445508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11</xdr:col>
      <xdr:colOff>2159</xdr:colOff>
      <xdr:row>4</xdr:row>
      <xdr:rowOff>1524</xdr:rowOff>
    </xdr:from>
    <xdr:ext cx="645160" cy="239395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0" y="0"/>
          <a:ext cx="645160" cy="239395"/>
        </a:xfrm>
        <a:custGeom>
          <a:avLst/>
          <a:gdLst/>
          <a:ahLst/>
          <a:cxnLst/>
          <a:rect l="0" t="0" r="0" b="0"/>
          <a:pathLst>
            <a:path w="645160" h="239395">
              <a:moveTo>
                <a:pt x="644651" y="0"/>
              </a:moveTo>
              <a:lnTo>
                <a:pt x="0" y="0"/>
              </a:lnTo>
              <a:lnTo>
                <a:pt x="0" y="239268"/>
              </a:lnTo>
              <a:lnTo>
                <a:pt x="644651" y="239268"/>
              </a:lnTo>
              <a:lnTo>
                <a:pt x="644651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226060</xdr:colOff>
      <xdr:row>19</xdr:row>
      <xdr:rowOff>0</xdr:rowOff>
    </xdr:from>
    <xdr:ext cx="7486015" cy="2644140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0" y="0"/>
          <a:ext cx="7486015" cy="2644140"/>
        </a:xfrm>
        <a:custGeom>
          <a:avLst/>
          <a:gdLst/>
          <a:ahLst/>
          <a:cxnLst/>
          <a:rect l="0" t="0" r="0" b="0"/>
          <a:pathLst>
            <a:path w="7486015" h="2644140">
              <a:moveTo>
                <a:pt x="312420" y="2232660"/>
              </a:moveTo>
              <a:lnTo>
                <a:pt x="0" y="2232660"/>
              </a:lnTo>
              <a:lnTo>
                <a:pt x="0" y="2644140"/>
              </a:lnTo>
              <a:lnTo>
                <a:pt x="312420" y="2644140"/>
              </a:lnTo>
              <a:lnTo>
                <a:pt x="312420" y="2232660"/>
              </a:lnTo>
              <a:close/>
            </a:path>
            <a:path w="7486015" h="2644140">
              <a:moveTo>
                <a:pt x="312420" y="1588008"/>
              </a:moveTo>
              <a:lnTo>
                <a:pt x="0" y="1588008"/>
              </a:lnTo>
              <a:lnTo>
                <a:pt x="0" y="2229612"/>
              </a:lnTo>
              <a:lnTo>
                <a:pt x="312420" y="2229612"/>
              </a:lnTo>
              <a:lnTo>
                <a:pt x="312420" y="1588008"/>
              </a:lnTo>
              <a:close/>
            </a:path>
            <a:path w="7486015" h="2644140">
              <a:moveTo>
                <a:pt x="312420" y="528828"/>
              </a:moveTo>
              <a:lnTo>
                <a:pt x="0" y="528828"/>
              </a:lnTo>
              <a:lnTo>
                <a:pt x="0" y="1584960"/>
              </a:lnTo>
              <a:lnTo>
                <a:pt x="312420" y="1584960"/>
              </a:lnTo>
              <a:lnTo>
                <a:pt x="312420" y="528828"/>
              </a:lnTo>
              <a:close/>
            </a:path>
            <a:path w="7486015" h="2644140">
              <a:moveTo>
                <a:pt x="312420" y="0"/>
              </a:moveTo>
              <a:lnTo>
                <a:pt x="0" y="0"/>
              </a:lnTo>
              <a:lnTo>
                <a:pt x="0" y="525780"/>
              </a:lnTo>
              <a:lnTo>
                <a:pt x="312420" y="525780"/>
              </a:lnTo>
              <a:lnTo>
                <a:pt x="312420" y="0"/>
              </a:lnTo>
              <a:close/>
            </a:path>
            <a:path w="7486015" h="2644140">
              <a:moveTo>
                <a:pt x="1264920" y="2232660"/>
              </a:moveTo>
              <a:lnTo>
                <a:pt x="315468" y="2232660"/>
              </a:lnTo>
              <a:lnTo>
                <a:pt x="315468" y="2644140"/>
              </a:lnTo>
              <a:lnTo>
                <a:pt x="1264920" y="2644140"/>
              </a:lnTo>
              <a:lnTo>
                <a:pt x="1264920" y="2232660"/>
              </a:lnTo>
              <a:close/>
            </a:path>
            <a:path w="7486015" h="2644140">
              <a:moveTo>
                <a:pt x="1264920" y="1588008"/>
              </a:moveTo>
              <a:lnTo>
                <a:pt x="315468" y="1588008"/>
              </a:lnTo>
              <a:lnTo>
                <a:pt x="315468" y="2229612"/>
              </a:lnTo>
              <a:lnTo>
                <a:pt x="1264920" y="2229612"/>
              </a:lnTo>
              <a:lnTo>
                <a:pt x="1264920" y="1588008"/>
              </a:lnTo>
              <a:close/>
            </a:path>
            <a:path w="7486015" h="2644140">
              <a:moveTo>
                <a:pt x="1264920" y="528828"/>
              </a:moveTo>
              <a:lnTo>
                <a:pt x="315468" y="528828"/>
              </a:lnTo>
              <a:lnTo>
                <a:pt x="315468" y="1584960"/>
              </a:lnTo>
              <a:lnTo>
                <a:pt x="1264920" y="1584960"/>
              </a:lnTo>
              <a:lnTo>
                <a:pt x="1264920" y="528828"/>
              </a:lnTo>
              <a:close/>
            </a:path>
            <a:path w="7486015" h="2644140">
              <a:moveTo>
                <a:pt x="1264920" y="0"/>
              </a:moveTo>
              <a:lnTo>
                <a:pt x="315468" y="0"/>
              </a:lnTo>
              <a:lnTo>
                <a:pt x="315468" y="525780"/>
              </a:lnTo>
              <a:lnTo>
                <a:pt x="1264920" y="525780"/>
              </a:lnTo>
              <a:lnTo>
                <a:pt x="1264920" y="0"/>
              </a:lnTo>
              <a:close/>
            </a:path>
            <a:path w="7486015" h="2644140">
              <a:moveTo>
                <a:pt x="2531364" y="2232660"/>
              </a:moveTo>
              <a:lnTo>
                <a:pt x="1267968" y="2232660"/>
              </a:lnTo>
              <a:lnTo>
                <a:pt x="1267968" y="2644140"/>
              </a:lnTo>
              <a:lnTo>
                <a:pt x="2531364" y="2644140"/>
              </a:lnTo>
              <a:lnTo>
                <a:pt x="2531364" y="2232660"/>
              </a:lnTo>
              <a:close/>
            </a:path>
            <a:path w="7486015" h="2644140">
              <a:moveTo>
                <a:pt x="2531364" y="1588008"/>
              </a:moveTo>
              <a:lnTo>
                <a:pt x="1267968" y="1588008"/>
              </a:lnTo>
              <a:lnTo>
                <a:pt x="1267968" y="2229612"/>
              </a:lnTo>
              <a:lnTo>
                <a:pt x="2531364" y="2229612"/>
              </a:lnTo>
              <a:lnTo>
                <a:pt x="2531364" y="1588008"/>
              </a:lnTo>
              <a:close/>
            </a:path>
            <a:path w="7486015" h="2644140">
              <a:moveTo>
                <a:pt x="2531364" y="1059180"/>
              </a:moveTo>
              <a:lnTo>
                <a:pt x="1267968" y="1059180"/>
              </a:lnTo>
              <a:lnTo>
                <a:pt x="1267968" y="1584960"/>
              </a:lnTo>
              <a:lnTo>
                <a:pt x="2531364" y="1584960"/>
              </a:lnTo>
              <a:lnTo>
                <a:pt x="2531364" y="1059180"/>
              </a:lnTo>
              <a:close/>
            </a:path>
            <a:path w="7486015" h="2644140">
              <a:moveTo>
                <a:pt x="2531364" y="528828"/>
              </a:moveTo>
              <a:lnTo>
                <a:pt x="1267968" y="528828"/>
              </a:lnTo>
              <a:lnTo>
                <a:pt x="1267968" y="1056132"/>
              </a:lnTo>
              <a:lnTo>
                <a:pt x="2531364" y="1056132"/>
              </a:lnTo>
              <a:lnTo>
                <a:pt x="2531364" y="528828"/>
              </a:lnTo>
              <a:close/>
            </a:path>
            <a:path w="7486015" h="2644140">
              <a:moveTo>
                <a:pt x="2531364" y="0"/>
              </a:moveTo>
              <a:lnTo>
                <a:pt x="1267968" y="0"/>
              </a:lnTo>
              <a:lnTo>
                <a:pt x="1267968" y="525780"/>
              </a:lnTo>
              <a:lnTo>
                <a:pt x="2531364" y="525780"/>
              </a:lnTo>
              <a:lnTo>
                <a:pt x="2531364" y="0"/>
              </a:lnTo>
              <a:close/>
            </a:path>
            <a:path w="7486015" h="2644140">
              <a:moveTo>
                <a:pt x="3037332" y="2232660"/>
              </a:moveTo>
              <a:lnTo>
                <a:pt x="2534412" y="2232660"/>
              </a:lnTo>
              <a:lnTo>
                <a:pt x="2534412" y="2644140"/>
              </a:lnTo>
              <a:lnTo>
                <a:pt x="3037332" y="2644140"/>
              </a:lnTo>
              <a:lnTo>
                <a:pt x="3037332" y="2232660"/>
              </a:lnTo>
              <a:close/>
            </a:path>
            <a:path w="7486015" h="2644140">
              <a:moveTo>
                <a:pt x="3037332" y="2002536"/>
              </a:moveTo>
              <a:lnTo>
                <a:pt x="2534412" y="2002536"/>
              </a:lnTo>
              <a:lnTo>
                <a:pt x="2534412" y="2229612"/>
              </a:lnTo>
              <a:lnTo>
                <a:pt x="3037332" y="2229612"/>
              </a:lnTo>
              <a:lnTo>
                <a:pt x="3037332" y="2002536"/>
              </a:lnTo>
              <a:close/>
            </a:path>
            <a:path w="7486015" h="2644140">
              <a:moveTo>
                <a:pt x="3037332" y="1795272"/>
              </a:moveTo>
              <a:lnTo>
                <a:pt x="2534412" y="1795272"/>
              </a:lnTo>
              <a:lnTo>
                <a:pt x="2534412" y="1999488"/>
              </a:lnTo>
              <a:lnTo>
                <a:pt x="3037332" y="1999488"/>
              </a:lnTo>
              <a:lnTo>
                <a:pt x="3037332" y="1795272"/>
              </a:lnTo>
              <a:close/>
            </a:path>
            <a:path w="7486015" h="2644140">
              <a:moveTo>
                <a:pt x="3037332" y="1588008"/>
              </a:moveTo>
              <a:lnTo>
                <a:pt x="2534412" y="1588008"/>
              </a:lnTo>
              <a:lnTo>
                <a:pt x="2534412" y="1792224"/>
              </a:lnTo>
              <a:lnTo>
                <a:pt x="3037332" y="1792224"/>
              </a:lnTo>
              <a:lnTo>
                <a:pt x="3037332" y="1588008"/>
              </a:lnTo>
              <a:close/>
            </a:path>
            <a:path w="7486015" h="2644140">
              <a:moveTo>
                <a:pt x="3037332" y="1059180"/>
              </a:moveTo>
              <a:lnTo>
                <a:pt x="2534412" y="1059180"/>
              </a:lnTo>
              <a:lnTo>
                <a:pt x="2534412" y="1584960"/>
              </a:lnTo>
              <a:lnTo>
                <a:pt x="3037332" y="1584960"/>
              </a:lnTo>
              <a:lnTo>
                <a:pt x="3037332" y="1059180"/>
              </a:lnTo>
              <a:close/>
            </a:path>
            <a:path w="7486015" h="2644140">
              <a:moveTo>
                <a:pt x="3037332" y="528828"/>
              </a:moveTo>
              <a:lnTo>
                <a:pt x="2534412" y="528828"/>
              </a:lnTo>
              <a:lnTo>
                <a:pt x="2534412" y="1056132"/>
              </a:lnTo>
              <a:lnTo>
                <a:pt x="3037332" y="1056132"/>
              </a:lnTo>
              <a:lnTo>
                <a:pt x="3037332" y="528828"/>
              </a:lnTo>
              <a:close/>
            </a:path>
            <a:path w="7486015" h="2644140">
              <a:moveTo>
                <a:pt x="3037332" y="0"/>
              </a:moveTo>
              <a:lnTo>
                <a:pt x="2534412" y="0"/>
              </a:lnTo>
              <a:lnTo>
                <a:pt x="2534412" y="525780"/>
              </a:lnTo>
              <a:lnTo>
                <a:pt x="3037332" y="525780"/>
              </a:lnTo>
              <a:lnTo>
                <a:pt x="3037332" y="0"/>
              </a:lnTo>
              <a:close/>
            </a:path>
            <a:path w="7486015" h="2644140">
              <a:moveTo>
                <a:pt x="3674364" y="2232660"/>
              </a:moveTo>
              <a:lnTo>
                <a:pt x="3040380" y="2232660"/>
              </a:lnTo>
              <a:lnTo>
                <a:pt x="3040380" y="2644140"/>
              </a:lnTo>
              <a:lnTo>
                <a:pt x="3674364" y="2644140"/>
              </a:lnTo>
              <a:lnTo>
                <a:pt x="3674364" y="2232660"/>
              </a:lnTo>
              <a:close/>
            </a:path>
            <a:path w="7486015" h="2644140">
              <a:moveTo>
                <a:pt x="3674364" y="2002536"/>
              </a:moveTo>
              <a:lnTo>
                <a:pt x="3040380" y="2002536"/>
              </a:lnTo>
              <a:lnTo>
                <a:pt x="3040380" y="2229612"/>
              </a:lnTo>
              <a:lnTo>
                <a:pt x="3674364" y="2229612"/>
              </a:lnTo>
              <a:lnTo>
                <a:pt x="3674364" y="2002536"/>
              </a:lnTo>
              <a:close/>
            </a:path>
            <a:path w="7486015" h="2644140">
              <a:moveTo>
                <a:pt x="3674364" y="1795272"/>
              </a:moveTo>
              <a:lnTo>
                <a:pt x="3040380" y="1795272"/>
              </a:lnTo>
              <a:lnTo>
                <a:pt x="3040380" y="1999488"/>
              </a:lnTo>
              <a:lnTo>
                <a:pt x="3674364" y="1999488"/>
              </a:lnTo>
              <a:lnTo>
                <a:pt x="3674364" y="1795272"/>
              </a:lnTo>
              <a:close/>
            </a:path>
            <a:path w="7486015" h="2644140">
              <a:moveTo>
                <a:pt x="3674364" y="1588008"/>
              </a:moveTo>
              <a:lnTo>
                <a:pt x="3040380" y="1588008"/>
              </a:lnTo>
              <a:lnTo>
                <a:pt x="3040380" y="1792224"/>
              </a:lnTo>
              <a:lnTo>
                <a:pt x="3674364" y="1792224"/>
              </a:lnTo>
              <a:lnTo>
                <a:pt x="3674364" y="1588008"/>
              </a:lnTo>
              <a:close/>
            </a:path>
            <a:path w="7486015" h="2644140">
              <a:moveTo>
                <a:pt x="3674364" y="1059180"/>
              </a:moveTo>
              <a:lnTo>
                <a:pt x="3040380" y="1059180"/>
              </a:lnTo>
              <a:lnTo>
                <a:pt x="3040380" y="1584960"/>
              </a:lnTo>
              <a:lnTo>
                <a:pt x="3674364" y="1584960"/>
              </a:lnTo>
              <a:lnTo>
                <a:pt x="3674364" y="1059180"/>
              </a:lnTo>
              <a:close/>
            </a:path>
            <a:path w="7486015" h="2644140">
              <a:moveTo>
                <a:pt x="3674364" y="528828"/>
              </a:moveTo>
              <a:lnTo>
                <a:pt x="3040380" y="528828"/>
              </a:lnTo>
              <a:lnTo>
                <a:pt x="3040380" y="1056132"/>
              </a:lnTo>
              <a:lnTo>
                <a:pt x="3674364" y="1056132"/>
              </a:lnTo>
              <a:lnTo>
                <a:pt x="3674364" y="528828"/>
              </a:lnTo>
              <a:close/>
            </a:path>
            <a:path w="7486015" h="2644140">
              <a:moveTo>
                <a:pt x="3674364" y="0"/>
              </a:moveTo>
              <a:lnTo>
                <a:pt x="3040380" y="0"/>
              </a:lnTo>
              <a:lnTo>
                <a:pt x="3040380" y="525780"/>
              </a:lnTo>
              <a:lnTo>
                <a:pt x="3674364" y="525780"/>
              </a:lnTo>
              <a:lnTo>
                <a:pt x="3674364" y="0"/>
              </a:lnTo>
              <a:close/>
            </a:path>
            <a:path w="7486015" h="2644140">
              <a:moveTo>
                <a:pt x="4437888" y="2232660"/>
              </a:moveTo>
              <a:lnTo>
                <a:pt x="3677412" y="2232660"/>
              </a:lnTo>
              <a:lnTo>
                <a:pt x="3677412" y="2644140"/>
              </a:lnTo>
              <a:lnTo>
                <a:pt x="4437888" y="2644140"/>
              </a:lnTo>
              <a:lnTo>
                <a:pt x="4437888" y="2232660"/>
              </a:lnTo>
              <a:close/>
            </a:path>
            <a:path w="7486015" h="2644140">
              <a:moveTo>
                <a:pt x="4437888" y="2002536"/>
              </a:moveTo>
              <a:lnTo>
                <a:pt x="3677412" y="2002536"/>
              </a:lnTo>
              <a:lnTo>
                <a:pt x="3677412" y="2229612"/>
              </a:lnTo>
              <a:lnTo>
                <a:pt x="4437888" y="2229612"/>
              </a:lnTo>
              <a:lnTo>
                <a:pt x="4437888" y="2002536"/>
              </a:lnTo>
              <a:close/>
            </a:path>
            <a:path w="7486015" h="2644140">
              <a:moveTo>
                <a:pt x="4437888" y="1795272"/>
              </a:moveTo>
              <a:lnTo>
                <a:pt x="3677412" y="1795272"/>
              </a:lnTo>
              <a:lnTo>
                <a:pt x="3677412" y="1999488"/>
              </a:lnTo>
              <a:lnTo>
                <a:pt x="4437888" y="1999488"/>
              </a:lnTo>
              <a:lnTo>
                <a:pt x="4437888" y="1795272"/>
              </a:lnTo>
              <a:close/>
            </a:path>
            <a:path w="7486015" h="2644140">
              <a:moveTo>
                <a:pt x="4437888" y="1588008"/>
              </a:moveTo>
              <a:lnTo>
                <a:pt x="3677412" y="1588008"/>
              </a:lnTo>
              <a:lnTo>
                <a:pt x="3677412" y="1792224"/>
              </a:lnTo>
              <a:lnTo>
                <a:pt x="4437888" y="1792224"/>
              </a:lnTo>
              <a:lnTo>
                <a:pt x="4437888" y="1588008"/>
              </a:lnTo>
              <a:close/>
            </a:path>
            <a:path w="7486015" h="2644140">
              <a:moveTo>
                <a:pt x="4437888" y="1059180"/>
              </a:moveTo>
              <a:lnTo>
                <a:pt x="3677412" y="1059180"/>
              </a:lnTo>
              <a:lnTo>
                <a:pt x="3677412" y="1584960"/>
              </a:lnTo>
              <a:lnTo>
                <a:pt x="4437888" y="1584960"/>
              </a:lnTo>
              <a:lnTo>
                <a:pt x="4437888" y="1059180"/>
              </a:lnTo>
              <a:close/>
            </a:path>
            <a:path w="7486015" h="2644140">
              <a:moveTo>
                <a:pt x="4437888" y="528828"/>
              </a:moveTo>
              <a:lnTo>
                <a:pt x="3677412" y="528828"/>
              </a:lnTo>
              <a:lnTo>
                <a:pt x="3677412" y="1056132"/>
              </a:lnTo>
              <a:lnTo>
                <a:pt x="4437888" y="1056132"/>
              </a:lnTo>
              <a:lnTo>
                <a:pt x="4437888" y="528828"/>
              </a:lnTo>
              <a:close/>
            </a:path>
            <a:path w="7486015" h="2644140">
              <a:moveTo>
                <a:pt x="4437888" y="0"/>
              </a:moveTo>
              <a:lnTo>
                <a:pt x="3677412" y="0"/>
              </a:lnTo>
              <a:lnTo>
                <a:pt x="3677412" y="525780"/>
              </a:lnTo>
              <a:lnTo>
                <a:pt x="4437888" y="525780"/>
              </a:lnTo>
              <a:lnTo>
                <a:pt x="4437888" y="0"/>
              </a:lnTo>
              <a:close/>
            </a:path>
            <a:path w="7486015" h="2644140">
              <a:moveTo>
                <a:pt x="5199888" y="2232660"/>
              </a:moveTo>
              <a:lnTo>
                <a:pt x="4440936" y="2232660"/>
              </a:lnTo>
              <a:lnTo>
                <a:pt x="4440936" y="2644140"/>
              </a:lnTo>
              <a:lnTo>
                <a:pt x="5199888" y="2644140"/>
              </a:lnTo>
              <a:lnTo>
                <a:pt x="5199888" y="2232660"/>
              </a:lnTo>
              <a:close/>
            </a:path>
            <a:path w="7486015" h="2644140">
              <a:moveTo>
                <a:pt x="5199888" y="2002536"/>
              </a:moveTo>
              <a:lnTo>
                <a:pt x="4440936" y="2002536"/>
              </a:lnTo>
              <a:lnTo>
                <a:pt x="4440936" y="2229612"/>
              </a:lnTo>
              <a:lnTo>
                <a:pt x="5199888" y="2229612"/>
              </a:lnTo>
              <a:lnTo>
                <a:pt x="5199888" y="2002536"/>
              </a:lnTo>
              <a:close/>
            </a:path>
            <a:path w="7486015" h="2644140">
              <a:moveTo>
                <a:pt x="5199888" y="1795272"/>
              </a:moveTo>
              <a:lnTo>
                <a:pt x="4440936" y="1795272"/>
              </a:lnTo>
              <a:lnTo>
                <a:pt x="4440936" y="1999488"/>
              </a:lnTo>
              <a:lnTo>
                <a:pt x="5199888" y="1999488"/>
              </a:lnTo>
              <a:lnTo>
                <a:pt x="5199888" y="1795272"/>
              </a:lnTo>
              <a:close/>
            </a:path>
            <a:path w="7486015" h="2644140">
              <a:moveTo>
                <a:pt x="5199888" y="1588008"/>
              </a:moveTo>
              <a:lnTo>
                <a:pt x="4440936" y="1588008"/>
              </a:lnTo>
              <a:lnTo>
                <a:pt x="4440936" y="1792224"/>
              </a:lnTo>
              <a:lnTo>
                <a:pt x="5199888" y="1792224"/>
              </a:lnTo>
              <a:lnTo>
                <a:pt x="5199888" y="1588008"/>
              </a:lnTo>
              <a:close/>
            </a:path>
            <a:path w="7486015" h="2644140">
              <a:moveTo>
                <a:pt x="5199888" y="1059180"/>
              </a:moveTo>
              <a:lnTo>
                <a:pt x="4440936" y="1059180"/>
              </a:lnTo>
              <a:lnTo>
                <a:pt x="4440936" y="1584960"/>
              </a:lnTo>
              <a:lnTo>
                <a:pt x="5199888" y="1584960"/>
              </a:lnTo>
              <a:lnTo>
                <a:pt x="5199888" y="1059180"/>
              </a:lnTo>
              <a:close/>
            </a:path>
            <a:path w="7486015" h="2644140">
              <a:moveTo>
                <a:pt x="5199888" y="528828"/>
              </a:moveTo>
              <a:lnTo>
                <a:pt x="4440936" y="528828"/>
              </a:lnTo>
              <a:lnTo>
                <a:pt x="4440936" y="1056132"/>
              </a:lnTo>
              <a:lnTo>
                <a:pt x="5199888" y="1056132"/>
              </a:lnTo>
              <a:lnTo>
                <a:pt x="5199888" y="528828"/>
              </a:lnTo>
              <a:close/>
            </a:path>
            <a:path w="7486015" h="2644140">
              <a:moveTo>
                <a:pt x="5199888" y="0"/>
              </a:moveTo>
              <a:lnTo>
                <a:pt x="4440936" y="0"/>
              </a:lnTo>
              <a:lnTo>
                <a:pt x="4440936" y="525780"/>
              </a:lnTo>
              <a:lnTo>
                <a:pt x="5199888" y="525780"/>
              </a:lnTo>
              <a:lnTo>
                <a:pt x="5199888" y="0"/>
              </a:lnTo>
              <a:close/>
            </a:path>
            <a:path w="7486015" h="2644140">
              <a:moveTo>
                <a:pt x="5961875" y="2232660"/>
              </a:moveTo>
              <a:lnTo>
                <a:pt x="5202936" y="2232660"/>
              </a:lnTo>
              <a:lnTo>
                <a:pt x="5202936" y="2644140"/>
              </a:lnTo>
              <a:lnTo>
                <a:pt x="5961875" y="2644140"/>
              </a:lnTo>
              <a:lnTo>
                <a:pt x="5961875" y="2232660"/>
              </a:lnTo>
              <a:close/>
            </a:path>
            <a:path w="7486015" h="2644140">
              <a:moveTo>
                <a:pt x="5961875" y="2002536"/>
              </a:moveTo>
              <a:lnTo>
                <a:pt x="5202936" y="2002536"/>
              </a:lnTo>
              <a:lnTo>
                <a:pt x="5202936" y="2229612"/>
              </a:lnTo>
              <a:lnTo>
                <a:pt x="5961875" y="2229612"/>
              </a:lnTo>
              <a:lnTo>
                <a:pt x="5961875" y="2002536"/>
              </a:lnTo>
              <a:close/>
            </a:path>
            <a:path w="7486015" h="2644140">
              <a:moveTo>
                <a:pt x="5961875" y="1795272"/>
              </a:moveTo>
              <a:lnTo>
                <a:pt x="5202936" y="1795272"/>
              </a:lnTo>
              <a:lnTo>
                <a:pt x="5202936" y="1999488"/>
              </a:lnTo>
              <a:lnTo>
                <a:pt x="5961875" y="1999488"/>
              </a:lnTo>
              <a:lnTo>
                <a:pt x="5961875" y="1795272"/>
              </a:lnTo>
              <a:close/>
            </a:path>
            <a:path w="7486015" h="2644140">
              <a:moveTo>
                <a:pt x="5961875" y="1588008"/>
              </a:moveTo>
              <a:lnTo>
                <a:pt x="5202936" y="1588008"/>
              </a:lnTo>
              <a:lnTo>
                <a:pt x="5202936" y="1792224"/>
              </a:lnTo>
              <a:lnTo>
                <a:pt x="5961875" y="1792224"/>
              </a:lnTo>
              <a:lnTo>
                <a:pt x="5961875" y="1588008"/>
              </a:lnTo>
              <a:close/>
            </a:path>
            <a:path w="7486015" h="2644140">
              <a:moveTo>
                <a:pt x="5961875" y="1059180"/>
              </a:moveTo>
              <a:lnTo>
                <a:pt x="5202936" y="1059180"/>
              </a:lnTo>
              <a:lnTo>
                <a:pt x="5202936" y="1584960"/>
              </a:lnTo>
              <a:lnTo>
                <a:pt x="5961875" y="1584960"/>
              </a:lnTo>
              <a:lnTo>
                <a:pt x="5961875" y="1059180"/>
              </a:lnTo>
              <a:close/>
            </a:path>
            <a:path w="7486015" h="2644140">
              <a:moveTo>
                <a:pt x="5961875" y="528828"/>
              </a:moveTo>
              <a:lnTo>
                <a:pt x="5202936" y="528828"/>
              </a:lnTo>
              <a:lnTo>
                <a:pt x="5202936" y="1056132"/>
              </a:lnTo>
              <a:lnTo>
                <a:pt x="5961875" y="1056132"/>
              </a:lnTo>
              <a:lnTo>
                <a:pt x="5961875" y="528828"/>
              </a:lnTo>
              <a:close/>
            </a:path>
            <a:path w="7486015" h="2644140">
              <a:moveTo>
                <a:pt x="5961875" y="0"/>
              </a:moveTo>
              <a:lnTo>
                <a:pt x="5202936" y="0"/>
              </a:lnTo>
              <a:lnTo>
                <a:pt x="5202936" y="525780"/>
              </a:lnTo>
              <a:lnTo>
                <a:pt x="5961875" y="525780"/>
              </a:lnTo>
              <a:lnTo>
                <a:pt x="5961875" y="0"/>
              </a:lnTo>
              <a:close/>
            </a:path>
            <a:path w="7486015" h="2644140">
              <a:moveTo>
                <a:pt x="6723888" y="2232660"/>
              </a:moveTo>
              <a:lnTo>
                <a:pt x="5964936" y="2232660"/>
              </a:lnTo>
              <a:lnTo>
                <a:pt x="5964936" y="2644140"/>
              </a:lnTo>
              <a:lnTo>
                <a:pt x="6723888" y="2644140"/>
              </a:lnTo>
              <a:lnTo>
                <a:pt x="6723888" y="2232660"/>
              </a:lnTo>
              <a:close/>
            </a:path>
            <a:path w="7486015" h="2644140">
              <a:moveTo>
                <a:pt x="6723888" y="2002536"/>
              </a:moveTo>
              <a:lnTo>
                <a:pt x="5964936" y="2002536"/>
              </a:lnTo>
              <a:lnTo>
                <a:pt x="5964936" y="2229612"/>
              </a:lnTo>
              <a:lnTo>
                <a:pt x="6723888" y="2229612"/>
              </a:lnTo>
              <a:lnTo>
                <a:pt x="6723888" y="2002536"/>
              </a:lnTo>
              <a:close/>
            </a:path>
            <a:path w="7486015" h="2644140">
              <a:moveTo>
                <a:pt x="6723888" y="1795272"/>
              </a:moveTo>
              <a:lnTo>
                <a:pt x="5964936" y="1795272"/>
              </a:lnTo>
              <a:lnTo>
                <a:pt x="5964936" y="1999488"/>
              </a:lnTo>
              <a:lnTo>
                <a:pt x="6723888" y="1999488"/>
              </a:lnTo>
              <a:lnTo>
                <a:pt x="6723888" y="1795272"/>
              </a:lnTo>
              <a:close/>
            </a:path>
            <a:path w="7486015" h="2644140">
              <a:moveTo>
                <a:pt x="6723888" y="1588008"/>
              </a:moveTo>
              <a:lnTo>
                <a:pt x="5964936" y="1588008"/>
              </a:lnTo>
              <a:lnTo>
                <a:pt x="5964936" y="1792224"/>
              </a:lnTo>
              <a:lnTo>
                <a:pt x="6723888" y="1792224"/>
              </a:lnTo>
              <a:lnTo>
                <a:pt x="6723888" y="1588008"/>
              </a:lnTo>
              <a:close/>
            </a:path>
            <a:path w="7486015" h="2644140">
              <a:moveTo>
                <a:pt x="6723888" y="1059180"/>
              </a:moveTo>
              <a:lnTo>
                <a:pt x="5964936" y="1059180"/>
              </a:lnTo>
              <a:lnTo>
                <a:pt x="5964936" y="1584960"/>
              </a:lnTo>
              <a:lnTo>
                <a:pt x="6723888" y="1584960"/>
              </a:lnTo>
              <a:lnTo>
                <a:pt x="6723888" y="1059180"/>
              </a:lnTo>
              <a:close/>
            </a:path>
            <a:path w="7486015" h="2644140">
              <a:moveTo>
                <a:pt x="6723888" y="528828"/>
              </a:moveTo>
              <a:lnTo>
                <a:pt x="5964936" y="528828"/>
              </a:lnTo>
              <a:lnTo>
                <a:pt x="5964936" y="1056132"/>
              </a:lnTo>
              <a:lnTo>
                <a:pt x="6723888" y="1056132"/>
              </a:lnTo>
              <a:lnTo>
                <a:pt x="6723888" y="528828"/>
              </a:lnTo>
              <a:close/>
            </a:path>
            <a:path w="7486015" h="2644140">
              <a:moveTo>
                <a:pt x="6723888" y="0"/>
              </a:moveTo>
              <a:lnTo>
                <a:pt x="5964936" y="0"/>
              </a:lnTo>
              <a:lnTo>
                <a:pt x="5964936" y="525780"/>
              </a:lnTo>
              <a:lnTo>
                <a:pt x="6723888" y="525780"/>
              </a:lnTo>
              <a:lnTo>
                <a:pt x="6723888" y="0"/>
              </a:lnTo>
              <a:close/>
            </a:path>
            <a:path w="7486015" h="2644140">
              <a:moveTo>
                <a:pt x="7485888" y="2232660"/>
              </a:moveTo>
              <a:lnTo>
                <a:pt x="6726936" y="2232660"/>
              </a:lnTo>
              <a:lnTo>
                <a:pt x="6726936" y="2644140"/>
              </a:lnTo>
              <a:lnTo>
                <a:pt x="7485888" y="2644140"/>
              </a:lnTo>
              <a:lnTo>
                <a:pt x="7485888" y="2232660"/>
              </a:lnTo>
              <a:close/>
            </a:path>
            <a:path w="7486015" h="2644140">
              <a:moveTo>
                <a:pt x="7485888" y="2002536"/>
              </a:moveTo>
              <a:lnTo>
                <a:pt x="6726936" y="2002536"/>
              </a:lnTo>
              <a:lnTo>
                <a:pt x="6726936" y="2229612"/>
              </a:lnTo>
              <a:lnTo>
                <a:pt x="7485888" y="2229612"/>
              </a:lnTo>
              <a:lnTo>
                <a:pt x="7485888" y="2002536"/>
              </a:lnTo>
              <a:close/>
            </a:path>
            <a:path w="7486015" h="2644140">
              <a:moveTo>
                <a:pt x="7485888" y="1795272"/>
              </a:moveTo>
              <a:lnTo>
                <a:pt x="6726936" y="1795272"/>
              </a:lnTo>
              <a:lnTo>
                <a:pt x="6726936" y="1999488"/>
              </a:lnTo>
              <a:lnTo>
                <a:pt x="7485888" y="1999488"/>
              </a:lnTo>
              <a:lnTo>
                <a:pt x="7485888" y="1795272"/>
              </a:lnTo>
              <a:close/>
            </a:path>
            <a:path w="7486015" h="2644140">
              <a:moveTo>
                <a:pt x="7485888" y="1588008"/>
              </a:moveTo>
              <a:lnTo>
                <a:pt x="6726936" y="1588008"/>
              </a:lnTo>
              <a:lnTo>
                <a:pt x="6726936" y="1792224"/>
              </a:lnTo>
              <a:lnTo>
                <a:pt x="7485888" y="1792224"/>
              </a:lnTo>
              <a:lnTo>
                <a:pt x="7485888" y="1588008"/>
              </a:lnTo>
              <a:close/>
            </a:path>
            <a:path w="7486015" h="2644140">
              <a:moveTo>
                <a:pt x="7485888" y="1059180"/>
              </a:moveTo>
              <a:lnTo>
                <a:pt x="6726936" y="1059180"/>
              </a:lnTo>
              <a:lnTo>
                <a:pt x="6726936" y="1584960"/>
              </a:lnTo>
              <a:lnTo>
                <a:pt x="7485888" y="1584960"/>
              </a:lnTo>
              <a:lnTo>
                <a:pt x="7485888" y="1059180"/>
              </a:lnTo>
              <a:close/>
            </a:path>
            <a:path w="7486015" h="2644140">
              <a:moveTo>
                <a:pt x="7485888" y="528828"/>
              </a:moveTo>
              <a:lnTo>
                <a:pt x="6726936" y="528828"/>
              </a:lnTo>
              <a:lnTo>
                <a:pt x="6726936" y="1056132"/>
              </a:lnTo>
              <a:lnTo>
                <a:pt x="7485888" y="1056132"/>
              </a:lnTo>
              <a:lnTo>
                <a:pt x="7485888" y="528828"/>
              </a:lnTo>
              <a:close/>
            </a:path>
            <a:path w="7486015" h="2644140">
              <a:moveTo>
                <a:pt x="7485888" y="0"/>
              </a:moveTo>
              <a:lnTo>
                <a:pt x="6726936" y="0"/>
              </a:lnTo>
              <a:lnTo>
                <a:pt x="6726936" y="525780"/>
              </a:lnTo>
              <a:lnTo>
                <a:pt x="7485888" y="525780"/>
              </a:lnTo>
              <a:lnTo>
                <a:pt x="7485888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11</xdr:col>
      <xdr:colOff>542036</xdr:colOff>
      <xdr:row>20</xdr:row>
      <xdr:rowOff>0</xdr:rowOff>
    </xdr:from>
    <xdr:ext cx="645160" cy="264414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0" y="0"/>
          <a:ext cx="645160" cy="2644140"/>
        </a:xfrm>
        <a:custGeom>
          <a:avLst/>
          <a:gdLst/>
          <a:ahLst/>
          <a:cxnLst/>
          <a:rect l="0" t="0" r="0" b="0"/>
          <a:pathLst>
            <a:path w="645160" h="2644140">
              <a:moveTo>
                <a:pt x="644652" y="2232660"/>
              </a:moveTo>
              <a:lnTo>
                <a:pt x="0" y="2232660"/>
              </a:lnTo>
              <a:lnTo>
                <a:pt x="0" y="2644140"/>
              </a:lnTo>
              <a:lnTo>
                <a:pt x="644652" y="2644140"/>
              </a:lnTo>
              <a:lnTo>
                <a:pt x="644652" y="2232660"/>
              </a:lnTo>
              <a:close/>
            </a:path>
            <a:path w="645160" h="2644140">
              <a:moveTo>
                <a:pt x="644652" y="2002536"/>
              </a:moveTo>
              <a:lnTo>
                <a:pt x="0" y="2002536"/>
              </a:lnTo>
              <a:lnTo>
                <a:pt x="0" y="2229612"/>
              </a:lnTo>
              <a:lnTo>
                <a:pt x="644652" y="2229612"/>
              </a:lnTo>
              <a:lnTo>
                <a:pt x="644652" y="2002536"/>
              </a:lnTo>
              <a:close/>
            </a:path>
            <a:path w="645160" h="2644140">
              <a:moveTo>
                <a:pt x="644652" y="1795272"/>
              </a:moveTo>
              <a:lnTo>
                <a:pt x="0" y="1795272"/>
              </a:lnTo>
              <a:lnTo>
                <a:pt x="0" y="1999488"/>
              </a:lnTo>
              <a:lnTo>
                <a:pt x="644652" y="1999488"/>
              </a:lnTo>
              <a:lnTo>
                <a:pt x="644652" y="1795272"/>
              </a:lnTo>
              <a:close/>
            </a:path>
            <a:path w="645160" h="2644140">
              <a:moveTo>
                <a:pt x="644652" y="1588008"/>
              </a:moveTo>
              <a:lnTo>
                <a:pt x="0" y="1588008"/>
              </a:lnTo>
              <a:lnTo>
                <a:pt x="0" y="1792224"/>
              </a:lnTo>
              <a:lnTo>
                <a:pt x="644652" y="1792224"/>
              </a:lnTo>
              <a:lnTo>
                <a:pt x="644652" y="1588008"/>
              </a:lnTo>
              <a:close/>
            </a:path>
            <a:path w="645160" h="2644140">
              <a:moveTo>
                <a:pt x="644652" y="1059180"/>
              </a:moveTo>
              <a:lnTo>
                <a:pt x="0" y="1059180"/>
              </a:lnTo>
              <a:lnTo>
                <a:pt x="0" y="1584960"/>
              </a:lnTo>
              <a:lnTo>
                <a:pt x="644652" y="1584960"/>
              </a:lnTo>
              <a:lnTo>
                <a:pt x="644652" y="1059180"/>
              </a:lnTo>
              <a:close/>
            </a:path>
            <a:path w="645160" h="2644140">
              <a:moveTo>
                <a:pt x="644652" y="528828"/>
              </a:moveTo>
              <a:lnTo>
                <a:pt x="0" y="528828"/>
              </a:lnTo>
              <a:lnTo>
                <a:pt x="0" y="1056132"/>
              </a:lnTo>
              <a:lnTo>
                <a:pt x="644652" y="1056132"/>
              </a:lnTo>
              <a:lnTo>
                <a:pt x="644652" y="528828"/>
              </a:lnTo>
              <a:close/>
            </a:path>
            <a:path w="645160" h="2644140">
              <a:moveTo>
                <a:pt x="644652" y="0"/>
              </a:moveTo>
              <a:lnTo>
                <a:pt x="0" y="0"/>
              </a:lnTo>
              <a:lnTo>
                <a:pt x="0" y="525780"/>
              </a:lnTo>
              <a:lnTo>
                <a:pt x="644652" y="525780"/>
              </a:lnTo>
              <a:lnTo>
                <a:pt x="644652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</xdr:col>
      <xdr:colOff>226060</xdr:colOff>
      <xdr:row>21</xdr:row>
      <xdr:rowOff>0</xdr:rowOff>
    </xdr:from>
    <xdr:ext cx="7486015" cy="617220"/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0" y="0"/>
          <a:ext cx="7486015" cy="617220"/>
        </a:xfrm>
        <a:custGeom>
          <a:avLst/>
          <a:gdLst/>
          <a:ahLst/>
          <a:cxnLst/>
          <a:rect l="0" t="0" r="0" b="0"/>
          <a:pathLst>
            <a:path w="7486015" h="617220">
              <a:moveTo>
                <a:pt x="312420" y="0"/>
              </a:moveTo>
              <a:lnTo>
                <a:pt x="0" y="0"/>
              </a:lnTo>
              <a:lnTo>
                <a:pt x="0" y="617220"/>
              </a:lnTo>
              <a:lnTo>
                <a:pt x="312420" y="617220"/>
              </a:lnTo>
              <a:lnTo>
                <a:pt x="312420" y="0"/>
              </a:lnTo>
              <a:close/>
            </a:path>
            <a:path w="7486015" h="617220">
              <a:moveTo>
                <a:pt x="1264920" y="0"/>
              </a:moveTo>
              <a:lnTo>
                <a:pt x="315468" y="0"/>
              </a:lnTo>
              <a:lnTo>
                <a:pt x="315468" y="617220"/>
              </a:lnTo>
              <a:lnTo>
                <a:pt x="1264920" y="617220"/>
              </a:lnTo>
              <a:lnTo>
                <a:pt x="1264920" y="0"/>
              </a:lnTo>
              <a:close/>
            </a:path>
            <a:path w="7486015" h="617220">
              <a:moveTo>
                <a:pt x="2531364" y="0"/>
              </a:moveTo>
              <a:lnTo>
                <a:pt x="1267968" y="0"/>
              </a:lnTo>
              <a:lnTo>
                <a:pt x="1267968" y="617220"/>
              </a:lnTo>
              <a:lnTo>
                <a:pt x="2531364" y="617220"/>
              </a:lnTo>
              <a:lnTo>
                <a:pt x="2531364" y="0"/>
              </a:lnTo>
              <a:close/>
            </a:path>
            <a:path w="7486015" h="617220">
              <a:moveTo>
                <a:pt x="3037332" y="413004"/>
              </a:moveTo>
              <a:lnTo>
                <a:pt x="2534412" y="413004"/>
              </a:lnTo>
              <a:lnTo>
                <a:pt x="2534412" y="617220"/>
              </a:lnTo>
              <a:lnTo>
                <a:pt x="3037332" y="617220"/>
              </a:lnTo>
              <a:lnTo>
                <a:pt x="3037332" y="413004"/>
              </a:lnTo>
              <a:close/>
            </a:path>
            <a:path w="7486015" h="617220">
              <a:moveTo>
                <a:pt x="3037332" y="205740"/>
              </a:moveTo>
              <a:lnTo>
                <a:pt x="2534412" y="205740"/>
              </a:lnTo>
              <a:lnTo>
                <a:pt x="2534412" y="409956"/>
              </a:lnTo>
              <a:lnTo>
                <a:pt x="3037332" y="409956"/>
              </a:lnTo>
              <a:lnTo>
                <a:pt x="3037332" y="205740"/>
              </a:lnTo>
              <a:close/>
            </a:path>
            <a:path w="7486015" h="617220">
              <a:moveTo>
                <a:pt x="3037332" y="0"/>
              </a:moveTo>
              <a:lnTo>
                <a:pt x="2534412" y="0"/>
              </a:lnTo>
              <a:lnTo>
                <a:pt x="2534412" y="202692"/>
              </a:lnTo>
              <a:lnTo>
                <a:pt x="3037332" y="202692"/>
              </a:lnTo>
              <a:lnTo>
                <a:pt x="3037332" y="0"/>
              </a:lnTo>
              <a:close/>
            </a:path>
            <a:path w="7486015" h="617220">
              <a:moveTo>
                <a:pt x="3674364" y="413004"/>
              </a:moveTo>
              <a:lnTo>
                <a:pt x="3040380" y="413004"/>
              </a:lnTo>
              <a:lnTo>
                <a:pt x="3040380" y="617220"/>
              </a:lnTo>
              <a:lnTo>
                <a:pt x="3674364" y="617220"/>
              </a:lnTo>
              <a:lnTo>
                <a:pt x="3674364" y="413004"/>
              </a:lnTo>
              <a:close/>
            </a:path>
            <a:path w="7486015" h="617220">
              <a:moveTo>
                <a:pt x="3674364" y="205740"/>
              </a:moveTo>
              <a:lnTo>
                <a:pt x="3040380" y="205740"/>
              </a:lnTo>
              <a:lnTo>
                <a:pt x="3040380" y="409956"/>
              </a:lnTo>
              <a:lnTo>
                <a:pt x="3674364" y="409956"/>
              </a:lnTo>
              <a:lnTo>
                <a:pt x="3674364" y="205740"/>
              </a:lnTo>
              <a:close/>
            </a:path>
            <a:path w="7486015" h="617220">
              <a:moveTo>
                <a:pt x="3674364" y="0"/>
              </a:moveTo>
              <a:lnTo>
                <a:pt x="3040380" y="0"/>
              </a:lnTo>
              <a:lnTo>
                <a:pt x="3040380" y="202692"/>
              </a:lnTo>
              <a:lnTo>
                <a:pt x="3674364" y="202692"/>
              </a:lnTo>
              <a:lnTo>
                <a:pt x="3674364" y="0"/>
              </a:lnTo>
              <a:close/>
            </a:path>
            <a:path w="7486015" h="617220">
              <a:moveTo>
                <a:pt x="4437888" y="413004"/>
              </a:moveTo>
              <a:lnTo>
                <a:pt x="3677412" y="413004"/>
              </a:lnTo>
              <a:lnTo>
                <a:pt x="3677412" y="617220"/>
              </a:lnTo>
              <a:lnTo>
                <a:pt x="4437888" y="617220"/>
              </a:lnTo>
              <a:lnTo>
                <a:pt x="4437888" y="413004"/>
              </a:lnTo>
              <a:close/>
            </a:path>
            <a:path w="7486015" h="617220">
              <a:moveTo>
                <a:pt x="4437888" y="205740"/>
              </a:moveTo>
              <a:lnTo>
                <a:pt x="3677412" y="205740"/>
              </a:lnTo>
              <a:lnTo>
                <a:pt x="3677412" y="409956"/>
              </a:lnTo>
              <a:lnTo>
                <a:pt x="4437888" y="409956"/>
              </a:lnTo>
              <a:lnTo>
                <a:pt x="4437888" y="205740"/>
              </a:lnTo>
              <a:close/>
            </a:path>
            <a:path w="7486015" h="617220">
              <a:moveTo>
                <a:pt x="4437888" y="0"/>
              </a:moveTo>
              <a:lnTo>
                <a:pt x="3677412" y="0"/>
              </a:lnTo>
              <a:lnTo>
                <a:pt x="3677412" y="202692"/>
              </a:lnTo>
              <a:lnTo>
                <a:pt x="4437888" y="202692"/>
              </a:lnTo>
              <a:lnTo>
                <a:pt x="4437888" y="0"/>
              </a:lnTo>
              <a:close/>
            </a:path>
            <a:path w="7486015" h="617220">
              <a:moveTo>
                <a:pt x="5199888" y="413004"/>
              </a:moveTo>
              <a:lnTo>
                <a:pt x="4440936" y="413004"/>
              </a:lnTo>
              <a:lnTo>
                <a:pt x="4440936" y="617220"/>
              </a:lnTo>
              <a:lnTo>
                <a:pt x="5199888" y="617220"/>
              </a:lnTo>
              <a:lnTo>
                <a:pt x="5199888" y="413004"/>
              </a:lnTo>
              <a:close/>
            </a:path>
            <a:path w="7486015" h="617220">
              <a:moveTo>
                <a:pt x="5199888" y="205740"/>
              </a:moveTo>
              <a:lnTo>
                <a:pt x="4440936" y="205740"/>
              </a:lnTo>
              <a:lnTo>
                <a:pt x="4440936" y="409956"/>
              </a:lnTo>
              <a:lnTo>
                <a:pt x="5199888" y="409956"/>
              </a:lnTo>
              <a:lnTo>
                <a:pt x="5199888" y="205740"/>
              </a:lnTo>
              <a:close/>
            </a:path>
            <a:path w="7486015" h="617220">
              <a:moveTo>
                <a:pt x="5199888" y="0"/>
              </a:moveTo>
              <a:lnTo>
                <a:pt x="4440936" y="0"/>
              </a:lnTo>
              <a:lnTo>
                <a:pt x="4440936" y="202692"/>
              </a:lnTo>
              <a:lnTo>
                <a:pt x="5199888" y="202692"/>
              </a:lnTo>
              <a:lnTo>
                <a:pt x="5199888" y="0"/>
              </a:lnTo>
              <a:close/>
            </a:path>
            <a:path w="7486015" h="617220">
              <a:moveTo>
                <a:pt x="5961875" y="413004"/>
              </a:moveTo>
              <a:lnTo>
                <a:pt x="5202936" y="413004"/>
              </a:lnTo>
              <a:lnTo>
                <a:pt x="5202936" y="617220"/>
              </a:lnTo>
              <a:lnTo>
                <a:pt x="5961875" y="617220"/>
              </a:lnTo>
              <a:lnTo>
                <a:pt x="5961875" y="413004"/>
              </a:lnTo>
              <a:close/>
            </a:path>
            <a:path w="7486015" h="617220">
              <a:moveTo>
                <a:pt x="5961875" y="205740"/>
              </a:moveTo>
              <a:lnTo>
                <a:pt x="5202936" y="205740"/>
              </a:lnTo>
              <a:lnTo>
                <a:pt x="5202936" y="409956"/>
              </a:lnTo>
              <a:lnTo>
                <a:pt x="5961875" y="409956"/>
              </a:lnTo>
              <a:lnTo>
                <a:pt x="5961875" y="205740"/>
              </a:lnTo>
              <a:close/>
            </a:path>
            <a:path w="7486015" h="617220">
              <a:moveTo>
                <a:pt x="5961875" y="0"/>
              </a:moveTo>
              <a:lnTo>
                <a:pt x="5202936" y="0"/>
              </a:lnTo>
              <a:lnTo>
                <a:pt x="5202936" y="202692"/>
              </a:lnTo>
              <a:lnTo>
                <a:pt x="5961875" y="202692"/>
              </a:lnTo>
              <a:lnTo>
                <a:pt x="5961875" y="0"/>
              </a:lnTo>
              <a:close/>
            </a:path>
            <a:path w="7486015" h="617220">
              <a:moveTo>
                <a:pt x="6723888" y="413004"/>
              </a:moveTo>
              <a:lnTo>
                <a:pt x="5964936" y="413004"/>
              </a:lnTo>
              <a:lnTo>
                <a:pt x="5964936" y="617220"/>
              </a:lnTo>
              <a:lnTo>
                <a:pt x="6723888" y="617220"/>
              </a:lnTo>
              <a:lnTo>
                <a:pt x="6723888" y="413004"/>
              </a:lnTo>
              <a:close/>
            </a:path>
            <a:path w="7486015" h="617220">
              <a:moveTo>
                <a:pt x="6723888" y="205740"/>
              </a:moveTo>
              <a:lnTo>
                <a:pt x="5964936" y="205740"/>
              </a:lnTo>
              <a:lnTo>
                <a:pt x="5964936" y="409956"/>
              </a:lnTo>
              <a:lnTo>
                <a:pt x="6723888" y="409956"/>
              </a:lnTo>
              <a:lnTo>
                <a:pt x="6723888" y="205740"/>
              </a:lnTo>
              <a:close/>
            </a:path>
            <a:path w="7486015" h="617220">
              <a:moveTo>
                <a:pt x="6723888" y="0"/>
              </a:moveTo>
              <a:lnTo>
                <a:pt x="5964936" y="0"/>
              </a:lnTo>
              <a:lnTo>
                <a:pt x="5964936" y="202692"/>
              </a:lnTo>
              <a:lnTo>
                <a:pt x="6723888" y="202692"/>
              </a:lnTo>
              <a:lnTo>
                <a:pt x="6723888" y="0"/>
              </a:lnTo>
              <a:close/>
            </a:path>
            <a:path w="7486015" h="617220">
              <a:moveTo>
                <a:pt x="7485888" y="413004"/>
              </a:moveTo>
              <a:lnTo>
                <a:pt x="6726936" y="413004"/>
              </a:lnTo>
              <a:lnTo>
                <a:pt x="6726936" y="617220"/>
              </a:lnTo>
              <a:lnTo>
                <a:pt x="7485888" y="617220"/>
              </a:lnTo>
              <a:lnTo>
                <a:pt x="7485888" y="413004"/>
              </a:lnTo>
              <a:close/>
            </a:path>
            <a:path w="7486015" h="617220">
              <a:moveTo>
                <a:pt x="7485888" y="205740"/>
              </a:moveTo>
              <a:lnTo>
                <a:pt x="6726936" y="205740"/>
              </a:lnTo>
              <a:lnTo>
                <a:pt x="6726936" y="409956"/>
              </a:lnTo>
              <a:lnTo>
                <a:pt x="7485888" y="409956"/>
              </a:lnTo>
              <a:lnTo>
                <a:pt x="7485888" y="205740"/>
              </a:lnTo>
              <a:close/>
            </a:path>
            <a:path w="7486015" h="617220">
              <a:moveTo>
                <a:pt x="7485888" y="0"/>
              </a:moveTo>
              <a:lnTo>
                <a:pt x="6726936" y="0"/>
              </a:lnTo>
              <a:lnTo>
                <a:pt x="6726936" y="202692"/>
              </a:lnTo>
              <a:lnTo>
                <a:pt x="7485888" y="202692"/>
              </a:lnTo>
              <a:lnTo>
                <a:pt x="7485888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11</xdr:col>
      <xdr:colOff>542036</xdr:colOff>
      <xdr:row>22</xdr:row>
      <xdr:rowOff>0</xdr:rowOff>
    </xdr:from>
    <xdr:ext cx="645160" cy="617220"/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0" y="0"/>
          <a:ext cx="645160" cy="617220"/>
        </a:xfrm>
        <a:custGeom>
          <a:avLst/>
          <a:gdLst/>
          <a:ahLst/>
          <a:cxnLst/>
          <a:rect l="0" t="0" r="0" b="0"/>
          <a:pathLst>
            <a:path w="645160" h="617220">
              <a:moveTo>
                <a:pt x="644652" y="413004"/>
              </a:moveTo>
              <a:lnTo>
                <a:pt x="0" y="413004"/>
              </a:lnTo>
              <a:lnTo>
                <a:pt x="0" y="617220"/>
              </a:lnTo>
              <a:lnTo>
                <a:pt x="644652" y="617220"/>
              </a:lnTo>
              <a:lnTo>
                <a:pt x="644652" y="413004"/>
              </a:lnTo>
              <a:close/>
            </a:path>
            <a:path w="645160" h="617220">
              <a:moveTo>
                <a:pt x="644652" y="205740"/>
              </a:moveTo>
              <a:lnTo>
                <a:pt x="0" y="205740"/>
              </a:lnTo>
              <a:lnTo>
                <a:pt x="0" y="409956"/>
              </a:lnTo>
              <a:lnTo>
                <a:pt x="644652" y="409956"/>
              </a:lnTo>
              <a:lnTo>
                <a:pt x="644652" y="205740"/>
              </a:lnTo>
              <a:close/>
            </a:path>
            <a:path w="645160" h="617220">
              <a:moveTo>
                <a:pt x="644652" y="0"/>
              </a:moveTo>
              <a:lnTo>
                <a:pt x="0" y="0"/>
              </a:lnTo>
              <a:lnTo>
                <a:pt x="0" y="202692"/>
              </a:lnTo>
              <a:lnTo>
                <a:pt x="644652" y="202692"/>
              </a:lnTo>
              <a:lnTo>
                <a:pt x="644652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543687</xdr:colOff>
      <xdr:row>24</xdr:row>
      <xdr:rowOff>206501</xdr:rowOff>
    </xdr:from>
    <xdr:ext cx="3808729" cy="480059"/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/>
      </xdr:nvSpPr>
      <xdr:spPr>
        <a:xfrm>
          <a:off x="0" y="0"/>
          <a:ext cx="3808729" cy="480059"/>
        </a:xfrm>
        <a:custGeom>
          <a:avLst/>
          <a:gdLst/>
          <a:ahLst/>
          <a:cxnLst/>
          <a:rect l="0" t="0" r="0" b="0"/>
          <a:pathLst>
            <a:path w="3808729" h="480059">
              <a:moveTo>
                <a:pt x="760476" y="0"/>
              </a:moveTo>
              <a:lnTo>
                <a:pt x="0" y="0"/>
              </a:lnTo>
              <a:lnTo>
                <a:pt x="0" y="480060"/>
              </a:lnTo>
              <a:lnTo>
                <a:pt x="760476" y="480060"/>
              </a:lnTo>
              <a:lnTo>
                <a:pt x="760476" y="0"/>
              </a:lnTo>
              <a:close/>
            </a:path>
            <a:path w="3808729" h="480059">
              <a:moveTo>
                <a:pt x="1522476" y="0"/>
              </a:moveTo>
              <a:lnTo>
                <a:pt x="763524" y="0"/>
              </a:lnTo>
              <a:lnTo>
                <a:pt x="763524" y="480060"/>
              </a:lnTo>
              <a:lnTo>
                <a:pt x="1522476" y="480060"/>
              </a:lnTo>
              <a:lnTo>
                <a:pt x="1522476" y="0"/>
              </a:lnTo>
              <a:close/>
            </a:path>
            <a:path w="3808729" h="480059">
              <a:moveTo>
                <a:pt x="2284463" y="0"/>
              </a:moveTo>
              <a:lnTo>
                <a:pt x="1525524" y="0"/>
              </a:lnTo>
              <a:lnTo>
                <a:pt x="1525524" y="480060"/>
              </a:lnTo>
              <a:lnTo>
                <a:pt x="2284463" y="480060"/>
              </a:lnTo>
              <a:lnTo>
                <a:pt x="2284463" y="0"/>
              </a:lnTo>
              <a:close/>
            </a:path>
            <a:path w="3808729" h="480059">
              <a:moveTo>
                <a:pt x="3046476" y="0"/>
              </a:moveTo>
              <a:lnTo>
                <a:pt x="2287524" y="0"/>
              </a:lnTo>
              <a:lnTo>
                <a:pt x="2287524" y="480060"/>
              </a:lnTo>
              <a:lnTo>
                <a:pt x="3046476" y="480060"/>
              </a:lnTo>
              <a:lnTo>
                <a:pt x="3046476" y="0"/>
              </a:lnTo>
              <a:close/>
            </a:path>
            <a:path w="3808729" h="480059">
              <a:moveTo>
                <a:pt x="3808476" y="0"/>
              </a:moveTo>
              <a:lnTo>
                <a:pt x="3049524" y="0"/>
              </a:lnTo>
              <a:lnTo>
                <a:pt x="3049524" y="480060"/>
              </a:lnTo>
              <a:lnTo>
                <a:pt x="3808476" y="480060"/>
              </a:lnTo>
              <a:lnTo>
                <a:pt x="3808476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5</xdr:col>
      <xdr:colOff>202691</xdr:colOff>
      <xdr:row>3</xdr:row>
      <xdr:rowOff>49142</xdr:rowOff>
    </xdr:from>
    <xdr:ext cx="381000" cy="290285"/>
    <xdr:pic>
      <xdr:nvPicPr>
        <xdr:cNvPr id="15" name="image1.jpeg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290285"/>
        </a:xfrm>
        <a:prstGeom prst="rect">
          <a:avLst/>
        </a:prstGeom>
      </xdr:spPr>
    </xdr:pic>
    <xdr:clientData/>
  </xdr:oneCellAnchor>
  <xdr:oneCellAnchor>
    <xdr:from>
      <xdr:col>6</xdr:col>
      <xdr:colOff>201929</xdr:colOff>
      <xdr:row>3</xdr:row>
      <xdr:rowOff>761</xdr:rowOff>
    </xdr:from>
    <xdr:ext cx="338666" cy="381000"/>
    <xdr:pic>
      <xdr:nvPicPr>
        <xdr:cNvPr id="16" name="image2.jpeg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38666" cy="381000"/>
        </a:xfrm>
        <a:prstGeom prst="rect">
          <a:avLst/>
        </a:prstGeom>
      </xdr:spPr>
    </xdr:pic>
    <xdr:clientData/>
  </xdr:oneCellAnchor>
  <xdr:oneCellAnchor>
    <xdr:from>
      <xdr:col>7</xdr:col>
      <xdr:colOff>201930</xdr:colOff>
      <xdr:row>3</xdr:row>
      <xdr:rowOff>49142</xdr:rowOff>
    </xdr:from>
    <xdr:ext cx="381000" cy="290285"/>
    <xdr:pic>
      <xdr:nvPicPr>
        <xdr:cNvPr id="17" name="image3.jpeg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290285"/>
        </a:xfrm>
        <a:prstGeom prst="rect">
          <a:avLst/>
        </a:prstGeom>
      </xdr:spPr>
    </xdr:pic>
    <xdr:clientData/>
  </xdr:oneCellAnchor>
  <xdr:oneCellAnchor>
    <xdr:from>
      <xdr:col>8</xdr:col>
      <xdr:colOff>298691</xdr:colOff>
      <xdr:row>3</xdr:row>
      <xdr:rowOff>49142</xdr:rowOff>
    </xdr:from>
    <xdr:ext cx="193523" cy="290285"/>
    <xdr:pic>
      <xdr:nvPicPr>
        <xdr:cNvPr id="18" name="image4.jpeg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3523" cy="290285"/>
        </a:xfrm>
        <a:prstGeom prst="rect">
          <a:avLst/>
        </a:prstGeom>
      </xdr:spPr>
    </xdr:pic>
    <xdr:clientData/>
  </xdr:oneCellAnchor>
  <xdr:oneCellAnchor>
    <xdr:from>
      <xdr:col>9</xdr:col>
      <xdr:colOff>201929</xdr:colOff>
      <xdr:row>3</xdr:row>
      <xdr:rowOff>761</xdr:rowOff>
    </xdr:from>
    <xdr:ext cx="381000" cy="381000"/>
    <xdr:pic>
      <xdr:nvPicPr>
        <xdr:cNvPr id="19" name="image5.jpeg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381000"/>
        </a:xfrm>
        <a:prstGeom prst="rect">
          <a:avLst/>
        </a:prstGeom>
      </xdr:spPr>
    </xdr:pic>
    <xdr:clientData/>
  </xdr:oneCellAnchor>
  <xdr:oneCellAnchor>
    <xdr:from>
      <xdr:col>1</xdr:col>
      <xdr:colOff>226059</xdr:colOff>
      <xdr:row>26</xdr:row>
      <xdr:rowOff>0</xdr:rowOff>
    </xdr:from>
    <xdr:ext cx="7486015" cy="4343400"/>
    <xdr:grpSp>
      <xdr:nvGrpSpPr>
        <xdr:cNvPr id="20" name="Group 20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GrpSpPr/>
      </xdr:nvGrpSpPr>
      <xdr:grpSpPr>
        <a:xfrm>
          <a:off x="607059" y="6469380"/>
          <a:ext cx="7486015" cy="4343400"/>
          <a:chOff x="0" y="0"/>
          <a:chExt cx="7486015" cy="4343400"/>
        </a:xfrm>
      </xdr:grpSpPr>
      <xdr:sp macro="" textlink="">
        <xdr:nvSpPr>
          <xdr:cNvPr id="21" name="Shape 21">
            <a:extLst>
              <a:ext uri="{FF2B5EF4-FFF2-40B4-BE49-F238E27FC236}">
                <a16:creationId xmlns:a16="http://schemas.microsoft.com/office/drawing/2014/main" id="{00000000-0008-0000-0100-000015000000}"/>
              </a:ext>
            </a:extLst>
          </xdr:cNvPr>
          <xdr:cNvSpPr/>
        </xdr:nvSpPr>
        <xdr:spPr>
          <a:xfrm>
            <a:off x="0" y="0"/>
            <a:ext cx="7486015" cy="2066925"/>
          </a:xfrm>
          <a:custGeom>
            <a:avLst/>
            <a:gdLst/>
            <a:ahLst/>
            <a:cxnLst/>
            <a:rect l="0" t="0" r="0" b="0"/>
            <a:pathLst>
              <a:path w="7486015" h="2066925">
                <a:moveTo>
                  <a:pt x="312420" y="1449324"/>
                </a:moveTo>
                <a:lnTo>
                  <a:pt x="0" y="1449324"/>
                </a:lnTo>
                <a:lnTo>
                  <a:pt x="0" y="2066544"/>
                </a:lnTo>
                <a:lnTo>
                  <a:pt x="312420" y="2066544"/>
                </a:lnTo>
                <a:lnTo>
                  <a:pt x="312420" y="1449324"/>
                </a:lnTo>
                <a:close/>
              </a:path>
              <a:path w="7486015" h="2066925">
                <a:moveTo>
                  <a:pt x="312420" y="827532"/>
                </a:moveTo>
                <a:lnTo>
                  <a:pt x="0" y="827532"/>
                </a:lnTo>
                <a:lnTo>
                  <a:pt x="0" y="1446276"/>
                </a:lnTo>
                <a:lnTo>
                  <a:pt x="312420" y="1446276"/>
                </a:lnTo>
                <a:lnTo>
                  <a:pt x="312420" y="827532"/>
                </a:lnTo>
                <a:close/>
              </a:path>
              <a:path w="7486015" h="2066925">
                <a:moveTo>
                  <a:pt x="312420" y="0"/>
                </a:moveTo>
                <a:lnTo>
                  <a:pt x="0" y="0"/>
                </a:lnTo>
                <a:lnTo>
                  <a:pt x="0" y="824484"/>
                </a:lnTo>
                <a:lnTo>
                  <a:pt x="312420" y="824484"/>
                </a:lnTo>
                <a:lnTo>
                  <a:pt x="312420" y="0"/>
                </a:lnTo>
                <a:close/>
              </a:path>
              <a:path w="7486015" h="2066925">
                <a:moveTo>
                  <a:pt x="1264920" y="1449324"/>
                </a:moveTo>
                <a:lnTo>
                  <a:pt x="315468" y="1449324"/>
                </a:lnTo>
                <a:lnTo>
                  <a:pt x="315468" y="2066544"/>
                </a:lnTo>
                <a:lnTo>
                  <a:pt x="1264920" y="2066544"/>
                </a:lnTo>
                <a:lnTo>
                  <a:pt x="1264920" y="1449324"/>
                </a:lnTo>
                <a:close/>
              </a:path>
              <a:path w="7486015" h="2066925">
                <a:moveTo>
                  <a:pt x="1264920" y="827532"/>
                </a:moveTo>
                <a:lnTo>
                  <a:pt x="315468" y="827532"/>
                </a:lnTo>
                <a:lnTo>
                  <a:pt x="315468" y="1446276"/>
                </a:lnTo>
                <a:lnTo>
                  <a:pt x="1264920" y="1446276"/>
                </a:lnTo>
                <a:lnTo>
                  <a:pt x="1264920" y="827532"/>
                </a:lnTo>
                <a:close/>
              </a:path>
              <a:path w="7486015" h="2066925">
                <a:moveTo>
                  <a:pt x="1264920" y="0"/>
                </a:moveTo>
                <a:lnTo>
                  <a:pt x="315468" y="0"/>
                </a:lnTo>
                <a:lnTo>
                  <a:pt x="315468" y="824484"/>
                </a:lnTo>
                <a:lnTo>
                  <a:pt x="1264920" y="824484"/>
                </a:lnTo>
                <a:lnTo>
                  <a:pt x="1264920" y="0"/>
                </a:lnTo>
                <a:close/>
              </a:path>
              <a:path w="7486015" h="2066925">
                <a:moveTo>
                  <a:pt x="2531364" y="827532"/>
                </a:moveTo>
                <a:lnTo>
                  <a:pt x="1267968" y="827532"/>
                </a:lnTo>
                <a:lnTo>
                  <a:pt x="1267968" y="1446276"/>
                </a:lnTo>
                <a:lnTo>
                  <a:pt x="2531364" y="1446276"/>
                </a:lnTo>
                <a:lnTo>
                  <a:pt x="2531364" y="827532"/>
                </a:lnTo>
                <a:close/>
              </a:path>
              <a:path w="7486015" h="2066925">
                <a:moveTo>
                  <a:pt x="2531364" y="0"/>
                </a:moveTo>
                <a:lnTo>
                  <a:pt x="1267968" y="0"/>
                </a:lnTo>
                <a:lnTo>
                  <a:pt x="1267968" y="824484"/>
                </a:lnTo>
                <a:lnTo>
                  <a:pt x="2531364" y="824484"/>
                </a:lnTo>
                <a:lnTo>
                  <a:pt x="2531364" y="0"/>
                </a:lnTo>
                <a:close/>
              </a:path>
              <a:path w="7486015" h="2066925">
                <a:moveTo>
                  <a:pt x="3037332" y="1655064"/>
                </a:moveTo>
                <a:lnTo>
                  <a:pt x="2534412" y="1655064"/>
                </a:lnTo>
                <a:lnTo>
                  <a:pt x="2534412" y="1859280"/>
                </a:lnTo>
                <a:lnTo>
                  <a:pt x="3037332" y="1859280"/>
                </a:lnTo>
                <a:lnTo>
                  <a:pt x="3037332" y="1655064"/>
                </a:lnTo>
                <a:close/>
              </a:path>
              <a:path w="7486015" h="2066925">
                <a:moveTo>
                  <a:pt x="3037332" y="1449324"/>
                </a:moveTo>
                <a:lnTo>
                  <a:pt x="2534412" y="1449324"/>
                </a:lnTo>
                <a:lnTo>
                  <a:pt x="2534412" y="1652016"/>
                </a:lnTo>
                <a:lnTo>
                  <a:pt x="3037332" y="1652016"/>
                </a:lnTo>
                <a:lnTo>
                  <a:pt x="3037332" y="1449324"/>
                </a:lnTo>
                <a:close/>
              </a:path>
              <a:path w="7486015" h="2066925">
                <a:moveTo>
                  <a:pt x="3037332" y="1242060"/>
                </a:moveTo>
                <a:lnTo>
                  <a:pt x="2534412" y="1242060"/>
                </a:lnTo>
                <a:lnTo>
                  <a:pt x="2534412" y="1446276"/>
                </a:lnTo>
                <a:lnTo>
                  <a:pt x="3037332" y="1446276"/>
                </a:lnTo>
                <a:lnTo>
                  <a:pt x="3037332" y="1242060"/>
                </a:lnTo>
                <a:close/>
              </a:path>
              <a:path w="7486015" h="2066925">
                <a:moveTo>
                  <a:pt x="3037332" y="1034796"/>
                </a:moveTo>
                <a:lnTo>
                  <a:pt x="2534412" y="1034796"/>
                </a:lnTo>
                <a:lnTo>
                  <a:pt x="2534412" y="1239012"/>
                </a:lnTo>
                <a:lnTo>
                  <a:pt x="3037332" y="1239012"/>
                </a:lnTo>
                <a:lnTo>
                  <a:pt x="3037332" y="1034796"/>
                </a:lnTo>
                <a:close/>
              </a:path>
              <a:path w="7486015" h="2066925">
                <a:moveTo>
                  <a:pt x="3037332" y="827532"/>
                </a:moveTo>
                <a:lnTo>
                  <a:pt x="2534412" y="827532"/>
                </a:lnTo>
                <a:lnTo>
                  <a:pt x="2534412" y="1031748"/>
                </a:lnTo>
                <a:lnTo>
                  <a:pt x="3037332" y="1031748"/>
                </a:lnTo>
                <a:lnTo>
                  <a:pt x="3037332" y="827532"/>
                </a:lnTo>
                <a:close/>
              </a:path>
              <a:path w="7486015" h="2066925">
                <a:moveTo>
                  <a:pt x="3037332" y="621792"/>
                </a:moveTo>
                <a:lnTo>
                  <a:pt x="2534412" y="621792"/>
                </a:lnTo>
                <a:lnTo>
                  <a:pt x="2534412" y="824484"/>
                </a:lnTo>
                <a:lnTo>
                  <a:pt x="3037332" y="824484"/>
                </a:lnTo>
                <a:lnTo>
                  <a:pt x="3037332" y="621792"/>
                </a:lnTo>
                <a:close/>
              </a:path>
              <a:path w="7486015" h="2066925">
                <a:moveTo>
                  <a:pt x="3037332" y="414528"/>
                </a:moveTo>
                <a:lnTo>
                  <a:pt x="2534412" y="414528"/>
                </a:lnTo>
                <a:lnTo>
                  <a:pt x="2534412" y="618744"/>
                </a:lnTo>
                <a:lnTo>
                  <a:pt x="3037332" y="618744"/>
                </a:lnTo>
                <a:lnTo>
                  <a:pt x="3037332" y="414528"/>
                </a:lnTo>
                <a:close/>
              </a:path>
              <a:path w="7486015" h="2066925">
                <a:moveTo>
                  <a:pt x="3037332" y="207264"/>
                </a:moveTo>
                <a:lnTo>
                  <a:pt x="2534412" y="207264"/>
                </a:lnTo>
                <a:lnTo>
                  <a:pt x="2534412" y="411480"/>
                </a:lnTo>
                <a:lnTo>
                  <a:pt x="3037332" y="411480"/>
                </a:lnTo>
                <a:lnTo>
                  <a:pt x="3037332" y="207264"/>
                </a:lnTo>
                <a:close/>
              </a:path>
              <a:path w="7486015" h="2066925">
                <a:moveTo>
                  <a:pt x="3037332" y="0"/>
                </a:moveTo>
                <a:lnTo>
                  <a:pt x="2534412" y="0"/>
                </a:lnTo>
                <a:lnTo>
                  <a:pt x="2534412" y="204216"/>
                </a:lnTo>
                <a:lnTo>
                  <a:pt x="3037332" y="204216"/>
                </a:lnTo>
                <a:lnTo>
                  <a:pt x="3037332" y="0"/>
                </a:lnTo>
                <a:close/>
              </a:path>
              <a:path w="7486015" h="2066925">
                <a:moveTo>
                  <a:pt x="3674364" y="1655064"/>
                </a:moveTo>
                <a:lnTo>
                  <a:pt x="3040380" y="1655064"/>
                </a:lnTo>
                <a:lnTo>
                  <a:pt x="3040380" y="1859280"/>
                </a:lnTo>
                <a:lnTo>
                  <a:pt x="3674364" y="1859280"/>
                </a:lnTo>
                <a:lnTo>
                  <a:pt x="3674364" y="1655064"/>
                </a:lnTo>
                <a:close/>
              </a:path>
              <a:path w="7486015" h="2066925">
                <a:moveTo>
                  <a:pt x="3674364" y="1449324"/>
                </a:moveTo>
                <a:lnTo>
                  <a:pt x="3040380" y="1449324"/>
                </a:lnTo>
                <a:lnTo>
                  <a:pt x="3040380" y="1652016"/>
                </a:lnTo>
                <a:lnTo>
                  <a:pt x="3674364" y="1652016"/>
                </a:lnTo>
                <a:lnTo>
                  <a:pt x="3674364" y="1449324"/>
                </a:lnTo>
                <a:close/>
              </a:path>
              <a:path w="7486015" h="2066925">
                <a:moveTo>
                  <a:pt x="3674364" y="1242060"/>
                </a:moveTo>
                <a:lnTo>
                  <a:pt x="3040380" y="1242060"/>
                </a:lnTo>
                <a:lnTo>
                  <a:pt x="3040380" y="1446276"/>
                </a:lnTo>
                <a:lnTo>
                  <a:pt x="3674364" y="1446276"/>
                </a:lnTo>
                <a:lnTo>
                  <a:pt x="3674364" y="1242060"/>
                </a:lnTo>
                <a:close/>
              </a:path>
              <a:path w="7486015" h="2066925">
                <a:moveTo>
                  <a:pt x="3674364" y="1034796"/>
                </a:moveTo>
                <a:lnTo>
                  <a:pt x="3040380" y="1034796"/>
                </a:lnTo>
                <a:lnTo>
                  <a:pt x="3040380" y="1239012"/>
                </a:lnTo>
                <a:lnTo>
                  <a:pt x="3674364" y="1239012"/>
                </a:lnTo>
                <a:lnTo>
                  <a:pt x="3674364" y="1034796"/>
                </a:lnTo>
                <a:close/>
              </a:path>
              <a:path w="7486015" h="2066925">
                <a:moveTo>
                  <a:pt x="3674364" y="827532"/>
                </a:moveTo>
                <a:lnTo>
                  <a:pt x="3040380" y="827532"/>
                </a:lnTo>
                <a:lnTo>
                  <a:pt x="3040380" y="1031748"/>
                </a:lnTo>
                <a:lnTo>
                  <a:pt x="3674364" y="1031748"/>
                </a:lnTo>
                <a:lnTo>
                  <a:pt x="3674364" y="827532"/>
                </a:lnTo>
                <a:close/>
              </a:path>
              <a:path w="7486015" h="2066925">
                <a:moveTo>
                  <a:pt x="3674364" y="621792"/>
                </a:moveTo>
                <a:lnTo>
                  <a:pt x="3040380" y="621792"/>
                </a:lnTo>
                <a:lnTo>
                  <a:pt x="3040380" y="824484"/>
                </a:lnTo>
                <a:lnTo>
                  <a:pt x="3674364" y="824484"/>
                </a:lnTo>
                <a:lnTo>
                  <a:pt x="3674364" y="621792"/>
                </a:lnTo>
                <a:close/>
              </a:path>
              <a:path w="7486015" h="2066925">
                <a:moveTo>
                  <a:pt x="3674364" y="414528"/>
                </a:moveTo>
                <a:lnTo>
                  <a:pt x="3040380" y="414528"/>
                </a:lnTo>
                <a:lnTo>
                  <a:pt x="3040380" y="618744"/>
                </a:lnTo>
                <a:lnTo>
                  <a:pt x="3674364" y="618744"/>
                </a:lnTo>
                <a:lnTo>
                  <a:pt x="3674364" y="414528"/>
                </a:lnTo>
                <a:close/>
              </a:path>
              <a:path w="7486015" h="2066925">
                <a:moveTo>
                  <a:pt x="3674364" y="207264"/>
                </a:moveTo>
                <a:lnTo>
                  <a:pt x="3040380" y="207264"/>
                </a:lnTo>
                <a:lnTo>
                  <a:pt x="3040380" y="411480"/>
                </a:lnTo>
                <a:lnTo>
                  <a:pt x="3674364" y="411480"/>
                </a:lnTo>
                <a:lnTo>
                  <a:pt x="3674364" y="207264"/>
                </a:lnTo>
                <a:close/>
              </a:path>
              <a:path w="7486015" h="2066925">
                <a:moveTo>
                  <a:pt x="3674364" y="0"/>
                </a:moveTo>
                <a:lnTo>
                  <a:pt x="3040380" y="0"/>
                </a:lnTo>
                <a:lnTo>
                  <a:pt x="3040380" y="204216"/>
                </a:lnTo>
                <a:lnTo>
                  <a:pt x="3674364" y="204216"/>
                </a:lnTo>
                <a:lnTo>
                  <a:pt x="3674364" y="0"/>
                </a:lnTo>
                <a:close/>
              </a:path>
              <a:path w="7486015" h="2066925">
                <a:moveTo>
                  <a:pt x="4437888" y="1655064"/>
                </a:moveTo>
                <a:lnTo>
                  <a:pt x="3677412" y="1655064"/>
                </a:lnTo>
                <a:lnTo>
                  <a:pt x="3677412" y="1859280"/>
                </a:lnTo>
                <a:lnTo>
                  <a:pt x="4437888" y="1859280"/>
                </a:lnTo>
                <a:lnTo>
                  <a:pt x="4437888" y="1655064"/>
                </a:lnTo>
                <a:close/>
              </a:path>
              <a:path w="7486015" h="2066925">
                <a:moveTo>
                  <a:pt x="4437888" y="1449324"/>
                </a:moveTo>
                <a:lnTo>
                  <a:pt x="3677412" y="1449324"/>
                </a:lnTo>
                <a:lnTo>
                  <a:pt x="3677412" y="1652016"/>
                </a:lnTo>
                <a:lnTo>
                  <a:pt x="4437888" y="1652016"/>
                </a:lnTo>
                <a:lnTo>
                  <a:pt x="4437888" y="1449324"/>
                </a:lnTo>
                <a:close/>
              </a:path>
              <a:path w="7486015" h="2066925">
                <a:moveTo>
                  <a:pt x="4437888" y="1242060"/>
                </a:moveTo>
                <a:lnTo>
                  <a:pt x="3677412" y="1242060"/>
                </a:lnTo>
                <a:lnTo>
                  <a:pt x="3677412" y="1446276"/>
                </a:lnTo>
                <a:lnTo>
                  <a:pt x="4437888" y="1446276"/>
                </a:lnTo>
                <a:lnTo>
                  <a:pt x="4437888" y="1242060"/>
                </a:lnTo>
                <a:close/>
              </a:path>
              <a:path w="7486015" h="2066925">
                <a:moveTo>
                  <a:pt x="4437888" y="1034796"/>
                </a:moveTo>
                <a:lnTo>
                  <a:pt x="3677412" y="1034796"/>
                </a:lnTo>
                <a:lnTo>
                  <a:pt x="3677412" y="1239012"/>
                </a:lnTo>
                <a:lnTo>
                  <a:pt x="4437888" y="1239012"/>
                </a:lnTo>
                <a:lnTo>
                  <a:pt x="4437888" y="1034796"/>
                </a:lnTo>
                <a:close/>
              </a:path>
              <a:path w="7486015" h="2066925">
                <a:moveTo>
                  <a:pt x="4437888" y="827532"/>
                </a:moveTo>
                <a:lnTo>
                  <a:pt x="3677412" y="827532"/>
                </a:lnTo>
                <a:lnTo>
                  <a:pt x="3677412" y="1031748"/>
                </a:lnTo>
                <a:lnTo>
                  <a:pt x="4437888" y="1031748"/>
                </a:lnTo>
                <a:lnTo>
                  <a:pt x="4437888" y="827532"/>
                </a:lnTo>
                <a:close/>
              </a:path>
              <a:path w="7486015" h="2066925">
                <a:moveTo>
                  <a:pt x="4437888" y="621792"/>
                </a:moveTo>
                <a:lnTo>
                  <a:pt x="3677412" y="621792"/>
                </a:lnTo>
                <a:lnTo>
                  <a:pt x="3677412" y="824484"/>
                </a:lnTo>
                <a:lnTo>
                  <a:pt x="4437888" y="824484"/>
                </a:lnTo>
                <a:lnTo>
                  <a:pt x="4437888" y="621792"/>
                </a:lnTo>
                <a:close/>
              </a:path>
              <a:path w="7486015" h="2066925">
                <a:moveTo>
                  <a:pt x="4437888" y="414528"/>
                </a:moveTo>
                <a:lnTo>
                  <a:pt x="3677412" y="414528"/>
                </a:lnTo>
                <a:lnTo>
                  <a:pt x="3677412" y="618744"/>
                </a:lnTo>
                <a:lnTo>
                  <a:pt x="4437888" y="618744"/>
                </a:lnTo>
                <a:lnTo>
                  <a:pt x="4437888" y="414528"/>
                </a:lnTo>
                <a:close/>
              </a:path>
              <a:path w="7486015" h="2066925">
                <a:moveTo>
                  <a:pt x="4437888" y="207264"/>
                </a:moveTo>
                <a:lnTo>
                  <a:pt x="3677412" y="207264"/>
                </a:lnTo>
                <a:lnTo>
                  <a:pt x="3677412" y="411480"/>
                </a:lnTo>
                <a:lnTo>
                  <a:pt x="4437888" y="411480"/>
                </a:lnTo>
                <a:lnTo>
                  <a:pt x="4437888" y="207264"/>
                </a:lnTo>
                <a:close/>
              </a:path>
              <a:path w="7486015" h="2066925">
                <a:moveTo>
                  <a:pt x="4437888" y="0"/>
                </a:moveTo>
                <a:lnTo>
                  <a:pt x="3677412" y="0"/>
                </a:lnTo>
                <a:lnTo>
                  <a:pt x="3677412" y="204216"/>
                </a:lnTo>
                <a:lnTo>
                  <a:pt x="4437888" y="204216"/>
                </a:lnTo>
                <a:lnTo>
                  <a:pt x="4437888" y="0"/>
                </a:lnTo>
                <a:close/>
              </a:path>
              <a:path w="7486015" h="2066925">
                <a:moveTo>
                  <a:pt x="5199888" y="1655064"/>
                </a:moveTo>
                <a:lnTo>
                  <a:pt x="4440936" y="1655064"/>
                </a:lnTo>
                <a:lnTo>
                  <a:pt x="4440936" y="1859280"/>
                </a:lnTo>
                <a:lnTo>
                  <a:pt x="5199888" y="1859280"/>
                </a:lnTo>
                <a:lnTo>
                  <a:pt x="5199888" y="1655064"/>
                </a:lnTo>
                <a:close/>
              </a:path>
              <a:path w="7486015" h="2066925">
                <a:moveTo>
                  <a:pt x="5199888" y="1449324"/>
                </a:moveTo>
                <a:lnTo>
                  <a:pt x="4440936" y="1449324"/>
                </a:lnTo>
                <a:lnTo>
                  <a:pt x="4440936" y="1652016"/>
                </a:lnTo>
                <a:lnTo>
                  <a:pt x="5199888" y="1652016"/>
                </a:lnTo>
                <a:lnTo>
                  <a:pt x="5199888" y="1449324"/>
                </a:lnTo>
                <a:close/>
              </a:path>
              <a:path w="7486015" h="2066925">
                <a:moveTo>
                  <a:pt x="5199888" y="1242060"/>
                </a:moveTo>
                <a:lnTo>
                  <a:pt x="4440936" y="1242060"/>
                </a:lnTo>
                <a:lnTo>
                  <a:pt x="4440936" y="1446276"/>
                </a:lnTo>
                <a:lnTo>
                  <a:pt x="5199888" y="1446276"/>
                </a:lnTo>
                <a:lnTo>
                  <a:pt x="5199888" y="1242060"/>
                </a:lnTo>
                <a:close/>
              </a:path>
              <a:path w="7486015" h="2066925">
                <a:moveTo>
                  <a:pt x="5199888" y="1034796"/>
                </a:moveTo>
                <a:lnTo>
                  <a:pt x="4440936" y="1034796"/>
                </a:lnTo>
                <a:lnTo>
                  <a:pt x="4440936" y="1239012"/>
                </a:lnTo>
                <a:lnTo>
                  <a:pt x="5199888" y="1239012"/>
                </a:lnTo>
                <a:lnTo>
                  <a:pt x="5199888" y="1034796"/>
                </a:lnTo>
                <a:close/>
              </a:path>
              <a:path w="7486015" h="2066925">
                <a:moveTo>
                  <a:pt x="5199888" y="827532"/>
                </a:moveTo>
                <a:lnTo>
                  <a:pt x="4440936" y="827532"/>
                </a:lnTo>
                <a:lnTo>
                  <a:pt x="4440936" y="1031748"/>
                </a:lnTo>
                <a:lnTo>
                  <a:pt x="5199888" y="1031748"/>
                </a:lnTo>
                <a:lnTo>
                  <a:pt x="5199888" y="827532"/>
                </a:lnTo>
                <a:close/>
              </a:path>
              <a:path w="7486015" h="2066925">
                <a:moveTo>
                  <a:pt x="5199888" y="621792"/>
                </a:moveTo>
                <a:lnTo>
                  <a:pt x="4440936" y="621792"/>
                </a:lnTo>
                <a:lnTo>
                  <a:pt x="4440936" y="824484"/>
                </a:lnTo>
                <a:lnTo>
                  <a:pt x="5199888" y="824484"/>
                </a:lnTo>
                <a:lnTo>
                  <a:pt x="5199888" y="621792"/>
                </a:lnTo>
                <a:close/>
              </a:path>
              <a:path w="7486015" h="2066925">
                <a:moveTo>
                  <a:pt x="5199888" y="414528"/>
                </a:moveTo>
                <a:lnTo>
                  <a:pt x="4440936" y="414528"/>
                </a:lnTo>
                <a:lnTo>
                  <a:pt x="4440936" y="618744"/>
                </a:lnTo>
                <a:lnTo>
                  <a:pt x="5199888" y="618744"/>
                </a:lnTo>
                <a:lnTo>
                  <a:pt x="5199888" y="414528"/>
                </a:lnTo>
                <a:close/>
              </a:path>
              <a:path w="7486015" h="2066925">
                <a:moveTo>
                  <a:pt x="5199888" y="207264"/>
                </a:moveTo>
                <a:lnTo>
                  <a:pt x="4440936" y="207264"/>
                </a:lnTo>
                <a:lnTo>
                  <a:pt x="4440936" y="411480"/>
                </a:lnTo>
                <a:lnTo>
                  <a:pt x="5199888" y="411480"/>
                </a:lnTo>
                <a:lnTo>
                  <a:pt x="5199888" y="207264"/>
                </a:lnTo>
                <a:close/>
              </a:path>
              <a:path w="7486015" h="2066925">
                <a:moveTo>
                  <a:pt x="5199888" y="0"/>
                </a:moveTo>
                <a:lnTo>
                  <a:pt x="4440936" y="0"/>
                </a:lnTo>
                <a:lnTo>
                  <a:pt x="4440936" y="204216"/>
                </a:lnTo>
                <a:lnTo>
                  <a:pt x="5199888" y="204216"/>
                </a:lnTo>
                <a:lnTo>
                  <a:pt x="5199888" y="0"/>
                </a:lnTo>
                <a:close/>
              </a:path>
              <a:path w="7486015" h="2066925">
                <a:moveTo>
                  <a:pt x="5961875" y="1655064"/>
                </a:moveTo>
                <a:lnTo>
                  <a:pt x="5202936" y="1655064"/>
                </a:lnTo>
                <a:lnTo>
                  <a:pt x="5202936" y="1859280"/>
                </a:lnTo>
                <a:lnTo>
                  <a:pt x="5961875" y="1859280"/>
                </a:lnTo>
                <a:lnTo>
                  <a:pt x="5961875" y="1655064"/>
                </a:lnTo>
                <a:close/>
              </a:path>
              <a:path w="7486015" h="2066925">
                <a:moveTo>
                  <a:pt x="5961875" y="1449324"/>
                </a:moveTo>
                <a:lnTo>
                  <a:pt x="5202936" y="1449324"/>
                </a:lnTo>
                <a:lnTo>
                  <a:pt x="5202936" y="1652016"/>
                </a:lnTo>
                <a:lnTo>
                  <a:pt x="5961875" y="1652016"/>
                </a:lnTo>
                <a:lnTo>
                  <a:pt x="5961875" y="1449324"/>
                </a:lnTo>
                <a:close/>
              </a:path>
              <a:path w="7486015" h="2066925">
                <a:moveTo>
                  <a:pt x="5961875" y="1242060"/>
                </a:moveTo>
                <a:lnTo>
                  <a:pt x="5202936" y="1242060"/>
                </a:lnTo>
                <a:lnTo>
                  <a:pt x="5202936" y="1446276"/>
                </a:lnTo>
                <a:lnTo>
                  <a:pt x="5961875" y="1446276"/>
                </a:lnTo>
                <a:lnTo>
                  <a:pt x="5961875" y="1242060"/>
                </a:lnTo>
                <a:close/>
              </a:path>
              <a:path w="7486015" h="2066925">
                <a:moveTo>
                  <a:pt x="5961875" y="1034796"/>
                </a:moveTo>
                <a:lnTo>
                  <a:pt x="5202936" y="1034796"/>
                </a:lnTo>
                <a:lnTo>
                  <a:pt x="5202936" y="1239012"/>
                </a:lnTo>
                <a:lnTo>
                  <a:pt x="5961875" y="1239012"/>
                </a:lnTo>
                <a:lnTo>
                  <a:pt x="5961875" y="1034796"/>
                </a:lnTo>
                <a:close/>
              </a:path>
              <a:path w="7486015" h="2066925">
                <a:moveTo>
                  <a:pt x="5961875" y="827532"/>
                </a:moveTo>
                <a:lnTo>
                  <a:pt x="5202936" y="827532"/>
                </a:lnTo>
                <a:lnTo>
                  <a:pt x="5202936" y="1031748"/>
                </a:lnTo>
                <a:lnTo>
                  <a:pt x="5961875" y="1031748"/>
                </a:lnTo>
                <a:lnTo>
                  <a:pt x="5961875" y="827532"/>
                </a:lnTo>
                <a:close/>
              </a:path>
              <a:path w="7486015" h="2066925">
                <a:moveTo>
                  <a:pt x="5961875" y="621792"/>
                </a:moveTo>
                <a:lnTo>
                  <a:pt x="5202936" y="621792"/>
                </a:lnTo>
                <a:lnTo>
                  <a:pt x="5202936" y="824484"/>
                </a:lnTo>
                <a:lnTo>
                  <a:pt x="5961875" y="824484"/>
                </a:lnTo>
                <a:lnTo>
                  <a:pt x="5961875" y="621792"/>
                </a:lnTo>
                <a:close/>
              </a:path>
              <a:path w="7486015" h="2066925">
                <a:moveTo>
                  <a:pt x="5961875" y="414528"/>
                </a:moveTo>
                <a:lnTo>
                  <a:pt x="5202936" y="414528"/>
                </a:lnTo>
                <a:lnTo>
                  <a:pt x="5202936" y="618744"/>
                </a:lnTo>
                <a:lnTo>
                  <a:pt x="5961875" y="618744"/>
                </a:lnTo>
                <a:lnTo>
                  <a:pt x="5961875" y="414528"/>
                </a:lnTo>
                <a:close/>
              </a:path>
              <a:path w="7486015" h="2066925">
                <a:moveTo>
                  <a:pt x="5961875" y="207264"/>
                </a:moveTo>
                <a:lnTo>
                  <a:pt x="5202936" y="207264"/>
                </a:lnTo>
                <a:lnTo>
                  <a:pt x="5202936" y="411480"/>
                </a:lnTo>
                <a:lnTo>
                  <a:pt x="5961875" y="411480"/>
                </a:lnTo>
                <a:lnTo>
                  <a:pt x="5961875" y="207264"/>
                </a:lnTo>
                <a:close/>
              </a:path>
              <a:path w="7486015" h="2066925">
                <a:moveTo>
                  <a:pt x="5961875" y="0"/>
                </a:moveTo>
                <a:lnTo>
                  <a:pt x="5202936" y="0"/>
                </a:lnTo>
                <a:lnTo>
                  <a:pt x="5202936" y="204216"/>
                </a:lnTo>
                <a:lnTo>
                  <a:pt x="5961875" y="204216"/>
                </a:lnTo>
                <a:lnTo>
                  <a:pt x="5961875" y="0"/>
                </a:lnTo>
                <a:close/>
              </a:path>
              <a:path w="7486015" h="2066925">
                <a:moveTo>
                  <a:pt x="6723888" y="1655064"/>
                </a:moveTo>
                <a:lnTo>
                  <a:pt x="5964936" y="1655064"/>
                </a:lnTo>
                <a:lnTo>
                  <a:pt x="5964936" y="1859280"/>
                </a:lnTo>
                <a:lnTo>
                  <a:pt x="6723888" y="1859280"/>
                </a:lnTo>
                <a:lnTo>
                  <a:pt x="6723888" y="1655064"/>
                </a:lnTo>
                <a:close/>
              </a:path>
              <a:path w="7486015" h="2066925">
                <a:moveTo>
                  <a:pt x="6723888" y="1449324"/>
                </a:moveTo>
                <a:lnTo>
                  <a:pt x="5964936" y="1449324"/>
                </a:lnTo>
                <a:lnTo>
                  <a:pt x="5964936" y="1652016"/>
                </a:lnTo>
                <a:lnTo>
                  <a:pt x="6723888" y="1652016"/>
                </a:lnTo>
                <a:lnTo>
                  <a:pt x="6723888" y="1449324"/>
                </a:lnTo>
                <a:close/>
              </a:path>
              <a:path w="7486015" h="2066925">
                <a:moveTo>
                  <a:pt x="6723888" y="1242060"/>
                </a:moveTo>
                <a:lnTo>
                  <a:pt x="5964936" y="1242060"/>
                </a:lnTo>
                <a:lnTo>
                  <a:pt x="5964936" y="1446276"/>
                </a:lnTo>
                <a:lnTo>
                  <a:pt x="6723888" y="1446276"/>
                </a:lnTo>
                <a:lnTo>
                  <a:pt x="6723888" y="1242060"/>
                </a:lnTo>
                <a:close/>
              </a:path>
              <a:path w="7486015" h="2066925">
                <a:moveTo>
                  <a:pt x="6723888" y="1034796"/>
                </a:moveTo>
                <a:lnTo>
                  <a:pt x="5964936" y="1034796"/>
                </a:lnTo>
                <a:lnTo>
                  <a:pt x="5964936" y="1239012"/>
                </a:lnTo>
                <a:lnTo>
                  <a:pt x="6723888" y="1239012"/>
                </a:lnTo>
                <a:lnTo>
                  <a:pt x="6723888" y="1034796"/>
                </a:lnTo>
                <a:close/>
              </a:path>
              <a:path w="7486015" h="2066925">
                <a:moveTo>
                  <a:pt x="6723888" y="827532"/>
                </a:moveTo>
                <a:lnTo>
                  <a:pt x="5964936" y="827532"/>
                </a:lnTo>
                <a:lnTo>
                  <a:pt x="5964936" y="1031748"/>
                </a:lnTo>
                <a:lnTo>
                  <a:pt x="6723888" y="1031748"/>
                </a:lnTo>
                <a:lnTo>
                  <a:pt x="6723888" y="827532"/>
                </a:lnTo>
                <a:close/>
              </a:path>
              <a:path w="7486015" h="2066925">
                <a:moveTo>
                  <a:pt x="6723888" y="621792"/>
                </a:moveTo>
                <a:lnTo>
                  <a:pt x="5964936" y="621792"/>
                </a:lnTo>
                <a:lnTo>
                  <a:pt x="5964936" y="824484"/>
                </a:lnTo>
                <a:lnTo>
                  <a:pt x="6723888" y="824484"/>
                </a:lnTo>
                <a:lnTo>
                  <a:pt x="6723888" y="621792"/>
                </a:lnTo>
                <a:close/>
              </a:path>
              <a:path w="7486015" h="2066925">
                <a:moveTo>
                  <a:pt x="6723888" y="414528"/>
                </a:moveTo>
                <a:lnTo>
                  <a:pt x="5964936" y="414528"/>
                </a:lnTo>
                <a:lnTo>
                  <a:pt x="5964936" y="618744"/>
                </a:lnTo>
                <a:lnTo>
                  <a:pt x="6723888" y="618744"/>
                </a:lnTo>
                <a:lnTo>
                  <a:pt x="6723888" y="414528"/>
                </a:lnTo>
                <a:close/>
              </a:path>
              <a:path w="7486015" h="2066925">
                <a:moveTo>
                  <a:pt x="6723888" y="207264"/>
                </a:moveTo>
                <a:lnTo>
                  <a:pt x="5964936" y="207264"/>
                </a:lnTo>
                <a:lnTo>
                  <a:pt x="5964936" y="411480"/>
                </a:lnTo>
                <a:lnTo>
                  <a:pt x="6723888" y="411480"/>
                </a:lnTo>
                <a:lnTo>
                  <a:pt x="6723888" y="207264"/>
                </a:lnTo>
                <a:close/>
              </a:path>
              <a:path w="7486015" h="2066925">
                <a:moveTo>
                  <a:pt x="6723888" y="0"/>
                </a:moveTo>
                <a:lnTo>
                  <a:pt x="5964936" y="0"/>
                </a:lnTo>
                <a:lnTo>
                  <a:pt x="5964936" y="204216"/>
                </a:lnTo>
                <a:lnTo>
                  <a:pt x="6723888" y="204216"/>
                </a:lnTo>
                <a:lnTo>
                  <a:pt x="6723888" y="0"/>
                </a:lnTo>
                <a:close/>
              </a:path>
              <a:path w="7486015" h="2066925">
                <a:moveTo>
                  <a:pt x="7485888" y="1655064"/>
                </a:moveTo>
                <a:lnTo>
                  <a:pt x="6726936" y="1655064"/>
                </a:lnTo>
                <a:lnTo>
                  <a:pt x="6726936" y="1859280"/>
                </a:lnTo>
                <a:lnTo>
                  <a:pt x="7485888" y="1859280"/>
                </a:lnTo>
                <a:lnTo>
                  <a:pt x="7485888" y="1655064"/>
                </a:lnTo>
                <a:close/>
              </a:path>
              <a:path w="7486015" h="2066925">
                <a:moveTo>
                  <a:pt x="7485888" y="1449324"/>
                </a:moveTo>
                <a:lnTo>
                  <a:pt x="6726936" y="1449324"/>
                </a:lnTo>
                <a:lnTo>
                  <a:pt x="6726936" y="1652016"/>
                </a:lnTo>
                <a:lnTo>
                  <a:pt x="7485888" y="1652016"/>
                </a:lnTo>
                <a:lnTo>
                  <a:pt x="7485888" y="1449324"/>
                </a:lnTo>
                <a:close/>
              </a:path>
              <a:path w="7486015" h="2066925">
                <a:moveTo>
                  <a:pt x="7485888" y="1242060"/>
                </a:moveTo>
                <a:lnTo>
                  <a:pt x="6726936" y="1242060"/>
                </a:lnTo>
                <a:lnTo>
                  <a:pt x="6726936" y="1446276"/>
                </a:lnTo>
                <a:lnTo>
                  <a:pt x="7485888" y="1446276"/>
                </a:lnTo>
                <a:lnTo>
                  <a:pt x="7485888" y="1242060"/>
                </a:lnTo>
                <a:close/>
              </a:path>
              <a:path w="7486015" h="2066925">
                <a:moveTo>
                  <a:pt x="7485888" y="1034796"/>
                </a:moveTo>
                <a:lnTo>
                  <a:pt x="6726936" y="1034796"/>
                </a:lnTo>
                <a:lnTo>
                  <a:pt x="6726936" y="1239012"/>
                </a:lnTo>
                <a:lnTo>
                  <a:pt x="7485888" y="1239012"/>
                </a:lnTo>
                <a:lnTo>
                  <a:pt x="7485888" y="1034796"/>
                </a:lnTo>
                <a:close/>
              </a:path>
              <a:path w="7486015" h="2066925">
                <a:moveTo>
                  <a:pt x="7485888" y="827532"/>
                </a:moveTo>
                <a:lnTo>
                  <a:pt x="6726936" y="827532"/>
                </a:lnTo>
                <a:lnTo>
                  <a:pt x="6726936" y="1031748"/>
                </a:lnTo>
                <a:lnTo>
                  <a:pt x="7485888" y="1031748"/>
                </a:lnTo>
                <a:lnTo>
                  <a:pt x="7485888" y="827532"/>
                </a:lnTo>
                <a:close/>
              </a:path>
              <a:path w="7486015" h="2066925">
                <a:moveTo>
                  <a:pt x="7485888" y="621792"/>
                </a:moveTo>
                <a:lnTo>
                  <a:pt x="6726936" y="621792"/>
                </a:lnTo>
                <a:lnTo>
                  <a:pt x="6726936" y="824484"/>
                </a:lnTo>
                <a:lnTo>
                  <a:pt x="7485888" y="824484"/>
                </a:lnTo>
                <a:lnTo>
                  <a:pt x="7485888" y="621792"/>
                </a:lnTo>
                <a:close/>
              </a:path>
              <a:path w="7486015" h="2066925">
                <a:moveTo>
                  <a:pt x="7485888" y="414528"/>
                </a:moveTo>
                <a:lnTo>
                  <a:pt x="6726936" y="414528"/>
                </a:lnTo>
                <a:lnTo>
                  <a:pt x="6726936" y="618744"/>
                </a:lnTo>
                <a:lnTo>
                  <a:pt x="7485888" y="618744"/>
                </a:lnTo>
                <a:lnTo>
                  <a:pt x="7485888" y="414528"/>
                </a:lnTo>
                <a:close/>
              </a:path>
              <a:path w="7486015" h="2066925">
                <a:moveTo>
                  <a:pt x="7485888" y="207264"/>
                </a:moveTo>
                <a:lnTo>
                  <a:pt x="6726936" y="207264"/>
                </a:lnTo>
                <a:lnTo>
                  <a:pt x="6726936" y="411480"/>
                </a:lnTo>
                <a:lnTo>
                  <a:pt x="7485888" y="411480"/>
                </a:lnTo>
                <a:lnTo>
                  <a:pt x="7485888" y="207264"/>
                </a:lnTo>
                <a:close/>
              </a:path>
              <a:path w="7486015" h="2066925">
                <a:moveTo>
                  <a:pt x="7485888" y="0"/>
                </a:moveTo>
                <a:lnTo>
                  <a:pt x="6726936" y="0"/>
                </a:lnTo>
                <a:lnTo>
                  <a:pt x="6726936" y="204216"/>
                </a:lnTo>
                <a:lnTo>
                  <a:pt x="7485888" y="204216"/>
                </a:lnTo>
                <a:lnTo>
                  <a:pt x="7485888" y="0"/>
                </a:lnTo>
                <a:close/>
              </a:path>
            </a:pathLst>
          </a:custGeom>
          <a:solidFill>
            <a:srgbClr val="FFFFFF"/>
          </a:solidFill>
        </xdr:spPr>
      </xdr:sp>
      <xdr:sp macro="" textlink="">
        <xdr:nvSpPr>
          <xdr:cNvPr id="22" name="Shape 22">
            <a:extLst>
              <a:ext uri="{FF2B5EF4-FFF2-40B4-BE49-F238E27FC236}">
                <a16:creationId xmlns:a16="http://schemas.microsoft.com/office/drawing/2014/main" id="{00000000-0008-0000-0100-000016000000}"/>
              </a:ext>
            </a:extLst>
          </xdr:cNvPr>
          <xdr:cNvSpPr/>
        </xdr:nvSpPr>
        <xdr:spPr>
          <a:xfrm>
            <a:off x="0" y="1449323"/>
            <a:ext cx="7486015" cy="2272665"/>
          </a:xfrm>
          <a:custGeom>
            <a:avLst/>
            <a:gdLst/>
            <a:ahLst/>
            <a:cxnLst/>
            <a:rect l="0" t="0" r="0" b="0"/>
            <a:pathLst>
              <a:path w="7486015" h="2272665">
                <a:moveTo>
                  <a:pt x="312420" y="1033272"/>
                </a:moveTo>
                <a:lnTo>
                  <a:pt x="0" y="1033272"/>
                </a:lnTo>
                <a:lnTo>
                  <a:pt x="0" y="1859280"/>
                </a:lnTo>
                <a:lnTo>
                  <a:pt x="312420" y="1859280"/>
                </a:lnTo>
                <a:lnTo>
                  <a:pt x="312420" y="1033272"/>
                </a:lnTo>
                <a:close/>
              </a:path>
              <a:path w="7486015" h="2272665">
                <a:moveTo>
                  <a:pt x="312420" y="620268"/>
                </a:moveTo>
                <a:lnTo>
                  <a:pt x="0" y="620268"/>
                </a:lnTo>
                <a:lnTo>
                  <a:pt x="0" y="1030224"/>
                </a:lnTo>
                <a:lnTo>
                  <a:pt x="312420" y="1030224"/>
                </a:lnTo>
                <a:lnTo>
                  <a:pt x="312420" y="620268"/>
                </a:lnTo>
                <a:close/>
              </a:path>
              <a:path w="7486015" h="2272665">
                <a:moveTo>
                  <a:pt x="1264920" y="1033272"/>
                </a:moveTo>
                <a:lnTo>
                  <a:pt x="315468" y="1033272"/>
                </a:lnTo>
                <a:lnTo>
                  <a:pt x="315468" y="1859280"/>
                </a:lnTo>
                <a:lnTo>
                  <a:pt x="1264920" y="1859280"/>
                </a:lnTo>
                <a:lnTo>
                  <a:pt x="1264920" y="1033272"/>
                </a:lnTo>
                <a:close/>
              </a:path>
              <a:path w="7486015" h="2272665">
                <a:moveTo>
                  <a:pt x="1264920" y="620268"/>
                </a:moveTo>
                <a:lnTo>
                  <a:pt x="315468" y="620268"/>
                </a:lnTo>
                <a:lnTo>
                  <a:pt x="315468" y="1030224"/>
                </a:lnTo>
                <a:lnTo>
                  <a:pt x="1264920" y="1030224"/>
                </a:lnTo>
                <a:lnTo>
                  <a:pt x="1264920" y="620268"/>
                </a:lnTo>
                <a:close/>
              </a:path>
              <a:path w="7486015" h="2272665">
                <a:moveTo>
                  <a:pt x="1264920" y="0"/>
                </a:moveTo>
                <a:lnTo>
                  <a:pt x="315468" y="0"/>
                </a:lnTo>
                <a:lnTo>
                  <a:pt x="315468" y="617220"/>
                </a:lnTo>
                <a:lnTo>
                  <a:pt x="1264920" y="617220"/>
                </a:lnTo>
                <a:lnTo>
                  <a:pt x="1264920" y="0"/>
                </a:lnTo>
                <a:close/>
              </a:path>
              <a:path w="7486015" h="2272665">
                <a:moveTo>
                  <a:pt x="2531364" y="1033272"/>
                </a:moveTo>
                <a:lnTo>
                  <a:pt x="1267968" y="1033272"/>
                </a:lnTo>
                <a:lnTo>
                  <a:pt x="1267968" y="1859280"/>
                </a:lnTo>
                <a:lnTo>
                  <a:pt x="2531364" y="1859280"/>
                </a:lnTo>
                <a:lnTo>
                  <a:pt x="2531364" y="1033272"/>
                </a:lnTo>
                <a:close/>
              </a:path>
              <a:path w="7486015" h="2272665">
                <a:moveTo>
                  <a:pt x="2531364" y="620268"/>
                </a:moveTo>
                <a:lnTo>
                  <a:pt x="1267968" y="620268"/>
                </a:lnTo>
                <a:lnTo>
                  <a:pt x="1267968" y="1030224"/>
                </a:lnTo>
                <a:lnTo>
                  <a:pt x="2531364" y="1030224"/>
                </a:lnTo>
                <a:lnTo>
                  <a:pt x="2531364" y="620268"/>
                </a:lnTo>
                <a:close/>
              </a:path>
              <a:path w="7486015" h="2272665">
                <a:moveTo>
                  <a:pt x="2531364" y="0"/>
                </a:moveTo>
                <a:lnTo>
                  <a:pt x="1267968" y="0"/>
                </a:lnTo>
                <a:lnTo>
                  <a:pt x="1267968" y="617220"/>
                </a:lnTo>
                <a:lnTo>
                  <a:pt x="2531364" y="617220"/>
                </a:lnTo>
                <a:lnTo>
                  <a:pt x="2531364" y="0"/>
                </a:lnTo>
                <a:close/>
              </a:path>
              <a:path w="7486015" h="2272665">
                <a:moveTo>
                  <a:pt x="3037332" y="2068068"/>
                </a:moveTo>
                <a:lnTo>
                  <a:pt x="2534412" y="2068068"/>
                </a:lnTo>
                <a:lnTo>
                  <a:pt x="2534412" y="2272284"/>
                </a:lnTo>
                <a:lnTo>
                  <a:pt x="3037332" y="2272284"/>
                </a:lnTo>
                <a:lnTo>
                  <a:pt x="3037332" y="2068068"/>
                </a:lnTo>
                <a:close/>
              </a:path>
              <a:path w="7486015" h="2272665">
                <a:moveTo>
                  <a:pt x="3037332" y="1862328"/>
                </a:moveTo>
                <a:lnTo>
                  <a:pt x="2534412" y="1862328"/>
                </a:lnTo>
                <a:lnTo>
                  <a:pt x="2534412" y="2065020"/>
                </a:lnTo>
                <a:lnTo>
                  <a:pt x="3037332" y="2065020"/>
                </a:lnTo>
                <a:lnTo>
                  <a:pt x="3037332" y="1862328"/>
                </a:lnTo>
                <a:close/>
              </a:path>
              <a:path w="7486015" h="2272665">
                <a:moveTo>
                  <a:pt x="3037332" y="1655064"/>
                </a:moveTo>
                <a:lnTo>
                  <a:pt x="2534412" y="1655064"/>
                </a:lnTo>
                <a:lnTo>
                  <a:pt x="2534412" y="1859280"/>
                </a:lnTo>
                <a:lnTo>
                  <a:pt x="3037332" y="1859280"/>
                </a:lnTo>
                <a:lnTo>
                  <a:pt x="3037332" y="1655064"/>
                </a:lnTo>
                <a:close/>
              </a:path>
              <a:path w="7486015" h="2272665">
                <a:moveTo>
                  <a:pt x="3037332" y="1447800"/>
                </a:moveTo>
                <a:lnTo>
                  <a:pt x="2534412" y="1447800"/>
                </a:lnTo>
                <a:lnTo>
                  <a:pt x="2534412" y="1652016"/>
                </a:lnTo>
                <a:lnTo>
                  <a:pt x="3037332" y="1652016"/>
                </a:lnTo>
                <a:lnTo>
                  <a:pt x="3037332" y="1447800"/>
                </a:lnTo>
                <a:close/>
              </a:path>
              <a:path w="7486015" h="2272665">
                <a:moveTo>
                  <a:pt x="3037332" y="1240536"/>
                </a:moveTo>
                <a:lnTo>
                  <a:pt x="2534412" y="1240536"/>
                </a:lnTo>
                <a:lnTo>
                  <a:pt x="2534412" y="1444752"/>
                </a:lnTo>
                <a:lnTo>
                  <a:pt x="3037332" y="1444752"/>
                </a:lnTo>
                <a:lnTo>
                  <a:pt x="3037332" y="1240536"/>
                </a:lnTo>
                <a:close/>
              </a:path>
              <a:path w="7486015" h="2272665">
                <a:moveTo>
                  <a:pt x="3037332" y="1033272"/>
                </a:moveTo>
                <a:lnTo>
                  <a:pt x="2534412" y="1033272"/>
                </a:lnTo>
                <a:lnTo>
                  <a:pt x="2534412" y="1237488"/>
                </a:lnTo>
                <a:lnTo>
                  <a:pt x="3037332" y="1237488"/>
                </a:lnTo>
                <a:lnTo>
                  <a:pt x="3037332" y="1033272"/>
                </a:lnTo>
                <a:close/>
              </a:path>
              <a:path w="7486015" h="2272665">
                <a:moveTo>
                  <a:pt x="3037332" y="827532"/>
                </a:moveTo>
                <a:lnTo>
                  <a:pt x="2534412" y="827532"/>
                </a:lnTo>
                <a:lnTo>
                  <a:pt x="2534412" y="1030224"/>
                </a:lnTo>
                <a:lnTo>
                  <a:pt x="3037332" y="1030224"/>
                </a:lnTo>
                <a:lnTo>
                  <a:pt x="3037332" y="827532"/>
                </a:lnTo>
                <a:close/>
              </a:path>
              <a:path w="7486015" h="2272665">
                <a:moveTo>
                  <a:pt x="3037332" y="620268"/>
                </a:moveTo>
                <a:lnTo>
                  <a:pt x="2534412" y="620268"/>
                </a:lnTo>
                <a:lnTo>
                  <a:pt x="2534412" y="824484"/>
                </a:lnTo>
                <a:lnTo>
                  <a:pt x="3037332" y="824484"/>
                </a:lnTo>
                <a:lnTo>
                  <a:pt x="3037332" y="620268"/>
                </a:lnTo>
                <a:close/>
              </a:path>
              <a:path w="7486015" h="2272665">
                <a:moveTo>
                  <a:pt x="3037332" y="413004"/>
                </a:moveTo>
                <a:lnTo>
                  <a:pt x="2534412" y="413004"/>
                </a:lnTo>
                <a:lnTo>
                  <a:pt x="2534412" y="617220"/>
                </a:lnTo>
                <a:lnTo>
                  <a:pt x="3037332" y="617220"/>
                </a:lnTo>
                <a:lnTo>
                  <a:pt x="3037332" y="413004"/>
                </a:lnTo>
                <a:close/>
              </a:path>
              <a:path w="7486015" h="2272665">
                <a:moveTo>
                  <a:pt x="3674364" y="2068068"/>
                </a:moveTo>
                <a:lnTo>
                  <a:pt x="3040380" y="2068068"/>
                </a:lnTo>
                <a:lnTo>
                  <a:pt x="3040380" y="2272284"/>
                </a:lnTo>
                <a:lnTo>
                  <a:pt x="3674364" y="2272284"/>
                </a:lnTo>
                <a:lnTo>
                  <a:pt x="3674364" y="2068068"/>
                </a:lnTo>
                <a:close/>
              </a:path>
              <a:path w="7486015" h="2272665">
                <a:moveTo>
                  <a:pt x="3674364" y="1862328"/>
                </a:moveTo>
                <a:lnTo>
                  <a:pt x="3040380" y="1862328"/>
                </a:lnTo>
                <a:lnTo>
                  <a:pt x="3040380" y="2065020"/>
                </a:lnTo>
                <a:lnTo>
                  <a:pt x="3674364" y="2065020"/>
                </a:lnTo>
                <a:lnTo>
                  <a:pt x="3674364" y="1862328"/>
                </a:lnTo>
                <a:close/>
              </a:path>
              <a:path w="7486015" h="2272665">
                <a:moveTo>
                  <a:pt x="3674364" y="1655064"/>
                </a:moveTo>
                <a:lnTo>
                  <a:pt x="3040380" y="1655064"/>
                </a:lnTo>
                <a:lnTo>
                  <a:pt x="3040380" y="1859280"/>
                </a:lnTo>
                <a:lnTo>
                  <a:pt x="3674364" y="1859280"/>
                </a:lnTo>
                <a:lnTo>
                  <a:pt x="3674364" y="1655064"/>
                </a:lnTo>
                <a:close/>
              </a:path>
              <a:path w="7486015" h="2272665">
                <a:moveTo>
                  <a:pt x="3674364" y="1447800"/>
                </a:moveTo>
                <a:lnTo>
                  <a:pt x="3040380" y="1447800"/>
                </a:lnTo>
                <a:lnTo>
                  <a:pt x="3040380" y="1652016"/>
                </a:lnTo>
                <a:lnTo>
                  <a:pt x="3674364" y="1652016"/>
                </a:lnTo>
                <a:lnTo>
                  <a:pt x="3674364" y="1447800"/>
                </a:lnTo>
                <a:close/>
              </a:path>
              <a:path w="7486015" h="2272665">
                <a:moveTo>
                  <a:pt x="3674364" y="1240536"/>
                </a:moveTo>
                <a:lnTo>
                  <a:pt x="3040380" y="1240536"/>
                </a:lnTo>
                <a:lnTo>
                  <a:pt x="3040380" y="1444752"/>
                </a:lnTo>
                <a:lnTo>
                  <a:pt x="3674364" y="1444752"/>
                </a:lnTo>
                <a:lnTo>
                  <a:pt x="3674364" y="1240536"/>
                </a:lnTo>
                <a:close/>
              </a:path>
              <a:path w="7486015" h="2272665">
                <a:moveTo>
                  <a:pt x="3674364" y="1033272"/>
                </a:moveTo>
                <a:lnTo>
                  <a:pt x="3040380" y="1033272"/>
                </a:lnTo>
                <a:lnTo>
                  <a:pt x="3040380" y="1237488"/>
                </a:lnTo>
                <a:lnTo>
                  <a:pt x="3674364" y="1237488"/>
                </a:lnTo>
                <a:lnTo>
                  <a:pt x="3674364" y="1033272"/>
                </a:lnTo>
                <a:close/>
              </a:path>
              <a:path w="7486015" h="2272665">
                <a:moveTo>
                  <a:pt x="3674364" y="827532"/>
                </a:moveTo>
                <a:lnTo>
                  <a:pt x="3040380" y="827532"/>
                </a:lnTo>
                <a:lnTo>
                  <a:pt x="3040380" y="1030224"/>
                </a:lnTo>
                <a:lnTo>
                  <a:pt x="3674364" y="1030224"/>
                </a:lnTo>
                <a:lnTo>
                  <a:pt x="3674364" y="827532"/>
                </a:lnTo>
                <a:close/>
              </a:path>
              <a:path w="7486015" h="2272665">
                <a:moveTo>
                  <a:pt x="3674364" y="620268"/>
                </a:moveTo>
                <a:lnTo>
                  <a:pt x="3040380" y="620268"/>
                </a:lnTo>
                <a:lnTo>
                  <a:pt x="3040380" y="824484"/>
                </a:lnTo>
                <a:lnTo>
                  <a:pt x="3674364" y="824484"/>
                </a:lnTo>
                <a:lnTo>
                  <a:pt x="3674364" y="620268"/>
                </a:lnTo>
                <a:close/>
              </a:path>
              <a:path w="7486015" h="2272665">
                <a:moveTo>
                  <a:pt x="3674364" y="413004"/>
                </a:moveTo>
                <a:lnTo>
                  <a:pt x="3040380" y="413004"/>
                </a:lnTo>
                <a:lnTo>
                  <a:pt x="3040380" y="617220"/>
                </a:lnTo>
                <a:lnTo>
                  <a:pt x="3674364" y="617220"/>
                </a:lnTo>
                <a:lnTo>
                  <a:pt x="3674364" y="413004"/>
                </a:lnTo>
                <a:close/>
              </a:path>
              <a:path w="7486015" h="2272665">
                <a:moveTo>
                  <a:pt x="4437888" y="2068068"/>
                </a:moveTo>
                <a:lnTo>
                  <a:pt x="3677412" y="2068068"/>
                </a:lnTo>
                <a:lnTo>
                  <a:pt x="3677412" y="2272284"/>
                </a:lnTo>
                <a:lnTo>
                  <a:pt x="4437888" y="2272284"/>
                </a:lnTo>
                <a:lnTo>
                  <a:pt x="4437888" y="2068068"/>
                </a:lnTo>
                <a:close/>
              </a:path>
              <a:path w="7486015" h="2272665">
                <a:moveTo>
                  <a:pt x="4437888" y="1862328"/>
                </a:moveTo>
                <a:lnTo>
                  <a:pt x="3677412" y="1862328"/>
                </a:lnTo>
                <a:lnTo>
                  <a:pt x="3677412" y="2065020"/>
                </a:lnTo>
                <a:lnTo>
                  <a:pt x="4437888" y="2065020"/>
                </a:lnTo>
                <a:lnTo>
                  <a:pt x="4437888" y="1862328"/>
                </a:lnTo>
                <a:close/>
              </a:path>
              <a:path w="7486015" h="2272665">
                <a:moveTo>
                  <a:pt x="4437888" y="1655064"/>
                </a:moveTo>
                <a:lnTo>
                  <a:pt x="3677412" y="1655064"/>
                </a:lnTo>
                <a:lnTo>
                  <a:pt x="3677412" y="1859280"/>
                </a:lnTo>
                <a:lnTo>
                  <a:pt x="4437888" y="1859280"/>
                </a:lnTo>
                <a:lnTo>
                  <a:pt x="4437888" y="1655064"/>
                </a:lnTo>
                <a:close/>
              </a:path>
              <a:path w="7486015" h="2272665">
                <a:moveTo>
                  <a:pt x="4437888" y="1447800"/>
                </a:moveTo>
                <a:lnTo>
                  <a:pt x="3677412" y="1447800"/>
                </a:lnTo>
                <a:lnTo>
                  <a:pt x="3677412" y="1652016"/>
                </a:lnTo>
                <a:lnTo>
                  <a:pt x="4437888" y="1652016"/>
                </a:lnTo>
                <a:lnTo>
                  <a:pt x="4437888" y="1447800"/>
                </a:lnTo>
                <a:close/>
              </a:path>
              <a:path w="7486015" h="2272665">
                <a:moveTo>
                  <a:pt x="4437888" y="1240536"/>
                </a:moveTo>
                <a:lnTo>
                  <a:pt x="3677412" y="1240536"/>
                </a:lnTo>
                <a:lnTo>
                  <a:pt x="3677412" y="1444752"/>
                </a:lnTo>
                <a:lnTo>
                  <a:pt x="4437888" y="1444752"/>
                </a:lnTo>
                <a:lnTo>
                  <a:pt x="4437888" y="1240536"/>
                </a:lnTo>
                <a:close/>
              </a:path>
              <a:path w="7486015" h="2272665">
                <a:moveTo>
                  <a:pt x="4437888" y="1033272"/>
                </a:moveTo>
                <a:lnTo>
                  <a:pt x="3677412" y="1033272"/>
                </a:lnTo>
                <a:lnTo>
                  <a:pt x="3677412" y="1237488"/>
                </a:lnTo>
                <a:lnTo>
                  <a:pt x="4437888" y="1237488"/>
                </a:lnTo>
                <a:lnTo>
                  <a:pt x="4437888" y="1033272"/>
                </a:lnTo>
                <a:close/>
              </a:path>
              <a:path w="7486015" h="2272665">
                <a:moveTo>
                  <a:pt x="4437888" y="827532"/>
                </a:moveTo>
                <a:lnTo>
                  <a:pt x="3677412" y="827532"/>
                </a:lnTo>
                <a:lnTo>
                  <a:pt x="3677412" y="1030224"/>
                </a:lnTo>
                <a:lnTo>
                  <a:pt x="4437888" y="1030224"/>
                </a:lnTo>
                <a:lnTo>
                  <a:pt x="4437888" y="827532"/>
                </a:lnTo>
                <a:close/>
              </a:path>
              <a:path w="7486015" h="2272665">
                <a:moveTo>
                  <a:pt x="4437888" y="620268"/>
                </a:moveTo>
                <a:lnTo>
                  <a:pt x="3677412" y="620268"/>
                </a:lnTo>
                <a:lnTo>
                  <a:pt x="3677412" y="824484"/>
                </a:lnTo>
                <a:lnTo>
                  <a:pt x="4437888" y="824484"/>
                </a:lnTo>
                <a:lnTo>
                  <a:pt x="4437888" y="620268"/>
                </a:lnTo>
                <a:close/>
              </a:path>
              <a:path w="7486015" h="2272665">
                <a:moveTo>
                  <a:pt x="4437888" y="413004"/>
                </a:moveTo>
                <a:lnTo>
                  <a:pt x="3677412" y="413004"/>
                </a:lnTo>
                <a:lnTo>
                  <a:pt x="3677412" y="617220"/>
                </a:lnTo>
                <a:lnTo>
                  <a:pt x="4437888" y="617220"/>
                </a:lnTo>
                <a:lnTo>
                  <a:pt x="4437888" y="413004"/>
                </a:lnTo>
                <a:close/>
              </a:path>
              <a:path w="7486015" h="2272665">
                <a:moveTo>
                  <a:pt x="5199888" y="2068068"/>
                </a:moveTo>
                <a:lnTo>
                  <a:pt x="4440936" y="2068068"/>
                </a:lnTo>
                <a:lnTo>
                  <a:pt x="4440936" y="2272284"/>
                </a:lnTo>
                <a:lnTo>
                  <a:pt x="5199888" y="2272284"/>
                </a:lnTo>
                <a:lnTo>
                  <a:pt x="5199888" y="2068068"/>
                </a:lnTo>
                <a:close/>
              </a:path>
              <a:path w="7486015" h="2272665">
                <a:moveTo>
                  <a:pt x="5199888" y="1862328"/>
                </a:moveTo>
                <a:lnTo>
                  <a:pt x="4440936" y="1862328"/>
                </a:lnTo>
                <a:lnTo>
                  <a:pt x="4440936" y="2065020"/>
                </a:lnTo>
                <a:lnTo>
                  <a:pt x="5199888" y="2065020"/>
                </a:lnTo>
                <a:lnTo>
                  <a:pt x="5199888" y="1862328"/>
                </a:lnTo>
                <a:close/>
              </a:path>
              <a:path w="7486015" h="2272665">
                <a:moveTo>
                  <a:pt x="5199888" y="1655064"/>
                </a:moveTo>
                <a:lnTo>
                  <a:pt x="4440936" y="1655064"/>
                </a:lnTo>
                <a:lnTo>
                  <a:pt x="4440936" y="1859280"/>
                </a:lnTo>
                <a:lnTo>
                  <a:pt x="5199888" y="1859280"/>
                </a:lnTo>
                <a:lnTo>
                  <a:pt x="5199888" y="1655064"/>
                </a:lnTo>
                <a:close/>
              </a:path>
              <a:path w="7486015" h="2272665">
                <a:moveTo>
                  <a:pt x="5199888" y="1447800"/>
                </a:moveTo>
                <a:lnTo>
                  <a:pt x="4440936" y="1447800"/>
                </a:lnTo>
                <a:lnTo>
                  <a:pt x="4440936" y="1652016"/>
                </a:lnTo>
                <a:lnTo>
                  <a:pt x="5199888" y="1652016"/>
                </a:lnTo>
                <a:lnTo>
                  <a:pt x="5199888" y="1447800"/>
                </a:lnTo>
                <a:close/>
              </a:path>
              <a:path w="7486015" h="2272665">
                <a:moveTo>
                  <a:pt x="5199888" y="1240536"/>
                </a:moveTo>
                <a:lnTo>
                  <a:pt x="4440936" y="1240536"/>
                </a:lnTo>
                <a:lnTo>
                  <a:pt x="4440936" y="1444752"/>
                </a:lnTo>
                <a:lnTo>
                  <a:pt x="5199888" y="1444752"/>
                </a:lnTo>
                <a:lnTo>
                  <a:pt x="5199888" y="1240536"/>
                </a:lnTo>
                <a:close/>
              </a:path>
              <a:path w="7486015" h="2272665">
                <a:moveTo>
                  <a:pt x="5199888" y="1033272"/>
                </a:moveTo>
                <a:lnTo>
                  <a:pt x="4440936" y="1033272"/>
                </a:lnTo>
                <a:lnTo>
                  <a:pt x="4440936" y="1237488"/>
                </a:lnTo>
                <a:lnTo>
                  <a:pt x="5199888" y="1237488"/>
                </a:lnTo>
                <a:lnTo>
                  <a:pt x="5199888" y="1033272"/>
                </a:lnTo>
                <a:close/>
              </a:path>
              <a:path w="7486015" h="2272665">
                <a:moveTo>
                  <a:pt x="5199888" y="827532"/>
                </a:moveTo>
                <a:lnTo>
                  <a:pt x="4440936" y="827532"/>
                </a:lnTo>
                <a:lnTo>
                  <a:pt x="4440936" y="1030224"/>
                </a:lnTo>
                <a:lnTo>
                  <a:pt x="5199888" y="1030224"/>
                </a:lnTo>
                <a:lnTo>
                  <a:pt x="5199888" y="827532"/>
                </a:lnTo>
                <a:close/>
              </a:path>
              <a:path w="7486015" h="2272665">
                <a:moveTo>
                  <a:pt x="5199888" y="620268"/>
                </a:moveTo>
                <a:lnTo>
                  <a:pt x="4440936" y="620268"/>
                </a:lnTo>
                <a:lnTo>
                  <a:pt x="4440936" y="824484"/>
                </a:lnTo>
                <a:lnTo>
                  <a:pt x="5199888" y="824484"/>
                </a:lnTo>
                <a:lnTo>
                  <a:pt x="5199888" y="620268"/>
                </a:lnTo>
                <a:close/>
              </a:path>
              <a:path w="7486015" h="2272665">
                <a:moveTo>
                  <a:pt x="5199888" y="413004"/>
                </a:moveTo>
                <a:lnTo>
                  <a:pt x="4440936" y="413004"/>
                </a:lnTo>
                <a:lnTo>
                  <a:pt x="4440936" y="617220"/>
                </a:lnTo>
                <a:lnTo>
                  <a:pt x="5199888" y="617220"/>
                </a:lnTo>
                <a:lnTo>
                  <a:pt x="5199888" y="413004"/>
                </a:lnTo>
                <a:close/>
              </a:path>
              <a:path w="7486015" h="2272665">
                <a:moveTo>
                  <a:pt x="5961875" y="2068068"/>
                </a:moveTo>
                <a:lnTo>
                  <a:pt x="5202936" y="2068068"/>
                </a:lnTo>
                <a:lnTo>
                  <a:pt x="5202936" y="2272284"/>
                </a:lnTo>
                <a:lnTo>
                  <a:pt x="5961875" y="2272284"/>
                </a:lnTo>
                <a:lnTo>
                  <a:pt x="5961875" y="2068068"/>
                </a:lnTo>
                <a:close/>
              </a:path>
              <a:path w="7486015" h="2272665">
                <a:moveTo>
                  <a:pt x="5961875" y="1862328"/>
                </a:moveTo>
                <a:lnTo>
                  <a:pt x="5202936" y="1862328"/>
                </a:lnTo>
                <a:lnTo>
                  <a:pt x="5202936" y="2065020"/>
                </a:lnTo>
                <a:lnTo>
                  <a:pt x="5961875" y="2065020"/>
                </a:lnTo>
                <a:lnTo>
                  <a:pt x="5961875" y="1862328"/>
                </a:lnTo>
                <a:close/>
              </a:path>
              <a:path w="7486015" h="2272665">
                <a:moveTo>
                  <a:pt x="5961875" y="1655064"/>
                </a:moveTo>
                <a:lnTo>
                  <a:pt x="5202936" y="1655064"/>
                </a:lnTo>
                <a:lnTo>
                  <a:pt x="5202936" y="1859280"/>
                </a:lnTo>
                <a:lnTo>
                  <a:pt x="5961875" y="1859280"/>
                </a:lnTo>
                <a:lnTo>
                  <a:pt x="5961875" y="1655064"/>
                </a:lnTo>
                <a:close/>
              </a:path>
              <a:path w="7486015" h="2272665">
                <a:moveTo>
                  <a:pt x="5961875" y="1447800"/>
                </a:moveTo>
                <a:lnTo>
                  <a:pt x="5202936" y="1447800"/>
                </a:lnTo>
                <a:lnTo>
                  <a:pt x="5202936" y="1652016"/>
                </a:lnTo>
                <a:lnTo>
                  <a:pt x="5961875" y="1652016"/>
                </a:lnTo>
                <a:lnTo>
                  <a:pt x="5961875" y="1447800"/>
                </a:lnTo>
                <a:close/>
              </a:path>
              <a:path w="7486015" h="2272665">
                <a:moveTo>
                  <a:pt x="5961875" y="1240536"/>
                </a:moveTo>
                <a:lnTo>
                  <a:pt x="5202936" y="1240536"/>
                </a:lnTo>
                <a:lnTo>
                  <a:pt x="5202936" y="1444752"/>
                </a:lnTo>
                <a:lnTo>
                  <a:pt x="5961875" y="1444752"/>
                </a:lnTo>
                <a:lnTo>
                  <a:pt x="5961875" y="1240536"/>
                </a:lnTo>
                <a:close/>
              </a:path>
              <a:path w="7486015" h="2272665">
                <a:moveTo>
                  <a:pt x="5961875" y="1033272"/>
                </a:moveTo>
                <a:lnTo>
                  <a:pt x="5202936" y="1033272"/>
                </a:lnTo>
                <a:lnTo>
                  <a:pt x="5202936" y="1237488"/>
                </a:lnTo>
                <a:lnTo>
                  <a:pt x="5961875" y="1237488"/>
                </a:lnTo>
                <a:lnTo>
                  <a:pt x="5961875" y="1033272"/>
                </a:lnTo>
                <a:close/>
              </a:path>
              <a:path w="7486015" h="2272665">
                <a:moveTo>
                  <a:pt x="5961875" y="827532"/>
                </a:moveTo>
                <a:lnTo>
                  <a:pt x="5202936" y="827532"/>
                </a:lnTo>
                <a:lnTo>
                  <a:pt x="5202936" y="1030224"/>
                </a:lnTo>
                <a:lnTo>
                  <a:pt x="5961875" y="1030224"/>
                </a:lnTo>
                <a:lnTo>
                  <a:pt x="5961875" y="827532"/>
                </a:lnTo>
                <a:close/>
              </a:path>
              <a:path w="7486015" h="2272665">
                <a:moveTo>
                  <a:pt x="5961875" y="620268"/>
                </a:moveTo>
                <a:lnTo>
                  <a:pt x="5202936" y="620268"/>
                </a:lnTo>
                <a:lnTo>
                  <a:pt x="5202936" y="824484"/>
                </a:lnTo>
                <a:lnTo>
                  <a:pt x="5961875" y="824484"/>
                </a:lnTo>
                <a:lnTo>
                  <a:pt x="5961875" y="620268"/>
                </a:lnTo>
                <a:close/>
              </a:path>
              <a:path w="7486015" h="2272665">
                <a:moveTo>
                  <a:pt x="5961875" y="413004"/>
                </a:moveTo>
                <a:lnTo>
                  <a:pt x="5202936" y="413004"/>
                </a:lnTo>
                <a:lnTo>
                  <a:pt x="5202936" y="617220"/>
                </a:lnTo>
                <a:lnTo>
                  <a:pt x="5961875" y="617220"/>
                </a:lnTo>
                <a:lnTo>
                  <a:pt x="5961875" y="413004"/>
                </a:lnTo>
                <a:close/>
              </a:path>
              <a:path w="7486015" h="2272665">
                <a:moveTo>
                  <a:pt x="6723888" y="2068068"/>
                </a:moveTo>
                <a:lnTo>
                  <a:pt x="5964936" y="2068068"/>
                </a:lnTo>
                <a:lnTo>
                  <a:pt x="5964936" y="2272284"/>
                </a:lnTo>
                <a:lnTo>
                  <a:pt x="6723888" y="2272284"/>
                </a:lnTo>
                <a:lnTo>
                  <a:pt x="6723888" y="2068068"/>
                </a:lnTo>
                <a:close/>
              </a:path>
              <a:path w="7486015" h="2272665">
                <a:moveTo>
                  <a:pt x="6723888" y="1862328"/>
                </a:moveTo>
                <a:lnTo>
                  <a:pt x="5964936" y="1862328"/>
                </a:lnTo>
                <a:lnTo>
                  <a:pt x="5964936" y="2065020"/>
                </a:lnTo>
                <a:lnTo>
                  <a:pt x="6723888" y="2065020"/>
                </a:lnTo>
                <a:lnTo>
                  <a:pt x="6723888" y="1862328"/>
                </a:lnTo>
                <a:close/>
              </a:path>
              <a:path w="7486015" h="2272665">
                <a:moveTo>
                  <a:pt x="6723888" y="1655064"/>
                </a:moveTo>
                <a:lnTo>
                  <a:pt x="5964936" y="1655064"/>
                </a:lnTo>
                <a:lnTo>
                  <a:pt x="5964936" y="1859280"/>
                </a:lnTo>
                <a:lnTo>
                  <a:pt x="6723888" y="1859280"/>
                </a:lnTo>
                <a:lnTo>
                  <a:pt x="6723888" y="1655064"/>
                </a:lnTo>
                <a:close/>
              </a:path>
              <a:path w="7486015" h="2272665">
                <a:moveTo>
                  <a:pt x="6723888" y="1447800"/>
                </a:moveTo>
                <a:lnTo>
                  <a:pt x="5964936" y="1447800"/>
                </a:lnTo>
                <a:lnTo>
                  <a:pt x="5964936" y="1652016"/>
                </a:lnTo>
                <a:lnTo>
                  <a:pt x="6723888" y="1652016"/>
                </a:lnTo>
                <a:lnTo>
                  <a:pt x="6723888" y="1447800"/>
                </a:lnTo>
                <a:close/>
              </a:path>
              <a:path w="7486015" h="2272665">
                <a:moveTo>
                  <a:pt x="6723888" y="1240536"/>
                </a:moveTo>
                <a:lnTo>
                  <a:pt x="5964936" y="1240536"/>
                </a:lnTo>
                <a:lnTo>
                  <a:pt x="5964936" y="1444752"/>
                </a:lnTo>
                <a:lnTo>
                  <a:pt x="6723888" y="1444752"/>
                </a:lnTo>
                <a:lnTo>
                  <a:pt x="6723888" y="1240536"/>
                </a:lnTo>
                <a:close/>
              </a:path>
              <a:path w="7486015" h="2272665">
                <a:moveTo>
                  <a:pt x="6723888" y="1033272"/>
                </a:moveTo>
                <a:lnTo>
                  <a:pt x="5964936" y="1033272"/>
                </a:lnTo>
                <a:lnTo>
                  <a:pt x="5964936" y="1237488"/>
                </a:lnTo>
                <a:lnTo>
                  <a:pt x="6723888" y="1237488"/>
                </a:lnTo>
                <a:lnTo>
                  <a:pt x="6723888" y="1033272"/>
                </a:lnTo>
                <a:close/>
              </a:path>
              <a:path w="7486015" h="2272665">
                <a:moveTo>
                  <a:pt x="6723888" y="827532"/>
                </a:moveTo>
                <a:lnTo>
                  <a:pt x="5964936" y="827532"/>
                </a:lnTo>
                <a:lnTo>
                  <a:pt x="5964936" y="1030224"/>
                </a:lnTo>
                <a:lnTo>
                  <a:pt x="6723888" y="1030224"/>
                </a:lnTo>
                <a:lnTo>
                  <a:pt x="6723888" y="827532"/>
                </a:lnTo>
                <a:close/>
              </a:path>
              <a:path w="7486015" h="2272665">
                <a:moveTo>
                  <a:pt x="6723888" y="620268"/>
                </a:moveTo>
                <a:lnTo>
                  <a:pt x="5964936" y="620268"/>
                </a:lnTo>
                <a:lnTo>
                  <a:pt x="5964936" y="824484"/>
                </a:lnTo>
                <a:lnTo>
                  <a:pt x="6723888" y="824484"/>
                </a:lnTo>
                <a:lnTo>
                  <a:pt x="6723888" y="620268"/>
                </a:lnTo>
                <a:close/>
              </a:path>
              <a:path w="7486015" h="2272665">
                <a:moveTo>
                  <a:pt x="6723888" y="413004"/>
                </a:moveTo>
                <a:lnTo>
                  <a:pt x="5964936" y="413004"/>
                </a:lnTo>
                <a:lnTo>
                  <a:pt x="5964936" y="617220"/>
                </a:lnTo>
                <a:lnTo>
                  <a:pt x="6723888" y="617220"/>
                </a:lnTo>
                <a:lnTo>
                  <a:pt x="6723888" y="413004"/>
                </a:lnTo>
                <a:close/>
              </a:path>
              <a:path w="7486015" h="2272665">
                <a:moveTo>
                  <a:pt x="7485888" y="2068068"/>
                </a:moveTo>
                <a:lnTo>
                  <a:pt x="6726936" y="2068068"/>
                </a:lnTo>
                <a:lnTo>
                  <a:pt x="6726936" y="2272284"/>
                </a:lnTo>
                <a:lnTo>
                  <a:pt x="7485888" y="2272284"/>
                </a:lnTo>
                <a:lnTo>
                  <a:pt x="7485888" y="2068068"/>
                </a:lnTo>
                <a:close/>
              </a:path>
              <a:path w="7486015" h="2272665">
                <a:moveTo>
                  <a:pt x="7485888" y="1862328"/>
                </a:moveTo>
                <a:lnTo>
                  <a:pt x="6726936" y="1862328"/>
                </a:lnTo>
                <a:lnTo>
                  <a:pt x="6726936" y="2065020"/>
                </a:lnTo>
                <a:lnTo>
                  <a:pt x="7485888" y="2065020"/>
                </a:lnTo>
                <a:lnTo>
                  <a:pt x="7485888" y="1862328"/>
                </a:lnTo>
                <a:close/>
              </a:path>
              <a:path w="7486015" h="2272665">
                <a:moveTo>
                  <a:pt x="7485888" y="1655064"/>
                </a:moveTo>
                <a:lnTo>
                  <a:pt x="6726936" y="1655064"/>
                </a:lnTo>
                <a:lnTo>
                  <a:pt x="6726936" y="1859280"/>
                </a:lnTo>
                <a:lnTo>
                  <a:pt x="7485888" y="1859280"/>
                </a:lnTo>
                <a:lnTo>
                  <a:pt x="7485888" y="1655064"/>
                </a:lnTo>
                <a:close/>
              </a:path>
              <a:path w="7486015" h="2272665">
                <a:moveTo>
                  <a:pt x="7485888" y="1447800"/>
                </a:moveTo>
                <a:lnTo>
                  <a:pt x="6726936" y="1447800"/>
                </a:lnTo>
                <a:lnTo>
                  <a:pt x="6726936" y="1652016"/>
                </a:lnTo>
                <a:lnTo>
                  <a:pt x="7485888" y="1652016"/>
                </a:lnTo>
                <a:lnTo>
                  <a:pt x="7485888" y="1447800"/>
                </a:lnTo>
                <a:close/>
              </a:path>
              <a:path w="7486015" h="2272665">
                <a:moveTo>
                  <a:pt x="7485888" y="1240536"/>
                </a:moveTo>
                <a:lnTo>
                  <a:pt x="6726936" y="1240536"/>
                </a:lnTo>
                <a:lnTo>
                  <a:pt x="6726936" y="1444752"/>
                </a:lnTo>
                <a:lnTo>
                  <a:pt x="7485888" y="1444752"/>
                </a:lnTo>
                <a:lnTo>
                  <a:pt x="7485888" y="1240536"/>
                </a:lnTo>
                <a:close/>
              </a:path>
              <a:path w="7486015" h="2272665">
                <a:moveTo>
                  <a:pt x="7485888" y="1033272"/>
                </a:moveTo>
                <a:lnTo>
                  <a:pt x="6726936" y="1033272"/>
                </a:lnTo>
                <a:lnTo>
                  <a:pt x="6726936" y="1237488"/>
                </a:lnTo>
                <a:lnTo>
                  <a:pt x="7485888" y="1237488"/>
                </a:lnTo>
                <a:lnTo>
                  <a:pt x="7485888" y="1033272"/>
                </a:lnTo>
                <a:close/>
              </a:path>
              <a:path w="7486015" h="2272665">
                <a:moveTo>
                  <a:pt x="7485888" y="827532"/>
                </a:moveTo>
                <a:lnTo>
                  <a:pt x="6726936" y="827532"/>
                </a:lnTo>
                <a:lnTo>
                  <a:pt x="6726936" y="1030224"/>
                </a:lnTo>
                <a:lnTo>
                  <a:pt x="7485888" y="1030224"/>
                </a:lnTo>
                <a:lnTo>
                  <a:pt x="7485888" y="827532"/>
                </a:lnTo>
                <a:close/>
              </a:path>
              <a:path w="7486015" h="2272665">
                <a:moveTo>
                  <a:pt x="7485888" y="620268"/>
                </a:moveTo>
                <a:lnTo>
                  <a:pt x="6726936" y="620268"/>
                </a:lnTo>
                <a:lnTo>
                  <a:pt x="6726936" y="824484"/>
                </a:lnTo>
                <a:lnTo>
                  <a:pt x="7485888" y="824484"/>
                </a:lnTo>
                <a:lnTo>
                  <a:pt x="7485888" y="620268"/>
                </a:lnTo>
                <a:close/>
              </a:path>
              <a:path w="7486015" h="2272665">
                <a:moveTo>
                  <a:pt x="7485888" y="413004"/>
                </a:moveTo>
                <a:lnTo>
                  <a:pt x="6726936" y="413004"/>
                </a:lnTo>
                <a:lnTo>
                  <a:pt x="6726936" y="617220"/>
                </a:lnTo>
                <a:lnTo>
                  <a:pt x="7485888" y="617220"/>
                </a:lnTo>
                <a:lnTo>
                  <a:pt x="7485888" y="413004"/>
                </a:lnTo>
                <a:close/>
              </a:path>
            </a:pathLst>
          </a:custGeom>
          <a:solidFill>
            <a:srgbClr val="FFFFFF"/>
          </a:solidFill>
        </xdr:spPr>
      </xdr:sp>
      <xdr:sp macro="" textlink="">
        <xdr:nvSpPr>
          <xdr:cNvPr id="23" name="Shape 23">
            <a:extLst>
              <a:ext uri="{FF2B5EF4-FFF2-40B4-BE49-F238E27FC236}">
                <a16:creationId xmlns:a16="http://schemas.microsoft.com/office/drawing/2014/main" id="{00000000-0008-0000-0100-000017000000}"/>
              </a:ext>
            </a:extLst>
          </xdr:cNvPr>
          <xdr:cNvSpPr/>
        </xdr:nvSpPr>
        <xdr:spPr>
          <a:xfrm>
            <a:off x="0" y="3311651"/>
            <a:ext cx="7486015" cy="1031875"/>
          </a:xfrm>
          <a:custGeom>
            <a:avLst/>
            <a:gdLst/>
            <a:ahLst/>
            <a:cxnLst/>
            <a:rect l="0" t="0" r="0" b="0"/>
            <a:pathLst>
              <a:path w="7486015" h="1031875">
                <a:moveTo>
                  <a:pt x="312420" y="0"/>
                </a:moveTo>
                <a:lnTo>
                  <a:pt x="0" y="0"/>
                </a:lnTo>
                <a:lnTo>
                  <a:pt x="0" y="1031748"/>
                </a:lnTo>
                <a:lnTo>
                  <a:pt x="312420" y="1031748"/>
                </a:lnTo>
                <a:lnTo>
                  <a:pt x="312420" y="0"/>
                </a:lnTo>
                <a:close/>
              </a:path>
              <a:path w="7486015" h="1031875">
                <a:moveTo>
                  <a:pt x="1264920" y="0"/>
                </a:moveTo>
                <a:lnTo>
                  <a:pt x="315468" y="0"/>
                </a:lnTo>
                <a:lnTo>
                  <a:pt x="315468" y="1031748"/>
                </a:lnTo>
                <a:lnTo>
                  <a:pt x="1264920" y="1031748"/>
                </a:lnTo>
                <a:lnTo>
                  <a:pt x="1264920" y="0"/>
                </a:lnTo>
                <a:close/>
              </a:path>
              <a:path w="7486015" h="1031875">
                <a:moveTo>
                  <a:pt x="2531364" y="0"/>
                </a:moveTo>
                <a:lnTo>
                  <a:pt x="1267968" y="0"/>
                </a:lnTo>
                <a:lnTo>
                  <a:pt x="1267968" y="1031748"/>
                </a:lnTo>
                <a:lnTo>
                  <a:pt x="2531364" y="1031748"/>
                </a:lnTo>
                <a:lnTo>
                  <a:pt x="2531364" y="0"/>
                </a:lnTo>
                <a:close/>
              </a:path>
              <a:path w="7486015" h="1031875">
                <a:moveTo>
                  <a:pt x="3037332" y="827532"/>
                </a:moveTo>
                <a:lnTo>
                  <a:pt x="2534412" y="827532"/>
                </a:lnTo>
                <a:lnTo>
                  <a:pt x="2534412" y="1031748"/>
                </a:lnTo>
                <a:lnTo>
                  <a:pt x="3037332" y="1031748"/>
                </a:lnTo>
                <a:lnTo>
                  <a:pt x="3037332" y="827532"/>
                </a:lnTo>
                <a:close/>
              </a:path>
              <a:path w="7486015" h="1031875">
                <a:moveTo>
                  <a:pt x="3037332" y="620268"/>
                </a:moveTo>
                <a:lnTo>
                  <a:pt x="2534412" y="620268"/>
                </a:lnTo>
                <a:lnTo>
                  <a:pt x="2534412" y="824484"/>
                </a:lnTo>
                <a:lnTo>
                  <a:pt x="3037332" y="824484"/>
                </a:lnTo>
                <a:lnTo>
                  <a:pt x="3037332" y="620268"/>
                </a:lnTo>
                <a:close/>
              </a:path>
              <a:path w="7486015" h="1031875">
                <a:moveTo>
                  <a:pt x="3037332" y="413004"/>
                </a:moveTo>
                <a:lnTo>
                  <a:pt x="2534412" y="413004"/>
                </a:lnTo>
                <a:lnTo>
                  <a:pt x="2534412" y="617220"/>
                </a:lnTo>
                <a:lnTo>
                  <a:pt x="3037332" y="617220"/>
                </a:lnTo>
                <a:lnTo>
                  <a:pt x="3037332" y="413004"/>
                </a:lnTo>
                <a:close/>
              </a:path>
              <a:path w="7486015" h="1031875">
                <a:moveTo>
                  <a:pt x="3674364" y="827532"/>
                </a:moveTo>
                <a:lnTo>
                  <a:pt x="3040380" y="827532"/>
                </a:lnTo>
                <a:lnTo>
                  <a:pt x="3040380" y="1031748"/>
                </a:lnTo>
                <a:lnTo>
                  <a:pt x="3674364" y="1031748"/>
                </a:lnTo>
                <a:lnTo>
                  <a:pt x="3674364" y="827532"/>
                </a:lnTo>
                <a:close/>
              </a:path>
              <a:path w="7486015" h="1031875">
                <a:moveTo>
                  <a:pt x="3674364" y="620268"/>
                </a:moveTo>
                <a:lnTo>
                  <a:pt x="3040380" y="620268"/>
                </a:lnTo>
                <a:lnTo>
                  <a:pt x="3040380" y="824484"/>
                </a:lnTo>
                <a:lnTo>
                  <a:pt x="3674364" y="824484"/>
                </a:lnTo>
                <a:lnTo>
                  <a:pt x="3674364" y="620268"/>
                </a:lnTo>
                <a:close/>
              </a:path>
              <a:path w="7486015" h="1031875">
                <a:moveTo>
                  <a:pt x="3674364" y="413004"/>
                </a:moveTo>
                <a:lnTo>
                  <a:pt x="3040380" y="413004"/>
                </a:lnTo>
                <a:lnTo>
                  <a:pt x="3040380" y="617220"/>
                </a:lnTo>
                <a:lnTo>
                  <a:pt x="3674364" y="617220"/>
                </a:lnTo>
                <a:lnTo>
                  <a:pt x="3674364" y="413004"/>
                </a:lnTo>
                <a:close/>
              </a:path>
              <a:path w="7486015" h="1031875">
                <a:moveTo>
                  <a:pt x="4437888" y="827532"/>
                </a:moveTo>
                <a:lnTo>
                  <a:pt x="3677412" y="827532"/>
                </a:lnTo>
                <a:lnTo>
                  <a:pt x="3677412" y="1031748"/>
                </a:lnTo>
                <a:lnTo>
                  <a:pt x="4437888" y="1031748"/>
                </a:lnTo>
                <a:lnTo>
                  <a:pt x="4437888" y="827532"/>
                </a:lnTo>
                <a:close/>
              </a:path>
              <a:path w="7486015" h="1031875">
                <a:moveTo>
                  <a:pt x="4437888" y="620268"/>
                </a:moveTo>
                <a:lnTo>
                  <a:pt x="3677412" y="620268"/>
                </a:lnTo>
                <a:lnTo>
                  <a:pt x="3677412" y="824484"/>
                </a:lnTo>
                <a:lnTo>
                  <a:pt x="4437888" y="824484"/>
                </a:lnTo>
                <a:lnTo>
                  <a:pt x="4437888" y="620268"/>
                </a:lnTo>
                <a:close/>
              </a:path>
              <a:path w="7486015" h="1031875">
                <a:moveTo>
                  <a:pt x="4437888" y="413004"/>
                </a:moveTo>
                <a:lnTo>
                  <a:pt x="3677412" y="413004"/>
                </a:lnTo>
                <a:lnTo>
                  <a:pt x="3677412" y="617220"/>
                </a:lnTo>
                <a:lnTo>
                  <a:pt x="4437888" y="617220"/>
                </a:lnTo>
                <a:lnTo>
                  <a:pt x="4437888" y="413004"/>
                </a:lnTo>
                <a:close/>
              </a:path>
              <a:path w="7486015" h="1031875">
                <a:moveTo>
                  <a:pt x="5199888" y="827532"/>
                </a:moveTo>
                <a:lnTo>
                  <a:pt x="4440936" y="827532"/>
                </a:lnTo>
                <a:lnTo>
                  <a:pt x="4440936" y="1031748"/>
                </a:lnTo>
                <a:lnTo>
                  <a:pt x="5199888" y="1031748"/>
                </a:lnTo>
                <a:lnTo>
                  <a:pt x="5199888" y="827532"/>
                </a:lnTo>
                <a:close/>
              </a:path>
              <a:path w="7486015" h="1031875">
                <a:moveTo>
                  <a:pt x="5199888" y="620268"/>
                </a:moveTo>
                <a:lnTo>
                  <a:pt x="4440936" y="620268"/>
                </a:lnTo>
                <a:lnTo>
                  <a:pt x="4440936" y="824484"/>
                </a:lnTo>
                <a:lnTo>
                  <a:pt x="5199888" y="824484"/>
                </a:lnTo>
                <a:lnTo>
                  <a:pt x="5199888" y="620268"/>
                </a:lnTo>
                <a:close/>
              </a:path>
              <a:path w="7486015" h="1031875">
                <a:moveTo>
                  <a:pt x="5199888" y="413004"/>
                </a:moveTo>
                <a:lnTo>
                  <a:pt x="4440936" y="413004"/>
                </a:lnTo>
                <a:lnTo>
                  <a:pt x="4440936" y="617220"/>
                </a:lnTo>
                <a:lnTo>
                  <a:pt x="5199888" y="617220"/>
                </a:lnTo>
                <a:lnTo>
                  <a:pt x="5199888" y="413004"/>
                </a:lnTo>
                <a:close/>
              </a:path>
              <a:path w="7486015" h="1031875">
                <a:moveTo>
                  <a:pt x="5961875" y="827532"/>
                </a:moveTo>
                <a:lnTo>
                  <a:pt x="5202936" y="827532"/>
                </a:lnTo>
                <a:lnTo>
                  <a:pt x="5202936" y="1031748"/>
                </a:lnTo>
                <a:lnTo>
                  <a:pt x="5961875" y="1031748"/>
                </a:lnTo>
                <a:lnTo>
                  <a:pt x="5961875" y="827532"/>
                </a:lnTo>
                <a:close/>
              </a:path>
              <a:path w="7486015" h="1031875">
                <a:moveTo>
                  <a:pt x="5961875" y="620268"/>
                </a:moveTo>
                <a:lnTo>
                  <a:pt x="5202936" y="620268"/>
                </a:lnTo>
                <a:lnTo>
                  <a:pt x="5202936" y="824484"/>
                </a:lnTo>
                <a:lnTo>
                  <a:pt x="5961875" y="824484"/>
                </a:lnTo>
                <a:lnTo>
                  <a:pt x="5961875" y="620268"/>
                </a:lnTo>
                <a:close/>
              </a:path>
              <a:path w="7486015" h="1031875">
                <a:moveTo>
                  <a:pt x="5961875" y="413004"/>
                </a:moveTo>
                <a:lnTo>
                  <a:pt x="5202936" y="413004"/>
                </a:lnTo>
                <a:lnTo>
                  <a:pt x="5202936" y="617220"/>
                </a:lnTo>
                <a:lnTo>
                  <a:pt x="5961875" y="617220"/>
                </a:lnTo>
                <a:lnTo>
                  <a:pt x="5961875" y="413004"/>
                </a:lnTo>
                <a:close/>
              </a:path>
              <a:path w="7486015" h="1031875">
                <a:moveTo>
                  <a:pt x="6723888" y="827532"/>
                </a:moveTo>
                <a:lnTo>
                  <a:pt x="5964936" y="827532"/>
                </a:lnTo>
                <a:lnTo>
                  <a:pt x="5964936" y="1031748"/>
                </a:lnTo>
                <a:lnTo>
                  <a:pt x="6723888" y="1031748"/>
                </a:lnTo>
                <a:lnTo>
                  <a:pt x="6723888" y="827532"/>
                </a:lnTo>
                <a:close/>
              </a:path>
              <a:path w="7486015" h="1031875">
                <a:moveTo>
                  <a:pt x="6723888" y="620268"/>
                </a:moveTo>
                <a:lnTo>
                  <a:pt x="5964936" y="620268"/>
                </a:lnTo>
                <a:lnTo>
                  <a:pt x="5964936" y="824484"/>
                </a:lnTo>
                <a:lnTo>
                  <a:pt x="6723888" y="824484"/>
                </a:lnTo>
                <a:lnTo>
                  <a:pt x="6723888" y="620268"/>
                </a:lnTo>
                <a:close/>
              </a:path>
              <a:path w="7486015" h="1031875">
                <a:moveTo>
                  <a:pt x="6723888" y="413004"/>
                </a:moveTo>
                <a:lnTo>
                  <a:pt x="5964936" y="413004"/>
                </a:lnTo>
                <a:lnTo>
                  <a:pt x="5964936" y="617220"/>
                </a:lnTo>
                <a:lnTo>
                  <a:pt x="6723888" y="617220"/>
                </a:lnTo>
                <a:lnTo>
                  <a:pt x="6723888" y="413004"/>
                </a:lnTo>
                <a:close/>
              </a:path>
              <a:path w="7486015" h="1031875">
                <a:moveTo>
                  <a:pt x="7485888" y="827532"/>
                </a:moveTo>
                <a:lnTo>
                  <a:pt x="6726936" y="827532"/>
                </a:lnTo>
                <a:lnTo>
                  <a:pt x="6726936" y="1031748"/>
                </a:lnTo>
                <a:lnTo>
                  <a:pt x="7485888" y="1031748"/>
                </a:lnTo>
                <a:lnTo>
                  <a:pt x="7485888" y="827532"/>
                </a:lnTo>
                <a:close/>
              </a:path>
              <a:path w="7486015" h="1031875">
                <a:moveTo>
                  <a:pt x="7485888" y="620268"/>
                </a:moveTo>
                <a:lnTo>
                  <a:pt x="6726936" y="620268"/>
                </a:lnTo>
                <a:lnTo>
                  <a:pt x="6726936" y="824484"/>
                </a:lnTo>
                <a:lnTo>
                  <a:pt x="7485888" y="824484"/>
                </a:lnTo>
                <a:lnTo>
                  <a:pt x="7485888" y="620268"/>
                </a:lnTo>
                <a:close/>
              </a:path>
              <a:path w="7486015" h="1031875">
                <a:moveTo>
                  <a:pt x="7485888" y="413004"/>
                </a:moveTo>
                <a:lnTo>
                  <a:pt x="6726936" y="413004"/>
                </a:lnTo>
                <a:lnTo>
                  <a:pt x="6726936" y="617220"/>
                </a:lnTo>
                <a:lnTo>
                  <a:pt x="7485888" y="617220"/>
                </a:lnTo>
                <a:lnTo>
                  <a:pt x="7485888" y="413004"/>
                </a:lnTo>
                <a:close/>
              </a:path>
              <a:path w="7486015" h="1031875">
                <a:moveTo>
                  <a:pt x="7485888" y="205740"/>
                </a:moveTo>
                <a:lnTo>
                  <a:pt x="6726936" y="205740"/>
                </a:lnTo>
                <a:lnTo>
                  <a:pt x="6726936" y="409956"/>
                </a:lnTo>
                <a:lnTo>
                  <a:pt x="7485888" y="409956"/>
                </a:lnTo>
                <a:lnTo>
                  <a:pt x="7485888" y="205740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11</xdr:col>
      <xdr:colOff>546481</xdr:colOff>
      <xdr:row>27</xdr:row>
      <xdr:rowOff>0</xdr:rowOff>
    </xdr:from>
    <xdr:ext cx="645160" cy="4343400"/>
    <xdr:sp macro="" textlink="">
      <xdr:nvSpPr>
        <xdr:cNvPr id="24" name="Shape 24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SpPr/>
      </xdr:nvSpPr>
      <xdr:spPr>
        <a:xfrm>
          <a:off x="0" y="0"/>
          <a:ext cx="645160" cy="4343400"/>
        </a:xfrm>
        <a:custGeom>
          <a:avLst/>
          <a:gdLst/>
          <a:ahLst/>
          <a:cxnLst/>
          <a:rect l="0" t="0" r="0" b="0"/>
          <a:pathLst>
            <a:path w="645160" h="4343400">
              <a:moveTo>
                <a:pt x="644652" y="4139184"/>
              </a:moveTo>
              <a:lnTo>
                <a:pt x="0" y="4139184"/>
              </a:lnTo>
              <a:lnTo>
                <a:pt x="0" y="4343400"/>
              </a:lnTo>
              <a:lnTo>
                <a:pt x="644652" y="4343400"/>
              </a:lnTo>
              <a:lnTo>
                <a:pt x="644652" y="4139184"/>
              </a:lnTo>
              <a:close/>
            </a:path>
            <a:path w="645160" h="4343400">
              <a:moveTo>
                <a:pt x="644652" y="3931920"/>
              </a:moveTo>
              <a:lnTo>
                <a:pt x="0" y="3931920"/>
              </a:lnTo>
              <a:lnTo>
                <a:pt x="0" y="4136136"/>
              </a:lnTo>
              <a:lnTo>
                <a:pt x="644652" y="4136136"/>
              </a:lnTo>
              <a:lnTo>
                <a:pt x="644652" y="3931920"/>
              </a:lnTo>
              <a:close/>
            </a:path>
            <a:path w="645160" h="4343400">
              <a:moveTo>
                <a:pt x="644652" y="3724656"/>
              </a:moveTo>
              <a:lnTo>
                <a:pt x="0" y="3724656"/>
              </a:lnTo>
              <a:lnTo>
                <a:pt x="0" y="3928872"/>
              </a:lnTo>
              <a:lnTo>
                <a:pt x="644652" y="3928872"/>
              </a:lnTo>
              <a:lnTo>
                <a:pt x="644652" y="3724656"/>
              </a:lnTo>
              <a:close/>
            </a:path>
            <a:path w="645160" h="4343400">
              <a:moveTo>
                <a:pt x="644652" y="3517392"/>
              </a:moveTo>
              <a:lnTo>
                <a:pt x="0" y="3517392"/>
              </a:lnTo>
              <a:lnTo>
                <a:pt x="0" y="3721608"/>
              </a:lnTo>
              <a:lnTo>
                <a:pt x="644652" y="3721608"/>
              </a:lnTo>
              <a:lnTo>
                <a:pt x="644652" y="3517392"/>
              </a:lnTo>
              <a:close/>
            </a:path>
            <a:path w="645160" h="4343400">
              <a:moveTo>
                <a:pt x="644652" y="3311652"/>
              </a:moveTo>
              <a:lnTo>
                <a:pt x="0" y="3311652"/>
              </a:lnTo>
              <a:lnTo>
                <a:pt x="0" y="3514344"/>
              </a:lnTo>
              <a:lnTo>
                <a:pt x="644652" y="3514344"/>
              </a:lnTo>
              <a:lnTo>
                <a:pt x="644652" y="3311652"/>
              </a:lnTo>
              <a:close/>
            </a:path>
            <a:path w="645160" h="4343400">
              <a:moveTo>
                <a:pt x="644652" y="3104388"/>
              </a:moveTo>
              <a:lnTo>
                <a:pt x="0" y="3104388"/>
              </a:lnTo>
              <a:lnTo>
                <a:pt x="0" y="3308604"/>
              </a:lnTo>
              <a:lnTo>
                <a:pt x="644652" y="3308604"/>
              </a:lnTo>
              <a:lnTo>
                <a:pt x="644652" y="3104388"/>
              </a:lnTo>
              <a:close/>
            </a:path>
            <a:path w="645160" h="4343400">
              <a:moveTo>
                <a:pt x="644652" y="2897124"/>
              </a:moveTo>
              <a:lnTo>
                <a:pt x="0" y="2897124"/>
              </a:lnTo>
              <a:lnTo>
                <a:pt x="0" y="3101340"/>
              </a:lnTo>
              <a:lnTo>
                <a:pt x="644652" y="3101340"/>
              </a:lnTo>
              <a:lnTo>
                <a:pt x="644652" y="2897124"/>
              </a:lnTo>
              <a:close/>
            </a:path>
            <a:path w="645160" h="4343400">
              <a:moveTo>
                <a:pt x="644652" y="2689860"/>
              </a:moveTo>
              <a:lnTo>
                <a:pt x="0" y="2689860"/>
              </a:lnTo>
              <a:lnTo>
                <a:pt x="0" y="2894076"/>
              </a:lnTo>
              <a:lnTo>
                <a:pt x="644652" y="2894076"/>
              </a:lnTo>
              <a:lnTo>
                <a:pt x="644652" y="2689860"/>
              </a:lnTo>
              <a:close/>
            </a:path>
            <a:path w="645160" h="4343400">
              <a:moveTo>
                <a:pt x="644652" y="2482596"/>
              </a:moveTo>
              <a:lnTo>
                <a:pt x="0" y="2482596"/>
              </a:lnTo>
              <a:lnTo>
                <a:pt x="0" y="2686812"/>
              </a:lnTo>
              <a:lnTo>
                <a:pt x="644652" y="2686812"/>
              </a:lnTo>
              <a:lnTo>
                <a:pt x="644652" y="2482596"/>
              </a:lnTo>
              <a:close/>
            </a:path>
            <a:path w="645160" h="4343400">
              <a:moveTo>
                <a:pt x="644652" y="2276856"/>
              </a:moveTo>
              <a:lnTo>
                <a:pt x="0" y="2276856"/>
              </a:lnTo>
              <a:lnTo>
                <a:pt x="0" y="2479548"/>
              </a:lnTo>
              <a:lnTo>
                <a:pt x="644652" y="2479548"/>
              </a:lnTo>
              <a:lnTo>
                <a:pt x="644652" y="2276856"/>
              </a:lnTo>
              <a:close/>
            </a:path>
            <a:path w="645160" h="4343400">
              <a:moveTo>
                <a:pt x="644652" y="2069592"/>
              </a:moveTo>
              <a:lnTo>
                <a:pt x="0" y="2069592"/>
              </a:lnTo>
              <a:lnTo>
                <a:pt x="0" y="2273808"/>
              </a:lnTo>
              <a:lnTo>
                <a:pt x="644652" y="2273808"/>
              </a:lnTo>
              <a:lnTo>
                <a:pt x="644652" y="2069592"/>
              </a:lnTo>
              <a:close/>
            </a:path>
            <a:path w="645160" h="4343400">
              <a:moveTo>
                <a:pt x="644652" y="1862328"/>
              </a:moveTo>
              <a:lnTo>
                <a:pt x="0" y="1862328"/>
              </a:lnTo>
              <a:lnTo>
                <a:pt x="0" y="2066544"/>
              </a:lnTo>
              <a:lnTo>
                <a:pt x="644652" y="2066544"/>
              </a:lnTo>
              <a:lnTo>
                <a:pt x="644652" y="1862328"/>
              </a:lnTo>
              <a:close/>
            </a:path>
            <a:path w="645160" h="4343400">
              <a:moveTo>
                <a:pt x="644652" y="1655064"/>
              </a:moveTo>
              <a:lnTo>
                <a:pt x="0" y="1655064"/>
              </a:lnTo>
              <a:lnTo>
                <a:pt x="0" y="1859280"/>
              </a:lnTo>
              <a:lnTo>
                <a:pt x="644652" y="1859280"/>
              </a:lnTo>
              <a:lnTo>
                <a:pt x="644652" y="1655064"/>
              </a:lnTo>
              <a:close/>
            </a:path>
            <a:path w="645160" h="4343400">
              <a:moveTo>
                <a:pt x="644652" y="1449324"/>
              </a:moveTo>
              <a:lnTo>
                <a:pt x="0" y="1449324"/>
              </a:lnTo>
              <a:lnTo>
                <a:pt x="0" y="1652016"/>
              </a:lnTo>
              <a:lnTo>
                <a:pt x="644652" y="1652016"/>
              </a:lnTo>
              <a:lnTo>
                <a:pt x="644652" y="1449324"/>
              </a:lnTo>
              <a:close/>
            </a:path>
            <a:path w="645160" h="4343400">
              <a:moveTo>
                <a:pt x="644652" y="1242060"/>
              </a:moveTo>
              <a:lnTo>
                <a:pt x="0" y="1242060"/>
              </a:lnTo>
              <a:lnTo>
                <a:pt x="0" y="1446276"/>
              </a:lnTo>
              <a:lnTo>
                <a:pt x="644652" y="1446276"/>
              </a:lnTo>
              <a:lnTo>
                <a:pt x="644652" y="1242060"/>
              </a:lnTo>
              <a:close/>
            </a:path>
            <a:path w="645160" h="4343400">
              <a:moveTo>
                <a:pt x="644652" y="1034796"/>
              </a:moveTo>
              <a:lnTo>
                <a:pt x="0" y="1034796"/>
              </a:lnTo>
              <a:lnTo>
                <a:pt x="0" y="1239012"/>
              </a:lnTo>
              <a:lnTo>
                <a:pt x="644652" y="1239012"/>
              </a:lnTo>
              <a:lnTo>
                <a:pt x="644652" y="1034796"/>
              </a:lnTo>
              <a:close/>
            </a:path>
            <a:path w="645160" h="4343400">
              <a:moveTo>
                <a:pt x="644652" y="827532"/>
              </a:moveTo>
              <a:lnTo>
                <a:pt x="0" y="827532"/>
              </a:lnTo>
              <a:lnTo>
                <a:pt x="0" y="1031748"/>
              </a:lnTo>
              <a:lnTo>
                <a:pt x="644652" y="1031748"/>
              </a:lnTo>
              <a:lnTo>
                <a:pt x="644652" y="827532"/>
              </a:lnTo>
              <a:close/>
            </a:path>
            <a:path w="645160" h="4343400">
              <a:moveTo>
                <a:pt x="644652" y="621792"/>
              </a:moveTo>
              <a:lnTo>
                <a:pt x="0" y="621792"/>
              </a:lnTo>
              <a:lnTo>
                <a:pt x="0" y="824484"/>
              </a:lnTo>
              <a:lnTo>
                <a:pt x="644652" y="824484"/>
              </a:lnTo>
              <a:lnTo>
                <a:pt x="644652" y="621792"/>
              </a:lnTo>
              <a:close/>
            </a:path>
            <a:path w="645160" h="4343400">
              <a:moveTo>
                <a:pt x="644652" y="414528"/>
              </a:moveTo>
              <a:lnTo>
                <a:pt x="0" y="414528"/>
              </a:lnTo>
              <a:lnTo>
                <a:pt x="0" y="618744"/>
              </a:lnTo>
              <a:lnTo>
                <a:pt x="644652" y="618744"/>
              </a:lnTo>
              <a:lnTo>
                <a:pt x="644652" y="414528"/>
              </a:lnTo>
              <a:close/>
            </a:path>
            <a:path w="645160" h="4343400">
              <a:moveTo>
                <a:pt x="644652" y="207264"/>
              </a:moveTo>
              <a:lnTo>
                <a:pt x="0" y="207264"/>
              </a:lnTo>
              <a:lnTo>
                <a:pt x="0" y="411480"/>
              </a:lnTo>
              <a:lnTo>
                <a:pt x="644652" y="411480"/>
              </a:lnTo>
              <a:lnTo>
                <a:pt x="644652" y="207264"/>
              </a:lnTo>
              <a:close/>
            </a:path>
            <a:path w="645160" h="4343400">
              <a:moveTo>
                <a:pt x="644652" y="0"/>
              </a:moveTo>
              <a:lnTo>
                <a:pt x="0" y="0"/>
              </a:lnTo>
              <a:lnTo>
                <a:pt x="0" y="204216"/>
              </a:lnTo>
              <a:lnTo>
                <a:pt x="644652" y="204216"/>
              </a:lnTo>
              <a:lnTo>
                <a:pt x="644652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543687</xdr:colOff>
      <xdr:row>23</xdr:row>
      <xdr:rowOff>204977</xdr:rowOff>
    </xdr:from>
    <xdr:ext cx="3808729" cy="480059"/>
    <xdr:sp macro="" textlink="">
      <xdr:nvSpPr>
        <xdr:cNvPr id="25" name="Shape 25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0" y="0"/>
          <a:ext cx="3808729" cy="480059"/>
        </a:xfrm>
        <a:custGeom>
          <a:avLst/>
          <a:gdLst/>
          <a:ahLst/>
          <a:cxnLst/>
          <a:rect l="0" t="0" r="0" b="0"/>
          <a:pathLst>
            <a:path w="3808729" h="480059">
              <a:moveTo>
                <a:pt x="760476" y="0"/>
              </a:moveTo>
              <a:lnTo>
                <a:pt x="0" y="0"/>
              </a:lnTo>
              <a:lnTo>
                <a:pt x="0" y="480060"/>
              </a:lnTo>
              <a:lnTo>
                <a:pt x="760476" y="480060"/>
              </a:lnTo>
              <a:lnTo>
                <a:pt x="760476" y="0"/>
              </a:lnTo>
              <a:close/>
            </a:path>
            <a:path w="3808729" h="480059">
              <a:moveTo>
                <a:pt x="1522476" y="0"/>
              </a:moveTo>
              <a:lnTo>
                <a:pt x="763524" y="0"/>
              </a:lnTo>
              <a:lnTo>
                <a:pt x="763524" y="480060"/>
              </a:lnTo>
              <a:lnTo>
                <a:pt x="1522476" y="480060"/>
              </a:lnTo>
              <a:lnTo>
                <a:pt x="1522476" y="0"/>
              </a:lnTo>
              <a:close/>
            </a:path>
            <a:path w="3808729" h="480059">
              <a:moveTo>
                <a:pt x="2284463" y="0"/>
              </a:moveTo>
              <a:lnTo>
                <a:pt x="1525524" y="0"/>
              </a:lnTo>
              <a:lnTo>
                <a:pt x="1525524" y="480060"/>
              </a:lnTo>
              <a:lnTo>
                <a:pt x="2284463" y="480060"/>
              </a:lnTo>
              <a:lnTo>
                <a:pt x="2284463" y="0"/>
              </a:lnTo>
              <a:close/>
            </a:path>
            <a:path w="3808729" h="480059">
              <a:moveTo>
                <a:pt x="3046476" y="0"/>
              </a:moveTo>
              <a:lnTo>
                <a:pt x="2287524" y="0"/>
              </a:lnTo>
              <a:lnTo>
                <a:pt x="2287524" y="480060"/>
              </a:lnTo>
              <a:lnTo>
                <a:pt x="3046476" y="480060"/>
              </a:lnTo>
              <a:lnTo>
                <a:pt x="3046476" y="0"/>
              </a:lnTo>
              <a:close/>
            </a:path>
            <a:path w="3808729" h="480059">
              <a:moveTo>
                <a:pt x="3808476" y="0"/>
              </a:moveTo>
              <a:lnTo>
                <a:pt x="3049524" y="0"/>
              </a:lnTo>
              <a:lnTo>
                <a:pt x="3049524" y="480060"/>
              </a:lnTo>
              <a:lnTo>
                <a:pt x="3808476" y="480060"/>
              </a:lnTo>
              <a:lnTo>
                <a:pt x="3808476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5</xdr:col>
      <xdr:colOff>202691</xdr:colOff>
      <xdr:row>3</xdr:row>
      <xdr:rowOff>49142</xdr:rowOff>
    </xdr:from>
    <xdr:ext cx="381000" cy="290285"/>
    <xdr:pic>
      <xdr:nvPicPr>
        <xdr:cNvPr id="26" name="image1.jpeg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290285"/>
        </a:xfrm>
        <a:prstGeom prst="rect">
          <a:avLst/>
        </a:prstGeom>
      </xdr:spPr>
    </xdr:pic>
    <xdr:clientData/>
  </xdr:oneCellAnchor>
  <xdr:oneCellAnchor>
    <xdr:from>
      <xdr:col>6</xdr:col>
      <xdr:colOff>201929</xdr:colOff>
      <xdr:row>3</xdr:row>
      <xdr:rowOff>761</xdr:rowOff>
    </xdr:from>
    <xdr:ext cx="338666" cy="381000"/>
    <xdr:pic>
      <xdr:nvPicPr>
        <xdr:cNvPr id="27" name="image2.jpeg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38666" cy="381000"/>
        </a:xfrm>
        <a:prstGeom prst="rect">
          <a:avLst/>
        </a:prstGeom>
      </xdr:spPr>
    </xdr:pic>
    <xdr:clientData/>
  </xdr:oneCellAnchor>
  <xdr:oneCellAnchor>
    <xdr:from>
      <xdr:col>7</xdr:col>
      <xdr:colOff>201930</xdr:colOff>
      <xdr:row>3</xdr:row>
      <xdr:rowOff>49142</xdr:rowOff>
    </xdr:from>
    <xdr:ext cx="381000" cy="290285"/>
    <xdr:pic>
      <xdr:nvPicPr>
        <xdr:cNvPr id="28" name="image3.jpeg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290285"/>
        </a:xfrm>
        <a:prstGeom prst="rect">
          <a:avLst/>
        </a:prstGeom>
      </xdr:spPr>
    </xdr:pic>
    <xdr:clientData/>
  </xdr:oneCellAnchor>
  <xdr:oneCellAnchor>
    <xdr:from>
      <xdr:col>8</xdr:col>
      <xdr:colOff>298691</xdr:colOff>
      <xdr:row>3</xdr:row>
      <xdr:rowOff>49142</xdr:rowOff>
    </xdr:from>
    <xdr:ext cx="193523" cy="290285"/>
    <xdr:pic>
      <xdr:nvPicPr>
        <xdr:cNvPr id="29" name="image4.jpeg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3523" cy="290285"/>
        </a:xfrm>
        <a:prstGeom prst="rect">
          <a:avLst/>
        </a:prstGeom>
      </xdr:spPr>
    </xdr:pic>
    <xdr:clientData/>
  </xdr:oneCellAnchor>
  <xdr:oneCellAnchor>
    <xdr:from>
      <xdr:col>9</xdr:col>
      <xdr:colOff>201929</xdr:colOff>
      <xdr:row>3</xdr:row>
      <xdr:rowOff>761</xdr:rowOff>
    </xdr:from>
    <xdr:ext cx="381000" cy="381000"/>
    <xdr:pic>
      <xdr:nvPicPr>
        <xdr:cNvPr id="30" name="image5.jpeg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381000"/>
        </a:xfrm>
        <a:prstGeom prst="rect">
          <a:avLst/>
        </a:prstGeom>
      </xdr:spPr>
    </xdr:pic>
    <xdr:clientData/>
  </xdr:oneCellAnchor>
  <xdr:oneCellAnchor>
    <xdr:from>
      <xdr:col>1</xdr:col>
      <xdr:colOff>226059</xdr:colOff>
      <xdr:row>25</xdr:row>
      <xdr:rowOff>0</xdr:rowOff>
    </xdr:from>
    <xdr:ext cx="7486015" cy="4136390"/>
    <xdr:grpSp>
      <xdr:nvGrpSpPr>
        <xdr:cNvPr id="31" name="Group 31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GrpSpPr/>
      </xdr:nvGrpSpPr>
      <xdr:grpSpPr>
        <a:xfrm>
          <a:off x="607059" y="6256020"/>
          <a:ext cx="7486015" cy="4136390"/>
          <a:chOff x="0" y="0"/>
          <a:chExt cx="7486015" cy="4136390"/>
        </a:xfrm>
      </xdr:grpSpPr>
      <xdr:sp macro="" textlink="">
        <xdr:nvSpPr>
          <xdr:cNvPr id="32" name="Shape 32">
            <a:extLst>
              <a:ext uri="{FF2B5EF4-FFF2-40B4-BE49-F238E27FC236}">
                <a16:creationId xmlns:a16="http://schemas.microsoft.com/office/drawing/2014/main" id="{00000000-0008-0000-0200-000020000000}"/>
              </a:ext>
            </a:extLst>
          </xdr:cNvPr>
          <xdr:cNvSpPr/>
        </xdr:nvSpPr>
        <xdr:spPr>
          <a:xfrm>
            <a:off x="0" y="0"/>
            <a:ext cx="7486015" cy="2068195"/>
          </a:xfrm>
          <a:custGeom>
            <a:avLst/>
            <a:gdLst/>
            <a:ahLst/>
            <a:cxnLst/>
            <a:rect l="0" t="0" r="0" b="0"/>
            <a:pathLst>
              <a:path w="7486015" h="2068195">
                <a:moveTo>
                  <a:pt x="312420" y="0"/>
                </a:moveTo>
                <a:lnTo>
                  <a:pt x="0" y="0"/>
                </a:lnTo>
                <a:lnTo>
                  <a:pt x="0" y="411480"/>
                </a:lnTo>
                <a:lnTo>
                  <a:pt x="312420" y="411480"/>
                </a:lnTo>
                <a:lnTo>
                  <a:pt x="312420" y="0"/>
                </a:lnTo>
                <a:close/>
              </a:path>
              <a:path w="7486015" h="2068195">
                <a:moveTo>
                  <a:pt x="1264920" y="0"/>
                </a:moveTo>
                <a:lnTo>
                  <a:pt x="315468" y="0"/>
                </a:lnTo>
                <a:lnTo>
                  <a:pt x="315468" y="411480"/>
                </a:lnTo>
                <a:lnTo>
                  <a:pt x="1264920" y="411480"/>
                </a:lnTo>
                <a:lnTo>
                  <a:pt x="1264920" y="0"/>
                </a:lnTo>
                <a:close/>
              </a:path>
              <a:path w="7486015" h="2068195">
                <a:moveTo>
                  <a:pt x="2531364" y="0"/>
                </a:moveTo>
                <a:lnTo>
                  <a:pt x="1267968" y="0"/>
                </a:lnTo>
                <a:lnTo>
                  <a:pt x="1267968" y="411480"/>
                </a:lnTo>
                <a:lnTo>
                  <a:pt x="2531364" y="411480"/>
                </a:lnTo>
                <a:lnTo>
                  <a:pt x="2531364" y="0"/>
                </a:lnTo>
                <a:close/>
              </a:path>
              <a:path w="7486015" h="2068195">
                <a:moveTo>
                  <a:pt x="3037332" y="1863852"/>
                </a:moveTo>
                <a:lnTo>
                  <a:pt x="2534412" y="1863852"/>
                </a:lnTo>
                <a:lnTo>
                  <a:pt x="2534412" y="2068068"/>
                </a:lnTo>
                <a:lnTo>
                  <a:pt x="3037332" y="2068068"/>
                </a:lnTo>
                <a:lnTo>
                  <a:pt x="3037332" y="1863852"/>
                </a:lnTo>
                <a:close/>
              </a:path>
              <a:path w="7486015" h="2068195">
                <a:moveTo>
                  <a:pt x="3037332" y="1656588"/>
                </a:moveTo>
                <a:lnTo>
                  <a:pt x="2534412" y="1656588"/>
                </a:lnTo>
                <a:lnTo>
                  <a:pt x="2534412" y="1860804"/>
                </a:lnTo>
                <a:lnTo>
                  <a:pt x="3037332" y="1860804"/>
                </a:lnTo>
                <a:lnTo>
                  <a:pt x="3037332" y="1656588"/>
                </a:lnTo>
                <a:close/>
              </a:path>
              <a:path w="7486015" h="2068195">
                <a:moveTo>
                  <a:pt x="3037332" y="1449324"/>
                </a:moveTo>
                <a:lnTo>
                  <a:pt x="2534412" y="1449324"/>
                </a:lnTo>
                <a:lnTo>
                  <a:pt x="2534412" y="1653540"/>
                </a:lnTo>
                <a:lnTo>
                  <a:pt x="3037332" y="1653540"/>
                </a:lnTo>
                <a:lnTo>
                  <a:pt x="3037332" y="1449324"/>
                </a:lnTo>
                <a:close/>
              </a:path>
              <a:path w="7486015" h="2068195">
                <a:moveTo>
                  <a:pt x="3037332" y="1242060"/>
                </a:moveTo>
                <a:lnTo>
                  <a:pt x="2534412" y="1242060"/>
                </a:lnTo>
                <a:lnTo>
                  <a:pt x="2534412" y="1446276"/>
                </a:lnTo>
                <a:lnTo>
                  <a:pt x="3037332" y="1446276"/>
                </a:lnTo>
                <a:lnTo>
                  <a:pt x="3037332" y="1242060"/>
                </a:lnTo>
                <a:close/>
              </a:path>
              <a:path w="7486015" h="2068195">
                <a:moveTo>
                  <a:pt x="3037332" y="1036320"/>
                </a:moveTo>
                <a:lnTo>
                  <a:pt x="2534412" y="1036320"/>
                </a:lnTo>
                <a:lnTo>
                  <a:pt x="2534412" y="1239012"/>
                </a:lnTo>
                <a:lnTo>
                  <a:pt x="3037332" y="1239012"/>
                </a:lnTo>
                <a:lnTo>
                  <a:pt x="3037332" y="1036320"/>
                </a:lnTo>
                <a:close/>
              </a:path>
              <a:path w="7486015" h="2068195">
                <a:moveTo>
                  <a:pt x="3037332" y="829056"/>
                </a:moveTo>
                <a:lnTo>
                  <a:pt x="2534412" y="829056"/>
                </a:lnTo>
                <a:lnTo>
                  <a:pt x="2534412" y="1033272"/>
                </a:lnTo>
                <a:lnTo>
                  <a:pt x="3037332" y="1033272"/>
                </a:lnTo>
                <a:lnTo>
                  <a:pt x="3037332" y="829056"/>
                </a:lnTo>
                <a:close/>
              </a:path>
              <a:path w="7486015" h="2068195">
                <a:moveTo>
                  <a:pt x="3037332" y="621792"/>
                </a:moveTo>
                <a:lnTo>
                  <a:pt x="2534412" y="621792"/>
                </a:lnTo>
                <a:lnTo>
                  <a:pt x="2534412" y="826008"/>
                </a:lnTo>
                <a:lnTo>
                  <a:pt x="3037332" y="826008"/>
                </a:lnTo>
                <a:lnTo>
                  <a:pt x="3037332" y="621792"/>
                </a:lnTo>
                <a:close/>
              </a:path>
              <a:path w="7486015" h="2068195">
                <a:moveTo>
                  <a:pt x="3037332" y="414528"/>
                </a:moveTo>
                <a:lnTo>
                  <a:pt x="2534412" y="414528"/>
                </a:lnTo>
                <a:lnTo>
                  <a:pt x="2534412" y="618744"/>
                </a:lnTo>
                <a:lnTo>
                  <a:pt x="3037332" y="618744"/>
                </a:lnTo>
                <a:lnTo>
                  <a:pt x="3037332" y="414528"/>
                </a:lnTo>
                <a:close/>
              </a:path>
              <a:path w="7486015" h="2068195">
                <a:moveTo>
                  <a:pt x="3037332" y="207264"/>
                </a:moveTo>
                <a:lnTo>
                  <a:pt x="2534412" y="207264"/>
                </a:lnTo>
                <a:lnTo>
                  <a:pt x="2534412" y="411480"/>
                </a:lnTo>
                <a:lnTo>
                  <a:pt x="3037332" y="411480"/>
                </a:lnTo>
                <a:lnTo>
                  <a:pt x="3037332" y="207264"/>
                </a:lnTo>
                <a:close/>
              </a:path>
              <a:path w="7486015" h="2068195">
                <a:moveTo>
                  <a:pt x="3037332" y="0"/>
                </a:moveTo>
                <a:lnTo>
                  <a:pt x="2534412" y="0"/>
                </a:lnTo>
                <a:lnTo>
                  <a:pt x="2534412" y="204216"/>
                </a:lnTo>
                <a:lnTo>
                  <a:pt x="3037332" y="204216"/>
                </a:lnTo>
                <a:lnTo>
                  <a:pt x="3037332" y="0"/>
                </a:lnTo>
                <a:close/>
              </a:path>
              <a:path w="7486015" h="2068195">
                <a:moveTo>
                  <a:pt x="3674364" y="1863852"/>
                </a:moveTo>
                <a:lnTo>
                  <a:pt x="3040380" y="1863852"/>
                </a:lnTo>
                <a:lnTo>
                  <a:pt x="3040380" y="2068068"/>
                </a:lnTo>
                <a:lnTo>
                  <a:pt x="3674364" y="2068068"/>
                </a:lnTo>
                <a:lnTo>
                  <a:pt x="3674364" y="1863852"/>
                </a:lnTo>
                <a:close/>
              </a:path>
              <a:path w="7486015" h="2068195">
                <a:moveTo>
                  <a:pt x="3674364" y="1656588"/>
                </a:moveTo>
                <a:lnTo>
                  <a:pt x="3040380" y="1656588"/>
                </a:lnTo>
                <a:lnTo>
                  <a:pt x="3040380" y="1860804"/>
                </a:lnTo>
                <a:lnTo>
                  <a:pt x="3674364" y="1860804"/>
                </a:lnTo>
                <a:lnTo>
                  <a:pt x="3674364" y="1656588"/>
                </a:lnTo>
                <a:close/>
              </a:path>
              <a:path w="7486015" h="2068195">
                <a:moveTo>
                  <a:pt x="3674364" y="1449324"/>
                </a:moveTo>
                <a:lnTo>
                  <a:pt x="3040380" y="1449324"/>
                </a:lnTo>
                <a:lnTo>
                  <a:pt x="3040380" y="1653540"/>
                </a:lnTo>
                <a:lnTo>
                  <a:pt x="3674364" y="1653540"/>
                </a:lnTo>
                <a:lnTo>
                  <a:pt x="3674364" y="1449324"/>
                </a:lnTo>
                <a:close/>
              </a:path>
              <a:path w="7486015" h="2068195">
                <a:moveTo>
                  <a:pt x="3674364" y="1242060"/>
                </a:moveTo>
                <a:lnTo>
                  <a:pt x="3040380" y="1242060"/>
                </a:lnTo>
                <a:lnTo>
                  <a:pt x="3040380" y="1446276"/>
                </a:lnTo>
                <a:lnTo>
                  <a:pt x="3674364" y="1446276"/>
                </a:lnTo>
                <a:lnTo>
                  <a:pt x="3674364" y="1242060"/>
                </a:lnTo>
                <a:close/>
              </a:path>
              <a:path w="7486015" h="2068195">
                <a:moveTo>
                  <a:pt x="3674364" y="1036320"/>
                </a:moveTo>
                <a:lnTo>
                  <a:pt x="3040380" y="1036320"/>
                </a:lnTo>
                <a:lnTo>
                  <a:pt x="3040380" y="1239012"/>
                </a:lnTo>
                <a:lnTo>
                  <a:pt x="3674364" y="1239012"/>
                </a:lnTo>
                <a:lnTo>
                  <a:pt x="3674364" y="1036320"/>
                </a:lnTo>
                <a:close/>
              </a:path>
              <a:path w="7486015" h="2068195">
                <a:moveTo>
                  <a:pt x="3674364" y="829056"/>
                </a:moveTo>
                <a:lnTo>
                  <a:pt x="3040380" y="829056"/>
                </a:lnTo>
                <a:lnTo>
                  <a:pt x="3040380" y="1033272"/>
                </a:lnTo>
                <a:lnTo>
                  <a:pt x="3674364" y="1033272"/>
                </a:lnTo>
                <a:lnTo>
                  <a:pt x="3674364" y="829056"/>
                </a:lnTo>
                <a:close/>
              </a:path>
              <a:path w="7486015" h="2068195">
                <a:moveTo>
                  <a:pt x="3674364" y="621792"/>
                </a:moveTo>
                <a:lnTo>
                  <a:pt x="3040380" y="621792"/>
                </a:lnTo>
                <a:lnTo>
                  <a:pt x="3040380" y="826008"/>
                </a:lnTo>
                <a:lnTo>
                  <a:pt x="3674364" y="826008"/>
                </a:lnTo>
                <a:lnTo>
                  <a:pt x="3674364" y="621792"/>
                </a:lnTo>
                <a:close/>
              </a:path>
              <a:path w="7486015" h="2068195">
                <a:moveTo>
                  <a:pt x="3674364" y="414528"/>
                </a:moveTo>
                <a:lnTo>
                  <a:pt x="3040380" y="414528"/>
                </a:lnTo>
                <a:lnTo>
                  <a:pt x="3040380" y="618744"/>
                </a:lnTo>
                <a:lnTo>
                  <a:pt x="3674364" y="618744"/>
                </a:lnTo>
                <a:lnTo>
                  <a:pt x="3674364" y="414528"/>
                </a:lnTo>
                <a:close/>
              </a:path>
              <a:path w="7486015" h="2068195">
                <a:moveTo>
                  <a:pt x="3674364" y="207264"/>
                </a:moveTo>
                <a:lnTo>
                  <a:pt x="3040380" y="207264"/>
                </a:lnTo>
                <a:lnTo>
                  <a:pt x="3040380" y="411480"/>
                </a:lnTo>
                <a:lnTo>
                  <a:pt x="3674364" y="411480"/>
                </a:lnTo>
                <a:lnTo>
                  <a:pt x="3674364" y="207264"/>
                </a:lnTo>
                <a:close/>
              </a:path>
              <a:path w="7486015" h="2068195">
                <a:moveTo>
                  <a:pt x="3674364" y="0"/>
                </a:moveTo>
                <a:lnTo>
                  <a:pt x="3040380" y="0"/>
                </a:lnTo>
                <a:lnTo>
                  <a:pt x="3040380" y="204216"/>
                </a:lnTo>
                <a:lnTo>
                  <a:pt x="3674364" y="204216"/>
                </a:lnTo>
                <a:lnTo>
                  <a:pt x="3674364" y="0"/>
                </a:lnTo>
                <a:close/>
              </a:path>
              <a:path w="7486015" h="2068195">
                <a:moveTo>
                  <a:pt x="4437888" y="1863852"/>
                </a:moveTo>
                <a:lnTo>
                  <a:pt x="3677412" y="1863852"/>
                </a:lnTo>
                <a:lnTo>
                  <a:pt x="3677412" y="2068068"/>
                </a:lnTo>
                <a:lnTo>
                  <a:pt x="4437888" y="2068068"/>
                </a:lnTo>
                <a:lnTo>
                  <a:pt x="4437888" y="1863852"/>
                </a:lnTo>
                <a:close/>
              </a:path>
              <a:path w="7486015" h="2068195">
                <a:moveTo>
                  <a:pt x="4437888" y="1656588"/>
                </a:moveTo>
                <a:lnTo>
                  <a:pt x="3677412" y="1656588"/>
                </a:lnTo>
                <a:lnTo>
                  <a:pt x="3677412" y="1860804"/>
                </a:lnTo>
                <a:lnTo>
                  <a:pt x="4437888" y="1860804"/>
                </a:lnTo>
                <a:lnTo>
                  <a:pt x="4437888" y="1656588"/>
                </a:lnTo>
                <a:close/>
              </a:path>
              <a:path w="7486015" h="2068195">
                <a:moveTo>
                  <a:pt x="4437888" y="1449324"/>
                </a:moveTo>
                <a:lnTo>
                  <a:pt x="3677412" y="1449324"/>
                </a:lnTo>
                <a:lnTo>
                  <a:pt x="3677412" y="1653540"/>
                </a:lnTo>
                <a:lnTo>
                  <a:pt x="4437888" y="1653540"/>
                </a:lnTo>
                <a:lnTo>
                  <a:pt x="4437888" y="1449324"/>
                </a:lnTo>
                <a:close/>
              </a:path>
              <a:path w="7486015" h="2068195">
                <a:moveTo>
                  <a:pt x="4437888" y="1242060"/>
                </a:moveTo>
                <a:lnTo>
                  <a:pt x="3677412" y="1242060"/>
                </a:lnTo>
                <a:lnTo>
                  <a:pt x="3677412" y="1446276"/>
                </a:lnTo>
                <a:lnTo>
                  <a:pt x="4437888" y="1446276"/>
                </a:lnTo>
                <a:lnTo>
                  <a:pt x="4437888" y="1242060"/>
                </a:lnTo>
                <a:close/>
              </a:path>
              <a:path w="7486015" h="2068195">
                <a:moveTo>
                  <a:pt x="4437888" y="1036320"/>
                </a:moveTo>
                <a:lnTo>
                  <a:pt x="3677412" y="1036320"/>
                </a:lnTo>
                <a:lnTo>
                  <a:pt x="3677412" y="1239012"/>
                </a:lnTo>
                <a:lnTo>
                  <a:pt x="4437888" y="1239012"/>
                </a:lnTo>
                <a:lnTo>
                  <a:pt x="4437888" y="1036320"/>
                </a:lnTo>
                <a:close/>
              </a:path>
              <a:path w="7486015" h="2068195">
                <a:moveTo>
                  <a:pt x="4437888" y="829056"/>
                </a:moveTo>
                <a:lnTo>
                  <a:pt x="3677412" y="829056"/>
                </a:lnTo>
                <a:lnTo>
                  <a:pt x="3677412" y="1033272"/>
                </a:lnTo>
                <a:lnTo>
                  <a:pt x="4437888" y="1033272"/>
                </a:lnTo>
                <a:lnTo>
                  <a:pt x="4437888" y="829056"/>
                </a:lnTo>
                <a:close/>
              </a:path>
              <a:path w="7486015" h="2068195">
                <a:moveTo>
                  <a:pt x="4437888" y="621792"/>
                </a:moveTo>
                <a:lnTo>
                  <a:pt x="3677412" y="621792"/>
                </a:lnTo>
                <a:lnTo>
                  <a:pt x="3677412" y="826008"/>
                </a:lnTo>
                <a:lnTo>
                  <a:pt x="4437888" y="826008"/>
                </a:lnTo>
                <a:lnTo>
                  <a:pt x="4437888" y="621792"/>
                </a:lnTo>
                <a:close/>
              </a:path>
              <a:path w="7486015" h="2068195">
                <a:moveTo>
                  <a:pt x="4437888" y="414528"/>
                </a:moveTo>
                <a:lnTo>
                  <a:pt x="3677412" y="414528"/>
                </a:lnTo>
                <a:lnTo>
                  <a:pt x="3677412" y="618744"/>
                </a:lnTo>
                <a:lnTo>
                  <a:pt x="4437888" y="618744"/>
                </a:lnTo>
                <a:lnTo>
                  <a:pt x="4437888" y="414528"/>
                </a:lnTo>
                <a:close/>
              </a:path>
              <a:path w="7486015" h="2068195">
                <a:moveTo>
                  <a:pt x="4437888" y="207264"/>
                </a:moveTo>
                <a:lnTo>
                  <a:pt x="3677412" y="207264"/>
                </a:lnTo>
                <a:lnTo>
                  <a:pt x="3677412" y="411480"/>
                </a:lnTo>
                <a:lnTo>
                  <a:pt x="4437888" y="411480"/>
                </a:lnTo>
                <a:lnTo>
                  <a:pt x="4437888" y="207264"/>
                </a:lnTo>
                <a:close/>
              </a:path>
              <a:path w="7486015" h="2068195">
                <a:moveTo>
                  <a:pt x="4437888" y="0"/>
                </a:moveTo>
                <a:lnTo>
                  <a:pt x="3677412" y="0"/>
                </a:lnTo>
                <a:lnTo>
                  <a:pt x="3677412" y="204216"/>
                </a:lnTo>
                <a:lnTo>
                  <a:pt x="4437888" y="204216"/>
                </a:lnTo>
                <a:lnTo>
                  <a:pt x="4437888" y="0"/>
                </a:lnTo>
                <a:close/>
              </a:path>
              <a:path w="7486015" h="2068195">
                <a:moveTo>
                  <a:pt x="5199888" y="1863852"/>
                </a:moveTo>
                <a:lnTo>
                  <a:pt x="4440936" y="1863852"/>
                </a:lnTo>
                <a:lnTo>
                  <a:pt x="4440936" y="2068068"/>
                </a:lnTo>
                <a:lnTo>
                  <a:pt x="5199888" y="2068068"/>
                </a:lnTo>
                <a:lnTo>
                  <a:pt x="5199888" y="1863852"/>
                </a:lnTo>
                <a:close/>
              </a:path>
              <a:path w="7486015" h="2068195">
                <a:moveTo>
                  <a:pt x="5199888" y="1656588"/>
                </a:moveTo>
                <a:lnTo>
                  <a:pt x="4440936" y="1656588"/>
                </a:lnTo>
                <a:lnTo>
                  <a:pt x="4440936" y="1860804"/>
                </a:lnTo>
                <a:lnTo>
                  <a:pt x="5199888" y="1860804"/>
                </a:lnTo>
                <a:lnTo>
                  <a:pt x="5199888" y="1656588"/>
                </a:lnTo>
                <a:close/>
              </a:path>
              <a:path w="7486015" h="2068195">
                <a:moveTo>
                  <a:pt x="5199888" y="1449324"/>
                </a:moveTo>
                <a:lnTo>
                  <a:pt x="4440936" y="1449324"/>
                </a:lnTo>
                <a:lnTo>
                  <a:pt x="4440936" y="1653540"/>
                </a:lnTo>
                <a:lnTo>
                  <a:pt x="5199888" y="1653540"/>
                </a:lnTo>
                <a:lnTo>
                  <a:pt x="5199888" y="1449324"/>
                </a:lnTo>
                <a:close/>
              </a:path>
              <a:path w="7486015" h="2068195">
                <a:moveTo>
                  <a:pt x="5199888" y="1242060"/>
                </a:moveTo>
                <a:lnTo>
                  <a:pt x="4440936" y="1242060"/>
                </a:lnTo>
                <a:lnTo>
                  <a:pt x="4440936" y="1446276"/>
                </a:lnTo>
                <a:lnTo>
                  <a:pt x="5199888" y="1446276"/>
                </a:lnTo>
                <a:lnTo>
                  <a:pt x="5199888" y="1242060"/>
                </a:lnTo>
                <a:close/>
              </a:path>
              <a:path w="7486015" h="2068195">
                <a:moveTo>
                  <a:pt x="5199888" y="1036320"/>
                </a:moveTo>
                <a:lnTo>
                  <a:pt x="4440936" y="1036320"/>
                </a:lnTo>
                <a:lnTo>
                  <a:pt x="4440936" y="1239012"/>
                </a:lnTo>
                <a:lnTo>
                  <a:pt x="5199888" y="1239012"/>
                </a:lnTo>
                <a:lnTo>
                  <a:pt x="5199888" y="1036320"/>
                </a:lnTo>
                <a:close/>
              </a:path>
              <a:path w="7486015" h="2068195">
                <a:moveTo>
                  <a:pt x="5199888" y="829056"/>
                </a:moveTo>
                <a:lnTo>
                  <a:pt x="4440936" y="829056"/>
                </a:lnTo>
                <a:lnTo>
                  <a:pt x="4440936" y="1033272"/>
                </a:lnTo>
                <a:lnTo>
                  <a:pt x="5199888" y="1033272"/>
                </a:lnTo>
                <a:lnTo>
                  <a:pt x="5199888" y="829056"/>
                </a:lnTo>
                <a:close/>
              </a:path>
              <a:path w="7486015" h="2068195">
                <a:moveTo>
                  <a:pt x="5199888" y="621792"/>
                </a:moveTo>
                <a:lnTo>
                  <a:pt x="4440936" y="621792"/>
                </a:lnTo>
                <a:lnTo>
                  <a:pt x="4440936" y="826008"/>
                </a:lnTo>
                <a:lnTo>
                  <a:pt x="5199888" y="826008"/>
                </a:lnTo>
                <a:lnTo>
                  <a:pt x="5199888" y="621792"/>
                </a:lnTo>
                <a:close/>
              </a:path>
              <a:path w="7486015" h="2068195">
                <a:moveTo>
                  <a:pt x="5199888" y="414528"/>
                </a:moveTo>
                <a:lnTo>
                  <a:pt x="4440936" y="414528"/>
                </a:lnTo>
                <a:lnTo>
                  <a:pt x="4440936" y="618744"/>
                </a:lnTo>
                <a:lnTo>
                  <a:pt x="5199888" y="618744"/>
                </a:lnTo>
                <a:lnTo>
                  <a:pt x="5199888" y="414528"/>
                </a:lnTo>
                <a:close/>
              </a:path>
              <a:path w="7486015" h="2068195">
                <a:moveTo>
                  <a:pt x="5199888" y="207264"/>
                </a:moveTo>
                <a:lnTo>
                  <a:pt x="4440936" y="207264"/>
                </a:lnTo>
                <a:lnTo>
                  <a:pt x="4440936" y="411480"/>
                </a:lnTo>
                <a:lnTo>
                  <a:pt x="5199888" y="411480"/>
                </a:lnTo>
                <a:lnTo>
                  <a:pt x="5199888" y="207264"/>
                </a:lnTo>
                <a:close/>
              </a:path>
              <a:path w="7486015" h="2068195">
                <a:moveTo>
                  <a:pt x="5199888" y="0"/>
                </a:moveTo>
                <a:lnTo>
                  <a:pt x="4440936" y="0"/>
                </a:lnTo>
                <a:lnTo>
                  <a:pt x="4440936" y="204216"/>
                </a:lnTo>
                <a:lnTo>
                  <a:pt x="5199888" y="204216"/>
                </a:lnTo>
                <a:lnTo>
                  <a:pt x="5199888" y="0"/>
                </a:lnTo>
                <a:close/>
              </a:path>
              <a:path w="7486015" h="2068195">
                <a:moveTo>
                  <a:pt x="5961875" y="1863852"/>
                </a:moveTo>
                <a:lnTo>
                  <a:pt x="5202936" y="1863852"/>
                </a:lnTo>
                <a:lnTo>
                  <a:pt x="5202936" y="2068068"/>
                </a:lnTo>
                <a:lnTo>
                  <a:pt x="5961875" y="2068068"/>
                </a:lnTo>
                <a:lnTo>
                  <a:pt x="5961875" y="1863852"/>
                </a:lnTo>
                <a:close/>
              </a:path>
              <a:path w="7486015" h="2068195">
                <a:moveTo>
                  <a:pt x="5961875" y="1656588"/>
                </a:moveTo>
                <a:lnTo>
                  <a:pt x="5202936" y="1656588"/>
                </a:lnTo>
                <a:lnTo>
                  <a:pt x="5202936" y="1860804"/>
                </a:lnTo>
                <a:lnTo>
                  <a:pt x="5961875" y="1860804"/>
                </a:lnTo>
                <a:lnTo>
                  <a:pt x="5961875" y="1656588"/>
                </a:lnTo>
                <a:close/>
              </a:path>
              <a:path w="7486015" h="2068195">
                <a:moveTo>
                  <a:pt x="5961875" y="1449324"/>
                </a:moveTo>
                <a:lnTo>
                  <a:pt x="5202936" y="1449324"/>
                </a:lnTo>
                <a:lnTo>
                  <a:pt x="5202936" y="1653540"/>
                </a:lnTo>
                <a:lnTo>
                  <a:pt x="5961875" y="1653540"/>
                </a:lnTo>
                <a:lnTo>
                  <a:pt x="5961875" y="1449324"/>
                </a:lnTo>
                <a:close/>
              </a:path>
              <a:path w="7486015" h="2068195">
                <a:moveTo>
                  <a:pt x="5961875" y="1242060"/>
                </a:moveTo>
                <a:lnTo>
                  <a:pt x="5202936" y="1242060"/>
                </a:lnTo>
                <a:lnTo>
                  <a:pt x="5202936" y="1446276"/>
                </a:lnTo>
                <a:lnTo>
                  <a:pt x="5961875" y="1446276"/>
                </a:lnTo>
                <a:lnTo>
                  <a:pt x="5961875" y="1242060"/>
                </a:lnTo>
                <a:close/>
              </a:path>
              <a:path w="7486015" h="2068195">
                <a:moveTo>
                  <a:pt x="5961875" y="1036320"/>
                </a:moveTo>
                <a:lnTo>
                  <a:pt x="5202936" y="1036320"/>
                </a:lnTo>
                <a:lnTo>
                  <a:pt x="5202936" y="1239012"/>
                </a:lnTo>
                <a:lnTo>
                  <a:pt x="5961875" y="1239012"/>
                </a:lnTo>
                <a:lnTo>
                  <a:pt x="5961875" y="1036320"/>
                </a:lnTo>
                <a:close/>
              </a:path>
              <a:path w="7486015" h="2068195">
                <a:moveTo>
                  <a:pt x="5961875" y="829056"/>
                </a:moveTo>
                <a:lnTo>
                  <a:pt x="5202936" y="829056"/>
                </a:lnTo>
                <a:lnTo>
                  <a:pt x="5202936" y="1033272"/>
                </a:lnTo>
                <a:lnTo>
                  <a:pt x="5961875" y="1033272"/>
                </a:lnTo>
                <a:lnTo>
                  <a:pt x="5961875" y="829056"/>
                </a:lnTo>
                <a:close/>
              </a:path>
              <a:path w="7486015" h="2068195">
                <a:moveTo>
                  <a:pt x="5961875" y="621792"/>
                </a:moveTo>
                <a:lnTo>
                  <a:pt x="5202936" y="621792"/>
                </a:lnTo>
                <a:lnTo>
                  <a:pt x="5202936" y="826008"/>
                </a:lnTo>
                <a:lnTo>
                  <a:pt x="5961875" y="826008"/>
                </a:lnTo>
                <a:lnTo>
                  <a:pt x="5961875" y="621792"/>
                </a:lnTo>
                <a:close/>
              </a:path>
              <a:path w="7486015" h="2068195">
                <a:moveTo>
                  <a:pt x="5961875" y="414528"/>
                </a:moveTo>
                <a:lnTo>
                  <a:pt x="5202936" y="414528"/>
                </a:lnTo>
                <a:lnTo>
                  <a:pt x="5202936" y="618744"/>
                </a:lnTo>
                <a:lnTo>
                  <a:pt x="5961875" y="618744"/>
                </a:lnTo>
                <a:lnTo>
                  <a:pt x="5961875" y="414528"/>
                </a:lnTo>
                <a:close/>
              </a:path>
              <a:path w="7486015" h="2068195">
                <a:moveTo>
                  <a:pt x="5961875" y="207264"/>
                </a:moveTo>
                <a:lnTo>
                  <a:pt x="5202936" y="207264"/>
                </a:lnTo>
                <a:lnTo>
                  <a:pt x="5202936" y="411480"/>
                </a:lnTo>
                <a:lnTo>
                  <a:pt x="5961875" y="411480"/>
                </a:lnTo>
                <a:lnTo>
                  <a:pt x="5961875" y="207264"/>
                </a:lnTo>
                <a:close/>
              </a:path>
              <a:path w="7486015" h="2068195">
                <a:moveTo>
                  <a:pt x="5961875" y="0"/>
                </a:moveTo>
                <a:lnTo>
                  <a:pt x="5202936" y="0"/>
                </a:lnTo>
                <a:lnTo>
                  <a:pt x="5202936" y="204216"/>
                </a:lnTo>
                <a:lnTo>
                  <a:pt x="5961875" y="204216"/>
                </a:lnTo>
                <a:lnTo>
                  <a:pt x="5961875" y="0"/>
                </a:lnTo>
                <a:close/>
              </a:path>
              <a:path w="7486015" h="2068195">
                <a:moveTo>
                  <a:pt x="6723888" y="1656588"/>
                </a:moveTo>
                <a:lnTo>
                  <a:pt x="5964936" y="1656588"/>
                </a:lnTo>
                <a:lnTo>
                  <a:pt x="5964936" y="1860804"/>
                </a:lnTo>
                <a:lnTo>
                  <a:pt x="6723888" y="1860804"/>
                </a:lnTo>
                <a:lnTo>
                  <a:pt x="6723888" y="1656588"/>
                </a:lnTo>
                <a:close/>
              </a:path>
              <a:path w="7486015" h="2068195">
                <a:moveTo>
                  <a:pt x="6723888" y="1449324"/>
                </a:moveTo>
                <a:lnTo>
                  <a:pt x="5964936" y="1449324"/>
                </a:lnTo>
                <a:lnTo>
                  <a:pt x="5964936" y="1653540"/>
                </a:lnTo>
                <a:lnTo>
                  <a:pt x="6723888" y="1653540"/>
                </a:lnTo>
                <a:lnTo>
                  <a:pt x="6723888" y="1449324"/>
                </a:lnTo>
                <a:close/>
              </a:path>
              <a:path w="7486015" h="2068195">
                <a:moveTo>
                  <a:pt x="6723888" y="1242060"/>
                </a:moveTo>
                <a:lnTo>
                  <a:pt x="5964936" y="1242060"/>
                </a:lnTo>
                <a:lnTo>
                  <a:pt x="5964936" y="1446276"/>
                </a:lnTo>
                <a:lnTo>
                  <a:pt x="6723888" y="1446276"/>
                </a:lnTo>
                <a:lnTo>
                  <a:pt x="6723888" y="1242060"/>
                </a:lnTo>
                <a:close/>
              </a:path>
              <a:path w="7486015" h="2068195">
                <a:moveTo>
                  <a:pt x="6723888" y="1036320"/>
                </a:moveTo>
                <a:lnTo>
                  <a:pt x="5964936" y="1036320"/>
                </a:lnTo>
                <a:lnTo>
                  <a:pt x="5964936" y="1239012"/>
                </a:lnTo>
                <a:lnTo>
                  <a:pt x="6723888" y="1239012"/>
                </a:lnTo>
                <a:lnTo>
                  <a:pt x="6723888" y="1036320"/>
                </a:lnTo>
                <a:close/>
              </a:path>
              <a:path w="7486015" h="2068195">
                <a:moveTo>
                  <a:pt x="6723888" y="829056"/>
                </a:moveTo>
                <a:lnTo>
                  <a:pt x="5964936" y="829056"/>
                </a:lnTo>
                <a:lnTo>
                  <a:pt x="5964936" y="1033272"/>
                </a:lnTo>
                <a:lnTo>
                  <a:pt x="6723888" y="1033272"/>
                </a:lnTo>
                <a:lnTo>
                  <a:pt x="6723888" y="829056"/>
                </a:lnTo>
                <a:close/>
              </a:path>
              <a:path w="7486015" h="2068195">
                <a:moveTo>
                  <a:pt x="6723888" y="621792"/>
                </a:moveTo>
                <a:lnTo>
                  <a:pt x="5964936" y="621792"/>
                </a:lnTo>
                <a:lnTo>
                  <a:pt x="5964936" y="826008"/>
                </a:lnTo>
                <a:lnTo>
                  <a:pt x="6723888" y="826008"/>
                </a:lnTo>
                <a:lnTo>
                  <a:pt x="6723888" y="621792"/>
                </a:lnTo>
                <a:close/>
              </a:path>
              <a:path w="7486015" h="2068195">
                <a:moveTo>
                  <a:pt x="6723888" y="414528"/>
                </a:moveTo>
                <a:lnTo>
                  <a:pt x="5964936" y="414528"/>
                </a:lnTo>
                <a:lnTo>
                  <a:pt x="5964936" y="618744"/>
                </a:lnTo>
                <a:lnTo>
                  <a:pt x="6723888" y="618744"/>
                </a:lnTo>
                <a:lnTo>
                  <a:pt x="6723888" y="414528"/>
                </a:lnTo>
                <a:close/>
              </a:path>
              <a:path w="7486015" h="2068195">
                <a:moveTo>
                  <a:pt x="6723888" y="207264"/>
                </a:moveTo>
                <a:lnTo>
                  <a:pt x="5964936" y="207264"/>
                </a:lnTo>
                <a:lnTo>
                  <a:pt x="5964936" y="411480"/>
                </a:lnTo>
                <a:lnTo>
                  <a:pt x="6723888" y="411480"/>
                </a:lnTo>
                <a:lnTo>
                  <a:pt x="6723888" y="207264"/>
                </a:lnTo>
                <a:close/>
              </a:path>
              <a:path w="7486015" h="2068195">
                <a:moveTo>
                  <a:pt x="6723888" y="0"/>
                </a:moveTo>
                <a:lnTo>
                  <a:pt x="5964936" y="0"/>
                </a:lnTo>
                <a:lnTo>
                  <a:pt x="5964936" y="204216"/>
                </a:lnTo>
                <a:lnTo>
                  <a:pt x="6723888" y="204216"/>
                </a:lnTo>
                <a:lnTo>
                  <a:pt x="6723888" y="0"/>
                </a:lnTo>
                <a:close/>
              </a:path>
              <a:path w="7486015" h="2068195">
                <a:moveTo>
                  <a:pt x="7485888" y="1656588"/>
                </a:moveTo>
                <a:lnTo>
                  <a:pt x="6726936" y="1656588"/>
                </a:lnTo>
                <a:lnTo>
                  <a:pt x="6726936" y="1860804"/>
                </a:lnTo>
                <a:lnTo>
                  <a:pt x="7485888" y="1860804"/>
                </a:lnTo>
                <a:lnTo>
                  <a:pt x="7485888" y="1656588"/>
                </a:lnTo>
                <a:close/>
              </a:path>
              <a:path w="7486015" h="2068195">
                <a:moveTo>
                  <a:pt x="7485888" y="1449324"/>
                </a:moveTo>
                <a:lnTo>
                  <a:pt x="6726936" y="1449324"/>
                </a:lnTo>
                <a:lnTo>
                  <a:pt x="6726936" y="1653540"/>
                </a:lnTo>
                <a:lnTo>
                  <a:pt x="7485888" y="1653540"/>
                </a:lnTo>
                <a:lnTo>
                  <a:pt x="7485888" y="1449324"/>
                </a:lnTo>
                <a:close/>
              </a:path>
              <a:path w="7486015" h="2068195">
                <a:moveTo>
                  <a:pt x="7485888" y="1242060"/>
                </a:moveTo>
                <a:lnTo>
                  <a:pt x="6726936" y="1242060"/>
                </a:lnTo>
                <a:lnTo>
                  <a:pt x="6726936" y="1446276"/>
                </a:lnTo>
                <a:lnTo>
                  <a:pt x="7485888" y="1446276"/>
                </a:lnTo>
                <a:lnTo>
                  <a:pt x="7485888" y="1242060"/>
                </a:lnTo>
                <a:close/>
              </a:path>
              <a:path w="7486015" h="2068195">
                <a:moveTo>
                  <a:pt x="7485888" y="1036320"/>
                </a:moveTo>
                <a:lnTo>
                  <a:pt x="6726936" y="1036320"/>
                </a:lnTo>
                <a:lnTo>
                  <a:pt x="6726936" y="1239012"/>
                </a:lnTo>
                <a:lnTo>
                  <a:pt x="7485888" y="1239012"/>
                </a:lnTo>
                <a:lnTo>
                  <a:pt x="7485888" y="1036320"/>
                </a:lnTo>
                <a:close/>
              </a:path>
              <a:path w="7486015" h="2068195">
                <a:moveTo>
                  <a:pt x="7485888" y="829056"/>
                </a:moveTo>
                <a:lnTo>
                  <a:pt x="6726936" y="829056"/>
                </a:lnTo>
                <a:lnTo>
                  <a:pt x="6726936" y="1033272"/>
                </a:lnTo>
                <a:lnTo>
                  <a:pt x="7485888" y="1033272"/>
                </a:lnTo>
                <a:lnTo>
                  <a:pt x="7485888" y="829056"/>
                </a:lnTo>
                <a:close/>
              </a:path>
              <a:path w="7486015" h="2068195">
                <a:moveTo>
                  <a:pt x="7485888" y="621792"/>
                </a:moveTo>
                <a:lnTo>
                  <a:pt x="6726936" y="621792"/>
                </a:lnTo>
                <a:lnTo>
                  <a:pt x="6726936" y="826008"/>
                </a:lnTo>
                <a:lnTo>
                  <a:pt x="7485888" y="826008"/>
                </a:lnTo>
                <a:lnTo>
                  <a:pt x="7485888" y="621792"/>
                </a:lnTo>
                <a:close/>
              </a:path>
              <a:path w="7486015" h="2068195">
                <a:moveTo>
                  <a:pt x="7485888" y="414528"/>
                </a:moveTo>
                <a:lnTo>
                  <a:pt x="6726936" y="414528"/>
                </a:lnTo>
                <a:lnTo>
                  <a:pt x="6726936" y="618744"/>
                </a:lnTo>
                <a:lnTo>
                  <a:pt x="7485888" y="618744"/>
                </a:lnTo>
                <a:lnTo>
                  <a:pt x="7485888" y="414528"/>
                </a:lnTo>
                <a:close/>
              </a:path>
              <a:path w="7486015" h="2068195">
                <a:moveTo>
                  <a:pt x="7485888" y="207264"/>
                </a:moveTo>
                <a:lnTo>
                  <a:pt x="6726936" y="207264"/>
                </a:lnTo>
                <a:lnTo>
                  <a:pt x="6726936" y="411480"/>
                </a:lnTo>
                <a:lnTo>
                  <a:pt x="7485888" y="411480"/>
                </a:lnTo>
                <a:lnTo>
                  <a:pt x="7485888" y="207264"/>
                </a:lnTo>
                <a:close/>
              </a:path>
              <a:path w="7486015" h="2068195">
                <a:moveTo>
                  <a:pt x="7485888" y="0"/>
                </a:moveTo>
                <a:lnTo>
                  <a:pt x="6726936" y="0"/>
                </a:lnTo>
                <a:lnTo>
                  <a:pt x="6726936" y="204216"/>
                </a:lnTo>
                <a:lnTo>
                  <a:pt x="7485888" y="204216"/>
                </a:lnTo>
                <a:lnTo>
                  <a:pt x="7485888" y="0"/>
                </a:lnTo>
                <a:close/>
              </a:path>
            </a:pathLst>
          </a:custGeom>
          <a:solidFill>
            <a:srgbClr val="FFFFFF"/>
          </a:solidFill>
        </xdr:spPr>
      </xdr:sp>
      <xdr:sp macro="" textlink="">
        <xdr:nvSpPr>
          <xdr:cNvPr id="33" name="Shape 33">
            <a:extLst>
              <a:ext uri="{FF2B5EF4-FFF2-40B4-BE49-F238E27FC236}">
                <a16:creationId xmlns:a16="http://schemas.microsoft.com/office/drawing/2014/main" id="{00000000-0008-0000-0200-000021000000}"/>
              </a:ext>
            </a:extLst>
          </xdr:cNvPr>
          <xdr:cNvSpPr/>
        </xdr:nvSpPr>
        <xdr:spPr>
          <a:xfrm>
            <a:off x="1267968" y="414527"/>
            <a:ext cx="6217920" cy="3721735"/>
          </a:xfrm>
          <a:custGeom>
            <a:avLst/>
            <a:gdLst/>
            <a:ahLst/>
            <a:cxnLst/>
            <a:rect l="0" t="0" r="0" b="0"/>
            <a:pathLst>
              <a:path w="6217920" h="3721735">
                <a:moveTo>
                  <a:pt x="1263396" y="2069592"/>
                </a:moveTo>
                <a:lnTo>
                  <a:pt x="0" y="2069592"/>
                </a:lnTo>
                <a:lnTo>
                  <a:pt x="0" y="3721608"/>
                </a:lnTo>
                <a:lnTo>
                  <a:pt x="1263396" y="3721608"/>
                </a:lnTo>
                <a:lnTo>
                  <a:pt x="1263396" y="2069592"/>
                </a:lnTo>
                <a:close/>
              </a:path>
              <a:path w="6217920" h="3721735">
                <a:moveTo>
                  <a:pt x="1263396" y="0"/>
                </a:moveTo>
                <a:lnTo>
                  <a:pt x="0" y="0"/>
                </a:lnTo>
                <a:lnTo>
                  <a:pt x="0" y="2066544"/>
                </a:lnTo>
                <a:lnTo>
                  <a:pt x="1263396" y="2066544"/>
                </a:lnTo>
                <a:lnTo>
                  <a:pt x="1263396" y="0"/>
                </a:lnTo>
                <a:close/>
              </a:path>
              <a:path w="6217920" h="3721735">
                <a:moveTo>
                  <a:pt x="1769364" y="3518916"/>
                </a:moveTo>
                <a:lnTo>
                  <a:pt x="1266444" y="3518916"/>
                </a:lnTo>
                <a:lnTo>
                  <a:pt x="1266444" y="3721608"/>
                </a:lnTo>
                <a:lnTo>
                  <a:pt x="1769364" y="3721608"/>
                </a:lnTo>
                <a:lnTo>
                  <a:pt x="1769364" y="3518916"/>
                </a:lnTo>
                <a:close/>
              </a:path>
              <a:path w="6217920" h="3721735">
                <a:moveTo>
                  <a:pt x="1769364" y="3311652"/>
                </a:moveTo>
                <a:lnTo>
                  <a:pt x="1266444" y="3311652"/>
                </a:lnTo>
                <a:lnTo>
                  <a:pt x="1266444" y="3515868"/>
                </a:lnTo>
                <a:lnTo>
                  <a:pt x="1769364" y="3515868"/>
                </a:lnTo>
                <a:lnTo>
                  <a:pt x="1769364" y="3311652"/>
                </a:lnTo>
                <a:close/>
              </a:path>
              <a:path w="6217920" h="3721735">
                <a:moveTo>
                  <a:pt x="1769364" y="3104388"/>
                </a:moveTo>
                <a:lnTo>
                  <a:pt x="1266444" y="3104388"/>
                </a:lnTo>
                <a:lnTo>
                  <a:pt x="1266444" y="3308604"/>
                </a:lnTo>
                <a:lnTo>
                  <a:pt x="1769364" y="3308604"/>
                </a:lnTo>
                <a:lnTo>
                  <a:pt x="1769364" y="3104388"/>
                </a:lnTo>
                <a:close/>
              </a:path>
              <a:path w="6217920" h="3721735">
                <a:moveTo>
                  <a:pt x="1769364" y="2897124"/>
                </a:moveTo>
                <a:lnTo>
                  <a:pt x="1266444" y="2897124"/>
                </a:lnTo>
                <a:lnTo>
                  <a:pt x="1266444" y="3101340"/>
                </a:lnTo>
                <a:lnTo>
                  <a:pt x="1769364" y="3101340"/>
                </a:lnTo>
                <a:lnTo>
                  <a:pt x="1769364" y="2897124"/>
                </a:lnTo>
                <a:close/>
              </a:path>
              <a:path w="6217920" h="3721735">
                <a:moveTo>
                  <a:pt x="1769364" y="2691384"/>
                </a:moveTo>
                <a:lnTo>
                  <a:pt x="1266444" y="2691384"/>
                </a:lnTo>
                <a:lnTo>
                  <a:pt x="1266444" y="2894076"/>
                </a:lnTo>
                <a:lnTo>
                  <a:pt x="1769364" y="2894076"/>
                </a:lnTo>
                <a:lnTo>
                  <a:pt x="1769364" y="2691384"/>
                </a:lnTo>
                <a:close/>
              </a:path>
              <a:path w="6217920" h="3721735">
                <a:moveTo>
                  <a:pt x="1769364" y="2484120"/>
                </a:moveTo>
                <a:lnTo>
                  <a:pt x="1266444" y="2484120"/>
                </a:lnTo>
                <a:lnTo>
                  <a:pt x="1266444" y="2688336"/>
                </a:lnTo>
                <a:lnTo>
                  <a:pt x="1769364" y="2688336"/>
                </a:lnTo>
                <a:lnTo>
                  <a:pt x="1769364" y="2484120"/>
                </a:lnTo>
                <a:close/>
              </a:path>
              <a:path w="6217920" h="3721735">
                <a:moveTo>
                  <a:pt x="1769364" y="2276856"/>
                </a:moveTo>
                <a:lnTo>
                  <a:pt x="1266444" y="2276856"/>
                </a:lnTo>
                <a:lnTo>
                  <a:pt x="1266444" y="2481072"/>
                </a:lnTo>
                <a:lnTo>
                  <a:pt x="1769364" y="2481072"/>
                </a:lnTo>
                <a:lnTo>
                  <a:pt x="1769364" y="2276856"/>
                </a:lnTo>
                <a:close/>
              </a:path>
              <a:path w="6217920" h="3721735">
                <a:moveTo>
                  <a:pt x="1769364" y="2069592"/>
                </a:moveTo>
                <a:lnTo>
                  <a:pt x="1266444" y="2069592"/>
                </a:lnTo>
                <a:lnTo>
                  <a:pt x="1266444" y="2273808"/>
                </a:lnTo>
                <a:lnTo>
                  <a:pt x="1769364" y="2273808"/>
                </a:lnTo>
                <a:lnTo>
                  <a:pt x="1769364" y="2069592"/>
                </a:lnTo>
                <a:close/>
              </a:path>
              <a:path w="6217920" h="3721735">
                <a:moveTo>
                  <a:pt x="1769364" y="1863852"/>
                </a:moveTo>
                <a:lnTo>
                  <a:pt x="1266444" y="1863852"/>
                </a:lnTo>
                <a:lnTo>
                  <a:pt x="1266444" y="2066544"/>
                </a:lnTo>
                <a:lnTo>
                  <a:pt x="1769364" y="2066544"/>
                </a:lnTo>
                <a:lnTo>
                  <a:pt x="1769364" y="1863852"/>
                </a:lnTo>
                <a:close/>
              </a:path>
              <a:path w="6217920" h="3721735">
                <a:moveTo>
                  <a:pt x="1769364" y="1656588"/>
                </a:moveTo>
                <a:lnTo>
                  <a:pt x="1266444" y="1656588"/>
                </a:lnTo>
                <a:lnTo>
                  <a:pt x="1266444" y="1860804"/>
                </a:lnTo>
                <a:lnTo>
                  <a:pt x="1769364" y="1860804"/>
                </a:lnTo>
                <a:lnTo>
                  <a:pt x="1769364" y="1656588"/>
                </a:lnTo>
                <a:close/>
              </a:path>
              <a:path w="6217920" h="3721735">
                <a:moveTo>
                  <a:pt x="2406396" y="3518916"/>
                </a:moveTo>
                <a:lnTo>
                  <a:pt x="1772412" y="3518916"/>
                </a:lnTo>
                <a:lnTo>
                  <a:pt x="1772412" y="3721608"/>
                </a:lnTo>
                <a:lnTo>
                  <a:pt x="2406396" y="3721608"/>
                </a:lnTo>
                <a:lnTo>
                  <a:pt x="2406396" y="3518916"/>
                </a:lnTo>
                <a:close/>
              </a:path>
              <a:path w="6217920" h="3721735">
                <a:moveTo>
                  <a:pt x="2406396" y="3311652"/>
                </a:moveTo>
                <a:lnTo>
                  <a:pt x="1772412" y="3311652"/>
                </a:lnTo>
                <a:lnTo>
                  <a:pt x="1772412" y="3515868"/>
                </a:lnTo>
                <a:lnTo>
                  <a:pt x="2406396" y="3515868"/>
                </a:lnTo>
                <a:lnTo>
                  <a:pt x="2406396" y="3311652"/>
                </a:lnTo>
                <a:close/>
              </a:path>
              <a:path w="6217920" h="3721735">
                <a:moveTo>
                  <a:pt x="2406396" y="3104388"/>
                </a:moveTo>
                <a:lnTo>
                  <a:pt x="1772412" y="3104388"/>
                </a:lnTo>
                <a:lnTo>
                  <a:pt x="1772412" y="3308604"/>
                </a:lnTo>
                <a:lnTo>
                  <a:pt x="2406396" y="3308604"/>
                </a:lnTo>
                <a:lnTo>
                  <a:pt x="2406396" y="3104388"/>
                </a:lnTo>
                <a:close/>
              </a:path>
              <a:path w="6217920" h="3721735">
                <a:moveTo>
                  <a:pt x="2406396" y="2897124"/>
                </a:moveTo>
                <a:lnTo>
                  <a:pt x="1772412" y="2897124"/>
                </a:lnTo>
                <a:lnTo>
                  <a:pt x="1772412" y="3101340"/>
                </a:lnTo>
                <a:lnTo>
                  <a:pt x="2406396" y="3101340"/>
                </a:lnTo>
                <a:lnTo>
                  <a:pt x="2406396" y="2897124"/>
                </a:lnTo>
                <a:close/>
              </a:path>
              <a:path w="6217920" h="3721735">
                <a:moveTo>
                  <a:pt x="2406396" y="2691384"/>
                </a:moveTo>
                <a:lnTo>
                  <a:pt x="1772412" y="2691384"/>
                </a:lnTo>
                <a:lnTo>
                  <a:pt x="1772412" y="2894076"/>
                </a:lnTo>
                <a:lnTo>
                  <a:pt x="2406396" y="2894076"/>
                </a:lnTo>
                <a:lnTo>
                  <a:pt x="2406396" y="2691384"/>
                </a:lnTo>
                <a:close/>
              </a:path>
              <a:path w="6217920" h="3721735">
                <a:moveTo>
                  <a:pt x="2406396" y="2484120"/>
                </a:moveTo>
                <a:lnTo>
                  <a:pt x="1772412" y="2484120"/>
                </a:lnTo>
                <a:lnTo>
                  <a:pt x="1772412" y="2688336"/>
                </a:lnTo>
                <a:lnTo>
                  <a:pt x="2406396" y="2688336"/>
                </a:lnTo>
                <a:lnTo>
                  <a:pt x="2406396" y="2484120"/>
                </a:lnTo>
                <a:close/>
              </a:path>
              <a:path w="6217920" h="3721735">
                <a:moveTo>
                  <a:pt x="2406396" y="2276856"/>
                </a:moveTo>
                <a:lnTo>
                  <a:pt x="1772412" y="2276856"/>
                </a:lnTo>
                <a:lnTo>
                  <a:pt x="1772412" y="2481072"/>
                </a:lnTo>
                <a:lnTo>
                  <a:pt x="2406396" y="2481072"/>
                </a:lnTo>
                <a:lnTo>
                  <a:pt x="2406396" y="2276856"/>
                </a:lnTo>
                <a:close/>
              </a:path>
              <a:path w="6217920" h="3721735">
                <a:moveTo>
                  <a:pt x="2406396" y="2069592"/>
                </a:moveTo>
                <a:lnTo>
                  <a:pt x="1772412" y="2069592"/>
                </a:lnTo>
                <a:lnTo>
                  <a:pt x="1772412" y="2273808"/>
                </a:lnTo>
                <a:lnTo>
                  <a:pt x="2406396" y="2273808"/>
                </a:lnTo>
                <a:lnTo>
                  <a:pt x="2406396" y="2069592"/>
                </a:lnTo>
                <a:close/>
              </a:path>
              <a:path w="6217920" h="3721735">
                <a:moveTo>
                  <a:pt x="2406396" y="1863852"/>
                </a:moveTo>
                <a:lnTo>
                  <a:pt x="1772412" y="1863852"/>
                </a:lnTo>
                <a:lnTo>
                  <a:pt x="1772412" y="2066544"/>
                </a:lnTo>
                <a:lnTo>
                  <a:pt x="2406396" y="2066544"/>
                </a:lnTo>
                <a:lnTo>
                  <a:pt x="2406396" y="1863852"/>
                </a:lnTo>
                <a:close/>
              </a:path>
              <a:path w="6217920" h="3721735">
                <a:moveTo>
                  <a:pt x="2406396" y="1656588"/>
                </a:moveTo>
                <a:lnTo>
                  <a:pt x="1772412" y="1656588"/>
                </a:lnTo>
                <a:lnTo>
                  <a:pt x="1772412" y="1860804"/>
                </a:lnTo>
                <a:lnTo>
                  <a:pt x="2406396" y="1860804"/>
                </a:lnTo>
                <a:lnTo>
                  <a:pt x="2406396" y="1656588"/>
                </a:lnTo>
                <a:close/>
              </a:path>
              <a:path w="6217920" h="3721735">
                <a:moveTo>
                  <a:pt x="3169920" y="3518916"/>
                </a:moveTo>
                <a:lnTo>
                  <a:pt x="2409444" y="3518916"/>
                </a:lnTo>
                <a:lnTo>
                  <a:pt x="2409444" y="3721608"/>
                </a:lnTo>
                <a:lnTo>
                  <a:pt x="3169920" y="3721608"/>
                </a:lnTo>
                <a:lnTo>
                  <a:pt x="3169920" y="3518916"/>
                </a:lnTo>
                <a:close/>
              </a:path>
              <a:path w="6217920" h="3721735">
                <a:moveTo>
                  <a:pt x="3169920" y="3311652"/>
                </a:moveTo>
                <a:lnTo>
                  <a:pt x="2409444" y="3311652"/>
                </a:lnTo>
                <a:lnTo>
                  <a:pt x="2409444" y="3515868"/>
                </a:lnTo>
                <a:lnTo>
                  <a:pt x="3169920" y="3515868"/>
                </a:lnTo>
                <a:lnTo>
                  <a:pt x="3169920" y="3311652"/>
                </a:lnTo>
                <a:close/>
              </a:path>
              <a:path w="6217920" h="3721735">
                <a:moveTo>
                  <a:pt x="3169920" y="3104388"/>
                </a:moveTo>
                <a:lnTo>
                  <a:pt x="2409444" y="3104388"/>
                </a:lnTo>
                <a:lnTo>
                  <a:pt x="2409444" y="3308604"/>
                </a:lnTo>
                <a:lnTo>
                  <a:pt x="3169920" y="3308604"/>
                </a:lnTo>
                <a:lnTo>
                  <a:pt x="3169920" y="3104388"/>
                </a:lnTo>
                <a:close/>
              </a:path>
              <a:path w="6217920" h="3721735">
                <a:moveTo>
                  <a:pt x="3169920" y="2897124"/>
                </a:moveTo>
                <a:lnTo>
                  <a:pt x="2409444" y="2897124"/>
                </a:lnTo>
                <a:lnTo>
                  <a:pt x="2409444" y="3101340"/>
                </a:lnTo>
                <a:lnTo>
                  <a:pt x="3169920" y="3101340"/>
                </a:lnTo>
                <a:lnTo>
                  <a:pt x="3169920" y="2897124"/>
                </a:lnTo>
                <a:close/>
              </a:path>
              <a:path w="6217920" h="3721735">
                <a:moveTo>
                  <a:pt x="3169920" y="2691384"/>
                </a:moveTo>
                <a:lnTo>
                  <a:pt x="2409444" y="2691384"/>
                </a:lnTo>
                <a:lnTo>
                  <a:pt x="2409444" y="2894076"/>
                </a:lnTo>
                <a:lnTo>
                  <a:pt x="3169920" y="2894076"/>
                </a:lnTo>
                <a:lnTo>
                  <a:pt x="3169920" y="2691384"/>
                </a:lnTo>
                <a:close/>
              </a:path>
              <a:path w="6217920" h="3721735">
                <a:moveTo>
                  <a:pt x="3169920" y="2484120"/>
                </a:moveTo>
                <a:lnTo>
                  <a:pt x="2409444" y="2484120"/>
                </a:lnTo>
                <a:lnTo>
                  <a:pt x="2409444" y="2688336"/>
                </a:lnTo>
                <a:lnTo>
                  <a:pt x="3169920" y="2688336"/>
                </a:lnTo>
                <a:lnTo>
                  <a:pt x="3169920" y="2484120"/>
                </a:lnTo>
                <a:close/>
              </a:path>
              <a:path w="6217920" h="3721735">
                <a:moveTo>
                  <a:pt x="3169920" y="2276856"/>
                </a:moveTo>
                <a:lnTo>
                  <a:pt x="2409444" y="2276856"/>
                </a:lnTo>
                <a:lnTo>
                  <a:pt x="2409444" y="2481072"/>
                </a:lnTo>
                <a:lnTo>
                  <a:pt x="3169920" y="2481072"/>
                </a:lnTo>
                <a:lnTo>
                  <a:pt x="3169920" y="2276856"/>
                </a:lnTo>
                <a:close/>
              </a:path>
              <a:path w="6217920" h="3721735">
                <a:moveTo>
                  <a:pt x="3169920" y="2069592"/>
                </a:moveTo>
                <a:lnTo>
                  <a:pt x="2409444" y="2069592"/>
                </a:lnTo>
                <a:lnTo>
                  <a:pt x="2409444" y="2273808"/>
                </a:lnTo>
                <a:lnTo>
                  <a:pt x="3169920" y="2273808"/>
                </a:lnTo>
                <a:lnTo>
                  <a:pt x="3169920" y="2069592"/>
                </a:lnTo>
                <a:close/>
              </a:path>
              <a:path w="6217920" h="3721735">
                <a:moveTo>
                  <a:pt x="3169920" y="1863852"/>
                </a:moveTo>
                <a:lnTo>
                  <a:pt x="2409444" y="1863852"/>
                </a:lnTo>
                <a:lnTo>
                  <a:pt x="2409444" y="2066544"/>
                </a:lnTo>
                <a:lnTo>
                  <a:pt x="3169920" y="2066544"/>
                </a:lnTo>
                <a:lnTo>
                  <a:pt x="3169920" y="1863852"/>
                </a:lnTo>
                <a:close/>
              </a:path>
              <a:path w="6217920" h="3721735">
                <a:moveTo>
                  <a:pt x="3169920" y="1656588"/>
                </a:moveTo>
                <a:lnTo>
                  <a:pt x="2409444" y="1656588"/>
                </a:lnTo>
                <a:lnTo>
                  <a:pt x="2409444" y="1860804"/>
                </a:lnTo>
                <a:lnTo>
                  <a:pt x="3169920" y="1860804"/>
                </a:lnTo>
                <a:lnTo>
                  <a:pt x="3169920" y="1656588"/>
                </a:lnTo>
                <a:close/>
              </a:path>
              <a:path w="6217920" h="3721735">
                <a:moveTo>
                  <a:pt x="3931920" y="3311652"/>
                </a:moveTo>
                <a:lnTo>
                  <a:pt x="3172968" y="3311652"/>
                </a:lnTo>
                <a:lnTo>
                  <a:pt x="3172968" y="3515868"/>
                </a:lnTo>
                <a:lnTo>
                  <a:pt x="3931920" y="3515868"/>
                </a:lnTo>
                <a:lnTo>
                  <a:pt x="3931920" y="3311652"/>
                </a:lnTo>
                <a:close/>
              </a:path>
              <a:path w="6217920" h="3721735">
                <a:moveTo>
                  <a:pt x="3931920" y="3104388"/>
                </a:moveTo>
                <a:lnTo>
                  <a:pt x="3172968" y="3104388"/>
                </a:lnTo>
                <a:lnTo>
                  <a:pt x="3172968" y="3308604"/>
                </a:lnTo>
                <a:lnTo>
                  <a:pt x="3931920" y="3308604"/>
                </a:lnTo>
                <a:lnTo>
                  <a:pt x="3931920" y="3104388"/>
                </a:lnTo>
                <a:close/>
              </a:path>
              <a:path w="6217920" h="3721735">
                <a:moveTo>
                  <a:pt x="3931920" y="2897124"/>
                </a:moveTo>
                <a:lnTo>
                  <a:pt x="3172968" y="2897124"/>
                </a:lnTo>
                <a:lnTo>
                  <a:pt x="3172968" y="3101340"/>
                </a:lnTo>
                <a:lnTo>
                  <a:pt x="3931920" y="3101340"/>
                </a:lnTo>
                <a:lnTo>
                  <a:pt x="3931920" y="2897124"/>
                </a:lnTo>
                <a:close/>
              </a:path>
              <a:path w="6217920" h="3721735">
                <a:moveTo>
                  <a:pt x="3931920" y="2691384"/>
                </a:moveTo>
                <a:lnTo>
                  <a:pt x="3172968" y="2691384"/>
                </a:lnTo>
                <a:lnTo>
                  <a:pt x="3172968" y="2894076"/>
                </a:lnTo>
                <a:lnTo>
                  <a:pt x="3931920" y="2894076"/>
                </a:lnTo>
                <a:lnTo>
                  <a:pt x="3931920" y="2691384"/>
                </a:lnTo>
                <a:close/>
              </a:path>
              <a:path w="6217920" h="3721735">
                <a:moveTo>
                  <a:pt x="3931920" y="2484120"/>
                </a:moveTo>
                <a:lnTo>
                  <a:pt x="3172968" y="2484120"/>
                </a:lnTo>
                <a:lnTo>
                  <a:pt x="3172968" y="2688336"/>
                </a:lnTo>
                <a:lnTo>
                  <a:pt x="3931920" y="2688336"/>
                </a:lnTo>
                <a:lnTo>
                  <a:pt x="3931920" y="2484120"/>
                </a:lnTo>
                <a:close/>
              </a:path>
              <a:path w="6217920" h="3721735">
                <a:moveTo>
                  <a:pt x="3931920" y="2276856"/>
                </a:moveTo>
                <a:lnTo>
                  <a:pt x="3172968" y="2276856"/>
                </a:lnTo>
                <a:lnTo>
                  <a:pt x="3172968" y="2481072"/>
                </a:lnTo>
                <a:lnTo>
                  <a:pt x="3931920" y="2481072"/>
                </a:lnTo>
                <a:lnTo>
                  <a:pt x="3931920" y="2276856"/>
                </a:lnTo>
                <a:close/>
              </a:path>
              <a:path w="6217920" h="3721735">
                <a:moveTo>
                  <a:pt x="3931920" y="2069592"/>
                </a:moveTo>
                <a:lnTo>
                  <a:pt x="3172968" y="2069592"/>
                </a:lnTo>
                <a:lnTo>
                  <a:pt x="3172968" y="2273808"/>
                </a:lnTo>
                <a:lnTo>
                  <a:pt x="3931920" y="2273808"/>
                </a:lnTo>
                <a:lnTo>
                  <a:pt x="3931920" y="2069592"/>
                </a:lnTo>
                <a:close/>
              </a:path>
              <a:path w="6217920" h="3721735">
                <a:moveTo>
                  <a:pt x="3931920" y="1863852"/>
                </a:moveTo>
                <a:lnTo>
                  <a:pt x="3172968" y="1863852"/>
                </a:lnTo>
                <a:lnTo>
                  <a:pt x="3172968" y="2066544"/>
                </a:lnTo>
                <a:lnTo>
                  <a:pt x="3931920" y="2066544"/>
                </a:lnTo>
                <a:lnTo>
                  <a:pt x="3931920" y="1863852"/>
                </a:lnTo>
                <a:close/>
              </a:path>
              <a:path w="6217920" h="3721735">
                <a:moveTo>
                  <a:pt x="3931920" y="1656588"/>
                </a:moveTo>
                <a:lnTo>
                  <a:pt x="3172968" y="1656588"/>
                </a:lnTo>
                <a:lnTo>
                  <a:pt x="3172968" y="1860804"/>
                </a:lnTo>
                <a:lnTo>
                  <a:pt x="3931920" y="1860804"/>
                </a:lnTo>
                <a:lnTo>
                  <a:pt x="3931920" y="1656588"/>
                </a:lnTo>
                <a:close/>
              </a:path>
              <a:path w="6217920" h="3721735">
                <a:moveTo>
                  <a:pt x="4693907" y="3311652"/>
                </a:moveTo>
                <a:lnTo>
                  <a:pt x="3934968" y="3311652"/>
                </a:lnTo>
                <a:lnTo>
                  <a:pt x="3934968" y="3515868"/>
                </a:lnTo>
                <a:lnTo>
                  <a:pt x="4693907" y="3515868"/>
                </a:lnTo>
                <a:lnTo>
                  <a:pt x="4693907" y="3311652"/>
                </a:lnTo>
                <a:close/>
              </a:path>
              <a:path w="6217920" h="3721735">
                <a:moveTo>
                  <a:pt x="4693907" y="3104388"/>
                </a:moveTo>
                <a:lnTo>
                  <a:pt x="3934968" y="3104388"/>
                </a:lnTo>
                <a:lnTo>
                  <a:pt x="3934968" y="3308604"/>
                </a:lnTo>
                <a:lnTo>
                  <a:pt x="4693907" y="3308604"/>
                </a:lnTo>
                <a:lnTo>
                  <a:pt x="4693907" y="3104388"/>
                </a:lnTo>
                <a:close/>
              </a:path>
              <a:path w="6217920" h="3721735">
                <a:moveTo>
                  <a:pt x="4693907" y="2897124"/>
                </a:moveTo>
                <a:lnTo>
                  <a:pt x="3934968" y="2897124"/>
                </a:lnTo>
                <a:lnTo>
                  <a:pt x="3934968" y="3101340"/>
                </a:lnTo>
                <a:lnTo>
                  <a:pt x="4693907" y="3101340"/>
                </a:lnTo>
                <a:lnTo>
                  <a:pt x="4693907" y="2897124"/>
                </a:lnTo>
                <a:close/>
              </a:path>
              <a:path w="6217920" h="3721735">
                <a:moveTo>
                  <a:pt x="4693907" y="2691384"/>
                </a:moveTo>
                <a:lnTo>
                  <a:pt x="3934968" y="2691384"/>
                </a:lnTo>
                <a:lnTo>
                  <a:pt x="3934968" y="2894076"/>
                </a:lnTo>
                <a:lnTo>
                  <a:pt x="4693907" y="2894076"/>
                </a:lnTo>
                <a:lnTo>
                  <a:pt x="4693907" y="2691384"/>
                </a:lnTo>
                <a:close/>
              </a:path>
              <a:path w="6217920" h="3721735">
                <a:moveTo>
                  <a:pt x="4693907" y="2484120"/>
                </a:moveTo>
                <a:lnTo>
                  <a:pt x="3934968" y="2484120"/>
                </a:lnTo>
                <a:lnTo>
                  <a:pt x="3934968" y="2688336"/>
                </a:lnTo>
                <a:lnTo>
                  <a:pt x="4693907" y="2688336"/>
                </a:lnTo>
                <a:lnTo>
                  <a:pt x="4693907" y="2484120"/>
                </a:lnTo>
                <a:close/>
              </a:path>
              <a:path w="6217920" h="3721735">
                <a:moveTo>
                  <a:pt x="4693907" y="2276856"/>
                </a:moveTo>
                <a:lnTo>
                  <a:pt x="3934968" y="2276856"/>
                </a:lnTo>
                <a:lnTo>
                  <a:pt x="3934968" y="2481072"/>
                </a:lnTo>
                <a:lnTo>
                  <a:pt x="4693907" y="2481072"/>
                </a:lnTo>
                <a:lnTo>
                  <a:pt x="4693907" y="2276856"/>
                </a:lnTo>
                <a:close/>
              </a:path>
              <a:path w="6217920" h="3721735">
                <a:moveTo>
                  <a:pt x="4693907" y="2069592"/>
                </a:moveTo>
                <a:lnTo>
                  <a:pt x="3934968" y="2069592"/>
                </a:lnTo>
                <a:lnTo>
                  <a:pt x="3934968" y="2273808"/>
                </a:lnTo>
                <a:lnTo>
                  <a:pt x="4693907" y="2273808"/>
                </a:lnTo>
                <a:lnTo>
                  <a:pt x="4693907" y="2069592"/>
                </a:lnTo>
                <a:close/>
              </a:path>
              <a:path w="6217920" h="3721735">
                <a:moveTo>
                  <a:pt x="4693907" y="1863852"/>
                </a:moveTo>
                <a:lnTo>
                  <a:pt x="3934968" y="1863852"/>
                </a:lnTo>
                <a:lnTo>
                  <a:pt x="3934968" y="2066544"/>
                </a:lnTo>
                <a:lnTo>
                  <a:pt x="4693907" y="2066544"/>
                </a:lnTo>
                <a:lnTo>
                  <a:pt x="4693907" y="1863852"/>
                </a:lnTo>
                <a:close/>
              </a:path>
              <a:path w="6217920" h="3721735">
                <a:moveTo>
                  <a:pt x="4693907" y="1656588"/>
                </a:moveTo>
                <a:lnTo>
                  <a:pt x="3934968" y="1656588"/>
                </a:lnTo>
                <a:lnTo>
                  <a:pt x="3934968" y="1860804"/>
                </a:lnTo>
                <a:lnTo>
                  <a:pt x="4693907" y="1860804"/>
                </a:lnTo>
                <a:lnTo>
                  <a:pt x="4693907" y="1656588"/>
                </a:lnTo>
                <a:close/>
              </a:path>
              <a:path w="6217920" h="3721735">
                <a:moveTo>
                  <a:pt x="4693907" y="1449324"/>
                </a:moveTo>
                <a:lnTo>
                  <a:pt x="3934968" y="1449324"/>
                </a:lnTo>
                <a:lnTo>
                  <a:pt x="3934968" y="1653540"/>
                </a:lnTo>
                <a:lnTo>
                  <a:pt x="4693907" y="1653540"/>
                </a:lnTo>
                <a:lnTo>
                  <a:pt x="4693907" y="1449324"/>
                </a:lnTo>
                <a:close/>
              </a:path>
              <a:path w="6217920" h="3721735">
                <a:moveTo>
                  <a:pt x="5455920" y="3311652"/>
                </a:moveTo>
                <a:lnTo>
                  <a:pt x="4696968" y="3311652"/>
                </a:lnTo>
                <a:lnTo>
                  <a:pt x="4696968" y="3515868"/>
                </a:lnTo>
                <a:lnTo>
                  <a:pt x="5455920" y="3515868"/>
                </a:lnTo>
                <a:lnTo>
                  <a:pt x="5455920" y="3311652"/>
                </a:lnTo>
                <a:close/>
              </a:path>
              <a:path w="6217920" h="3721735">
                <a:moveTo>
                  <a:pt x="5455920" y="3104388"/>
                </a:moveTo>
                <a:lnTo>
                  <a:pt x="4696968" y="3104388"/>
                </a:lnTo>
                <a:lnTo>
                  <a:pt x="4696968" y="3308604"/>
                </a:lnTo>
                <a:lnTo>
                  <a:pt x="5455920" y="3308604"/>
                </a:lnTo>
                <a:lnTo>
                  <a:pt x="5455920" y="3104388"/>
                </a:lnTo>
                <a:close/>
              </a:path>
              <a:path w="6217920" h="3721735">
                <a:moveTo>
                  <a:pt x="5455920" y="2897124"/>
                </a:moveTo>
                <a:lnTo>
                  <a:pt x="4696968" y="2897124"/>
                </a:lnTo>
                <a:lnTo>
                  <a:pt x="4696968" y="3101340"/>
                </a:lnTo>
                <a:lnTo>
                  <a:pt x="5455920" y="3101340"/>
                </a:lnTo>
                <a:lnTo>
                  <a:pt x="5455920" y="2897124"/>
                </a:lnTo>
                <a:close/>
              </a:path>
              <a:path w="6217920" h="3721735">
                <a:moveTo>
                  <a:pt x="5455920" y="2691384"/>
                </a:moveTo>
                <a:lnTo>
                  <a:pt x="4696968" y="2691384"/>
                </a:lnTo>
                <a:lnTo>
                  <a:pt x="4696968" y="2894076"/>
                </a:lnTo>
                <a:lnTo>
                  <a:pt x="5455920" y="2894076"/>
                </a:lnTo>
                <a:lnTo>
                  <a:pt x="5455920" y="2691384"/>
                </a:lnTo>
                <a:close/>
              </a:path>
              <a:path w="6217920" h="3721735">
                <a:moveTo>
                  <a:pt x="5455920" y="2484120"/>
                </a:moveTo>
                <a:lnTo>
                  <a:pt x="4696968" y="2484120"/>
                </a:lnTo>
                <a:lnTo>
                  <a:pt x="4696968" y="2688336"/>
                </a:lnTo>
                <a:lnTo>
                  <a:pt x="5455920" y="2688336"/>
                </a:lnTo>
                <a:lnTo>
                  <a:pt x="5455920" y="2484120"/>
                </a:lnTo>
                <a:close/>
              </a:path>
              <a:path w="6217920" h="3721735">
                <a:moveTo>
                  <a:pt x="5455920" y="2276856"/>
                </a:moveTo>
                <a:lnTo>
                  <a:pt x="4696968" y="2276856"/>
                </a:lnTo>
                <a:lnTo>
                  <a:pt x="4696968" y="2481072"/>
                </a:lnTo>
                <a:lnTo>
                  <a:pt x="5455920" y="2481072"/>
                </a:lnTo>
                <a:lnTo>
                  <a:pt x="5455920" y="2276856"/>
                </a:lnTo>
                <a:close/>
              </a:path>
              <a:path w="6217920" h="3721735">
                <a:moveTo>
                  <a:pt x="5455920" y="2069592"/>
                </a:moveTo>
                <a:lnTo>
                  <a:pt x="4696968" y="2069592"/>
                </a:lnTo>
                <a:lnTo>
                  <a:pt x="4696968" y="2273808"/>
                </a:lnTo>
                <a:lnTo>
                  <a:pt x="5455920" y="2273808"/>
                </a:lnTo>
                <a:lnTo>
                  <a:pt x="5455920" y="2069592"/>
                </a:lnTo>
                <a:close/>
              </a:path>
              <a:path w="6217920" h="3721735">
                <a:moveTo>
                  <a:pt x="5455920" y="1863852"/>
                </a:moveTo>
                <a:lnTo>
                  <a:pt x="4696968" y="1863852"/>
                </a:lnTo>
                <a:lnTo>
                  <a:pt x="4696968" y="2066544"/>
                </a:lnTo>
                <a:lnTo>
                  <a:pt x="5455920" y="2066544"/>
                </a:lnTo>
                <a:lnTo>
                  <a:pt x="5455920" y="1863852"/>
                </a:lnTo>
                <a:close/>
              </a:path>
              <a:path w="6217920" h="3721735">
                <a:moveTo>
                  <a:pt x="5455920" y="1656588"/>
                </a:moveTo>
                <a:lnTo>
                  <a:pt x="4696968" y="1656588"/>
                </a:lnTo>
                <a:lnTo>
                  <a:pt x="4696968" y="1860804"/>
                </a:lnTo>
                <a:lnTo>
                  <a:pt x="5455920" y="1860804"/>
                </a:lnTo>
                <a:lnTo>
                  <a:pt x="5455920" y="1656588"/>
                </a:lnTo>
                <a:close/>
              </a:path>
              <a:path w="6217920" h="3721735">
                <a:moveTo>
                  <a:pt x="5455920" y="1449324"/>
                </a:moveTo>
                <a:lnTo>
                  <a:pt x="4696968" y="1449324"/>
                </a:lnTo>
                <a:lnTo>
                  <a:pt x="4696968" y="1653540"/>
                </a:lnTo>
                <a:lnTo>
                  <a:pt x="5455920" y="1653540"/>
                </a:lnTo>
                <a:lnTo>
                  <a:pt x="5455920" y="1449324"/>
                </a:lnTo>
                <a:close/>
              </a:path>
              <a:path w="6217920" h="3721735">
                <a:moveTo>
                  <a:pt x="6217920" y="3311652"/>
                </a:moveTo>
                <a:lnTo>
                  <a:pt x="5458968" y="3311652"/>
                </a:lnTo>
                <a:lnTo>
                  <a:pt x="5458968" y="3515868"/>
                </a:lnTo>
                <a:lnTo>
                  <a:pt x="6217920" y="3515868"/>
                </a:lnTo>
                <a:lnTo>
                  <a:pt x="6217920" y="3311652"/>
                </a:lnTo>
                <a:close/>
              </a:path>
              <a:path w="6217920" h="3721735">
                <a:moveTo>
                  <a:pt x="6217920" y="3104388"/>
                </a:moveTo>
                <a:lnTo>
                  <a:pt x="5458968" y="3104388"/>
                </a:lnTo>
                <a:lnTo>
                  <a:pt x="5458968" y="3308604"/>
                </a:lnTo>
                <a:lnTo>
                  <a:pt x="6217920" y="3308604"/>
                </a:lnTo>
                <a:lnTo>
                  <a:pt x="6217920" y="3104388"/>
                </a:lnTo>
                <a:close/>
              </a:path>
              <a:path w="6217920" h="3721735">
                <a:moveTo>
                  <a:pt x="6217920" y="2897124"/>
                </a:moveTo>
                <a:lnTo>
                  <a:pt x="5458968" y="2897124"/>
                </a:lnTo>
                <a:lnTo>
                  <a:pt x="5458968" y="3101340"/>
                </a:lnTo>
                <a:lnTo>
                  <a:pt x="6217920" y="3101340"/>
                </a:lnTo>
                <a:lnTo>
                  <a:pt x="6217920" y="2897124"/>
                </a:lnTo>
                <a:close/>
              </a:path>
              <a:path w="6217920" h="3721735">
                <a:moveTo>
                  <a:pt x="6217920" y="2691384"/>
                </a:moveTo>
                <a:lnTo>
                  <a:pt x="5458968" y="2691384"/>
                </a:lnTo>
                <a:lnTo>
                  <a:pt x="5458968" y="2894076"/>
                </a:lnTo>
                <a:lnTo>
                  <a:pt x="6217920" y="2894076"/>
                </a:lnTo>
                <a:lnTo>
                  <a:pt x="6217920" y="2691384"/>
                </a:lnTo>
                <a:close/>
              </a:path>
              <a:path w="6217920" h="3721735">
                <a:moveTo>
                  <a:pt x="6217920" y="2484120"/>
                </a:moveTo>
                <a:lnTo>
                  <a:pt x="5458968" y="2484120"/>
                </a:lnTo>
                <a:lnTo>
                  <a:pt x="5458968" y="2688336"/>
                </a:lnTo>
                <a:lnTo>
                  <a:pt x="6217920" y="2688336"/>
                </a:lnTo>
                <a:lnTo>
                  <a:pt x="6217920" y="2484120"/>
                </a:lnTo>
                <a:close/>
              </a:path>
              <a:path w="6217920" h="3721735">
                <a:moveTo>
                  <a:pt x="6217920" y="2276856"/>
                </a:moveTo>
                <a:lnTo>
                  <a:pt x="5458968" y="2276856"/>
                </a:lnTo>
                <a:lnTo>
                  <a:pt x="5458968" y="2481072"/>
                </a:lnTo>
                <a:lnTo>
                  <a:pt x="6217920" y="2481072"/>
                </a:lnTo>
                <a:lnTo>
                  <a:pt x="6217920" y="2276856"/>
                </a:lnTo>
                <a:close/>
              </a:path>
              <a:path w="6217920" h="3721735">
                <a:moveTo>
                  <a:pt x="6217920" y="2069592"/>
                </a:moveTo>
                <a:lnTo>
                  <a:pt x="5458968" y="2069592"/>
                </a:lnTo>
                <a:lnTo>
                  <a:pt x="5458968" y="2273808"/>
                </a:lnTo>
                <a:lnTo>
                  <a:pt x="6217920" y="2273808"/>
                </a:lnTo>
                <a:lnTo>
                  <a:pt x="6217920" y="2069592"/>
                </a:lnTo>
                <a:close/>
              </a:path>
              <a:path w="6217920" h="3721735">
                <a:moveTo>
                  <a:pt x="6217920" y="1863852"/>
                </a:moveTo>
                <a:lnTo>
                  <a:pt x="5458968" y="1863852"/>
                </a:lnTo>
                <a:lnTo>
                  <a:pt x="5458968" y="2066544"/>
                </a:lnTo>
                <a:lnTo>
                  <a:pt x="6217920" y="2066544"/>
                </a:lnTo>
                <a:lnTo>
                  <a:pt x="6217920" y="1863852"/>
                </a:lnTo>
                <a:close/>
              </a:path>
              <a:path w="6217920" h="3721735">
                <a:moveTo>
                  <a:pt x="6217920" y="1656588"/>
                </a:moveTo>
                <a:lnTo>
                  <a:pt x="5458968" y="1656588"/>
                </a:lnTo>
                <a:lnTo>
                  <a:pt x="5458968" y="1860804"/>
                </a:lnTo>
                <a:lnTo>
                  <a:pt x="6217920" y="1860804"/>
                </a:lnTo>
                <a:lnTo>
                  <a:pt x="6217920" y="1656588"/>
                </a:lnTo>
                <a:close/>
              </a:path>
              <a:path w="6217920" h="3721735">
                <a:moveTo>
                  <a:pt x="6217920" y="1449324"/>
                </a:moveTo>
                <a:lnTo>
                  <a:pt x="5458968" y="1449324"/>
                </a:lnTo>
                <a:lnTo>
                  <a:pt x="5458968" y="1653540"/>
                </a:lnTo>
                <a:lnTo>
                  <a:pt x="6217920" y="1653540"/>
                </a:lnTo>
                <a:lnTo>
                  <a:pt x="6217920" y="1449324"/>
                </a:lnTo>
                <a:close/>
              </a:path>
            </a:pathLst>
          </a:custGeom>
          <a:solidFill>
            <a:srgbClr val="FFFFFF"/>
          </a:solidFill>
        </xdr:spPr>
      </xdr:sp>
      <xdr:sp macro="" textlink="">
        <xdr:nvSpPr>
          <xdr:cNvPr id="34" name="Shape 34">
            <a:extLst>
              <a:ext uri="{FF2B5EF4-FFF2-40B4-BE49-F238E27FC236}">
                <a16:creationId xmlns:a16="http://schemas.microsoft.com/office/drawing/2014/main" id="{00000000-0008-0000-0200-000022000000}"/>
              </a:ext>
            </a:extLst>
          </xdr:cNvPr>
          <xdr:cNvSpPr/>
        </xdr:nvSpPr>
        <xdr:spPr>
          <a:xfrm>
            <a:off x="3677412" y="3933444"/>
            <a:ext cx="3808729" cy="203200"/>
          </a:xfrm>
          <a:custGeom>
            <a:avLst/>
            <a:gdLst/>
            <a:ahLst/>
            <a:cxnLst/>
            <a:rect l="0" t="0" r="0" b="0"/>
            <a:pathLst>
              <a:path w="3808729" h="203200">
                <a:moveTo>
                  <a:pt x="760476" y="0"/>
                </a:moveTo>
                <a:lnTo>
                  <a:pt x="0" y="0"/>
                </a:lnTo>
                <a:lnTo>
                  <a:pt x="0" y="202692"/>
                </a:lnTo>
                <a:lnTo>
                  <a:pt x="760476" y="202692"/>
                </a:lnTo>
                <a:lnTo>
                  <a:pt x="760476" y="0"/>
                </a:lnTo>
                <a:close/>
              </a:path>
              <a:path w="3808729" h="203200">
                <a:moveTo>
                  <a:pt x="1522476" y="0"/>
                </a:moveTo>
                <a:lnTo>
                  <a:pt x="763524" y="0"/>
                </a:lnTo>
                <a:lnTo>
                  <a:pt x="763524" y="202692"/>
                </a:lnTo>
                <a:lnTo>
                  <a:pt x="1522476" y="202692"/>
                </a:lnTo>
                <a:lnTo>
                  <a:pt x="1522476" y="0"/>
                </a:lnTo>
                <a:close/>
              </a:path>
              <a:path w="3808729" h="203200">
                <a:moveTo>
                  <a:pt x="2284463" y="0"/>
                </a:moveTo>
                <a:lnTo>
                  <a:pt x="1525524" y="0"/>
                </a:lnTo>
                <a:lnTo>
                  <a:pt x="1525524" y="202692"/>
                </a:lnTo>
                <a:lnTo>
                  <a:pt x="2284463" y="202692"/>
                </a:lnTo>
                <a:lnTo>
                  <a:pt x="2284463" y="0"/>
                </a:lnTo>
                <a:close/>
              </a:path>
              <a:path w="3808729" h="203200">
                <a:moveTo>
                  <a:pt x="3046476" y="0"/>
                </a:moveTo>
                <a:lnTo>
                  <a:pt x="2287524" y="0"/>
                </a:lnTo>
                <a:lnTo>
                  <a:pt x="2287524" y="202692"/>
                </a:lnTo>
                <a:lnTo>
                  <a:pt x="3046476" y="202692"/>
                </a:lnTo>
                <a:lnTo>
                  <a:pt x="3046476" y="0"/>
                </a:lnTo>
                <a:close/>
              </a:path>
              <a:path w="3808729" h="203200">
                <a:moveTo>
                  <a:pt x="3808476" y="0"/>
                </a:moveTo>
                <a:lnTo>
                  <a:pt x="3049524" y="0"/>
                </a:lnTo>
                <a:lnTo>
                  <a:pt x="3049524" y="202692"/>
                </a:lnTo>
                <a:lnTo>
                  <a:pt x="3808476" y="202692"/>
                </a:lnTo>
                <a:lnTo>
                  <a:pt x="3808476" y="0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11</xdr:col>
      <xdr:colOff>546481</xdr:colOff>
      <xdr:row>26</xdr:row>
      <xdr:rowOff>0</xdr:rowOff>
    </xdr:from>
    <xdr:ext cx="645160" cy="4136390"/>
    <xdr:sp macro="" textlink="">
      <xdr:nvSpPr>
        <xdr:cNvPr id="35" name="Shape 35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SpPr/>
      </xdr:nvSpPr>
      <xdr:spPr>
        <a:xfrm>
          <a:off x="0" y="0"/>
          <a:ext cx="645160" cy="4136390"/>
        </a:xfrm>
        <a:custGeom>
          <a:avLst/>
          <a:gdLst/>
          <a:ahLst/>
          <a:cxnLst/>
          <a:rect l="0" t="0" r="0" b="0"/>
          <a:pathLst>
            <a:path w="645160" h="4136390">
              <a:moveTo>
                <a:pt x="644652" y="3933444"/>
              </a:moveTo>
              <a:lnTo>
                <a:pt x="0" y="3933444"/>
              </a:lnTo>
              <a:lnTo>
                <a:pt x="0" y="4136136"/>
              </a:lnTo>
              <a:lnTo>
                <a:pt x="644652" y="4136136"/>
              </a:lnTo>
              <a:lnTo>
                <a:pt x="644652" y="3933444"/>
              </a:lnTo>
              <a:close/>
            </a:path>
            <a:path w="645160" h="4136390">
              <a:moveTo>
                <a:pt x="644652" y="3726180"/>
              </a:moveTo>
              <a:lnTo>
                <a:pt x="0" y="3726180"/>
              </a:lnTo>
              <a:lnTo>
                <a:pt x="0" y="3930396"/>
              </a:lnTo>
              <a:lnTo>
                <a:pt x="644652" y="3930396"/>
              </a:lnTo>
              <a:lnTo>
                <a:pt x="644652" y="3726180"/>
              </a:lnTo>
              <a:close/>
            </a:path>
            <a:path w="645160" h="4136390">
              <a:moveTo>
                <a:pt x="644652" y="3518916"/>
              </a:moveTo>
              <a:lnTo>
                <a:pt x="0" y="3518916"/>
              </a:lnTo>
              <a:lnTo>
                <a:pt x="0" y="3723132"/>
              </a:lnTo>
              <a:lnTo>
                <a:pt x="644652" y="3723132"/>
              </a:lnTo>
              <a:lnTo>
                <a:pt x="644652" y="3518916"/>
              </a:lnTo>
              <a:close/>
            </a:path>
            <a:path w="645160" h="4136390">
              <a:moveTo>
                <a:pt x="644652" y="3311652"/>
              </a:moveTo>
              <a:lnTo>
                <a:pt x="0" y="3311652"/>
              </a:lnTo>
              <a:lnTo>
                <a:pt x="0" y="3515868"/>
              </a:lnTo>
              <a:lnTo>
                <a:pt x="644652" y="3515868"/>
              </a:lnTo>
              <a:lnTo>
                <a:pt x="644652" y="3311652"/>
              </a:lnTo>
              <a:close/>
            </a:path>
            <a:path w="645160" h="4136390">
              <a:moveTo>
                <a:pt x="644652" y="3105912"/>
              </a:moveTo>
              <a:lnTo>
                <a:pt x="0" y="3105912"/>
              </a:lnTo>
              <a:lnTo>
                <a:pt x="0" y="3308604"/>
              </a:lnTo>
              <a:lnTo>
                <a:pt x="644652" y="3308604"/>
              </a:lnTo>
              <a:lnTo>
                <a:pt x="644652" y="3105912"/>
              </a:lnTo>
              <a:close/>
            </a:path>
            <a:path w="645160" h="4136390">
              <a:moveTo>
                <a:pt x="644652" y="2898648"/>
              </a:moveTo>
              <a:lnTo>
                <a:pt x="0" y="2898648"/>
              </a:lnTo>
              <a:lnTo>
                <a:pt x="0" y="3102864"/>
              </a:lnTo>
              <a:lnTo>
                <a:pt x="644652" y="3102864"/>
              </a:lnTo>
              <a:lnTo>
                <a:pt x="644652" y="2898648"/>
              </a:lnTo>
              <a:close/>
            </a:path>
            <a:path w="645160" h="4136390">
              <a:moveTo>
                <a:pt x="644652" y="2691384"/>
              </a:moveTo>
              <a:lnTo>
                <a:pt x="0" y="2691384"/>
              </a:lnTo>
              <a:lnTo>
                <a:pt x="0" y="2895600"/>
              </a:lnTo>
              <a:lnTo>
                <a:pt x="644652" y="2895600"/>
              </a:lnTo>
              <a:lnTo>
                <a:pt x="644652" y="2691384"/>
              </a:lnTo>
              <a:close/>
            </a:path>
            <a:path w="645160" h="4136390">
              <a:moveTo>
                <a:pt x="644652" y="2484120"/>
              </a:moveTo>
              <a:lnTo>
                <a:pt x="0" y="2484120"/>
              </a:lnTo>
              <a:lnTo>
                <a:pt x="0" y="2688336"/>
              </a:lnTo>
              <a:lnTo>
                <a:pt x="644652" y="2688336"/>
              </a:lnTo>
              <a:lnTo>
                <a:pt x="644652" y="2484120"/>
              </a:lnTo>
              <a:close/>
            </a:path>
            <a:path w="645160" h="4136390">
              <a:moveTo>
                <a:pt x="644652" y="2278380"/>
              </a:moveTo>
              <a:lnTo>
                <a:pt x="0" y="2278380"/>
              </a:lnTo>
              <a:lnTo>
                <a:pt x="0" y="2481072"/>
              </a:lnTo>
              <a:lnTo>
                <a:pt x="644652" y="2481072"/>
              </a:lnTo>
              <a:lnTo>
                <a:pt x="644652" y="2278380"/>
              </a:lnTo>
              <a:close/>
            </a:path>
            <a:path w="645160" h="4136390">
              <a:moveTo>
                <a:pt x="644652" y="2071116"/>
              </a:moveTo>
              <a:lnTo>
                <a:pt x="0" y="2071116"/>
              </a:lnTo>
              <a:lnTo>
                <a:pt x="0" y="2275332"/>
              </a:lnTo>
              <a:lnTo>
                <a:pt x="644652" y="2275332"/>
              </a:lnTo>
              <a:lnTo>
                <a:pt x="644652" y="2071116"/>
              </a:lnTo>
              <a:close/>
            </a:path>
            <a:path w="645160" h="4136390">
              <a:moveTo>
                <a:pt x="644652" y="1863852"/>
              </a:moveTo>
              <a:lnTo>
                <a:pt x="0" y="1863852"/>
              </a:lnTo>
              <a:lnTo>
                <a:pt x="0" y="2068068"/>
              </a:lnTo>
              <a:lnTo>
                <a:pt x="644652" y="2068068"/>
              </a:lnTo>
              <a:lnTo>
                <a:pt x="644652" y="1863852"/>
              </a:lnTo>
              <a:close/>
            </a:path>
            <a:path w="645160" h="4136390">
              <a:moveTo>
                <a:pt x="644652" y="1656588"/>
              </a:moveTo>
              <a:lnTo>
                <a:pt x="0" y="1656588"/>
              </a:lnTo>
              <a:lnTo>
                <a:pt x="0" y="1860804"/>
              </a:lnTo>
              <a:lnTo>
                <a:pt x="644652" y="1860804"/>
              </a:lnTo>
              <a:lnTo>
                <a:pt x="644652" y="1656588"/>
              </a:lnTo>
              <a:close/>
            </a:path>
            <a:path w="645160" h="4136390">
              <a:moveTo>
                <a:pt x="644652" y="1449324"/>
              </a:moveTo>
              <a:lnTo>
                <a:pt x="0" y="1449324"/>
              </a:lnTo>
              <a:lnTo>
                <a:pt x="0" y="1653540"/>
              </a:lnTo>
              <a:lnTo>
                <a:pt x="644652" y="1653540"/>
              </a:lnTo>
              <a:lnTo>
                <a:pt x="644652" y="1449324"/>
              </a:lnTo>
              <a:close/>
            </a:path>
            <a:path w="645160" h="4136390">
              <a:moveTo>
                <a:pt x="644652" y="1242060"/>
              </a:moveTo>
              <a:lnTo>
                <a:pt x="0" y="1242060"/>
              </a:lnTo>
              <a:lnTo>
                <a:pt x="0" y="1446276"/>
              </a:lnTo>
              <a:lnTo>
                <a:pt x="644652" y="1446276"/>
              </a:lnTo>
              <a:lnTo>
                <a:pt x="644652" y="1242060"/>
              </a:lnTo>
              <a:close/>
            </a:path>
            <a:path w="645160" h="4136390">
              <a:moveTo>
                <a:pt x="644652" y="1036320"/>
              </a:moveTo>
              <a:lnTo>
                <a:pt x="0" y="1036320"/>
              </a:lnTo>
              <a:lnTo>
                <a:pt x="0" y="1239012"/>
              </a:lnTo>
              <a:lnTo>
                <a:pt x="644652" y="1239012"/>
              </a:lnTo>
              <a:lnTo>
                <a:pt x="644652" y="1036320"/>
              </a:lnTo>
              <a:close/>
            </a:path>
            <a:path w="645160" h="4136390">
              <a:moveTo>
                <a:pt x="644652" y="829056"/>
              </a:moveTo>
              <a:lnTo>
                <a:pt x="0" y="829056"/>
              </a:lnTo>
              <a:lnTo>
                <a:pt x="0" y="1033272"/>
              </a:lnTo>
              <a:lnTo>
                <a:pt x="644652" y="1033272"/>
              </a:lnTo>
              <a:lnTo>
                <a:pt x="644652" y="829056"/>
              </a:lnTo>
              <a:close/>
            </a:path>
            <a:path w="645160" h="4136390">
              <a:moveTo>
                <a:pt x="644652" y="621792"/>
              </a:moveTo>
              <a:lnTo>
                <a:pt x="0" y="621792"/>
              </a:lnTo>
              <a:lnTo>
                <a:pt x="0" y="826008"/>
              </a:lnTo>
              <a:lnTo>
                <a:pt x="644652" y="826008"/>
              </a:lnTo>
              <a:lnTo>
                <a:pt x="644652" y="621792"/>
              </a:lnTo>
              <a:close/>
            </a:path>
            <a:path w="645160" h="4136390">
              <a:moveTo>
                <a:pt x="644652" y="414528"/>
              </a:moveTo>
              <a:lnTo>
                <a:pt x="0" y="414528"/>
              </a:lnTo>
              <a:lnTo>
                <a:pt x="0" y="618744"/>
              </a:lnTo>
              <a:lnTo>
                <a:pt x="644652" y="618744"/>
              </a:lnTo>
              <a:lnTo>
                <a:pt x="644652" y="414528"/>
              </a:lnTo>
              <a:close/>
            </a:path>
            <a:path w="645160" h="4136390">
              <a:moveTo>
                <a:pt x="644652" y="207264"/>
              </a:moveTo>
              <a:lnTo>
                <a:pt x="0" y="207264"/>
              </a:lnTo>
              <a:lnTo>
                <a:pt x="0" y="411480"/>
              </a:lnTo>
              <a:lnTo>
                <a:pt x="644652" y="411480"/>
              </a:lnTo>
              <a:lnTo>
                <a:pt x="644652" y="207264"/>
              </a:lnTo>
              <a:close/>
            </a:path>
            <a:path w="645160" h="4136390">
              <a:moveTo>
                <a:pt x="644652" y="0"/>
              </a:moveTo>
              <a:lnTo>
                <a:pt x="0" y="0"/>
              </a:lnTo>
              <a:lnTo>
                <a:pt x="0" y="204216"/>
              </a:lnTo>
              <a:lnTo>
                <a:pt x="644652" y="204216"/>
              </a:lnTo>
              <a:lnTo>
                <a:pt x="644652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543687</xdr:colOff>
      <xdr:row>22</xdr:row>
      <xdr:rowOff>206501</xdr:rowOff>
    </xdr:from>
    <xdr:ext cx="3808729" cy="480059"/>
    <xdr:sp macro="" textlink="">
      <xdr:nvSpPr>
        <xdr:cNvPr id="36" name="Shape 36">
          <a:extLst>
            <a:ext uri="{FF2B5EF4-FFF2-40B4-BE49-F238E27FC236}">
              <a16:creationId xmlns:a16="http://schemas.microsoft.com/office/drawing/2014/main" id="{00000000-0008-0000-0300-000024000000}"/>
            </a:ext>
          </a:extLst>
        </xdr:cNvPr>
        <xdr:cNvSpPr/>
      </xdr:nvSpPr>
      <xdr:spPr>
        <a:xfrm>
          <a:off x="0" y="0"/>
          <a:ext cx="3808729" cy="480059"/>
        </a:xfrm>
        <a:custGeom>
          <a:avLst/>
          <a:gdLst/>
          <a:ahLst/>
          <a:cxnLst/>
          <a:rect l="0" t="0" r="0" b="0"/>
          <a:pathLst>
            <a:path w="3808729" h="480059">
              <a:moveTo>
                <a:pt x="760476" y="0"/>
              </a:moveTo>
              <a:lnTo>
                <a:pt x="0" y="0"/>
              </a:lnTo>
              <a:lnTo>
                <a:pt x="0" y="480060"/>
              </a:lnTo>
              <a:lnTo>
                <a:pt x="760476" y="480060"/>
              </a:lnTo>
              <a:lnTo>
                <a:pt x="760476" y="0"/>
              </a:lnTo>
              <a:close/>
            </a:path>
            <a:path w="3808729" h="480059">
              <a:moveTo>
                <a:pt x="1522476" y="0"/>
              </a:moveTo>
              <a:lnTo>
                <a:pt x="763524" y="0"/>
              </a:lnTo>
              <a:lnTo>
                <a:pt x="763524" y="480060"/>
              </a:lnTo>
              <a:lnTo>
                <a:pt x="1522476" y="480060"/>
              </a:lnTo>
              <a:lnTo>
                <a:pt x="1522476" y="0"/>
              </a:lnTo>
              <a:close/>
            </a:path>
            <a:path w="3808729" h="480059">
              <a:moveTo>
                <a:pt x="2284463" y="0"/>
              </a:moveTo>
              <a:lnTo>
                <a:pt x="1525524" y="0"/>
              </a:lnTo>
              <a:lnTo>
                <a:pt x="1525524" y="480060"/>
              </a:lnTo>
              <a:lnTo>
                <a:pt x="2284463" y="480060"/>
              </a:lnTo>
              <a:lnTo>
                <a:pt x="2284463" y="0"/>
              </a:lnTo>
              <a:close/>
            </a:path>
            <a:path w="3808729" h="480059">
              <a:moveTo>
                <a:pt x="3046476" y="0"/>
              </a:moveTo>
              <a:lnTo>
                <a:pt x="2287524" y="0"/>
              </a:lnTo>
              <a:lnTo>
                <a:pt x="2287524" y="480060"/>
              </a:lnTo>
              <a:lnTo>
                <a:pt x="3046476" y="480060"/>
              </a:lnTo>
              <a:lnTo>
                <a:pt x="3046476" y="0"/>
              </a:lnTo>
              <a:close/>
            </a:path>
            <a:path w="3808729" h="480059">
              <a:moveTo>
                <a:pt x="3808476" y="0"/>
              </a:moveTo>
              <a:lnTo>
                <a:pt x="3049524" y="0"/>
              </a:lnTo>
              <a:lnTo>
                <a:pt x="3049524" y="480060"/>
              </a:lnTo>
              <a:lnTo>
                <a:pt x="3808476" y="480060"/>
              </a:lnTo>
              <a:lnTo>
                <a:pt x="3808476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5</xdr:col>
      <xdr:colOff>202691</xdr:colOff>
      <xdr:row>3</xdr:row>
      <xdr:rowOff>49142</xdr:rowOff>
    </xdr:from>
    <xdr:ext cx="381000" cy="290285"/>
    <xdr:pic>
      <xdr:nvPicPr>
        <xdr:cNvPr id="37" name="image1.jpeg">
          <a:extLst>
            <a:ext uri="{FF2B5EF4-FFF2-40B4-BE49-F238E27FC236}">
              <a16:creationId xmlns:a16="http://schemas.microsoft.com/office/drawing/2014/main" id="{00000000-0008-0000-03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290285"/>
        </a:xfrm>
        <a:prstGeom prst="rect">
          <a:avLst/>
        </a:prstGeom>
      </xdr:spPr>
    </xdr:pic>
    <xdr:clientData/>
  </xdr:oneCellAnchor>
  <xdr:oneCellAnchor>
    <xdr:from>
      <xdr:col>6</xdr:col>
      <xdr:colOff>201929</xdr:colOff>
      <xdr:row>3</xdr:row>
      <xdr:rowOff>761</xdr:rowOff>
    </xdr:from>
    <xdr:ext cx="338666" cy="381000"/>
    <xdr:pic>
      <xdr:nvPicPr>
        <xdr:cNvPr id="38" name="image2.jpeg">
          <a:extLst>
            <a:ext uri="{FF2B5EF4-FFF2-40B4-BE49-F238E27FC236}">
              <a16:creationId xmlns:a16="http://schemas.microsoft.com/office/drawing/2014/main" id="{00000000-0008-0000-03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38666" cy="381000"/>
        </a:xfrm>
        <a:prstGeom prst="rect">
          <a:avLst/>
        </a:prstGeom>
      </xdr:spPr>
    </xdr:pic>
    <xdr:clientData/>
  </xdr:oneCellAnchor>
  <xdr:oneCellAnchor>
    <xdr:from>
      <xdr:col>7</xdr:col>
      <xdr:colOff>201930</xdr:colOff>
      <xdr:row>3</xdr:row>
      <xdr:rowOff>49142</xdr:rowOff>
    </xdr:from>
    <xdr:ext cx="381000" cy="290285"/>
    <xdr:pic>
      <xdr:nvPicPr>
        <xdr:cNvPr id="39" name="image3.jpeg">
          <a:extLst>
            <a:ext uri="{FF2B5EF4-FFF2-40B4-BE49-F238E27FC236}">
              <a16:creationId xmlns:a16="http://schemas.microsoft.com/office/drawing/2014/main" id="{00000000-0008-0000-03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290285"/>
        </a:xfrm>
        <a:prstGeom prst="rect">
          <a:avLst/>
        </a:prstGeom>
      </xdr:spPr>
    </xdr:pic>
    <xdr:clientData/>
  </xdr:oneCellAnchor>
  <xdr:oneCellAnchor>
    <xdr:from>
      <xdr:col>8</xdr:col>
      <xdr:colOff>298691</xdr:colOff>
      <xdr:row>3</xdr:row>
      <xdr:rowOff>49142</xdr:rowOff>
    </xdr:from>
    <xdr:ext cx="193523" cy="290285"/>
    <xdr:pic>
      <xdr:nvPicPr>
        <xdr:cNvPr id="40" name="image4.jpeg">
          <a:extLst>
            <a:ext uri="{FF2B5EF4-FFF2-40B4-BE49-F238E27FC236}">
              <a16:creationId xmlns:a16="http://schemas.microsoft.com/office/drawing/2014/main" id="{00000000-0008-0000-03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3523" cy="290285"/>
        </a:xfrm>
        <a:prstGeom prst="rect">
          <a:avLst/>
        </a:prstGeom>
      </xdr:spPr>
    </xdr:pic>
    <xdr:clientData/>
  </xdr:oneCellAnchor>
  <xdr:oneCellAnchor>
    <xdr:from>
      <xdr:col>9</xdr:col>
      <xdr:colOff>201929</xdr:colOff>
      <xdr:row>3</xdr:row>
      <xdr:rowOff>761</xdr:rowOff>
    </xdr:from>
    <xdr:ext cx="381000" cy="381000"/>
    <xdr:pic>
      <xdr:nvPicPr>
        <xdr:cNvPr id="41" name="image5.jpeg">
          <a:extLst>
            <a:ext uri="{FF2B5EF4-FFF2-40B4-BE49-F238E27FC236}">
              <a16:creationId xmlns:a16="http://schemas.microsoft.com/office/drawing/2014/main" id="{00000000-0008-0000-03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381000"/>
        </a:xfrm>
        <a:prstGeom prst="rect">
          <a:avLst/>
        </a:prstGeom>
      </xdr:spPr>
    </xdr:pic>
    <xdr:clientData/>
  </xdr:oneCellAnchor>
  <xdr:oneCellAnchor>
    <xdr:from>
      <xdr:col>1</xdr:col>
      <xdr:colOff>226059</xdr:colOff>
      <xdr:row>24</xdr:row>
      <xdr:rowOff>0</xdr:rowOff>
    </xdr:from>
    <xdr:ext cx="7486015" cy="3929379"/>
    <xdr:grpSp>
      <xdr:nvGrpSpPr>
        <xdr:cNvPr id="42" name="Group 42">
          <a:extLst>
            <a:ext uri="{FF2B5EF4-FFF2-40B4-BE49-F238E27FC236}">
              <a16:creationId xmlns:a16="http://schemas.microsoft.com/office/drawing/2014/main" id="{00000000-0008-0000-0300-00002A000000}"/>
            </a:ext>
          </a:extLst>
        </xdr:cNvPr>
        <xdr:cNvGrpSpPr/>
      </xdr:nvGrpSpPr>
      <xdr:grpSpPr>
        <a:xfrm>
          <a:off x="607059" y="6042660"/>
          <a:ext cx="7486015" cy="3929379"/>
          <a:chOff x="0" y="0"/>
          <a:chExt cx="7486015" cy="3929379"/>
        </a:xfrm>
      </xdr:grpSpPr>
      <xdr:sp macro="" textlink="">
        <xdr:nvSpPr>
          <xdr:cNvPr id="43" name="Shape 43">
            <a:extLst>
              <a:ext uri="{FF2B5EF4-FFF2-40B4-BE49-F238E27FC236}">
                <a16:creationId xmlns:a16="http://schemas.microsoft.com/office/drawing/2014/main" id="{00000000-0008-0000-0300-00002B000000}"/>
              </a:ext>
            </a:extLst>
          </xdr:cNvPr>
          <xdr:cNvSpPr/>
        </xdr:nvSpPr>
        <xdr:spPr>
          <a:xfrm>
            <a:off x="0" y="0"/>
            <a:ext cx="7486015" cy="2066925"/>
          </a:xfrm>
          <a:custGeom>
            <a:avLst/>
            <a:gdLst/>
            <a:ahLst/>
            <a:cxnLst/>
            <a:rect l="0" t="0" r="0" b="0"/>
            <a:pathLst>
              <a:path w="7486015" h="2066925">
                <a:moveTo>
                  <a:pt x="312420" y="0"/>
                </a:moveTo>
                <a:lnTo>
                  <a:pt x="0" y="0"/>
                </a:lnTo>
                <a:lnTo>
                  <a:pt x="0" y="1031748"/>
                </a:lnTo>
                <a:lnTo>
                  <a:pt x="312420" y="1031748"/>
                </a:lnTo>
                <a:lnTo>
                  <a:pt x="312420" y="0"/>
                </a:lnTo>
                <a:close/>
              </a:path>
              <a:path w="7486015" h="2066925">
                <a:moveTo>
                  <a:pt x="1264920" y="0"/>
                </a:moveTo>
                <a:lnTo>
                  <a:pt x="315468" y="0"/>
                </a:lnTo>
                <a:lnTo>
                  <a:pt x="315468" y="1031748"/>
                </a:lnTo>
                <a:lnTo>
                  <a:pt x="1264920" y="1031748"/>
                </a:lnTo>
                <a:lnTo>
                  <a:pt x="1264920" y="0"/>
                </a:lnTo>
                <a:close/>
              </a:path>
              <a:path w="7486015" h="2066925">
                <a:moveTo>
                  <a:pt x="2531364" y="1034796"/>
                </a:moveTo>
                <a:lnTo>
                  <a:pt x="1267968" y="1034796"/>
                </a:lnTo>
                <a:lnTo>
                  <a:pt x="1267968" y="2066544"/>
                </a:lnTo>
                <a:lnTo>
                  <a:pt x="2531364" y="2066544"/>
                </a:lnTo>
                <a:lnTo>
                  <a:pt x="2531364" y="1034796"/>
                </a:lnTo>
                <a:close/>
              </a:path>
              <a:path w="7486015" h="2066925">
                <a:moveTo>
                  <a:pt x="2531364" y="0"/>
                </a:moveTo>
                <a:lnTo>
                  <a:pt x="1267968" y="0"/>
                </a:lnTo>
                <a:lnTo>
                  <a:pt x="1267968" y="1031748"/>
                </a:lnTo>
                <a:lnTo>
                  <a:pt x="2531364" y="1031748"/>
                </a:lnTo>
                <a:lnTo>
                  <a:pt x="2531364" y="0"/>
                </a:lnTo>
                <a:close/>
              </a:path>
              <a:path w="7486015" h="2066925">
                <a:moveTo>
                  <a:pt x="3037332" y="1862328"/>
                </a:moveTo>
                <a:lnTo>
                  <a:pt x="2534412" y="1862328"/>
                </a:lnTo>
                <a:lnTo>
                  <a:pt x="2534412" y="2066544"/>
                </a:lnTo>
                <a:lnTo>
                  <a:pt x="3037332" y="2066544"/>
                </a:lnTo>
                <a:lnTo>
                  <a:pt x="3037332" y="1862328"/>
                </a:lnTo>
                <a:close/>
              </a:path>
              <a:path w="7486015" h="2066925">
                <a:moveTo>
                  <a:pt x="3037332" y="1655064"/>
                </a:moveTo>
                <a:lnTo>
                  <a:pt x="2534412" y="1655064"/>
                </a:lnTo>
                <a:lnTo>
                  <a:pt x="2534412" y="1859280"/>
                </a:lnTo>
                <a:lnTo>
                  <a:pt x="3037332" y="1859280"/>
                </a:lnTo>
                <a:lnTo>
                  <a:pt x="3037332" y="1655064"/>
                </a:lnTo>
                <a:close/>
              </a:path>
              <a:path w="7486015" h="2066925">
                <a:moveTo>
                  <a:pt x="3037332" y="1449324"/>
                </a:moveTo>
                <a:lnTo>
                  <a:pt x="2534412" y="1449324"/>
                </a:lnTo>
                <a:lnTo>
                  <a:pt x="2534412" y="1652016"/>
                </a:lnTo>
                <a:lnTo>
                  <a:pt x="3037332" y="1652016"/>
                </a:lnTo>
                <a:lnTo>
                  <a:pt x="3037332" y="1449324"/>
                </a:lnTo>
                <a:close/>
              </a:path>
              <a:path w="7486015" h="2066925">
                <a:moveTo>
                  <a:pt x="3037332" y="1242060"/>
                </a:moveTo>
                <a:lnTo>
                  <a:pt x="2534412" y="1242060"/>
                </a:lnTo>
                <a:lnTo>
                  <a:pt x="2534412" y="1446276"/>
                </a:lnTo>
                <a:lnTo>
                  <a:pt x="3037332" y="1446276"/>
                </a:lnTo>
                <a:lnTo>
                  <a:pt x="3037332" y="1242060"/>
                </a:lnTo>
                <a:close/>
              </a:path>
              <a:path w="7486015" h="2066925">
                <a:moveTo>
                  <a:pt x="3037332" y="1034796"/>
                </a:moveTo>
                <a:lnTo>
                  <a:pt x="2534412" y="1034796"/>
                </a:lnTo>
                <a:lnTo>
                  <a:pt x="2534412" y="1239012"/>
                </a:lnTo>
                <a:lnTo>
                  <a:pt x="3037332" y="1239012"/>
                </a:lnTo>
                <a:lnTo>
                  <a:pt x="3037332" y="1034796"/>
                </a:lnTo>
                <a:close/>
              </a:path>
              <a:path w="7486015" h="2066925">
                <a:moveTo>
                  <a:pt x="3037332" y="827532"/>
                </a:moveTo>
                <a:lnTo>
                  <a:pt x="2534412" y="827532"/>
                </a:lnTo>
                <a:lnTo>
                  <a:pt x="2534412" y="1031748"/>
                </a:lnTo>
                <a:lnTo>
                  <a:pt x="3037332" y="1031748"/>
                </a:lnTo>
                <a:lnTo>
                  <a:pt x="3037332" y="827532"/>
                </a:lnTo>
                <a:close/>
              </a:path>
              <a:path w="7486015" h="2066925">
                <a:moveTo>
                  <a:pt x="3037332" y="621792"/>
                </a:moveTo>
                <a:lnTo>
                  <a:pt x="2534412" y="621792"/>
                </a:lnTo>
                <a:lnTo>
                  <a:pt x="2534412" y="824484"/>
                </a:lnTo>
                <a:lnTo>
                  <a:pt x="3037332" y="824484"/>
                </a:lnTo>
                <a:lnTo>
                  <a:pt x="3037332" y="621792"/>
                </a:lnTo>
                <a:close/>
              </a:path>
              <a:path w="7486015" h="2066925">
                <a:moveTo>
                  <a:pt x="3037332" y="414528"/>
                </a:moveTo>
                <a:lnTo>
                  <a:pt x="2534412" y="414528"/>
                </a:lnTo>
                <a:lnTo>
                  <a:pt x="2534412" y="618744"/>
                </a:lnTo>
                <a:lnTo>
                  <a:pt x="3037332" y="618744"/>
                </a:lnTo>
                <a:lnTo>
                  <a:pt x="3037332" y="414528"/>
                </a:lnTo>
                <a:close/>
              </a:path>
              <a:path w="7486015" h="2066925">
                <a:moveTo>
                  <a:pt x="3037332" y="207264"/>
                </a:moveTo>
                <a:lnTo>
                  <a:pt x="2534412" y="207264"/>
                </a:lnTo>
                <a:lnTo>
                  <a:pt x="2534412" y="411480"/>
                </a:lnTo>
                <a:lnTo>
                  <a:pt x="3037332" y="411480"/>
                </a:lnTo>
                <a:lnTo>
                  <a:pt x="3037332" y="207264"/>
                </a:lnTo>
                <a:close/>
              </a:path>
              <a:path w="7486015" h="2066925">
                <a:moveTo>
                  <a:pt x="3037332" y="0"/>
                </a:moveTo>
                <a:lnTo>
                  <a:pt x="2534412" y="0"/>
                </a:lnTo>
                <a:lnTo>
                  <a:pt x="2534412" y="204216"/>
                </a:lnTo>
                <a:lnTo>
                  <a:pt x="3037332" y="204216"/>
                </a:lnTo>
                <a:lnTo>
                  <a:pt x="3037332" y="0"/>
                </a:lnTo>
                <a:close/>
              </a:path>
              <a:path w="7486015" h="2066925">
                <a:moveTo>
                  <a:pt x="3674364" y="1862328"/>
                </a:moveTo>
                <a:lnTo>
                  <a:pt x="3040380" y="1862328"/>
                </a:lnTo>
                <a:lnTo>
                  <a:pt x="3040380" y="2066544"/>
                </a:lnTo>
                <a:lnTo>
                  <a:pt x="3674364" y="2066544"/>
                </a:lnTo>
                <a:lnTo>
                  <a:pt x="3674364" y="1862328"/>
                </a:lnTo>
                <a:close/>
              </a:path>
              <a:path w="7486015" h="2066925">
                <a:moveTo>
                  <a:pt x="3674364" y="1655064"/>
                </a:moveTo>
                <a:lnTo>
                  <a:pt x="3040380" y="1655064"/>
                </a:lnTo>
                <a:lnTo>
                  <a:pt x="3040380" y="1859280"/>
                </a:lnTo>
                <a:lnTo>
                  <a:pt x="3674364" y="1859280"/>
                </a:lnTo>
                <a:lnTo>
                  <a:pt x="3674364" y="1655064"/>
                </a:lnTo>
                <a:close/>
              </a:path>
              <a:path w="7486015" h="2066925">
                <a:moveTo>
                  <a:pt x="3674364" y="1449324"/>
                </a:moveTo>
                <a:lnTo>
                  <a:pt x="3040380" y="1449324"/>
                </a:lnTo>
                <a:lnTo>
                  <a:pt x="3040380" y="1652016"/>
                </a:lnTo>
                <a:lnTo>
                  <a:pt x="3674364" y="1652016"/>
                </a:lnTo>
                <a:lnTo>
                  <a:pt x="3674364" y="1449324"/>
                </a:lnTo>
                <a:close/>
              </a:path>
              <a:path w="7486015" h="2066925">
                <a:moveTo>
                  <a:pt x="3674364" y="1242060"/>
                </a:moveTo>
                <a:lnTo>
                  <a:pt x="3040380" y="1242060"/>
                </a:lnTo>
                <a:lnTo>
                  <a:pt x="3040380" y="1446276"/>
                </a:lnTo>
                <a:lnTo>
                  <a:pt x="3674364" y="1446276"/>
                </a:lnTo>
                <a:lnTo>
                  <a:pt x="3674364" y="1242060"/>
                </a:lnTo>
                <a:close/>
              </a:path>
              <a:path w="7486015" h="2066925">
                <a:moveTo>
                  <a:pt x="3674364" y="1034796"/>
                </a:moveTo>
                <a:lnTo>
                  <a:pt x="3040380" y="1034796"/>
                </a:lnTo>
                <a:lnTo>
                  <a:pt x="3040380" y="1239012"/>
                </a:lnTo>
                <a:lnTo>
                  <a:pt x="3674364" y="1239012"/>
                </a:lnTo>
                <a:lnTo>
                  <a:pt x="3674364" y="1034796"/>
                </a:lnTo>
                <a:close/>
              </a:path>
              <a:path w="7486015" h="2066925">
                <a:moveTo>
                  <a:pt x="3674364" y="827532"/>
                </a:moveTo>
                <a:lnTo>
                  <a:pt x="3040380" y="827532"/>
                </a:lnTo>
                <a:lnTo>
                  <a:pt x="3040380" y="1031748"/>
                </a:lnTo>
                <a:lnTo>
                  <a:pt x="3674364" y="1031748"/>
                </a:lnTo>
                <a:lnTo>
                  <a:pt x="3674364" y="827532"/>
                </a:lnTo>
                <a:close/>
              </a:path>
              <a:path w="7486015" h="2066925">
                <a:moveTo>
                  <a:pt x="3674364" y="621792"/>
                </a:moveTo>
                <a:lnTo>
                  <a:pt x="3040380" y="621792"/>
                </a:lnTo>
                <a:lnTo>
                  <a:pt x="3040380" y="824484"/>
                </a:lnTo>
                <a:lnTo>
                  <a:pt x="3674364" y="824484"/>
                </a:lnTo>
                <a:lnTo>
                  <a:pt x="3674364" y="621792"/>
                </a:lnTo>
                <a:close/>
              </a:path>
              <a:path w="7486015" h="2066925">
                <a:moveTo>
                  <a:pt x="3674364" y="414528"/>
                </a:moveTo>
                <a:lnTo>
                  <a:pt x="3040380" y="414528"/>
                </a:lnTo>
                <a:lnTo>
                  <a:pt x="3040380" y="618744"/>
                </a:lnTo>
                <a:lnTo>
                  <a:pt x="3674364" y="618744"/>
                </a:lnTo>
                <a:lnTo>
                  <a:pt x="3674364" y="414528"/>
                </a:lnTo>
                <a:close/>
              </a:path>
              <a:path w="7486015" h="2066925">
                <a:moveTo>
                  <a:pt x="3674364" y="207264"/>
                </a:moveTo>
                <a:lnTo>
                  <a:pt x="3040380" y="207264"/>
                </a:lnTo>
                <a:lnTo>
                  <a:pt x="3040380" y="411480"/>
                </a:lnTo>
                <a:lnTo>
                  <a:pt x="3674364" y="411480"/>
                </a:lnTo>
                <a:lnTo>
                  <a:pt x="3674364" y="207264"/>
                </a:lnTo>
                <a:close/>
              </a:path>
              <a:path w="7486015" h="2066925">
                <a:moveTo>
                  <a:pt x="3674364" y="0"/>
                </a:moveTo>
                <a:lnTo>
                  <a:pt x="3040380" y="0"/>
                </a:lnTo>
                <a:lnTo>
                  <a:pt x="3040380" y="204216"/>
                </a:lnTo>
                <a:lnTo>
                  <a:pt x="3674364" y="204216"/>
                </a:lnTo>
                <a:lnTo>
                  <a:pt x="3674364" y="0"/>
                </a:lnTo>
                <a:close/>
              </a:path>
              <a:path w="7486015" h="2066925">
                <a:moveTo>
                  <a:pt x="4437888" y="1862328"/>
                </a:moveTo>
                <a:lnTo>
                  <a:pt x="3677412" y="1862328"/>
                </a:lnTo>
                <a:lnTo>
                  <a:pt x="3677412" y="2066544"/>
                </a:lnTo>
                <a:lnTo>
                  <a:pt x="4437888" y="2066544"/>
                </a:lnTo>
                <a:lnTo>
                  <a:pt x="4437888" y="1862328"/>
                </a:lnTo>
                <a:close/>
              </a:path>
              <a:path w="7486015" h="2066925">
                <a:moveTo>
                  <a:pt x="4437888" y="1655064"/>
                </a:moveTo>
                <a:lnTo>
                  <a:pt x="3677412" y="1655064"/>
                </a:lnTo>
                <a:lnTo>
                  <a:pt x="3677412" y="1859280"/>
                </a:lnTo>
                <a:lnTo>
                  <a:pt x="4437888" y="1859280"/>
                </a:lnTo>
                <a:lnTo>
                  <a:pt x="4437888" y="1655064"/>
                </a:lnTo>
                <a:close/>
              </a:path>
              <a:path w="7486015" h="2066925">
                <a:moveTo>
                  <a:pt x="4437888" y="1449324"/>
                </a:moveTo>
                <a:lnTo>
                  <a:pt x="3677412" y="1449324"/>
                </a:lnTo>
                <a:lnTo>
                  <a:pt x="3677412" y="1652016"/>
                </a:lnTo>
                <a:lnTo>
                  <a:pt x="4437888" y="1652016"/>
                </a:lnTo>
                <a:lnTo>
                  <a:pt x="4437888" y="1449324"/>
                </a:lnTo>
                <a:close/>
              </a:path>
              <a:path w="7486015" h="2066925">
                <a:moveTo>
                  <a:pt x="4437888" y="1242060"/>
                </a:moveTo>
                <a:lnTo>
                  <a:pt x="3677412" y="1242060"/>
                </a:lnTo>
                <a:lnTo>
                  <a:pt x="3677412" y="1446276"/>
                </a:lnTo>
                <a:lnTo>
                  <a:pt x="4437888" y="1446276"/>
                </a:lnTo>
                <a:lnTo>
                  <a:pt x="4437888" y="1242060"/>
                </a:lnTo>
                <a:close/>
              </a:path>
              <a:path w="7486015" h="2066925">
                <a:moveTo>
                  <a:pt x="4437888" y="1034796"/>
                </a:moveTo>
                <a:lnTo>
                  <a:pt x="3677412" y="1034796"/>
                </a:lnTo>
                <a:lnTo>
                  <a:pt x="3677412" y="1239012"/>
                </a:lnTo>
                <a:lnTo>
                  <a:pt x="4437888" y="1239012"/>
                </a:lnTo>
                <a:lnTo>
                  <a:pt x="4437888" y="1034796"/>
                </a:lnTo>
                <a:close/>
              </a:path>
              <a:path w="7486015" h="2066925">
                <a:moveTo>
                  <a:pt x="4437888" y="827532"/>
                </a:moveTo>
                <a:lnTo>
                  <a:pt x="3677412" y="827532"/>
                </a:lnTo>
                <a:lnTo>
                  <a:pt x="3677412" y="1031748"/>
                </a:lnTo>
                <a:lnTo>
                  <a:pt x="4437888" y="1031748"/>
                </a:lnTo>
                <a:lnTo>
                  <a:pt x="4437888" y="827532"/>
                </a:lnTo>
                <a:close/>
              </a:path>
              <a:path w="7486015" h="2066925">
                <a:moveTo>
                  <a:pt x="4437888" y="621792"/>
                </a:moveTo>
                <a:lnTo>
                  <a:pt x="3677412" y="621792"/>
                </a:lnTo>
                <a:lnTo>
                  <a:pt x="3677412" y="824484"/>
                </a:lnTo>
                <a:lnTo>
                  <a:pt x="4437888" y="824484"/>
                </a:lnTo>
                <a:lnTo>
                  <a:pt x="4437888" y="621792"/>
                </a:lnTo>
                <a:close/>
              </a:path>
              <a:path w="7486015" h="2066925">
                <a:moveTo>
                  <a:pt x="4437888" y="414528"/>
                </a:moveTo>
                <a:lnTo>
                  <a:pt x="3677412" y="414528"/>
                </a:lnTo>
                <a:lnTo>
                  <a:pt x="3677412" y="618744"/>
                </a:lnTo>
                <a:lnTo>
                  <a:pt x="4437888" y="618744"/>
                </a:lnTo>
                <a:lnTo>
                  <a:pt x="4437888" y="414528"/>
                </a:lnTo>
                <a:close/>
              </a:path>
              <a:path w="7486015" h="2066925">
                <a:moveTo>
                  <a:pt x="4437888" y="207264"/>
                </a:moveTo>
                <a:lnTo>
                  <a:pt x="3677412" y="207264"/>
                </a:lnTo>
                <a:lnTo>
                  <a:pt x="3677412" y="411480"/>
                </a:lnTo>
                <a:lnTo>
                  <a:pt x="4437888" y="411480"/>
                </a:lnTo>
                <a:lnTo>
                  <a:pt x="4437888" y="207264"/>
                </a:lnTo>
                <a:close/>
              </a:path>
              <a:path w="7486015" h="2066925">
                <a:moveTo>
                  <a:pt x="4437888" y="0"/>
                </a:moveTo>
                <a:lnTo>
                  <a:pt x="3677412" y="0"/>
                </a:lnTo>
                <a:lnTo>
                  <a:pt x="3677412" y="204216"/>
                </a:lnTo>
                <a:lnTo>
                  <a:pt x="4437888" y="204216"/>
                </a:lnTo>
                <a:lnTo>
                  <a:pt x="4437888" y="0"/>
                </a:lnTo>
                <a:close/>
              </a:path>
              <a:path w="7486015" h="2066925">
                <a:moveTo>
                  <a:pt x="5199888" y="1862328"/>
                </a:moveTo>
                <a:lnTo>
                  <a:pt x="4440936" y="1862328"/>
                </a:lnTo>
                <a:lnTo>
                  <a:pt x="4440936" y="2066544"/>
                </a:lnTo>
                <a:lnTo>
                  <a:pt x="5199888" y="2066544"/>
                </a:lnTo>
                <a:lnTo>
                  <a:pt x="5199888" y="1862328"/>
                </a:lnTo>
                <a:close/>
              </a:path>
              <a:path w="7486015" h="2066925">
                <a:moveTo>
                  <a:pt x="5199888" y="1655064"/>
                </a:moveTo>
                <a:lnTo>
                  <a:pt x="4440936" y="1655064"/>
                </a:lnTo>
                <a:lnTo>
                  <a:pt x="4440936" y="1859280"/>
                </a:lnTo>
                <a:lnTo>
                  <a:pt x="5199888" y="1859280"/>
                </a:lnTo>
                <a:lnTo>
                  <a:pt x="5199888" y="1655064"/>
                </a:lnTo>
                <a:close/>
              </a:path>
              <a:path w="7486015" h="2066925">
                <a:moveTo>
                  <a:pt x="5199888" y="1449324"/>
                </a:moveTo>
                <a:lnTo>
                  <a:pt x="4440936" y="1449324"/>
                </a:lnTo>
                <a:lnTo>
                  <a:pt x="4440936" y="1652016"/>
                </a:lnTo>
                <a:lnTo>
                  <a:pt x="5199888" y="1652016"/>
                </a:lnTo>
                <a:lnTo>
                  <a:pt x="5199888" y="1449324"/>
                </a:lnTo>
                <a:close/>
              </a:path>
              <a:path w="7486015" h="2066925">
                <a:moveTo>
                  <a:pt x="5199888" y="1242060"/>
                </a:moveTo>
                <a:lnTo>
                  <a:pt x="4440936" y="1242060"/>
                </a:lnTo>
                <a:lnTo>
                  <a:pt x="4440936" y="1446276"/>
                </a:lnTo>
                <a:lnTo>
                  <a:pt x="5199888" y="1446276"/>
                </a:lnTo>
                <a:lnTo>
                  <a:pt x="5199888" y="1242060"/>
                </a:lnTo>
                <a:close/>
              </a:path>
              <a:path w="7486015" h="2066925">
                <a:moveTo>
                  <a:pt x="5199888" y="1034796"/>
                </a:moveTo>
                <a:lnTo>
                  <a:pt x="4440936" y="1034796"/>
                </a:lnTo>
                <a:lnTo>
                  <a:pt x="4440936" y="1239012"/>
                </a:lnTo>
                <a:lnTo>
                  <a:pt x="5199888" y="1239012"/>
                </a:lnTo>
                <a:lnTo>
                  <a:pt x="5199888" y="1034796"/>
                </a:lnTo>
                <a:close/>
              </a:path>
              <a:path w="7486015" h="2066925">
                <a:moveTo>
                  <a:pt x="5199888" y="827532"/>
                </a:moveTo>
                <a:lnTo>
                  <a:pt x="4440936" y="827532"/>
                </a:lnTo>
                <a:lnTo>
                  <a:pt x="4440936" y="1031748"/>
                </a:lnTo>
                <a:lnTo>
                  <a:pt x="5199888" y="1031748"/>
                </a:lnTo>
                <a:lnTo>
                  <a:pt x="5199888" y="827532"/>
                </a:lnTo>
                <a:close/>
              </a:path>
              <a:path w="7486015" h="2066925">
                <a:moveTo>
                  <a:pt x="5199888" y="621792"/>
                </a:moveTo>
                <a:lnTo>
                  <a:pt x="4440936" y="621792"/>
                </a:lnTo>
                <a:lnTo>
                  <a:pt x="4440936" y="824484"/>
                </a:lnTo>
                <a:lnTo>
                  <a:pt x="5199888" y="824484"/>
                </a:lnTo>
                <a:lnTo>
                  <a:pt x="5199888" y="621792"/>
                </a:lnTo>
                <a:close/>
              </a:path>
              <a:path w="7486015" h="2066925">
                <a:moveTo>
                  <a:pt x="5199888" y="414528"/>
                </a:moveTo>
                <a:lnTo>
                  <a:pt x="4440936" y="414528"/>
                </a:lnTo>
                <a:lnTo>
                  <a:pt x="4440936" y="618744"/>
                </a:lnTo>
                <a:lnTo>
                  <a:pt x="5199888" y="618744"/>
                </a:lnTo>
                <a:lnTo>
                  <a:pt x="5199888" y="414528"/>
                </a:lnTo>
                <a:close/>
              </a:path>
              <a:path w="7486015" h="2066925">
                <a:moveTo>
                  <a:pt x="5199888" y="207264"/>
                </a:moveTo>
                <a:lnTo>
                  <a:pt x="4440936" y="207264"/>
                </a:lnTo>
                <a:lnTo>
                  <a:pt x="4440936" y="411480"/>
                </a:lnTo>
                <a:lnTo>
                  <a:pt x="5199888" y="411480"/>
                </a:lnTo>
                <a:lnTo>
                  <a:pt x="5199888" y="207264"/>
                </a:lnTo>
                <a:close/>
              </a:path>
              <a:path w="7486015" h="2066925">
                <a:moveTo>
                  <a:pt x="5199888" y="0"/>
                </a:moveTo>
                <a:lnTo>
                  <a:pt x="4440936" y="0"/>
                </a:lnTo>
                <a:lnTo>
                  <a:pt x="4440936" y="204216"/>
                </a:lnTo>
                <a:lnTo>
                  <a:pt x="5199888" y="204216"/>
                </a:lnTo>
                <a:lnTo>
                  <a:pt x="5199888" y="0"/>
                </a:lnTo>
                <a:close/>
              </a:path>
              <a:path w="7486015" h="2066925">
                <a:moveTo>
                  <a:pt x="5961875" y="1655064"/>
                </a:moveTo>
                <a:lnTo>
                  <a:pt x="5202936" y="1655064"/>
                </a:lnTo>
                <a:lnTo>
                  <a:pt x="5202936" y="1859280"/>
                </a:lnTo>
                <a:lnTo>
                  <a:pt x="5961875" y="1859280"/>
                </a:lnTo>
                <a:lnTo>
                  <a:pt x="5961875" y="1655064"/>
                </a:lnTo>
                <a:close/>
              </a:path>
              <a:path w="7486015" h="2066925">
                <a:moveTo>
                  <a:pt x="5961875" y="1449324"/>
                </a:moveTo>
                <a:lnTo>
                  <a:pt x="5202936" y="1449324"/>
                </a:lnTo>
                <a:lnTo>
                  <a:pt x="5202936" y="1652016"/>
                </a:lnTo>
                <a:lnTo>
                  <a:pt x="5961875" y="1652016"/>
                </a:lnTo>
                <a:lnTo>
                  <a:pt x="5961875" y="1449324"/>
                </a:lnTo>
                <a:close/>
              </a:path>
              <a:path w="7486015" h="2066925">
                <a:moveTo>
                  <a:pt x="5961875" y="1242060"/>
                </a:moveTo>
                <a:lnTo>
                  <a:pt x="5202936" y="1242060"/>
                </a:lnTo>
                <a:lnTo>
                  <a:pt x="5202936" y="1446276"/>
                </a:lnTo>
                <a:lnTo>
                  <a:pt x="5961875" y="1446276"/>
                </a:lnTo>
                <a:lnTo>
                  <a:pt x="5961875" y="1242060"/>
                </a:lnTo>
                <a:close/>
              </a:path>
              <a:path w="7486015" h="2066925">
                <a:moveTo>
                  <a:pt x="5961875" y="1034796"/>
                </a:moveTo>
                <a:lnTo>
                  <a:pt x="5202936" y="1034796"/>
                </a:lnTo>
                <a:lnTo>
                  <a:pt x="5202936" y="1239012"/>
                </a:lnTo>
                <a:lnTo>
                  <a:pt x="5961875" y="1239012"/>
                </a:lnTo>
                <a:lnTo>
                  <a:pt x="5961875" y="1034796"/>
                </a:lnTo>
                <a:close/>
              </a:path>
              <a:path w="7486015" h="2066925">
                <a:moveTo>
                  <a:pt x="5961875" y="827532"/>
                </a:moveTo>
                <a:lnTo>
                  <a:pt x="5202936" y="827532"/>
                </a:lnTo>
                <a:lnTo>
                  <a:pt x="5202936" y="1031748"/>
                </a:lnTo>
                <a:lnTo>
                  <a:pt x="5961875" y="1031748"/>
                </a:lnTo>
                <a:lnTo>
                  <a:pt x="5961875" y="827532"/>
                </a:lnTo>
                <a:close/>
              </a:path>
              <a:path w="7486015" h="2066925">
                <a:moveTo>
                  <a:pt x="5961875" y="621792"/>
                </a:moveTo>
                <a:lnTo>
                  <a:pt x="5202936" y="621792"/>
                </a:lnTo>
                <a:lnTo>
                  <a:pt x="5202936" y="824484"/>
                </a:lnTo>
                <a:lnTo>
                  <a:pt x="5961875" y="824484"/>
                </a:lnTo>
                <a:lnTo>
                  <a:pt x="5961875" y="621792"/>
                </a:lnTo>
                <a:close/>
              </a:path>
              <a:path w="7486015" h="2066925">
                <a:moveTo>
                  <a:pt x="5961875" y="414528"/>
                </a:moveTo>
                <a:lnTo>
                  <a:pt x="5202936" y="414528"/>
                </a:lnTo>
                <a:lnTo>
                  <a:pt x="5202936" y="618744"/>
                </a:lnTo>
                <a:lnTo>
                  <a:pt x="5961875" y="618744"/>
                </a:lnTo>
                <a:lnTo>
                  <a:pt x="5961875" y="414528"/>
                </a:lnTo>
                <a:close/>
              </a:path>
              <a:path w="7486015" h="2066925">
                <a:moveTo>
                  <a:pt x="5961875" y="207264"/>
                </a:moveTo>
                <a:lnTo>
                  <a:pt x="5202936" y="207264"/>
                </a:lnTo>
                <a:lnTo>
                  <a:pt x="5202936" y="411480"/>
                </a:lnTo>
                <a:lnTo>
                  <a:pt x="5961875" y="411480"/>
                </a:lnTo>
                <a:lnTo>
                  <a:pt x="5961875" y="207264"/>
                </a:lnTo>
                <a:close/>
              </a:path>
              <a:path w="7486015" h="2066925">
                <a:moveTo>
                  <a:pt x="5961875" y="0"/>
                </a:moveTo>
                <a:lnTo>
                  <a:pt x="5202936" y="0"/>
                </a:lnTo>
                <a:lnTo>
                  <a:pt x="5202936" y="204216"/>
                </a:lnTo>
                <a:lnTo>
                  <a:pt x="5961875" y="204216"/>
                </a:lnTo>
                <a:lnTo>
                  <a:pt x="5961875" y="0"/>
                </a:lnTo>
                <a:close/>
              </a:path>
              <a:path w="7486015" h="2066925">
                <a:moveTo>
                  <a:pt x="6723888" y="1655064"/>
                </a:moveTo>
                <a:lnTo>
                  <a:pt x="5964936" y="1655064"/>
                </a:lnTo>
                <a:lnTo>
                  <a:pt x="5964936" y="1859280"/>
                </a:lnTo>
                <a:lnTo>
                  <a:pt x="6723888" y="1859280"/>
                </a:lnTo>
                <a:lnTo>
                  <a:pt x="6723888" y="1655064"/>
                </a:lnTo>
                <a:close/>
              </a:path>
              <a:path w="7486015" h="2066925">
                <a:moveTo>
                  <a:pt x="6723888" y="1449324"/>
                </a:moveTo>
                <a:lnTo>
                  <a:pt x="5964936" y="1449324"/>
                </a:lnTo>
                <a:lnTo>
                  <a:pt x="5964936" y="1652016"/>
                </a:lnTo>
                <a:lnTo>
                  <a:pt x="6723888" y="1652016"/>
                </a:lnTo>
                <a:lnTo>
                  <a:pt x="6723888" y="1449324"/>
                </a:lnTo>
                <a:close/>
              </a:path>
              <a:path w="7486015" h="2066925">
                <a:moveTo>
                  <a:pt x="6723888" y="1242060"/>
                </a:moveTo>
                <a:lnTo>
                  <a:pt x="5964936" y="1242060"/>
                </a:lnTo>
                <a:lnTo>
                  <a:pt x="5964936" y="1446276"/>
                </a:lnTo>
                <a:lnTo>
                  <a:pt x="6723888" y="1446276"/>
                </a:lnTo>
                <a:lnTo>
                  <a:pt x="6723888" y="1242060"/>
                </a:lnTo>
                <a:close/>
              </a:path>
              <a:path w="7486015" h="2066925">
                <a:moveTo>
                  <a:pt x="6723888" y="1034796"/>
                </a:moveTo>
                <a:lnTo>
                  <a:pt x="5964936" y="1034796"/>
                </a:lnTo>
                <a:lnTo>
                  <a:pt x="5964936" y="1239012"/>
                </a:lnTo>
                <a:lnTo>
                  <a:pt x="6723888" y="1239012"/>
                </a:lnTo>
                <a:lnTo>
                  <a:pt x="6723888" y="1034796"/>
                </a:lnTo>
                <a:close/>
              </a:path>
              <a:path w="7486015" h="2066925">
                <a:moveTo>
                  <a:pt x="6723888" y="827532"/>
                </a:moveTo>
                <a:lnTo>
                  <a:pt x="5964936" y="827532"/>
                </a:lnTo>
                <a:lnTo>
                  <a:pt x="5964936" y="1031748"/>
                </a:lnTo>
                <a:lnTo>
                  <a:pt x="6723888" y="1031748"/>
                </a:lnTo>
                <a:lnTo>
                  <a:pt x="6723888" y="827532"/>
                </a:lnTo>
                <a:close/>
              </a:path>
              <a:path w="7486015" h="2066925">
                <a:moveTo>
                  <a:pt x="6723888" y="621792"/>
                </a:moveTo>
                <a:lnTo>
                  <a:pt x="5964936" y="621792"/>
                </a:lnTo>
                <a:lnTo>
                  <a:pt x="5964936" y="824484"/>
                </a:lnTo>
                <a:lnTo>
                  <a:pt x="6723888" y="824484"/>
                </a:lnTo>
                <a:lnTo>
                  <a:pt x="6723888" y="621792"/>
                </a:lnTo>
                <a:close/>
              </a:path>
              <a:path w="7486015" h="2066925">
                <a:moveTo>
                  <a:pt x="6723888" y="414528"/>
                </a:moveTo>
                <a:lnTo>
                  <a:pt x="5964936" y="414528"/>
                </a:lnTo>
                <a:lnTo>
                  <a:pt x="5964936" y="618744"/>
                </a:lnTo>
                <a:lnTo>
                  <a:pt x="6723888" y="618744"/>
                </a:lnTo>
                <a:lnTo>
                  <a:pt x="6723888" y="414528"/>
                </a:lnTo>
                <a:close/>
              </a:path>
              <a:path w="7486015" h="2066925">
                <a:moveTo>
                  <a:pt x="6723888" y="207264"/>
                </a:moveTo>
                <a:lnTo>
                  <a:pt x="5964936" y="207264"/>
                </a:lnTo>
                <a:lnTo>
                  <a:pt x="5964936" y="411480"/>
                </a:lnTo>
                <a:lnTo>
                  <a:pt x="6723888" y="411480"/>
                </a:lnTo>
                <a:lnTo>
                  <a:pt x="6723888" y="207264"/>
                </a:lnTo>
                <a:close/>
              </a:path>
              <a:path w="7486015" h="2066925">
                <a:moveTo>
                  <a:pt x="6723888" y="0"/>
                </a:moveTo>
                <a:lnTo>
                  <a:pt x="5964936" y="0"/>
                </a:lnTo>
                <a:lnTo>
                  <a:pt x="5964936" y="204216"/>
                </a:lnTo>
                <a:lnTo>
                  <a:pt x="6723888" y="204216"/>
                </a:lnTo>
                <a:lnTo>
                  <a:pt x="6723888" y="0"/>
                </a:lnTo>
                <a:close/>
              </a:path>
              <a:path w="7486015" h="2066925">
                <a:moveTo>
                  <a:pt x="7485888" y="1655064"/>
                </a:moveTo>
                <a:lnTo>
                  <a:pt x="6726936" y="1655064"/>
                </a:lnTo>
                <a:lnTo>
                  <a:pt x="6726936" y="1859280"/>
                </a:lnTo>
                <a:lnTo>
                  <a:pt x="7485888" y="1859280"/>
                </a:lnTo>
                <a:lnTo>
                  <a:pt x="7485888" y="1655064"/>
                </a:lnTo>
                <a:close/>
              </a:path>
              <a:path w="7486015" h="2066925">
                <a:moveTo>
                  <a:pt x="7485888" y="1449324"/>
                </a:moveTo>
                <a:lnTo>
                  <a:pt x="6726936" y="1449324"/>
                </a:lnTo>
                <a:lnTo>
                  <a:pt x="6726936" y="1652016"/>
                </a:lnTo>
                <a:lnTo>
                  <a:pt x="7485888" y="1652016"/>
                </a:lnTo>
                <a:lnTo>
                  <a:pt x="7485888" y="1449324"/>
                </a:lnTo>
                <a:close/>
              </a:path>
              <a:path w="7486015" h="2066925">
                <a:moveTo>
                  <a:pt x="7485888" y="1242060"/>
                </a:moveTo>
                <a:lnTo>
                  <a:pt x="6726936" y="1242060"/>
                </a:lnTo>
                <a:lnTo>
                  <a:pt x="6726936" y="1446276"/>
                </a:lnTo>
                <a:lnTo>
                  <a:pt x="7485888" y="1446276"/>
                </a:lnTo>
                <a:lnTo>
                  <a:pt x="7485888" y="1242060"/>
                </a:lnTo>
                <a:close/>
              </a:path>
              <a:path w="7486015" h="2066925">
                <a:moveTo>
                  <a:pt x="7485888" y="1034796"/>
                </a:moveTo>
                <a:lnTo>
                  <a:pt x="6726936" y="1034796"/>
                </a:lnTo>
                <a:lnTo>
                  <a:pt x="6726936" y="1239012"/>
                </a:lnTo>
                <a:lnTo>
                  <a:pt x="7485888" y="1239012"/>
                </a:lnTo>
                <a:lnTo>
                  <a:pt x="7485888" y="1034796"/>
                </a:lnTo>
                <a:close/>
              </a:path>
              <a:path w="7486015" h="2066925">
                <a:moveTo>
                  <a:pt x="7485888" y="827532"/>
                </a:moveTo>
                <a:lnTo>
                  <a:pt x="6726936" y="827532"/>
                </a:lnTo>
                <a:lnTo>
                  <a:pt x="6726936" y="1031748"/>
                </a:lnTo>
                <a:lnTo>
                  <a:pt x="7485888" y="1031748"/>
                </a:lnTo>
                <a:lnTo>
                  <a:pt x="7485888" y="827532"/>
                </a:lnTo>
                <a:close/>
              </a:path>
              <a:path w="7486015" h="2066925">
                <a:moveTo>
                  <a:pt x="7485888" y="621792"/>
                </a:moveTo>
                <a:lnTo>
                  <a:pt x="6726936" y="621792"/>
                </a:lnTo>
                <a:lnTo>
                  <a:pt x="6726936" y="824484"/>
                </a:lnTo>
                <a:lnTo>
                  <a:pt x="7485888" y="824484"/>
                </a:lnTo>
                <a:lnTo>
                  <a:pt x="7485888" y="621792"/>
                </a:lnTo>
                <a:close/>
              </a:path>
              <a:path w="7486015" h="2066925">
                <a:moveTo>
                  <a:pt x="7485888" y="414528"/>
                </a:moveTo>
                <a:lnTo>
                  <a:pt x="6726936" y="414528"/>
                </a:lnTo>
                <a:lnTo>
                  <a:pt x="6726936" y="618744"/>
                </a:lnTo>
                <a:lnTo>
                  <a:pt x="7485888" y="618744"/>
                </a:lnTo>
                <a:lnTo>
                  <a:pt x="7485888" y="414528"/>
                </a:lnTo>
                <a:close/>
              </a:path>
              <a:path w="7486015" h="2066925">
                <a:moveTo>
                  <a:pt x="7485888" y="207264"/>
                </a:moveTo>
                <a:lnTo>
                  <a:pt x="6726936" y="207264"/>
                </a:lnTo>
                <a:lnTo>
                  <a:pt x="6726936" y="411480"/>
                </a:lnTo>
                <a:lnTo>
                  <a:pt x="7485888" y="411480"/>
                </a:lnTo>
                <a:lnTo>
                  <a:pt x="7485888" y="207264"/>
                </a:lnTo>
                <a:close/>
              </a:path>
              <a:path w="7486015" h="2066925">
                <a:moveTo>
                  <a:pt x="7485888" y="0"/>
                </a:moveTo>
                <a:lnTo>
                  <a:pt x="6726936" y="0"/>
                </a:lnTo>
                <a:lnTo>
                  <a:pt x="6726936" y="204216"/>
                </a:lnTo>
                <a:lnTo>
                  <a:pt x="7485888" y="204216"/>
                </a:lnTo>
                <a:lnTo>
                  <a:pt x="7485888" y="0"/>
                </a:lnTo>
                <a:close/>
              </a:path>
            </a:pathLst>
          </a:custGeom>
          <a:solidFill>
            <a:srgbClr val="FFFFFF"/>
          </a:solidFill>
        </xdr:spPr>
      </xdr:sp>
      <xdr:sp macro="" textlink="">
        <xdr:nvSpPr>
          <xdr:cNvPr id="44" name="Shape 44">
            <a:extLst>
              <a:ext uri="{FF2B5EF4-FFF2-40B4-BE49-F238E27FC236}">
                <a16:creationId xmlns:a16="http://schemas.microsoft.com/office/drawing/2014/main" id="{00000000-0008-0000-0300-00002C000000}"/>
              </a:ext>
            </a:extLst>
          </xdr:cNvPr>
          <xdr:cNvSpPr/>
        </xdr:nvSpPr>
        <xdr:spPr>
          <a:xfrm>
            <a:off x="0" y="1034795"/>
            <a:ext cx="7486015" cy="2894330"/>
          </a:xfrm>
          <a:custGeom>
            <a:avLst/>
            <a:gdLst/>
            <a:ahLst/>
            <a:cxnLst/>
            <a:rect l="0" t="0" r="0" b="0"/>
            <a:pathLst>
              <a:path w="7486015" h="2894330">
                <a:moveTo>
                  <a:pt x="312420" y="1862328"/>
                </a:moveTo>
                <a:lnTo>
                  <a:pt x="0" y="1862328"/>
                </a:lnTo>
                <a:lnTo>
                  <a:pt x="0" y="2894076"/>
                </a:lnTo>
                <a:lnTo>
                  <a:pt x="312420" y="2894076"/>
                </a:lnTo>
                <a:lnTo>
                  <a:pt x="312420" y="1862328"/>
                </a:lnTo>
                <a:close/>
              </a:path>
              <a:path w="7486015" h="2894330">
                <a:moveTo>
                  <a:pt x="312420" y="0"/>
                </a:moveTo>
                <a:lnTo>
                  <a:pt x="0" y="0"/>
                </a:lnTo>
                <a:lnTo>
                  <a:pt x="0" y="1859280"/>
                </a:lnTo>
                <a:lnTo>
                  <a:pt x="312420" y="1859280"/>
                </a:lnTo>
                <a:lnTo>
                  <a:pt x="312420" y="0"/>
                </a:lnTo>
                <a:close/>
              </a:path>
              <a:path w="7486015" h="2894330">
                <a:moveTo>
                  <a:pt x="1264920" y="1862328"/>
                </a:moveTo>
                <a:lnTo>
                  <a:pt x="315468" y="1862328"/>
                </a:lnTo>
                <a:lnTo>
                  <a:pt x="315468" y="2894076"/>
                </a:lnTo>
                <a:lnTo>
                  <a:pt x="1264920" y="2894076"/>
                </a:lnTo>
                <a:lnTo>
                  <a:pt x="1264920" y="1862328"/>
                </a:lnTo>
                <a:close/>
              </a:path>
              <a:path w="7486015" h="2894330">
                <a:moveTo>
                  <a:pt x="1264920" y="0"/>
                </a:moveTo>
                <a:lnTo>
                  <a:pt x="315468" y="0"/>
                </a:lnTo>
                <a:lnTo>
                  <a:pt x="315468" y="1859280"/>
                </a:lnTo>
                <a:lnTo>
                  <a:pt x="1264920" y="1859280"/>
                </a:lnTo>
                <a:lnTo>
                  <a:pt x="1264920" y="0"/>
                </a:lnTo>
                <a:close/>
              </a:path>
              <a:path w="7486015" h="2894330">
                <a:moveTo>
                  <a:pt x="2531364" y="1862328"/>
                </a:moveTo>
                <a:lnTo>
                  <a:pt x="1267968" y="1862328"/>
                </a:lnTo>
                <a:lnTo>
                  <a:pt x="1267968" y="2894076"/>
                </a:lnTo>
                <a:lnTo>
                  <a:pt x="2531364" y="2894076"/>
                </a:lnTo>
                <a:lnTo>
                  <a:pt x="2531364" y="1862328"/>
                </a:lnTo>
                <a:close/>
              </a:path>
              <a:path w="7486015" h="2894330">
                <a:moveTo>
                  <a:pt x="2531364" y="1034796"/>
                </a:moveTo>
                <a:lnTo>
                  <a:pt x="1267968" y="1034796"/>
                </a:lnTo>
                <a:lnTo>
                  <a:pt x="1267968" y="1859280"/>
                </a:lnTo>
                <a:lnTo>
                  <a:pt x="2531364" y="1859280"/>
                </a:lnTo>
                <a:lnTo>
                  <a:pt x="2531364" y="1034796"/>
                </a:lnTo>
                <a:close/>
              </a:path>
              <a:path w="7486015" h="2894330">
                <a:moveTo>
                  <a:pt x="3037332" y="2689860"/>
                </a:moveTo>
                <a:lnTo>
                  <a:pt x="2534412" y="2689860"/>
                </a:lnTo>
                <a:lnTo>
                  <a:pt x="2534412" y="2894076"/>
                </a:lnTo>
                <a:lnTo>
                  <a:pt x="3037332" y="2894076"/>
                </a:lnTo>
                <a:lnTo>
                  <a:pt x="3037332" y="2689860"/>
                </a:lnTo>
                <a:close/>
              </a:path>
              <a:path w="7486015" h="2894330">
                <a:moveTo>
                  <a:pt x="3037332" y="2482596"/>
                </a:moveTo>
                <a:lnTo>
                  <a:pt x="2534412" y="2482596"/>
                </a:lnTo>
                <a:lnTo>
                  <a:pt x="2534412" y="2686812"/>
                </a:lnTo>
                <a:lnTo>
                  <a:pt x="3037332" y="2686812"/>
                </a:lnTo>
                <a:lnTo>
                  <a:pt x="3037332" y="2482596"/>
                </a:lnTo>
                <a:close/>
              </a:path>
              <a:path w="7486015" h="2894330">
                <a:moveTo>
                  <a:pt x="3037332" y="2276856"/>
                </a:moveTo>
                <a:lnTo>
                  <a:pt x="2534412" y="2276856"/>
                </a:lnTo>
                <a:lnTo>
                  <a:pt x="2534412" y="2479548"/>
                </a:lnTo>
                <a:lnTo>
                  <a:pt x="3037332" y="2479548"/>
                </a:lnTo>
                <a:lnTo>
                  <a:pt x="3037332" y="2276856"/>
                </a:lnTo>
                <a:close/>
              </a:path>
              <a:path w="7486015" h="2894330">
                <a:moveTo>
                  <a:pt x="3037332" y="2069592"/>
                </a:moveTo>
                <a:lnTo>
                  <a:pt x="2534412" y="2069592"/>
                </a:lnTo>
                <a:lnTo>
                  <a:pt x="2534412" y="2273808"/>
                </a:lnTo>
                <a:lnTo>
                  <a:pt x="3037332" y="2273808"/>
                </a:lnTo>
                <a:lnTo>
                  <a:pt x="3037332" y="2069592"/>
                </a:lnTo>
                <a:close/>
              </a:path>
              <a:path w="7486015" h="2894330">
                <a:moveTo>
                  <a:pt x="3037332" y="1862328"/>
                </a:moveTo>
                <a:lnTo>
                  <a:pt x="2534412" y="1862328"/>
                </a:lnTo>
                <a:lnTo>
                  <a:pt x="2534412" y="2066544"/>
                </a:lnTo>
                <a:lnTo>
                  <a:pt x="3037332" y="2066544"/>
                </a:lnTo>
                <a:lnTo>
                  <a:pt x="3037332" y="1862328"/>
                </a:lnTo>
                <a:close/>
              </a:path>
              <a:path w="7486015" h="2894330">
                <a:moveTo>
                  <a:pt x="3037332" y="1655064"/>
                </a:moveTo>
                <a:lnTo>
                  <a:pt x="2534412" y="1655064"/>
                </a:lnTo>
                <a:lnTo>
                  <a:pt x="2534412" y="1859280"/>
                </a:lnTo>
                <a:lnTo>
                  <a:pt x="3037332" y="1859280"/>
                </a:lnTo>
                <a:lnTo>
                  <a:pt x="3037332" y="1655064"/>
                </a:lnTo>
                <a:close/>
              </a:path>
              <a:path w="7486015" h="2894330">
                <a:moveTo>
                  <a:pt x="3037332" y="1447800"/>
                </a:moveTo>
                <a:lnTo>
                  <a:pt x="2534412" y="1447800"/>
                </a:lnTo>
                <a:lnTo>
                  <a:pt x="2534412" y="1652016"/>
                </a:lnTo>
                <a:lnTo>
                  <a:pt x="3037332" y="1652016"/>
                </a:lnTo>
                <a:lnTo>
                  <a:pt x="3037332" y="1447800"/>
                </a:lnTo>
                <a:close/>
              </a:path>
              <a:path w="7486015" h="2894330">
                <a:moveTo>
                  <a:pt x="3037332" y="1242060"/>
                </a:moveTo>
                <a:lnTo>
                  <a:pt x="2534412" y="1242060"/>
                </a:lnTo>
                <a:lnTo>
                  <a:pt x="2534412" y="1444752"/>
                </a:lnTo>
                <a:lnTo>
                  <a:pt x="3037332" y="1444752"/>
                </a:lnTo>
                <a:lnTo>
                  <a:pt x="3037332" y="1242060"/>
                </a:lnTo>
                <a:close/>
              </a:path>
              <a:path w="7486015" h="2894330">
                <a:moveTo>
                  <a:pt x="3037332" y="1034796"/>
                </a:moveTo>
                <a:lnTo>
                  <a:pt x="2534412" y="1034796"/>
                </a:lnTo>
                <a:lnTo>
                  <a:pt x="2534412" y="1239012"/>
                </a:lnTo>
                <a:lnTo>
                  <a:pt x="3037332" y="1239012"/>
                </a:lnTo>
                <a:lnTo>
                  <a:pt x="3037332" y="1034796"/>
                </a:lnTo>
                <a:close/>
              </a:path>
              <a:path w="7486015" h="2894330">
                <a:moveTo>
                  <a:pt x="3674364" y="2689860"/>
                </a:moveTo>
                <a:lnTo>
                  <a:pt x="3040380" y="2689860"/>
                </a:lnTo>
                <a:lnTo>
                  <a:pt x="3040380" y="2894076"/>
                </a:lnTo>
                <a:lnTo>
                  <a:pt x="3674364" y="2894076"/>
                </a:lnTo>
                <a:lnTo>
                  <a:pt x="3674364" y="2689860"/>
                </a:lnTo>
                <a:close/>
              </a:path>
              <a:path w="7486015" h="2894330">
                <a:moveTo>
                  <a:pt x="3674364" y="2482596"/>
                </a:moveTo>
                <a:lnTo>
                  <a:pt x="3040380" y="2482596"/>
                </a:lnTo>
                <a:lnTo>
                  <a:pt x="3040380" y="2686812"/>
                </a:lnTo>
                <a:lnTo>
                  <a:pt x="3674364" y="2686812"/>
                </a:lnTo>
                <a:lnTo>
                  <a:pt x="3674364" y="2482596"/>
                </a:lnTo>
                <a:close/>
              </a:path>
              <a:path w="7486015" h="2894330">
                <a:moveTo>
                  <a:pt x="3674364" y="2276856"/>
                </a:moveTo>
                <a:lnTo>
                  <a:pt x="3040380" y="2276856"/>
                </a:lnTo>
                <a:lnTo>
                  <a:pt x="3040380" y="2479548"/>
                </a:lnTo>
                <a:lnTo>
                  <a:pt x="3674364" y="2479548"/>
                </a:lnTo>
                <a:lnTo>
                  <a:pt x="3674364" y="2276856"/>
                </a:lnTo>
                <a:close/>
              </a:path>
              <a:path w="7486015" h="2894330">
                <a:moveTo>
                  <a:pt x="3674364" y="2069592"/>
                </a:moveTo>
                <a:lnTo>
                  <a:pt x="3040380" y="2069592"/>
                </a:lnTo>
                <a:lnTo>
                  <a:pt x="3040380" y="2273808"/>
                </a:lnTo>
                <a:lnTo>
                  <a:pt x="3674364" y="2273808"/>
                </a:lnTo>
                <a:lnTo>
                  <a:pt x="3674364" y="2069592"/>
                </a:lnTo>
                <a:close/>
              </a:path>
              <a:path w="7486015" h="2894330">
                <a:moveTo>
                  <a:pt x="3674364" y="1862328"/>
                </a:moveTo>
                <a:lnTo>
                  <a:pt x="3040380" y="1862328"/>
                </a:lnTo>
                <a:lnTo>
                  <a:pt x="3040380" y="2066544"/>
                </a:lnTo>
                <a:lnTo>
                  <a:pt x="3674364" y="2066544"/>
                </a:lnTo>
                <a:lnTo>
                  <a:pt x="3674364" y="1862328"/>
                </a:lnTo>
                <a:close/>
              </a:path>
              <a:path w="7486015" h="2894330">
                <a:moveTo>
                  <a:pt x="3674364" y="1655064"/>
                </a:moveTo>
                <a:lnTo>
                  <a:pt x="3040380" y="1655064"/>
                </a:lnTo>
                <a:lnTo>
                  <a:pt x="3040380" y="1859280"/>
                </a:lnTo>
                <a:lnTo>
                  <a:pt x="3674364" y="1859280"/>
                </a:lnTo>
                <a:lnTo>
                  <a:pt x="3674364" y="1655064"/>
                </a:lnTo>
                <a:close/>
              </a:path>
              <a:path w="7486015" h="2894330">
                <a:moveTo>
                  <a:pt x="3674364" y="1447800"/>
                </a:moveTo>
                <a:lnTo>
                  <a:pt x="3040380" y="1447800"/>
                </a:lnTo>
                <a:lnTo>
                  <a:pt x="3040380" y="1652016"/>
                </a:lnTo>
                <a:lnTo>
                  <a:pt x="3674364" y="1652016"/>
                </a:lnTo>
                <a:lnTo>
                  <a:pt x="3674364" y="1447800"/>
                </a:lnTo>
                <a:close/>
              </a:path>
              <a:path w="7486015" h="2894330">
                <a:moveTo>
                  <a:pt x="3674364" y="1242060"/>
                </a:moveTo>
                <a:lnTo>
                  <a:pt x="3040380" y="1242060"/>
                </a:lnTo>
                <a:lnTo>
                  <a:pt x="3040380" y="1444752"/>
                </a:lnTo>
                <a:lnTo>
                  <a:pt x="3674364" y="1444752"/>
                </a:lnTo>
                <a:lnTo>
                  <a:pt x="3674364" y="1242060"/>
                </a:lnTo>
                <a:close/>
              </a:path>
              <a:path w="7486015" h="2894330">
                <a:moveTo>
                  <a:pt x="3674364" y="1034796"/>
                </a:moveTo>
                <a:lnTo>
                  <a:pt x="3040380" y="1034796"/>
                </a:lnTo>
                <a:lnTo>
                  <a:pt x="3040380" y="1239012"/>
                </a:lnTo>
                <a:lnTo>
                  <a:pt x="3674364" y="1239012"/>
                </a:lnTo>
                <a:lnTo>
                  <a:pt x="3674364" y="1034796"/>
                </a:lnTo>
                <a:close/>
              </a:path>
              <a:path w="7486015" h="2894330">
                <a:moveTo>
                  <a:pt x="4437888" y="2689860"/>
                </a:moveTo>
                <a:lnTo>
                  <a:pt x="3677412" y="2689860"/>
                </a:lnTo>
                <a:lnTo>
                  <a:pt x="3677412" y="2894076"/>
                </a:lnTo>
                <a:lnTo>
                  <a:pt x="4437888" y="2894076"/>
                </a:lnTo>
                <a:lnTo>
                  <a:pt x="4437888" y="2689860"/>
                </a:lnTo>
                <a:close/>
              </a:path>
              <a:path w="7486015" h="2894330">
                <a:moveTo>
                  <a:pt x="4437888" y="2482596"/>
                </a:moveTo>
                <a:lnTo>
                  <a:pt x="3677412" y="2482596"/>
                </a:lnTo>
                <a:lnTo>
                  <a:pt x="3677412" y="2686812"/>
                </a:lnTo>
                <a:lnTo>
                  <a:pt x="4437888" y="2686812"/>
                </a:lnTo>
                <a:lnTo>
                  <a:pt x="4437888" y="2482596"/>
                </a:lnTo>
                <a:close/>
              </a:path>
              <a:path w="7486015" h="2894330">
                <a:moveTo>
                  <a:pt x="4437888" y="2276856"/>
                </a:moveTo>
                <a:lnTo>
                  <a:pt x="3677412" y="2276856"/>
                </a:lnTo>
                <a:lnTo>
                  <a:pt x="3677412" y="2479548"/>
                </a:lnTo>
                <a:lnTo>
                  <a:pt x="4437888" y="2479548"/>
                </a:lnTo>
                <a:lnTo>
                  <a:pt x="4437888" y="2276856"/>
                </a:lnTo>
                <a:close/>
              </a:path>
              <a:path w="7486015" h="2894330">
                <a:moveTo>
                  <a:pt x="4437888" y="2069592"/>
                </a:moveTo>
                <a:lnTo>
                  <a:pt x="3677412" y="2069592"/>
                </a:lnTo>
                <a:lnTo>
                  <a:pt x="3677412" y="2273808"/>
                </a:lnTo>
                <a:lnTo>
                  <a:pt x="4437888" y="2273808"/>
                </a:lnTo>
                <a:lnTo>
                  <a:pt x="4437888" y="2069592"/>
                </a:lnTo>
                <a:close/>
              </a:path>
              <a:path w="7486015" h="2894330">
                <a:moveTo>
                  <a:pt x="4437888" y="1862328"/>
                </a:moveTo>
                <a:lnTo>
                  <a:pt x="3677412" y="1862328"/>
                </a:lnTo>
                <a:lnTo>
                  <a:pt x="3677412" y="2066544"/>
                </a:lnTo>
                <a:lnTo>
                  <a:pt x="4437888" y="2066544"/>
                </a:lnTo>
                <a:lnTo>
                  <a:pt x="4437888" y="1862328"/>
                </a:lnTo>
                <a:close/>
              </a:path>
              <a:path w="7486015" h="2894330">
                <a:moveTo>
                  <a:pt x="4437888" y="1655064"/>
                </a:moveTo>
                <a:lnTo>
                  <a:pt x="3677412" y="1655064"/>
                </a:lnTo>
                <a:lnTo>
                  <a:pt x="3677412" y="1859280"/>
                </a:lnTo>
                <a:lnTo>
                  <a:pt x="4437888" y="1859280"/>
                </a:lnTo>
                <a:lnTo>
                  <a:pt x="4437888" y="1655064"/>
                </a:lnTo>
                <a:close/>
              </a:path>
              <a:path w="7486015" h="2894330">
                <a:moveTo>
                  <a:pt x="4437888" y="1447800"/>
                </a:moveTo>
                <a:lnTo>
                  <a:pt x="3677412" y="1447800"/>
                </a:lnTo>
                <a:lnTo>
                  <a:pt x="3677412" y="1652016"/>
                </a:lnTo>
                <a:lnTo>
                  <a:pt x="4437888" y="1652016"/>
                </a:lnTo>
                <a:lnTo>
                  <a:pt x="4437888" y="1447800"/>
                </a:lnTo>
                <a:close/>
              </a:path>
              <a:path w="7486015" h="2894330">
                <a:moveTo>
                  <a:pt x="4437888" y="1242060"/>
                </a:moveTo>
                <a:lnTo>
                  <a:pt x="3677412" y="1242060"/>
                </a:lnTo>
                <a:lnTo>
                  <a:pt x="3677412" y="1444752"/>
                </a:lnTo>
                <a:lnTo>
                  <a:pt x="4437888" y="1444752"/>
                </a:lnTo>
                <a:lnTo>
                  <a:pt x="4437888" y="1242060"/>
                </a:lnTo>
                <a:close/>
              </a:path>
              <a:path w="7486015" h="2894330">
                <a:moveTo>
                  <a:pt x="4437888" y="1034796"/>
                </a:moveTo>
                <a:lnTo>
                  <a:pt x="3677412" y="1034796"/>
                </a:lnTo>
                <a:lnTo>
                  <a:pt x="3677412" y="1239012"/>
                </a:lnTo>
                <a:lnTo>
                  <a:pt x="4437888" y="1239012"/>
                </a:lnTo>
                <a:lnTo>
                  <a:pt x="4437888" y="1034796"/>
                </a:lnTo>
                <a:close/>
              </a:path>
              <a:path w="7486015" h="2894330">
                <a:moveTo>
                  <a:pt x="5199888" y="2689860"/>
                </a:moveTo>
                <a:lnTo>
                  <a:pt x="4440936" y="2689860"/>
                </a:lnTo>
                <a:lnTo>
                  <a:pt x="4440936" y="2894076"/>
                </a:lnTo>
                <a:lnTo>
                  <a:pt x="5199888" y="2894076"/>
                </a:lnTo>
                <a:lnTo>
                  <a:pt x="5199888" y="2689860"/>
                </a:lnTo>
                <a:close/>
              </a:path>
              <a:path w="7486015" h="2894330">
                <a:moveTo>
                  <a:pt x="5199888" y="2482596"/>
                </a:moveTo>
                <a:lnTo>
                  <a:pt x="4440936" y="2482596"/>
                </a:lnTo>
                <a:lnTo>
                  <a:pt x="4440936" y="2686812"/>
                </a:lnTo>
                <a:lnTo>
                  <a:pt x="5199888" y="2686812"/>
                </a:lnTo>
                <a:lnTo>
                  <a:pt x="5199888" y="2482596"/>
                </a:lnTo>
                <a:close/>
              </a:path>
              <a:path w="7486015" h="2894330">
                <a:moveTo>
                  <a:pt x="5199888" y="2276856"/>
                </a:moveTo>
                <a:lnTo>
                  <a:pt x="4440936" y="2276856"/>
                </a:lnTo>
                <a:lnTo>
                  <a:pt x="4440936" y="2479548"/>
                </a:lnTo>
                <a:lnTo>
                  <a:pt x="5199888" y="2479548"/>
                </a:lnTo>
                <a:lnTo>
                  <a:pt x="5199888" y="2276856"/>
                </a:lnTo>
                <a:close/>
              </a:path>
              <a:path w="7486015" h="2894330">
                <a:moveTo>
                  <a:pt x="5199888" y="2069592"/>
                </a:moveTo>
                <a:lnTo>
                  <a:pt x="4440936" y="2069592"/>
                </a:lnTo>
                <a:lnTo>
                  <a:pt x="4440936" y="2273808"/>
                </a:lnTo>
                <a:lnTo>
                  <a:pt x="5199888" y="2273808"/>
                </a:lnTo>
                <a:lnTo>
                  <a:pt x="5199888" y="2069592"/>
                </a:lnTo>
                <a:close/>
              </a:path>
              <a:path w="7486015" h="2894330">
                <a:moveTo>
                  <a:pt x="5199888" y="1862328"/>
                </a:moveTo>
                <a:lnTo>
                  <a:pt x="4440936" y="1862328"/>
                </a:lnTo>
                <a:lnTo>
                  <a:pt x="4440936" y="2066544"/>
                </a:lnTo>
                <a:lnTo>
                  <a:pt x="5199888" y="2066544"/>
                </a:lnTo>
                <a:lnTo>
                  <a:pt x="5199888" y="1862328"/>
                </a:lnTo>
                <a:close/>
              </a:path>
              <a:path w="7486015" h="2894330">
                <a:moveTo>
                  <a:pt x="5199888" y="1655064"/>
                </a:moveTo>
                <a:lnTo>
                  <a:pt x="4440936" y="1655064"/>
                </a:lnTo>
                <a:lnTo>
                  <a:pt x="4440936" y="1859280"/>
                </a:lnTo>
                <a:lnTo>
                  <a:pt x="5199888" y="1859280"/>
                </a:lnTo>
                <a:lnTo>
                  <a:pt x="5199888" y="1655064"/>
                </a:lnTo>
                <a:close/>
              </a:path>
              <a:path w="7486015" h="2894330">
                <a:moveTo>
                  <a:pt x="5199888" y="1447800"/>
                </a:moveTo>
                <a:lnTo>
                  <a:pt x="4440936" y="1447800"/>
                </a:lnTo>
                <a:lnTo>
                  <a:pt x="4440936" y="1652016"/>
                </a:lnTo>
                <a:lnTo>
                  <a:pt x="5199888" y="1652016"/>
                </a:lnTo>
                <a:lnTo>
                  <a:pt x="5199888" y="1447800"/>
                </a:lnTo>
                <a:close/>
              </a:path>
              <a:path w="7486015" h="2894330">
                <a:moveTo>
                  <a:pt x="5199888" y="1242060"/>
                </a:moveTo>
                <a:lnTo>
                  <a:pt x="4440936" y="1242060"/>
                </a:lnTo>
                <a:lnTo>
                  <a:pt x="4440936" y="1444752"/>
                </a:lnTo>
                <a:lnTo>
                  <a:pt x="5199888" y="1444752"/>
                </a:lnTo>
                <a:lnTo>
                  <a:pt x="5199888" y="1242060"/>
                </a:lnTo>
                <a:close/>
              </a:path>
              <a:path w="7486015" h="2894330">
                <a:moveTo>
                  <a:pt x="5199888" y="1034796"/>
                </a:moveTo>
                <a:lnTo>
                  <a:pt x="4440936" y="1034796"/>
                </a:lnTo>
                <a:lnTo>
                  <a:pt x="4440936" y="1239012"/>
                </a:lnTo>
                <a:lnTo>
                  <a:pt x="5199888" y="1239012"/>
                </a:lnTo>
                <a:lnTo>
                  <a:pt x="5199888" y="1034796"/>
                </a:lnTo>
                <a:close/>
              </a:path>
              <a:path w="7486015" h="2894330">
                <a:moveTo>
                  <a:pt x="5199888" y="827532"/>
                </a:moveTo>
                <a:lnTo>
                  <a:pt x="4440936" y="827532"/>
                </a:lnTo>
                <a:lnTo>
                  <a:pt x="4440936" y="1031748"/>
                </a:lnTo>
                <a:lnTo>
                  <a:pt x="5199888" y="1031748"/>
                </a:lnTo>
                <a:lnTo>
                  <a:pt x="5199888" y="827532"/>
                </a:lnTo>
                <a:close/>
              </a:path>
              <a:path w="7486015" h="2894330">
                <a:moveTo>
                  <a:pt x="5961875" y="2689860"/>
                </a:moveTo>
                <a:lnTo>
                  <a:pt x="5202936" y="2689860"/>
                </a:lnTo>
                <a:lnTo>
                  <a:pt x="5202936" y="2894076"/>
                </a:lnTo>
                <a:lnTo>
                  <a:pt x="5961875" y="2894076"/>
                </a:lnTo>
                <a:lnTo>
                  <a:pt x="5961875" y="2689860"/>
                </a:lnTo>
                <a:close/>
              </a:path>
              <a:path w="7486015" h="2894330">
                <a:moveTo>
                  <a:pt x="5961875" y="2482596"/>
                </a:moveTo>
                <a:lnTo>
                  <a:pt x="5202936" y="2482596"/>
                </a:lnTo>
                <a:lnTo>
                  <a:pt x="5202936" y="2686812"/>
                </a:lnTo>
                <a:lnTo>
                  <a:pt x="5961875" y="2686812"/>
                </a:lnTo>
                <a:lnTo>
                  <a:pt x="5961875" y="2482596"/>
                </a:lnTo>
                <a:close/>
              </a:path>
              <a:path w="7486015" h="2894330">
                <a:moveTo>
                  <a:pt x="5961875" y="2276856"/>
                </a:moveTo>
                <a:lnTo>
                  <a:pt x="5202936" y="2276856"/>
                </a:lnTo>
                <a:lnTo>
                  <a:pt x="5202936" y="2479548"/>
                </a:lnTo>
                <a:lnTo>
                  <a:pt x="5961875" y="2479548"/>
                </a:lnTo>
                <a:lnTo>
                  <a:pt x="5961875" y="2276856"/>
                </a:lnTo>
                <a:close/>
              </a:path>
              <a:path w="7486015" h="2894330">
                <a:moveTo>
                  <a:pt x="5961875" y="2069592"/>
                </a:moveTo>
                <a:lnTo>
                  <a:pt x="5202936" y="2069592"/>
                </a:lnTo>
                <a:lnTo>
                  <a:pt x="5202936" y="2273808"/>
                </a:lnTo>
                <a:lnTo>
                  <a:pt x="5961875" y="2273808"/>
                </a:lnTo>
                <a:lnTo>
                  <a:pt x="5961875" y="2069592"/>
                </a:lnTo>
                <a:close/>
              </a:path>
              <a:path w="7486015" h="2894330">
                <a:moveTo>
                  <a:pt x="5961875" y="1862328"/>
                </a:moveTo>
                <a:lnTo>
                  <a:pt x="5202936" y="1862328"/>
                </a:lnTo>
                <a:lnTo>
                  <a:pt x="5202936" y="2066544"/>
                </a:lnTo>
                <a:lnTo>
                  <a:pt x="5961875" y="2066544"/>
                </a:lnTo>
                <a:lnTo>
                  <a:pt x="5961875" y="1862328"/>
                </a:lnTo>
                <a:close/>
              </a:path>
              <a:path w="7486015" h="2894330">
                <a:moveTo>
                  <a:pt x="5961875" y="1655064"/>
                </a:moveTo>
                <a:lnTo>
                  <a:pt x="5202936" y="1655064"/>
                </a:lnTo>
                <a:lnTo>
                  <a:pt x="5202936" y="1859280"/>
                </a:lnTo>
                <a:lnTo>
                  <a:pt x="5961875" y="1859280"/>
                </a:lnTo>
                <a:lnTo>
                  <a:pt x="5961875" y="1655064"/>
                </a:lnTo>
                <a:close/>
              </a:path>
              <a:path w="7486015" h="2894330">
                <a:moveTo>
                  <a:pt x="5961875" y="1447800"/>
                </a:moveTo>
                <a:lnTo>
                  <a:pt x="5202936" y="1447800"/>
                </a:lnTo>
                <a:lnTo>
                  <a:pt x="5202936" y="1652016"/>
                </a:lnTo>
                <a:lnTo>
                  <a:pt x="5961875" y="1652016"/>
                </a:lnTo>
                <a:lnTo>
                  <a:pt x="5961875" y="1447800"/>
                </a:lnTo>
                <a:close/>
              </a:path>
              <a:path w="7486015" h="2894330">
                <a:moveTo>
                  <a:pt x="5961875" y="1242060"/>
                </a:moveTo>
                <a:lnTo>
                  <a:pt x="5202936" y="1242060"/>
                </a:lnTo>
                <a:lnTo>
                  <a:pt x="5202936" y="1444752"/>
                </a:lnTo>
                <a:lnTo>
                  <a:pt x="5961875" y="1444752"/>
                </a:lnTo>
                <a:lnTo>
                  <a:pt x="5961875" y="1242060"/>
                </a:lnTo>
                <a:close/>
              </a:path>
              <a:path w="7486015" h="2894330">
                <a:moveTo>
                  <a:pt x="5961875" y="1034796"/>
                </a:moveTo>
                <a:lnTo>
                  <a:pt x="5202936" y="1034796"/>
                </a:lnTo>
                <a:lnTo>
                  <a:pt x="5202936" y="1239012"/>
                </a:lnTo>
                <a:lnTo>
                  <a:pt x="5961875" y="1239012"/>
                </a:lnTo>
                <a:lnTo>
                  <a:pt x="5961875" y="1034796"/>
                </a:lnTo>
                <a:close/>
              </a:path>
              <a:path w="7486015" h="2894330">
                <a:moveTo>
                  <a:pt x="5961875" y="827532"/>
                </a:moveTo>
                <a:lnTo>
                  <a:pt x="5202936" y="827532"/>
                </a:lnTo>
                <a:lnTo>
                  <a:pt x="5202936" y="1031748"/>
                </a:lnTo>
                <a:lnTo>
                  <a:pt x="5961875" y="1031748"/>
                </a:lnTo>
                <a:lnTo>
                  <a:pt x="5961875" y="827532"/>
                </a:lnTo>
                <a:close/>
              </a:path>
              <a:path w="7486015" h="2894330">
                <a:moveTo>
                  <a:pt x="6723888" y="2482596"/>
                </a:moveTo>
                <a:lnTo>
                  <a:pt x="5964936" y="2482596"/>
                </a:lnTo>
                <a:lnTo>
                  <a:pt x="5964936" y="2686812"/>
                </a:lnTo>
                <a:lnTo>
                  <a:pt x="6723888" y="2686812"/>
                </a:lnTo>
                <a:lnTo>
                  <a:pt x="6723888" y="2482596"/>
                </a:lnTo>
                <a:close/>
              </a:path>
              <a:path w="7486015" h="2894330">
                <a:moveTo>
                  <a:pt x="6723888" y="2276856"/>
                </a:moveTo>
                <a:lnTo>
                  <a:pt x="5964936" y="2276856"/>
                </a:lnTo>
                <a:lnTo>
                  <a:pt x="5964936" y="2479548"/>
                </a:lnTo>
                <a:lnTo>
                  <a:pt x="6723888" y="2479548"/>
                </a:lnTo>
                <a:lnTo>
                  <a:pt x="6723888" y="2276856"/>
                </a:lnTo>
                <a:close/>
              </a:path>
              <a:path w="7486015" h="2894330">
                <a:moveTo>
                  <a:pt x="6723888" y="2069592"/>
                </a:moveTo>
                <a:lnTo>
                  <a:pt x="5964936" y="2069592"/>
                </a:lnTo>
                <a:lnTo>
                  <a:pt x="5964936" y="2273808"/>
                </a:lnTo>
                <a:lnTo>
                  <a:pt x="6723888" y="2273808"/>
                </a:lnTo>
                <a:lnTo>
                  <a:pt x="6723888" y="2069592"/>
                </a:lnTo>
                <a:close/>
              </a:path>
              <a:path w="7486015" h="2894330">
                <a:moveTo>
                  <a:pt x="6723888" y="1862328"/>
                </a:moveTo>
                <a:lnTo>
                  <a:pt x="5964936" y="1862328"/>
                </a:lnTo>
                <a:lnTo>
                  <a:pt x="5964936" y="2066544"/>
                </a:lnTo>
                <a:lnTo>
                  <a:pt x="6723888" y="2066544"/>
                </a:lnTo>
                <a:lnTo>
                  <a:pt x="6723888" y="1862328"/>
                </a:lnTo>
                <a:close/>
              </a:path>
              <a:path w="7486015" h="2894330">
                <a:moveTo>
                  <a:pt x="6723888" y="1655064"/>
                </a:moveTo>
                <a:lnTo>
                  <a:pt x="5964936" y="1655064"/>
                </a:lnTo>
                <a:lnTo>
                  <a:pt x="5964936" y="1859280"/>
                </a:lnTo>
                <a:lnTo>
                  <a:pt x="6723888" y="1859280"/>
                </a:lnTo>
                <a:lnTo>
                  <a:pt x="6723888" y="1655064"/>
                </a:lnTo>
                <a:close/>
              </a:path>
              <a:path w="7486015" h="2894330">
                <a:moveTo>
                  <a:pt x="6723888" y="1447800"/>
                </a:moveTo>
                <a:lnTo>
                  <a:pt x="5964936" y="1447800"/>
                </a:lnTo>
                <a:lnTo>
                  <a:pt x="5964936" y="1652016"/>
                </a:lnTo>
                <a:lnTo>
                  <a:pt x="6723888" y="1652016"/>
                </a:lnTo>
                <a:lnTo>
                  <a:pt x="6723888" y="1447800"/>
                </a:lnTo>
                <a:close/>
              </a:path>
              <a:path w="7486015" h="2894330">
                <a:moveTo>
                  <a:pt x="6723888" y="1242060"/>
                </a:moveTo>
                <a:lnTo>
                  <a:pt x="5964936" y="1242060"/>
                </a:lnTo>
                <a:lnTo>
                  <a:pt x="5964936" y="1444752"/>
                </a:lnTo>
                <a:lnTo>
                  <a:pt x="6723888" y="1444752"/>
                </a:lnTo>
                <a:lnTo>
                  <a:pt x="6723888" y="1242060"/>
                </a:lnTo>
                <a:close/>
              </a:path>
              <a:path w="7486015" h="2894330">
                <a:moveTo>
                  <a:pt x="6723888" y="1034796"/>
                </a:moveTo>
                <a:lnTo>
                  <a:pt x="5964936" y="1034796"/>
                </a:lnTo>
                <a:lnTo>
                  <a:pt x="5964936" y="1239012"/>
                </a:lnTo>
                <a:lnTo>
                  <a:pt x="6723888" y="1239012"/>
                </a:lnTo>
                <a:lnTo>
                  <a:pt x="6723888" y="1034796"/>
                </a:lnTo>
                <a:close/>
              </a:path>
              <a:path w="7486015" h="2894330">
                <a:moveTo>
                  <a:pt x="6723888" y="827532"/>
                </a:moveTo>
                <a:lnTo>
                  <a:pt x="5964936" y="827532"/>
                </a:lnTo>
                <a:lnTo>
                  <a:pt x="5964936" y="1031748"/>
                </a:lnTo>
                <a:lnTo>
                  <a:pt x="6723888" y="1031748"/>
                </a:lnTo>
                <a:lnTo>
                  <a:pt x="6723888" y="827532"/>
                </a:lnTo>
                <a:close/>
              </a:path>
              <a:path w="7486015" h="2894330">
                <a:moveTo>
                  <a:pt x="7485888" y="2482596"/>
                </a:moveTo>
                <a:lnTo>
                  <a:pt x="6726936" y="2482596"/>
                </a:lnTo>
                <a:lnTo>
                  <a:pt x="6726936" y="2686812"/>
                </a:lnTo>
                <a:lnTo>
                  <a:pt x="7485888" y="2686812"/>
                </a:lnTo>
                <a:lnTo>
                  <a:pt x="7485888" y="2482596"/>
                </a:lnTo>
                <a:close/>
              </a:path>
              <a:path w="7486015" h="2894330">
                <a:moveTo>
                  <a:pt x="7485888" y="2276856"/>
                </a:moveTo>
                <a:lnTo>
                  <a:pt x="6726936" y="2276856"/>
                </a:lnTo>
                <a:lnTo>
                  <a:pt x="6726936" y="2479548"/>
                </a:lnTo>
                <a:lnTo>
                  <a:pt x="7485888" y="2479548"/>
                </a:lnTo>
                <a:lnTo>
                  <a:pt x="7485888" y="2276856"/>
                </a:lnTo>
                <a:close/>
              </a:path>
              <a:path w="7486015" h="2894330">
                <a:moveTo>
                  <a:pt x="7485888" y="2069592"/>
                </a:moveTo>
                <a:lnTo>
                  <a:pt x="6726936" y="2069592"/>
                </a:lnTo>
                <a:lnTo>
                  <a:pt x="6726936" y="2273808"/>
                </a:lnTo>
                <a:lnTo>
                  <a:pt x="7485888" y="2273808"/>
                </a:lnTo>
                <a:lnTo>
                  <a:pt x="7485888" y="2069592"/>
                </a:lnTo>
                <a:close/>
              </a:path>
              <a:path w="7486015" h="2894330">
                <a:moveTo>
                  <a:pt x="7485888" y="1862328"/>
                </a:moveTo>
                <a:lnTo>
                  <a:pt x="6726936" y="1862328"/>
                </a:lnTo>
                <a:lnTo>
                  <a:pt x="6726936" y="2066544"/>
                </a:lnTo>
                <a:lnTo>
                  <a:pt x="7485888" y="2066544"/>
                </a:lnTo>
                <a:lnTo>
                  <a:pt x="7485888" y="1862328"/>
                </a:lnTo>
                <a:close/>
              </a:path>
              <a:path w="7486015" h="2894330">
                <a:moveTo>
                  <a:pt x="7485888" y="1655064"/>
                </a:moveTo>
                <a:lnTo>
                  <a:pt x="6726936" y="1655064"/>
                </a:lnTo>
                <a:lnTo>
                  <a:pt x="6726936" y="1859280"/>
                </a:lnTo>
                <a:lnTo>
                  <a:pt x="7485888" y="1859280"/>
                </a:lnTo>
                <a:lnTo>
                  <a:pt x="7485888" y="1655064"/>
                </a:lnTo>
                <a:close/>
              </a:path>
              <a:path w="7486015" h="2894330">
                <a:moveTo>
                  <a:pt x="7485888" y="1447800"/>
                </a:moveTo>
                <a:lnTo>
                  <a:pt x="6726936" y="1447800"/>
                </a:lnTo>
                <a:lnTo>
                  <a:pt x="6726936" y="1652016"/>
                </a:lnTo>
                <a:lnTo>
                  <a:pt x="7485888" y="1652016"/>
                </a:lnTo>
                <a:lnTo>
                  <a:pt x="7485888" y="1447800"/>
                </a:lnTo>
                <a:close/>
              </a:path>
              <a:path w="7486015" h="2894330">
                <a:moveTo>
                  <a:pt x="7485888" y="1242060"/>
                </a:moveTo>
                <a:lnTo>
                  <a:pt x="6726936" y="1242060"/>
                </a:lnTo>
                <a:lnTo>
                  <a:pt x="6726936" y="1444752"/>
                </a:lnTo>
                <a:lnTo>
                  <a:pt x="7485888" y="1444752"/>
                </a:lnTo>
                <a:lnTo>
                  <a:pt x="7485888" y="1242060"/>
                </a:lnTo>
                <a:close/>
              </a:path>
              <a:path w="7486015" h="2894330">
                <a:moveTo>
                  <a:pt x="7485888" y="1034796"/>
                </a:moveTo>
                <a:lnTo>
                  <a:pt x="6726936" y="1034796"/>
                </a:lnTo>
                <a:lnTo>
                  <a:pt x="6726936" y="1239012"/>
                </a:lnTo>
                <a:lnTo>
                  <a:pt x="7485888" y="1239012"/>
                </a:lnTo>
                <a:lnTo>
                  <a:pt x="7485888" y="1034796"/>
                </a:lnTo>
                <a:close/>
              </a:path>
              <a:path w="7486015" h="2894330">
                <a:moveTo>
                  <a:pt x="7485888" y="827532"/>
                </a:moveTo>
                <a:lnTo>
                  <a:pt x="6726936" y="827532"/>
                </a:lnTo>
                <a:lnTo>
                  <a:pt x="6726936" y="1031748"/>
                </a:lnTo>
                <a:lnTo>
                  <a:pt x="7485888" y="1031748"/>
                </a:lnTo>
                <a:lnTo>
                  <a:pt x="7485888" y="827532"/>
                </a:lnTo>
                <a:close/>
              </a:path>
            </a:pathLst>
          </a:custGeom>
          <a:solidFill>
            <a:srgbClr val="FFFFFF"/>
          </a:solidFill>
        </xdr:spPr>
      </xdr:sp>
      <xdr:sp macro="" textlink="">
        <xdr:nvSpPr>
          <xdr:cNvPr id="45" name="Shape 45">
            <a:extLst>
              <a:ext uri="{FF2B5EF4-FFF2-40B4-BE49-F238E27FC236}">
                <a16:creationId xmlns:a16="http://schemas.microsoft.com/office/drawing/2014/main" id="{00000000-0008-0000-0300-00002D000000}"/>
              </a:ext>
            </a:extLst>
          </xdr:cNvPr>
          <xdr:cNvSpPr/>
        </xdr:nvSpPr>
        <xdr:spPr>
          <a:xfrm>
            <a:off x="5202936" y="3724655"/>
            <a:ext cx="2283460" cy="204470"/>
          </a:xfrm>
          <a:custGeom>
            <a:avLst/>
            <a:gdLst/>
            <a:ahLst/>
            <a:cxnLst/>
            <a:rect l="0" t="0" r="0" b="0"/>
            <a:pathLst>
              <a:path w="2283460" h="204470">
                <a:moveTo>
                  <a:pt x="758939" y="0"/>
                </a:moveTo>
                <a:lnTo>
                  <a:pt x="0" y="0"/>
                </a:lnTo>
                <a:lnTo>
                  <a:pt x="0" y="204216"/>
                </a:lnTo>
                <a:lnTo>
                  <a:pt x="758939" y="204216"/>
                </a:lnTo>
                <a:lnTo>
                  <a:pt x="758939" y="0"/>
                </a:lnTo>
                <a:close/>
              </a:path>
              <a:path w="2283460" h="204470">
                <a:moveTo>
                  <a:pt x="1520952" y="0"/>
                </a:moveTo>
                <a:lnTo>
                  <a:pt x="762000" y="0"/>
                </a:lnTo>
                <a:lnTo>
                  <a:pt x="762000" y="204216"/>
                </a:lnTo>
                <a:lnTo>
                  <a:pt x="1520952" y="204216"/>
                </a:lnTo>
                <a:lnTo>
                  <a:pt x="1520952" y="0"/>
                </a:lnTo>
                <a:close/>
              </a:path>
              <a:path w="2283460" h="204470">
                <a:moveTo>
                  <a:pt x="2282952" y="0"/>
                </a:moveTo>
                <a:lnTo>
                  <a:pt x="1524000" y="0"/>
                </a:lnTo>
                <a:lnTo>
                  <a:pt x="1524000" y="204216"/>
                </a:lnTo>
                <a:lnTo>
                  <a:pt x="2282952" y="204216"/>
                </a:lnTo>
                <a:lnTo>
                  <a:pt x="2282952" y="0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11</xdr:col>
      <xdr:colOff>546481</xdr:colOff>
      <xdr:row>25</xdr:row>
      <xdr:rowOff>0</xdr:rowOff>
    </xdr:from>
    <xdr:ext cx="645160" cy="3929379"/>
    <xdr:sp macro="" textlink="">
      <xdr:nvSpPr>
        <xdr:cNvPr id="46" name="Shape 46">
          <a:extLst>
            <a:ext uri="{FF2B5EF4-FFF2-40B4-BE49-F238E27FC236}">
              <a16:creationId xmlns:a16="http://schemas.microsoft.com/office/drawing/2014/main" id="{00000000-0008-0000-0300-00002E000000}"/>
            </a:ext>
          </a:extLst>
        </xdr:cNvPr>
        <xdr:cNvSpPr/>
      </xdr:nvSpPr>
      <xdr:spPr>
        <a:xfrm>
          <a:off x="0" y="0"/>
          <a:ext cx="645160" cy="3929379"/>
        </a:xfrm>
        <a:custGeom>
          <a:avLst/>
          <a:gdLst/>
          <a:ahLst/>
          <a:cxnLst/>
          <a:rect l="0" t="0" r="0" b="0"/>
          <a:pathLst>
            <a:path w="645160" h="3929379">
              <a:moveTo>
                <a:pt x="644652" y="3724656"/>
              </a:moveTo>
              <a:lnTo>
                <a:pt x="0" y="3724656"/>
              </a:lnTo>
              <a:lnTo>
                <a:pt x="0" y="3928872"/>
              </a:lnTo>
              <a:lnTo>
                <a:pt x="644652" y="3928872"/>
              </a:lnTo>
              <a:lnTo>
                <a:pt x="644652" y="3724656"/>
              </a:lnTo>
              <a:close/>
            </a:path>
            <a:path w="645160" h="3929379">
              <a:moveTo>
                <a:pt x="644652" y="3517392"/>
              </a:moveTo>
              <a:lnTo>
                <a:pt x="0" y="3517392"/>
              </a:lnTo>
              <a:lnTo>
                <a:pt x="0" y="3721608"/>
              </a:lnTo>
              <a:lnTo>
                <a:pt x="644652" y="3721608"/>
              </a:lnTo>
              <a:lnTo>
                <a:pt x="644652" y="3517392"/>
              </a:lnTo>
              <a:close/>
            </a:path>
            <a:path w="645160" h="3929379">
              <a:moveTo>
                <a:pt x="644652" y="3311652"/>
              </a:moveTo>
              <a:lnTo>
                <a:pt x="0" y="3311652"/>
              </a:lnTo>
              <a:lnTo>
                <a:pt x="0" y="3514344"/>
              </a:lnTo>
              <a:lnTo>
                <a:pt x="644652" y="3514344"/>
              </a:lnTo>
              <a:lnTo>
                <a:pt x="644652" y="3311652"/>
              </a:lnTo>
              <a:close/>
            </a:path>
            <a:path w="645160" h="3929379">
              <a:moveTo>
                <a:pt x="644652" y="3104388"/>
              </a:moveTo>
              <a:lnTo>
                <a:pt x="0" y="3104388"/>
              </a:lnTo>
              <a:lnTo>
                <a:pt x="0" y="3308604"/>
              </a:lnTo>
              <a:lnTo>
                <a:pt x="644652" y="3308604"/>
              </a:lnTo>
              <a:lnTo>
                <a:pt x="644652" y="3104388"/>
              </a:lnTo>
              <a:close/>
            </a:path>
            <a:path w="645160" h="3929379">
              <a:moveTo>
                <a:pt x="644652" y="2897124"/>
              </a:moveTo>
              <a:lnTo>
                <a:pt x="0" y="2897124"/>
              </a:lnTo>
              <a:lnTo>
                <a:pt x="0" y="3101340"/>
              </a:lnTo>
              <a:lnTo>
                <a:pt x="644652" y="3101340"/>
              </a:lnTo>
              <a:lnTo>
                <a:pt x="644652" y="2897124"/>
              </a:lnTo>
              <a:close/>
            </a:path>
            <a:path w="645160" h="3929379">
              <a:moveTo>
                <a:pt x="644652" y="2689860"/>
              </a:moveTo>
              <a:lnTo>
                <a:pt x="0" y="2689860"/>
              </a:lnTo>
              <a:lnTo>
                <a:pt x="0" y="2894076"/>
              </a:lnTo>
              <a:lnTo>
                <a:pt x="644652" y="2894076"/>
              </a:lnTo>
              <a:lnTo>
                <a:pt x="644652" y="2689860"/>
              </a:lnTo>
              <a:close/>
            </a:path>
            <a:path w="645160" h="3929379">
              <a:moveTo>
                <a:pt x="644652" y="2482596"/>
              </a:moveTo>
              <a:lnTo>
                <a:pt x="0" y="2482596"/>
              </a:lnTo>
              <a:lnTo>
                <a:pt x="0" y="2686812"/>
              </a:lnTo>
              <a:lnTo>
                <a:pt x="644652" y="2686812"/>
              </a:lnTo>
              <a:lnTo>
                <a:pt x="644652" y="2482596"/>
              </a:lnTo>
              <a:close/>
            </a:path>
            <a:path w="645160" h="3929379">
              <a:moveTo>
                <a:pt x="644652" y="2276856"/>
              </a:moveTo>
              <a:lnTo>
                <a:pt x="0" y="2276856"/>
              </a:lnTo>
              <a:lnTo>
                <a:pt x="0" y="2479548"/>
              </a:lnTo>
              <a:lnTo>
                <a:pt x="644652" y="2479548"/>
              </a:lnTo>
              <a:lnTo>
                <a:pt x="644652" y="2276856"/>
              </a:lnTo>
              <a:close/>
            </a:path>
            <a:path w="645160" h="3929379">
              <a:moveTo>
                <a:pt x="644652" y="2069592"/>
              </a:moveTo>
              <a:lnTo>
                <a:pt x="0" y="2069592"/>
              </a:lnTo>
              <a:lnTo>
                <a:pt x="0" y="2273808"/>
              </a:lnTo>
              <a:lnTo>
                <a:pt x="644652" y="2273808"/>
              </a:lnTo>
              <a:lnTo>
                <a:pt x="644652" y="2069592"/>
              </a:lnTo>
              <a:close/>
            </a:path>
            <a:path w="645160" h="3929379">
              <a:moveTo>
                <a:pt x="644652" y="1862328"/>
              </a:moveTo>
              <a:lnTo>
                <a:pt x="0" y="1862328"/>
              </a:lnTo>
              <a:lnTo>
                <a:pt x="0" y="2066544"/>
              </a:lnTo>
              <a:lnTo>
                <a:pt x="644652" y="2066544"/>
              </a:lnTo>
              <a:lnTo>
                <a:pt x="644652" y="1862328"/>
              </a:lnTo>
              <a:close/>
            </a:path>
            <a:path w="645160" h="3929379">
              <a:moveTo>
                <a:pt x="644652" y="1655064"/>
              </a:moveTo>
              <a:lnTo>
                <a:pt x="0" y="1655064"/>
              </a:lnTo>
              <a:lnTo>
                <a:pt x="0" y="1859280"/>
              </a:lnTo>
              <a:lnTo>
                <a:pt x="644652" y="1859280"/>
              </a:lnTo>
              <a:lnTo>
                <a:pt x="644652" y="1655064"/>
              </a:lnTo>
              <a:close/>
            </a:path>
            <a:path w="645160" h="3929379">
              <a:moveTo>
                <a:pt x="644652" y="1449324"/>
              </a:moveTo>
              <a:lnTo>
                <a:pt x="0" y="1449324"/>
              </a:lnTo>
              <a:lnTo>
                <a:pt x="0" y="1652016"/>
              </a:lnTo>
              <a:lnTo>
                <a:pt x="644652" y="1652016"/>
              </a:lnTo>
              <a:lnTo>
                <a:pt x="644652" y="1449324"/>
              </a:lnTo>
              <a:close/>
            </a:path>
            <a:path w="645160" h="3929379">
              <a:moveTo>
                <a:pt x="644652" y="1242060"/>
              </a:moveTo>
              <a:lnTo>
                <a:pt x="0" y="1242060"/>
              </a:lnTo>
              <a:lnTo>
                <a:pt x="0" y="1446276"/>
              </a:lnTo>
              <a:lnTo>
                <a:pt x="644652" y="1446276"/>
              </a:lnTo>
              <a:lnTo>
                <a:pt x="644652" y="1242060"/>
              </a:lnTo>
              <a:close/>
            </a:path>
            <a:path w="645160" h="3929379">
              <a:moveTo>
                <a:pt x="644652" y="1034796"/>
              </a:moveTo>
              <a:lnTo>
                <a:pt x="0" y="1034796"/>
              </a:lnTo>
              <a:lnTo>
                <a:pt x="0" y="1239012"/>
              </a:lnTo>
              <a:lnTo>
                <a:pt x="644652" y="1239012"/>
              </a:lnTo>
              <a:lnTo>
                <a:pt x="644652" y="1034796"/>
              </a:lnTo>
              <a:close/>
            </a:path>
            <a:path w="645160" h="3929379">
              <a:moveTo>
                <a:pt x="644652" y="827532"/>
              </a:moveTo>
              <a:lnTo>
                <a:pt x="0" y="827532"/>
              </a:lnTo>
              <a:lnTo>
                <a:pt x="0" y="1031748"/>
              </a:lnTo>
              <a:lnTo>
                <a:pt x="644652" y="1031748"/>
              </a:lnTo>
              <a:lnTo>
                <a:pt x="644652" y="827532"/>
              </a:lnTo>
              <a:close/>
            </a:path>
            <a:path w="645160" h="3929379">
              <a:moveTo>
                <a:pt x="644652" y="621792"/>
              </a:moveTo>
              <a:lnTo>
                <a:pt x="0" y="621792"/>
              </a:lnTo>
              <a:lnTo>
                <a:pt x="0" y="824484"/>
              </a:lnTo>
              <a:lnTo>
                <a:pt x="644652" y="824484"/>
              </a:lnTo>
              <a:lnTo>
                <a:pt x="644652" y="621792"/>
              </a:lnTo>
              <a:close/>
            </a:path>
            <a:path w="645160" h="3929379">
              <a:moveTo>
                <a:pt x="644652" y="414528"/>
              </a:moveTo>
              <a:lnTo>
                <a:pt x="0" y="414528"/>
              </a:lnTo>
              <a:lnTo>
                <a:pt x="0" y="618744"/>
              </a:lnTo>
              <a:lnTo>
                <a:pt x="644652" y="618744"/>
              </a:lnTo>
              <a:lnTo>
                <a:pt x="644652" y="414528"/>
              </a:lnTo>
              <a:close/>
            </a:path>
            <a:path w="645160" h="3929379">
              <a:moveTo>
                <a:pt x="644652" y="207264"/>
              </a:moveTo>
              <a:lnTo>
                <a:pt x="0" y="207264"/>
              </a:lnTo>
              <a:lnTo>
                <a:pt x="0" y="411480"/>
              </a:lnTo>
              <a:lnTo>
                <a:pt x="644652" y="411480"/>
              </a:lnTo>
              <a:lnTo>
                <a:pt x="644652" y="207264"/>
              </a:lnTo>
              <a:close/>
            </a:path>
            <a:path w="645160" h="3929379">
              <a:moveTo>
                <a:pt x="644652" y="0"/>
              </a:moveTo>
              <a:lnTo>
                <a:pt x="0" y="0"/>
              </a:lnTo>
              <a:lnTo>
                <a:pt x="0" y="204216"/>
              </a:lnTo>
              <a:lnTo>
                <a:pt x="644652" y="204216"/>
              </a:lnTo>
              <a:lnTo>
                <a:pt x="644652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543687</xdr:colOff>
      <xdr:row>23</xdr:row>
      <xdr:rowOff>206501</xdr:rowOff>
    </xdr:from>
    <xdr:ext cx="3808729" cy="480059"/>
    <xdr:sp macro="" textlink="">
      <xdr:nvSpPr>
        <xdr:cNvPr id="47" name="Shape 47">
          <a:extLst>
            <a:ext uri="{FF2B5EF4-FFF2-40B4-BE49-F238E27FC236}">
              <a16:creationId xmlns:a16="http://schemas.microsoft.com/office/drawing/2014/main" id="{00000000-0008-0000-0400-00002F000000}"/>
            </a:ext>
          </a:extLst>
        </xdr:cNvPr>
        <xdr:cNvSpPr/>
      </xdr:nvSpPr>
      <xdr:spPr>
        <a:xfrm>
          <a:off x="0" y="0"/>
          <a:ext cx="3808729" cy="480059"/>
        </a:xfrm>
        <a:custGeom>
          <a:avLst/>
          <a:gdLst/>
          <a:ahLst/>
          <a:cxnLst/>
          <a:rect l="0" t="0" r="0" b="0"/>
          <a:pathLst>
            <a:path w="3808729" h="480059">
              <a:moveTo>
                <a:pt x="760476" y="0"/>
              </a:moveTo>
              <a:lnTo>
                <a:pt x="0" y="0"/>
              </a:lnTo>
              <a:lnTo>
                <a:pt x="0" y="480060"/>
              </a:lnTo>
              <a:lnTo>
                <a:pt x="760476" y="480060"/>
              </a:lnTo>
              <a:lnTo>
                <a:pt x="760476" y="0"/>
              </a:lnTo>
              <a:close/>
            </a:path>
            <a:path w="3808729" h="480059">
              <a:moveTo>
                <a:pt x="1522476" y="0"/>
              </a:moveTo>
              <a:lnTo>
                <a:pt x="763524" y="0"/>
              </a:lnTo>
              <a:lnTo>
                <a:pt x="763524" y="480060"/>
              </a:lnTo>
              <a:lnTo>
                <a:pt x="1522476" y="480060"/>
              </a:lnTo>
              <a:lnTo>
                <a:pt x="1522476" y="0"/>
              </a:lnTo>
              <a:close/>
            </a:path>
            <a:path w="3808729" h="480059">
              <a:moveTo>
                <a:pt x="2284463" y="0"/>
              </a:moveTo>
              <a:lnTo>
                <a:pt x="1525524" y="0"/>
              </a:lnTo>
              <a:lnTo>
                <a:pt x="1525524" y="480060"/>
              </a:lnTo>
              <a:lnTo>
                <a:pt x="2284463" y="480060"/>
              </a:lnTo>
              <a:lnTo>
                <a:pt x="2284463" y="0"/>
              </a:lnTo>
              <a:close/>
            </a:path>
            <a:path w="3808729" h="480059">
              <a:moveTo>
                <a:pt x="3046476" y="0"/>
              </a:moveTo>
              <a:lnTo>
                <a:pt x="2287524" y="0"/>
              </a:lnTo>
              <a:lnTo>
                <a:pt x="2287524" y="480060"/>
              </a:lnTo>
              <a:lnTo>
                <a:pt x="3046476" y="480060"/>
              </a:lnTo>
              <a:lnTo>
                <a:pt x="3046476" y="0"/>
              </a:lnTo>
              <a:close/>
            </a:path>
            <a:path w="3808729" h="480059">
              <a:moveTo>
                <a:pt x="3808476" y="0"/>
              </a:moveTo>
              <a:lnTo>
                <a:pt x="3049524" y="0"/>
              </a:lnTo>
              <a:lnTo>
                <a:pt x="3049524" y="480060"/>
              </a:lnTo>
              <a:lnTo>
                <a:pt x="3808476" y="480060"/>
              </a:lnTo>
              <a:lnTo>
                <a:pt x="3808476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5</xdr:col>
      <xdr:colOff>202691</xdr:colOff>
      <xdr:row>3</xdr:row>
      <xdr:rowOff>49142</xdr:rowOff>
    </xdr:from>
    <xdr:ext cx="381000" cy="290285"/>
    <xdr:pic>
      <xdr:nvPicPr>
        <xdr:cNvPr id="48" name="image1.jpeg">
          <a:extLst>
            <a:ext uri="{FF2B5EF4-FFF2-40B4-BE49-F238E27FC236}">
              <a16:creationId xmlns:a16="http://schemas.microsoft.com/office/drawing/2014/main" id="{00000000-0008-0000-04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290285"/>
        </a:xfrm>
        <a:prstGeom prst="rect">
          <a:avLst/>
        </a:prstGeom>
      </xdr:spPr>
    </xdr:pic>
    <xdr:clientData/>
  </xdr:oneCellAnchor>
  <xdr:oneCellAnchor>
    <xdr:from>
      <xdr:col>6</xdr:col>
      <xdr:colOff>201929</xdr:colOff>
      <xdr:row>3</xdr:row>
      <xdr:rowOff>761</xdr:rowOff>
    </xdr:from>
    <xdr:ext cx="338666" cy="381000"/>
    <xdr:pic>
      <xdr:nvPicPr>
        <xdr:cNvPr id="49" name="image2.jpeg">
          <a:extLst>
            <a:ext uri="{FF2B5EF4-FFF2-40B4-BE49-F238E27FC236}">
              <a16:creationId xmlns:a16="http://schemas.microsoft.com/office/drawing/2014/main" id="{00000000-0008-0000-04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38666" cy="381000"/>
        </a:xfrm>
        <a:prstGeom prst="rect">
          <a:avLst/>
        </a:prstGeom>
      </xdr:spPr>
    </xdr:pic>
    <xdr:clientData/>
  </xdr:oneCellAnchor>
  <xdr:oneCellAnchor>
    <xdr:from>
      <xdr:col>7</xdr:col>
      <xdr:colOff>201930</xdr:colOff>
      <xdr:row>3</xdr:row>
      <xdr:rowOff>49142</xdr:rowOff>
    </xdr:from>
    <xdr:ext cx="381000" cy="290285"/>
    <xdr:pic>
      <xdr:nvPicPr>
        <xdr:cNvPr id="50" name="image3.jpeg">
          <a:extLst>
            <a:ext uri="{FF2B5EF4-FFF2-40B4-BE49-F238E27FC236}">
              <a16:creationId xmlns:a16="http://schemas.microsoft.com/office/drawing/2014/main" id="{00000000-0008-0000-04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290285"/>
        </a:xfrm>
        <a:prstGeom prst="rect">
          <a:avLst/>
        </a:prstGeom>
      </xdr:spPr>
    </xdr:pic>
    <xdr:clientData/>
  </xdr:oneCellAnchor>
  <xdr:oneCellAnchor>
    <xdr:from>
      <xdr:col>8</xdr:col>
      <xdr:colOff>298691</xdr:colOff>
      <xdr:row>3</xdr:row>
      <xdr:rowOff>49142</xdr:rowOff>
    </xdr:from>
    <xdr:ext cx="193523" cy="290285"/>
    <xdr:pic>
      <xdr:nvPicPr>
        <xdr:cNvPr id="51" name="image4.jpeg">
          <a:extLst>
            <a:ext uri="{FF2B5EF4-FFF2-40B4-BE49-F238E27FC236}">
              <a16:creationId xmlns:a16="http://schemas.microsoft.com/office/drawing/2014/main" id="{00000000-0008-0000-04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3523" cy="290285"/>
        </a:xfrm>
        <a:prstGeom prst="rect">
          <a:avLst/>
        </a:prstGeom>
      </xdr:spPr>
    </xdr:pic>
    <xdr:clientData/>
  </xdr:oneCellAnchor>
  <xdr:oneCellAnchor>
    <xdr:from>
      <xdr:col>9</xdr:col>
      <xdr:colOff>201929</xdr:colOff>
      <xdr:row>3</xdr:row>
      <xdr:rowOff>761</xdr:rowOff>
    </xdr:from>
    <xdr:ext cx="381000" cy="381000"/>
    <xdr:pic>
      <xdr:nvPicPr>
        <xdr:cNvPr id="52" name="image5.jpeg">
          <a:extLst>
            <a:ext uri="{FF2B5EF4-FFF2-40B4-BE49-F238E27FC236}">
              <a16:creationId xmlns:a16="http://schemas.microsoft.com/office/drawing/2014/main" id="{00000000-0008-0000-04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381000"/>
        </a:xfrm>
        <a:prstGeom prst="rect">
          <a:avLst/>
        </a:prstGeom>
      </xdr:spPr>
    </xdr:pic>
    <xdr:clientData/>
  </xdr:oneCellAnchor>
  <xdr:oneCellAnchor>
    <xdr:from>
      <xdr:col>1</xdr:col>
      <xdr:colOff>226059</xdr:colOff>
      <xdr:row>25</xdr:row>
      <xdr:rowOff>0</xdr:rowOff>
    </xdr:from>
    <xdr:ext cx="7486015" cy="4136390"/>
    <xdr:grpSp>
      <xdr:nvGrpSpPr>
        <xdr:cNvPr id="53" name="Group 53">
          <a:extLst>
            <a:ext uri="{FF2B5EF4-FFF2-40B4-BE49-F238E27FC236}">
              <a16:creationId xmlns:a16="http://schemas.microsoft.com/office/drawing/2014/main" id="{00000000-0008-0000-0400-000035000000}"/>
            </a:ext>
          </a:extLst>
        </xdr:cNvPr>
        <xdr:cNvGrpSpPr/>
      </xdr:nvGrpSpPr>
      <xdr:grpSpPr>
        <a:xfrm>
          <a:off x="607059" y="6256020"/>
          <a:ext cx="7486015" cy="4136390"/>
          <a:chOff x="0" y="0"/>
          <a:chExt cx="7486015" cy="4136390"/>
        </a:xfrm>
      </xdr:grpSpPr>
      <xdr:sp macro="" textlink="">
        <xdr:nvSpPr>
          <xdr:cNvPr id="54" name="Shape 54">
            <a:extLst>
              <a:ext uri="{FF2B5EF4-FFF2-40B4-BE49-F238E27FC236}">
                <a16:creationId xmlns:a16="http://schemas.microsoft.com/office/drawing/2014/main" id="{00000000-0008-0000-0400-000036000000}"/>
              </a:ext>
            </a:extLst>
          </xdr:cNvPr>
          <xdr:cNvSpPr/>
        </xdr:nvSpPr>
        <xdr:spPr>
          <a:xfrm>
            <a:off x="0" y="0"/>
            <a:ext cx="7486015" cy="1859280"/>
          </a:xfrm>
          <a:custGeom>
            <a:avLst/>
            <a:gdLst/>
            <a:ahLst/>
            <a:cxnLst/>
            <a:rect l="0" t="0" r="0" b="0"/>
            <a:pathLst>
              <a:path w="7486015" h="1859280">
                <a:moveTo>
                  <a:pt x="312420" y="1242060"/>
                </a:moveTo>
                <a:lnTo>
                  <a:pt x="0" y="1242060"/>
                </a:lnTo>
                <a:lnTo>
                  <a:pt x="0" y="1859280"/>
                </a:lnTo>
                <a:lnTo>
                  <a:pt x="312420" y="1859280"/>
                </a:lnTo>
                <a:lnTo>
                  <a:pt x="312420" y="1242060"/>
                </a:lnTo>
                <a:close/>
              </a:path>
              <a:path w="7486015" h="1859280">
                <a:moveTo>
                  <a:pt x="312420" y="621792"/>
                </a:moveTo>
                <a:lnTo>
                  <a:pt x="0" y="621792"/>
                </a:lnTo>
                <a:lnTo>
                  <a:pt x="0" y="1239012"/>
                </a:lnTo>
                <a:lnTo>
                  <a:pt x="312420" y="1239012"/>
                </a:lnTo>
                <a:lnTo>
                  <a:pt x="312420" y="621792"/>
                </a:lnTo>
                <a:close/>
              </a:path>
              <a:path w="7486015" h="1859280">
                <a:moveTo>
                  <a:pt x="312420" y="0"/>
                </a:moveTo>
                <a:lnTo>
                  <a:pt x="0" y="0"/>
                </a:lnTo>
                <a:lnTo>
                  <a:pt x="0" y="618744"/>
                </a:lnTo>
                <a:lnTo>
                  <a:pt x="312420" y="618744"/>
                </a:lnTo>
                <a:lnTo>
                  <a:pt x="312420" y="0"/>
                </a:lnTo>
                <a:close/>
              </a:path>
              <a:path w="7486015" h="1859280">
                <a:moveTo>
                  <a:pt x="1264920" y="1242060"/>
                </a:moveTo>
                <a:lnTo>
                  <a:pt x="315468" y="1242060"/>
                </a:lnTo>
                <a:lnTo>
                  <a:pt x="315468" y="1859280"/>
                </a:lnTo>
                <a:lnTo>
                  <a:pt x="1264920" y="1859280"/>
                </a:lnTo>
                <a:lnTo>
                  <a:pt x="1264920" y="1242060"/>
                </a:lnTo>
                <a:close/>
              </a:path>
              <a:path w="7486015" h="1859280">
                <a:moveTo>
                  <a:pt x="1264920" y="621792"/>
                </a:moveTo>
                <a:lnTo>
                  <a:pt x="315468" y="621792"/>
                </a:lnTo>
                <a:lnTo>
                  <a:pt x="315468" y="1239012"/>
                </a:lnTo>
                <a:lnTo>
                  <a:pt x="1264920" y="1239012"/>
                </a:lnTo>
                <a:lnTo>
                  <a:pt x="1264920" y="621792"/>
                </a:lnTo>
                <a:close/>
              </a:path>
              <a:path w="7486015" h="1859280">
                <a:moveTo>
                  <a:pt x="1264920" y="0"/>
                </a:moveTo>
                <a:lnTo>
                  <a:pt x="315468" y="0"/>
                </a:lnTo>
                <a:lnTo>
                  <a:pt x="315468" y="618744"/>
                </a:lnTo>
                <a:lnTo>
                  <a:pt x="1264920" y="618744"/>
                </a:lnTo>
                <a:lnTo>
                  <a:pt x="1264920" y="0"/>
                </a:lnTo>
                <a:close/>
              </a:path>
              <a:path w="7486015" h="1859280">
                <a:moveTo>
                  <a:pt x="2531364" y="1242060"/>
                </a:moveTo>
                <a:lnTo>
                  <a:pt x="1267968" y="1242060"/>
                </a:lnTo>
                <a:lnTo>
                  <a:pt x="1267968" y="1859280"/>
                </a:lnTo>
                <a:lnTo>
                  <a:pt x="2531364" y="1859280"/>
                </a:lnTo>
                <a:lnTo>
                  <a:pt x="2531364" y="1242060"/>
                </a:lnTo>
                <a:close/>
              </a:path>
              <a:path w="7486015" h="1859280">
                <a:moveTo>
                  <a:pt x="2531364" y="621792"/>
                </a:moveTo>
                <a:lnTo>
                  <a:pt x="1267968" y="621792"/>
                </a:lnTo>
                <a:lnTo>
                  <a:pt x="1267968" y="1239012"/>
                </a:lnTo>
                <a:lnTo>
                  <a:pt x="2531364" y="1239012"/>
                </a:lnTo>
                <a:lnTo>
                  <a:pt x="2531364" y="621792"/>
                </a:lnTo>
                <a:close/>
              </a:path>
              <a:path w="7486015" h="1859280">
                <a:moveTo>
                  <a:pt x="2531364" y="0"/>
                </a:moveTo>
                <a:lnTo>
                  <a:pt x="1267968" y="0"/>
                </a:lnTo>
                <a:lnTo>
                  <a:pt x="1267968" y="618744"/>
                </a:lnTo>
                <a:lnTo>
                  <a:pt x="2531364" y="618744"/>
                </a:lnTo>
                <a:lnTo>
                  <a:pt x="2531364" y="0"/>
                </a:lnTo>
                <a:close/>
              </a:path>
              <a:path w="7486015" h="1859280">
                <a:moveTo>
                  <a:pt x="3037332" y="1655064"/>
                </a:moveTo>
                <a:lnTo>
                  <a:pt x="2534412" y="1655064"/>
                </a:lnTo>
                <a:lnTo>
                  <a:pt x="2534412" y="1859280"/>
                </a:lnTo>
                <a:lnTo>
                  <a:pt x="3037332" y="1859280"/>
                </a:lnTo>
                <a:lnTo>
                  <a:pt x="3037332" y="1655064"/>
                </a:lnTo>
                <a:close/>
              </a:path>
              <a:path w="7486015" h="1859280">
                <a:moveTo>
                  <a:pt x="3037332" y="1449324"/>
                </a:moveTo>
                <a:lnTo>
                  <a:pt x="2534412" y="1449324"/>
                </a:lnTo>
                <a:lnTo>
                  <a:pt x="2534412" y="1652016"/>
                </a:lnTo>
                <a:lnTo>
                  <a:pt x="3037332" y="1652016"/>
                </a:lnTo>
                <a:lnTo>
                  <a:pt x="3037332" y="1449324"/>
                </a:lnTo>
                <a:close/>
              </a:path>
              <a:path w="7486015" h="1859280">
                <a:moveTo>
                  <a:pt x="3037332" y="1242060"/>
                </a:moveTo>
                <a:lnTo>
                  <a:pt x="2534412" y="1242060"/>
                </a:lnTo>
                <a:lnTo>
                  <a:pt x="2534412" y="1446276"/>
                </a:lnTo>
                <a:lnTo>
                  <a:pt x="3037332" y="1446276"/>
                </a:lnTo>
                <a:lnTo>
                  <a:pt x="3037332" y="1242060"/>
                </a:lnTo>
                <a:close/>
              </a:path>
              <a:path w="7486015" h="1859280">
                <a:moveTo>
                  <a:pt x="3037332" y="1034796"/>
                </a:moveTo>
                <a:lnTo>
                  <a:pt x="2534412" y="1034796"/>
                </a:lnTo>
                <a:lnTo>
                  <a:pt x="2534412" y="1239012"/>
                </a:lnTo>
                <a:lnTo>
                  <a:pt x="3037332" y="1239012"/>
                </a:lnTo>
                <a:lnTo>
                  <a:pt x="3037332" y="1034796"/>
                </a:lnTo>
                <a:close/>
              </a:path>
              <a:path w="7486015" h="1859280">
                <a:moveTo>
                  <a:pt x="3037332" y="827532"/>
                </a:moveTo>
                <a:lnTo>
                  <a:pt x="2534412" y="827532"/>
                </a:lnTo>
                <a:lnTo>
                  <a:pt x="2534412" y="1031748"/>
                </a:lnTo>
                <a:lnTo>
                  <a:pt x="3037332" y="1031748"/>
                </a:lnTo>
                <a:lnTo>
                  <a:pt x="3037332" y="827532"/>
                </a:lnTo>
                <a:close/>
              </a:path>
              <a:path w="7486015" h="1859280">
                <a:moveTo>
                  <a:pt x="3037332" y="621792"/>
                </a:moveTo>
                <a:lnTo>
                  <a:pt x="2534412" y="621792"/>
                </a:lnTo>
                <a:lnTo>
                  <a:pt x="2534412" y="824484"/>
                </a:lnTo>
                <a:lnTo>
                  <a:pt x="3037332" y="824484"/>
                </a:lnTo>
                <a:lnTo>
                  <a:pt x="3037332" y="621792"/>
                </a:lnTo>
                <a:close/>
              </a:path>
              <a:path w="7486015" h="1859280">
                <a:moveTo>
                  <a:pt x="3037332" y="414528"/>
                </a:moveTo>
                <a:lnTo>
                  <a:pt x="2534412" y="414528"/>
                </a:lnTo>
                <a:lnTo>
                  <a:pt x="2534412" y="618744"/>
                </a:lnTo>
                <a:lnTo>
                  <a:pt x="3037332" y="618744"/>
                </a:lnTo>
                <a:lnTo>
                  <a:pt x="3037332" y="414528"/>
                </a:lnTo>
                <a:close/>
              </a:path>
              <a:path w="7486015" h="1859280">
                <a:moveTo>
                  <a:pt x="3037332" y="207264"/>
                </a:moveTo>
                <a:lnTo>
                  <a:pt x="2534412" y="207264"/>
                </a:lnTo>
                <a:lnTo>
                  <a:pt x="2534412" y="411480"/>
                </a:lnTo>
                <a:lnTo>
                  <a:pt x="3037332" y="411480"/>
                </a:lnTo>
                <a:lnTo>
                  <a:pt x="3037332" y="207264"/>
                </a:lnTo>
                <a:close/>
              </a:path>
              <a:path w="7486015" h="1859280">
                <a:moveTo>
                  <a:pt x="3037332" y="0"/>
                </a:moveTo>
                <a:lnTo>
                  <a:pt x="2534412" y="0"/>
                </a:lnTo>
                <a:lnTo>
                  <a:pt x="2534412" y="204216"/>
                </a:lnTo>
                <a:lnTo>
                  <a:pt x="3037332" y="204216"/>
                </a:lnTo>
                <a:lnTo>
                  <a:pt x="3037332" y="0"/>
                </a:lnTo>
                <a:close/>
              </a:path>
              <a:path w="7486015" h="1859280">
                <a:moveTo>
                  <a:pt x="3674364" y="1655064"/>
                </a:moveTo>
                <a:lnTo>
                  <a:pt x="3040380" y="1655064"/>
                </a:lnTo>
                <a:lnTo>
                  <a:pt x="3040380" y="1859280"/>
                </a:lnTo>
                <a:lnTo>
                  <a:pt x="3674364" y="1859280"/>
                </a:lnTo>
                <a:lnTo>
                  <a:pt x="3674364" y="1655064"/>
                </a:lnTo>
                <a:close/>
              </a:path>
              <a:path w="7486015" h="1859280">
                <a:moveTo>
                  <a:pt x="3674364" y="1449324"/>
                </a:moveTo>
                <a:lnTo>
                  <a:pt x="3040380" y="1449324"/>
                </a:lnTo>
                <a:lnTo>
                  <a:pt x="3040380" y="1652016"/>
                </a:lnTo>
                <a:lnTo>
                  <a:pt x="3674364" y="1652016"/>
                </a:lnTo>
                <a:lnTo>
                  <a:pt x="3674364" y="1449324"/>
                </a:lnTo>
                <a:close/>
              </a:path>
              <a:path w="7486015" h="1859280">
                <a:moveTo>
                  <a:pt x="3674364" y="1242060"/>
                </a:moveTo>
                <a:lnTo>
                  <a:pt x="3040380" y="1242060"/>
                </a:lnTo>
                <a:lnTo>
                  <a:pt x="3040380" y="1446276"/>
                </a:lnTo>
                <a:lnTo>
                  <a:pt x="3674364" y="1446276"/>
                </a:lnTo>
                <a:lnTo>
                  <a:pt x="3674364" y="1242060"/>
                </a:lnTo>
                <a:close/>
              </a:path>
              <a:path w="7486015" h="1859280">
                <a:moveTo>
                  <a:pt x="3674364" y="1034796"/>
                </a:moveTo>
                <a:lnTo>
                  <a:pt x="3040380" y="1034796"/>
                </a:lnTo>
                <a:lnTo>
                  <a:pt x="3040380" y="1239012"/>
                </a:lnTo>
                <a:lnTo>
                  <a:pt x="3674364" y="1239012"/>
                </a:lnTo>
                <a:lnTo>
                  <a:pt x="3674364" y="1034796"/>
                </a:lnTo>
                <a:close/>
              </a:path>
              <a:path w="7486015" h="1859280">
                <a:moveTo>
                  <a:pt x="3674364" y="827532"/>
                </a:moveTo>
                <a:lnTo>
                  <a:pt x="3040380" y="827532"/>
                </a:lnTo>
                <a:lnTo>
                  <a:pt x="3040380" y="1031748"/>
                </a:lnTo>
                <a:lnTo>
                  <a:pt x="3674364" y="1031748"/>
                </a:lnTo>
                <a:lnTo>
                  <a:pt x="3674364" y="827532"/>
                </a:lnTo>
                <a:close/>
              </a:path>
              <a:path w="7486015" h="1859280">
                <a:moveTo>
                  <a:pt x="3674364" y="621792"/>
                </a:moveTo>
                <a:lnTo>
                  <a:pt x="3040380" y="621792"/>
                </a:lnTo>
                <a:lnTo>
                  <a:pt x="3040380" y="824484"/>
                </a:lnTo>
                <a:lnTo>
                  <a:pt x="3674364" y="824484"/>
                </a:lnTo>
                <a:lnTo>
                  <a:pt x="3674364" y="621792"/>
                </a:lnTo>
                <a:close/>
              </a:path>
              <a:path w="7486015" h="1859280">
                <a:moveTo>
                  <a:pt x="3674364" y="414528"/>
                </a:moveTo>
                <a:lnTo>
                  <a:pt x="3040380" y="414528"/>
                </a:lnTo>
                <a:lnTo>
                  <a:pt x="3040380" y="618744"/>
                </a:lnTo>
                <a:lnTo>
                  <a:pt x="3674364" y="618744"/>
                </a:lnTo>
                <a:lnTo>
                  <a:pt x="3674364" y="414528"/>
                </a:lnTo>
                <a:close/>
              </a:path>
              <a:path w="7486015" h="1859280">
                <a:moveTo>
                  <a:pt x="3674364" y="207264"/>
                </a:moveTo>
                <a:lnTo>
                  <a:pt x="3040380" y="207264"/>
                </a:lnTo>
                <a:lnTo>
                  <a:pt x="3040380" y="411480"/>
                </a:lnTo>
                <a:lnTo>
                  <a:pt x="3674364" y="411480"/>
                </a:lnTo>
                <a:lnTo>
                  <a:pt x="3674364" y="207264"/>
                </a:lnTo>
                <a:close/>
              </a:path>
              <a:path w="7486015" h="1859280">
                <a:moveTo>
                  <a:pt x="3674364" y="0"/>
                </a:moveTo>
                <a:lnTo>
                  <a:pt x="3040380" y="0"/>
                </a:lnTo>
                <a:lnTo>
                  <a:pt x="3040380" y="204216"/>
                </a:lnTo>
                <a:lnTo>
                  <a:pt x="3674364" y="204216"/>
                </a:lnTo>
                <a:lnTo>
                  <a:pt x="3674364" y="0"/>
                </a:lnTo>
                <a:close/>
              </a:path>
              <a:path w="7486015" h="1859280">
                <a:moveTo>
                  <a:pt x="4437888" y="1655064"/>
                </a:moveTo>
                <a:lnTo>
                  <a:pt x="3677412" y="1655064"/>
                </a:lnTo>
                <a:lnTo>
                  <a:pt x="3677412" y="1859280"/>
                </a:lnTo>
                <a:lnTo>
                  <a:pt x="4437888" y="1859280"/>
                </a:lnTo>
                <a:lnTo>
                  <a:pt x="4437888" y="1655064"/>
                </a:lnTo>
                <a:close/>
              </a:path>
              <a:path w="7486015" h="1859280">
                <a:moveTo>
                  <a:pt x="4437888" y="1449324"/>
                </a:moveTo>
                <a:lnTo>
                  <a:pt x="3677412" y="1449324"/>
                </a:lnTo>
                <a:lnTo>
                  <a:pt x="3677412" y="1652016"/>
                </a:lnTo>
                <a:lnTo>
                  <a:pt x="4437888" y="1652016"/>
                </a:lnTo>
                <a:lnTo>
                  <a:pt x="4437888" y="1449324"/>
                </a:lnTo>
                <a:close/>
              </a:path>
              <a:path w="7486015" h="1859280">
                <a:moveTo>
                  <a:pt x="4437888" y="1242060"/>
                </a:moveTo>
                <a:lnTo>
                  <a:pt x="3677412" y="1242060"/>
                </a:lnTo>
                <a:lnTo>
                  <a:pt x="3677412" y="1446276"/>
                </a:lnTo>
                <a:lnTo>
                  <a:pt x="4437888" y="1446276"/>
                </a:lnTo>
                <a:lnTo>
                  <a:pt x="4437888" y="1242060"/>
                </a:lnTo>
                <a:close/>
              </a:path>
              <a:path w="7486015" h="1859280">
                <a:moveTo>
                  <a:pt x="4437888" y="1034796"/>
                </a:moveTo>
                <a:lnTo>
                  <a:pt x="3677412" y="1034796"/>
                </a:lnTo>
                <a:lnTo>
                  <a:pt x="3677412" y="1239012"/>
                </a:lnTo>
                <a:lnTo>
                  <a:pt x="4437888" y="1239012"/>
                </a:lnTo>
                <a:lnTo>
                  <a:pt x="4437888" y="1034796"/>
                </a:lnTo>
                <a:close/>
              </a:path>
              <a:path w="7486015" h="1859280">
                <a:moveTo>
                  <a:pt x="4437888" y="827532"/>
                </a:moveTo>
                <a:lnTo>
                  <a:pt x="3677412" y="827532"/>
                </a:lnTo>
                <a:lnTo>
                  <a:pt x="3677412" y="1031748"/>
                </a:lnTo>
                <a:lnTo>
                  <a:pt x="4437888" y="1031748"/>
                </a:lnTo>
                <a:lnTo>
                  <a:pt x="4437888" y="827532"/>
                </a:lnTo>
                <a:close/>
              </a:path>
              <a:path w="7486015" h="1859280">
                <a:moveTo>
                  <a:pt x="4437888" y="621792"/>
                </a:moveTo>
                <a:lnTo>
                  <a:pt x="3677412" y="621792"/>
                </a:lnTo>
                <a:lnTo>
                  <a:pt x="3677412" y="824484"/>
                </a:lnTo>
                <a:lnTo>
                  <a:pt x="4437888" y="824484"/>
                </a:lnTo>
                <a:lnTo>
                  <a:pt x="4437888" y="621792"/>
                </a:lnTo>
                <a:close/>
              </a:path>
              <a:path w="7486015" h="1859280">
                <a:moveTo>
                  <a:pt x="4437888" y="414528"/>
                </a:moveTo>
                <a:lnTo>
                  <a:pt x="3677412" y="414528"/>
                </a:lnTo>
                <a:lnTo>
                  <a:pt x="3677412" y="618744"/>
                </a:lnTo>
                <a:lnTo>
                  <a:pt x="4437888" y="618744"/>
                </a:lnTo>
                <a:lnTo>
                  <a:pt x="4437888" y="414528"/>
                </a:lnTo>
                <a:close/>
              </a:path>
              <a:path w="7486015" h="1859280">
                <a:moveTo>
                  <a:pt x="4437888" y="207264"/>
                </a:moveTo>
                <a:lnTo>
                  <a:pt x="3677412" y="207264"/>
                </a:lnTo>
                <a:lnTo>
                  <a:pt x="3677412" y="411480"/>
                </a:lnTo>
                <a:lnTo>
                  <a:pt x="4437888" y="411480"/>
                </a:lnTo>
                <a:lnTo>
                  <a:pt x="4437888" y="207264"/>
                </a:lnTo>
                <a:close/>
              </a:path>
              <a:path w="7486015" h="1859280">
                <a:moveTo>
                  <a:pt x="4437888" y="0"/>
                </a:moveTo>
                <a:lnTo>
                  <a:pt x="3677412" y="0"/>
                </a:lnTo>
                <a:lnTo>
                  <a:pt x="3677412" y="204216"/>
                </a:lnTo>
                <a:lnTo>
                  <a:pt x="4437888" y="204216"/>
                </a:lnTo>
                <a:lnTo>
                  <a:pt x="4437888" y="0"/>
                </a:lnTo>
                <a:close/>
              </a:path>
              <a:path w="7486015" h="1859280">
                <a:moveTo>
                  <a:pt x="5199888" y="1655064"/>
                </a:moveTo>
                <a:lnTo>
                  <a:pt x="4440936" y="1655064"/>
                </a:lnTo>
                <a:lnTo>
                  <a:pt x="4440936" y="1859280"/>
                </a:lnTo>
                <a:lnTo>
                  <a:pt x="5199888" y="1859280"/>
                </a:lnTo>
                <a:lnTo>
                  <a:pt x="5199888" y="1655064"/>
                </a:lnTo>
                <a:close/>
              </a:path>
              <a:path w="7486015" h="1859280">
                <a:moveTo>
                  <a:pt x="5199888" y="1449324"/>
                </a:moveTo>
                <a:lnTo>
                  <a:pt x="4440936" y="1449324"/>
                </a:lnTo>
                <a:lnTo>
                  <a:pt x="4440936" y="1652016"/>
                </a:lnTo>
                <a:lnTo>
                  <a:pt x="5199888" y="1652016"/>
                </a:lnTo>
                <a:lnTo>
                  <a:pt x="5199888" y="1449324"/>
                </a:lnTo>
                <a:close/>
              </a:path>
              <a:path w="7486015" h="1859280">
                <a:moveTo>
                  <a:pt x="5199888" y="1242060"/>
                </a:moveTo>
                <a:lnTo>
                  <a:pt x="4440936" y="1242060"/>
                </a:lnTo>
                <a:lnTo>
                  <a:pt x="4440936" y="1446276"/>
                </a:lnTo>
                <a:lnTo>
                  <a:pt x="5199888" y="1446276"/>
                </a:lnTo>
                <a:lnTo>
                  <a:pt x="5199888" y="1242060"/>
                </a:lnTo>
                <a:close/>
              </a:path>
              <a:path w="7486015" h="1859280">
                <a:moveTo>
                  <a:pt x="5199888" y="1034796"/>
                </a:moveTo>
                <a:lnTo>
                  <a:pt x="4440936" y="1034796"/>
                </a:lnTo>
                <a:lnTo>
                  <a:pt x="4440936" y="1239012"/>
                </a:lnTo>
                <a:lnTo>
                  <a:pt x="5199888" y="1239012"/>
                </a:lnTo>
                <a:lnTo>
                  <a:pt x="5199888" y="1034796"/>
                </a:lnTo>
                <a:close/>
              </a:path>
              <a:path w="7486015" h="1859280">
                <a:moveTo>
                  <a:pt x="5199888" y="827532"/>
                </a:moveTo>
                <a:lnTo>
                  <a:pt x="4440936" y="827532"/>
                </a:lnTo>
                <a:lnTo>
                  <a:pt x="4440936" y="1031748"/>
                </a:lnTo>
                <a:lnTo>
                  <a:pt x="5199888" y="1031748"/>
                </a:lnTo>
                <a:lnTo>
                  <a:pt x="5199888" y="827532"/>
                </a:lnTo>
                <a:close/>
              </a:path>
              <a:path w="7486015" h="1859280">
                <a:moveTo>
                  <a:pt x="5199888" y="621792"/>
                </a:moveTo>
                <a:lnTo>
                  <a:pt x="4440936" y="621792"/>
                </a:lnTo>
                <a:lnTo>
                  <a:pt x="4440936" y="824484"/>
                </a:lnTo>
                <a:lnTo>
                  <a:pt x="5199888" y="824484"/>
                </a:lnTo>
                <a:lnTo>
                  <a:pt x="5199888" y="621792"/>
                </a:lnTo>
                <a:close/>
              </a:path>
              <a:path w="7486015" h="1859280">
                <a:moveTo>
                  <a:pt x="5199888" y="414528"/>
                </a:moveTo>
                <a:lnTo>
                  <a:pt x="4440936" y="414528"/>
                </a:lnTo>
                <a:lnTo>
                  <a:pt x="4440936" y="618744"/>
                </a:lnTo>
                <a:lnTo>
                  <a:pt x="5199888" y="618744"/>
                </a:lnTo>
                <a:lnTo>
                  <a:pt x="5199888" y="414528"/>
                </a:lnTo>
                <a:close/>
              </a:path>
              <a:path w="7486015" h="1859280">
                <a:moveTo>
                  <a:pt x="5199888" y="207264"/>
                </a:moveTo>
                <a:lnTo>
                  <a:pt x="4440936" y="207264"/>
                </a:lnTo>
                <a:lnTo>
                  <a:pt x="4440936" y="411480"/>
                </a:lnTo>
                <a:lnTo>
                  <a:pt x="5199888" y="411480"/>
                </a:lnTo>
                <a:lnTo>
                  <a:pt x="5199888" y="207264"/>
                </a:lnTo>
                <a:close/>
              </a:path>
              <a:path w="7486015" h="1859280">
                <a:moveTo>
                  <a:pt x="5199888" y="0"/>
                </a:moveTo>
                <a:lnTo>
                  <a:pt x="4440936" y="0"/>
                </a:lnTo>
                <a:lnTo>
                  <a:pt x="4440936" y="204216"/>
                </a:lnTo>
                <a:lnTo>
                  <a:pt x="5199888" y="204216"/>
                </a:lnTo>
                <a:lnTo>
                  <a:pt x="5199888" y="0"/>
                </a:lnTo>
                <a:close/>
              </a:path>
              <a:path w="7486015" h="1859280">
                <a:moveTo>
                  <a:pt x="5961875" y="1655064"/>
                </a:moveTo>
                <a:lnTo>
                  <a:pt x="5202936" y="1655064"/>
                </a:lnTo>
                <a:lnTo>
                  <a:pt x="5202936" y="1859280"/>
                </a:lnTo>
                <a:lnTo>
                  <a:pt x="5961875" y="1859280"/>
                </a:lnTo>
                <a:lnTo>
                  <a:pt x="5961875" y="1655064"/>
                </a:lnTo>
                <a:close/>
              </a:path>
              <a:path w="7486015" h="1859280">
                <a:moveTo>
                  <a:pt x="5961875" y="1449324"/>
                </a:moveTo>
                <a:lnTo>
                  <a:pt x="5202936" y="1449324"/>
                </a:lnTo>
                <a:lnTo>
                  <a:pt x="5202936" y="1652016"/>
                </a:lnTo>
                <a:lnTo>
                  <a:pt x="5961875" y="1652016"/>
                </a:lnTo>
                <a:lnTo>
                  <a:pt x="5961875" y="1449324"/>
                </a:lnTo>
                <a:close/>
              </a:path>
              <a:path w="7486015" h="1859280">
                <a:moveTo>
                  <a:pt x="5961875" y="1242060"/>
                </a:moveTo>
                <a:lnTo>
                  <a:pt x="5202936" y="1242060"/>
                </a:lnTo>
                <a:lnTo>
                  <a:pt x="5202936" y="1446276"/>
                </a:lnTo>
                <a:lnTo>
                  <a:pt x="5961875" y="1446276"/>
                </a:lnTo>
                <a:lnTo>
                  <a:pt x="5961875" y="1242060"/>
                </a:lnTo>
                <a:close/>
              </a:path>
              <a:path w="7486015" h="1859280">
                <a:moveTo>
                  <a:pt x="5961875" y="1034796"/>
                </a:moveTo>
                <a:lnTo>
                  <a:pt x="5202936" y="1034796"/>
                </a:lnTo>
                <a:lnTo>
                  <a:pt x="5202936" y="1239012"/>
                </a:lnTo>
                <a:lnTo>
                  <a:pt x="5961875" y="1239012"/>
                </a:lnTo>
                <a:lnTo>
                  <a:pt x="5961875" y="1034796"/>
                </a:lnTo>
                <a:close/>
              </a:path>
              <a:path w="7486015" h="1859280">
                <a:moveTo>
                  <a:pt x="5961875" y="827532"/>
                </a:moveTo>
                <a:lnTo>
                  <a:pt x="5202936" y="827532"/>
                </a:lnTo>
                <a:lnTo>
                  <a:pt x="5202936" y="1031748"/>
                </a:lnTo>
                <a:lnTo>
                  <a:pt x="5961875" y="1031748"/>
                </a:lnTo>
                <a:lnTo>
                  <a:pt x="5961875" y="827532"/>
                </a:lnTo>
                <a:close/>
              </a:path>
              <a:path w="7486015" h="1859280">
                <a:moveTo>
                  <a:pt x="5961875" y="621792"/>
                </a:moveTo>
                <a:lnTo>
                  <a:pt x="5202936" y="621792"/>
                </a:lnTo>
                <a:lnTo>
                  <a:pt x="5202936" y="824484"/>
                </a:lnTo>
                <a:lnTo>
                  <a:pt x="5961875" y="824484"/>
                </a:lnTo>
                <a:lnTo>
                  <a:pt x="5961875" y="621792"/>
                </a:lnTo>
                <a:close/>
              </a:path>
              <a:path w="7486015" h="1859280">
                <a:moveTo>
                  <a:pt x="5961875" y="414528"/>
                </a:moveTo>
                <a:lnTo>
                  <a:pt x="5202936" y="414528"/>
                </a:lnTo>
                <a:lnTo>
                  <a:pt x="5202936" y="618744"/>
                </a:lnTo>
                <a:lnTo>
                  <a:pt x="5961875" y="618744"/>
                </a:lnTo>
                <a:lnTo>
                  <a:pt x="5961875" y="414528"/>
                </a:lnTo>
                <a:close/>
              </a:path>
              <a:path w="7486015" h="1859280">
                <a:moveTo>
                  <a:pt x="5961875" y="207264"/>
                </a:moveTo>
                <a:lnTo>
                  <a:pt x="5202936" y="207264"/>
                </a:lnTo>
                <a:lnTo>
                  <a:pt x="5202936" y="411480"/>
                </a:lnTo>
                <a:lnTo>
                  <a:pt x="5961875" y="411480"/>
                </a:lnTo>
                <a:lnTo>
                  <a:pt x="5961875" y="207264"/>
                </a:lnTo>
                <a:close/>
              </a:path>
              <a:path w="7486015" h="1859280">
                <a:moveTo>
                  <a:pt x="5961875" y="0"/>
                </a:moveTo>
                <a:lnTo>
                  <a:pt x="5202936" y="0"/>
                </a:lnTo>
                <a:lnTo>
                  <a:pt x="5202936" y="204216"/>
                </a:lnTo>
                <a:lnTo>
                  <a:pt x="5961875" y="204216"/>
                </a:lnTo>
                <a:lnTo>
                  <a:pt x="5961875" y="0"/>
                </a:lnTo>
                <a:close/>
              </a:path>
              <a:path w="7486015" h="1859280">
                <a:moveTo>
                  <a:pt x="6723888" y="1655064"/>
                </a:moveTo>
                <a:lnTo>
                  <a:pt x="5964936" y="1655064"/>
                </a:lnTo>
                <a:lnTo>
                  <a:pt x="5964936" y="1859280"/>
                </a:lnTo>
                <a:lnTo>
                  <a:pt x="6723888" y="1859280"/>
                </a:lnTo>
                <a:lnTo>
                  <a:pt x="6723888" y="1655064"/>
                </a:lnTo>
                <a:close/>
              </a:path>
              <a:path w="7486015" h="1859280">
                <a:moveTo>
                  <a:pt x="6723888" y="1449324"/>
                </a:moveTo>
                <a:lnTo>
                  <a:pt x="5964936" y="1449324"/>
                </a:lnTo>
                <a:lnTo>
                  <a:pt x="5964936" y="1652016"/>
                </a:lnTo>
                <a:lnTo>
                  <a:pt x="6723888" y="1652016"/>
                </a:lnTo>
                <a:lnTo>
                  <a:pt x="6723888" y="1449324"/>
                </a:lnTo>
                <a:close/>
              </a:path>
              <a:path w="7486015" h="1859280">
                <a:moveTo>
                  <a:pt x="6723888" y="1242060"/>
                </a:moveTo>
                <a:lnTo>
                  <a:pt x="5964936" y="1242060"/>
                </a:lnTo>
                <a:lnTo>
                  <a:pt x="5964936" y="1446276"/>
                </a:lnTo>
                <a:lnTo>
                  <a:pt x="6723888" y="1446276"/>
                </a:lnTo>
                <a:lnTo>
                  <a:pt x="6723888" y="1242060"/>
                </a:lnTo>
                <a:close/>
              </a:path>
              <a:path w="7486015" h="1859280">
                <a:moveTo>
                  <a:pt x="6723888" y="1034796"/>
                </a:moveTo>
                <a:lnTo>
                  <a:pt x="5964936" y="1034796"/>
                </a:lnTo>
                <a:lnTo>
                  <a:pt x="5964936" y="1239012"/>
                </a:lnTo>
                <a:lnTo>
                  <a:pt x="6723888" y="1239012"/>
                </a:lnTo>
                <a:lnTo>
                  <a:pt x="6723888" y="1034796"/>
                </a:lnTo>
                <a:close/>
              </a:path>
              <a:path w="7486015" h="1859280">
                <a:moveTo>
                  <a:pt x="6723888" y="827532"/>
                </a:moveTo>
                <a:lnTo>
                  <a:pt x="5964936" y="827532"/>
                </a:lnTo>
                <a:lnTo>
                  <a:pt x="5964936" y="1031748"/>
                </a:lnTo>
                <a:lnTo>
                  <a:pt x="6723888" y="1031748"/>
                </a:lnTo>
                <a:lnTo>
                  <a:pt x="6723888" y="827532"/>
                </a:lnTo>
                <a:close/>
              </a:path>
              <a:path w="7486015" h="1859280">
                <a:moveTo>
                  <a:pt x="6723888" y="621792"/>
                </a:moveTo>
                <a:lnTo>
                  <a:pt x="5964936" y="621792"/>
                </a:lnTo>
                <a:lnTo>
                  <a:pt x="5964936" y="824484"/>
                </a:lnTo>
                <a:lnTo>
                  <a:pt x="6723888" y="824484"/>
                </a:lnTo>
                <a:lnTo>
                  <a:pt x="6723888" y="621792"/>
                </a:lnTo>
                <a:close/>
              </a:path>
              <a:path w="7486015" h="1859280">
                <a:moveTo>
                  <a:pt x="6723888" y="414528"/>
                </a:moveTo>
                <a:lnTo>
                  <a:pt x="5964936" y="414528"/>
                </a:lnTo>
                <a:lnTo>
                  <a:pt x="5964936" y="618744"/>
                </a:lnTo>
                <a:lnTo>
                  <a:pt x="6723888" y="618744"/>
                </a:lnTo>
                <a:lnTo>
                  <a:pt x="6723888" y="414528"/>
                </a:lnTo>
                <a:close/>
              </a:path>
              <a:path w="7486015" h="1859280">
                <a:moveTo>
                  <a:pt x="6723888" y="207264"/>
                </a:moveTo>
                <a:lnTo>
                  <a:pt x="5964936" y="207264"/>
                </a:lnTo>
                <a:lnTo>
                  <a:pt x="5964936" y="411480"/>
                </a:lnTo>
                <a:lnTo>
                  <a:pt x="6723888" y="411480"/>
                </a:lnTo>
                <a:lnTo>
                  <a:pt x="6723888" y="207264"/>
                </a:lnTo>
                <a:close/>
              </a:path>
              <a:path w="7486015" h="1859280">
                <a:moveTo>
                  <a:pt x="6723888" y="0"/>
                </a:moveTo>
                <a:lnTo>
                  <a:pt x="5964936" y="0"/>
                </a:lnTo>
                <a:lnTo>
                  <a:pt x="5964936" y="204216"/>
                </a:lnTo>
                <a:lnTo>
                  <a:pt x="6723888" y="204216"/>
                </a:lnTo>
                <a:lnTo>
                  <a:pt x="6723888" y="0"/>
                </a:lnTo>
                <a:close/>
              </a:path>
              <a:path w="7486015" h="1859280">
                <a:moveTo>
                  <a:pt x="7485888" y="1449324"/>
                </a:moveTo>
                <a:lnTo>
                  <a:pt x="6726936" y="1449324"/>
                </a:lnTo>
                <a:lnTo>
                  <a:pt x="6726936" y="1652016"/>
                </a:lnTo>
                <a:lnTo>
                  <a:pt x="7485888" y="1652016"/>
                </a:lnTo>
                <a:lnTo>
                  <a:pt x="7485888" y="1449324"/>
                </a:lnTo>
                <a:close/>
              </a:path>
              <a:path w="7486015" h="1859280">
                <a:moveTo>
                  <a:pt x="7485888" y="1242060"/>
                </a:moveTo>
                <a:lnTo>
                  <a:pt x="6726936" y="1242060"/>
                </a:lnTo>
                <a:lnTo>
                  <a:pt x="6726936" y="1446276"/>
                </a:lnTo>
                <a:lnTo>
                  <a:pt x="7485888" y="1446276"/>
                </a:lnTo>
                <a:lnTo>
                  <a:pt x="7485888" y="1242060"/>
                </a:lnTo>
                <a:close/>
              </a:path>
              <a:path w="7486015" h="1859280">
                <a:moveTo>
                  <a:pt x="7485888" y="1034796"/>
                </a:moveTo>
                <a:lnTo>
                  <a:pt x="6726936" y="1034796"/>
                </a:lnTo>
                <a:lnTo>
                  <a:pt x="6726936" y="1239012"/>
                </a:lnTo>
                <a:lnTo>
                  <a:pt x="7485888" y="1239012"/>
                </a:lnTo>
                <a:lnTo>
                  <a:pt x="7485888" y="1034796"/>
                </a:lnTo>
                <a:close/>
              </a:path>
              <a:path w="7486015" h="1859280">
                <a:moveTo>
                  <a:pt x="7485888" y="827532"/>
                </a:moveTo>
                <a:lnTo>
                  <a:pt x="6726936" y="827532"/>
                </a:lnTo>
                <a:lnTo>
                  <a:pt x="6726936" y="1031748"/>
                </a:lnTo>
                <a:lnTo>
                  <a:pt x="7485888" y="1031748"/>
                </a:lnTo>
                <a:lnTo>
                  <a:pt x="7485888" y="827532"/>
                </a:lnTo>
                <a:close/>
              </a:path>
              <a:path w="7486015" h="1859280">
                <a:moveTo>
                  <a:pt x="7485888" y="621792"/>
                </a:moveTo>
                <a:lnTo>
                  <a:pt x="6726936" y="621792"/>
                </a:lnTo>
                <a:lnTo>
                  <a:pt x="6726936" y="824484"/>
                </a:lnTo>
                <a:lnTo>
                  <a:pt x="7485888" y="824484"/>
                </a:lnTo>
                <a:lnTo>
                  <a:pt x="7485888" y="621792"/>
                </a:lnTo>
                <a:close/>
              </a:path>
              <a:path w="7486015" h="1859280">
                <a:moveTo>
                  <a:pt x="7485888" y="414528"/>
                </a:moveTo>
                <a:lnTo>
                  <a:pt x="6726936" y="414528"/>
                </a:lnTo>
                <a:lnTo>
                  <a:pt x="6726936" y="618744"/>
                </a:lnTo>
                <a:lnTo>
                  <a:pt x="7485888" y="618744"/>
                </a:lnTo>
                <a:lnTo>
                  <a:pt x="7485888" y="414528"/>
                </a:lnTo>
                <a:close/>
              </a:path>
              <a:path w="7486015" h="1859280">
                <a:moveTo>
                  <a:pt x="7485888" y="207264"/>
                </a:moveTo>
                <a:lnTo>
                  <a:pt x="6726936" y="207264"/>
                </a:lnTo>
                <a:lnTo>
                  <a:pt x="6726936" y="411480"/>
                </a:lnTo>
                <a:lnTo>
                  <a:pt x="7485888" y="411480"/>
                </a:lnTo>
                <a:lnTo>
                  <a:pt x="7485888" y="207264"/>
                </a:lnTo>
                <a:close/>
              </a:path>
              <a:path w="7486015" h="1859280">
                <a:moveTo>
                  <a:pt x="7485888" y="0"/>
                </a:moveTo>
                <a:lnTo>
                  <a:pt x="6726936" y="0"/>
                </a:lnTo>
                <a:lnTo>
                  <a:pt x="6726936" y="204216"/>
                </a:lnTo>
                <a:lnTo>
                  <a:pt x="7485888" y="204216"/>
                </a:lnTo>
                <a:lnTo>
                  <a:pt x="7485888" y="0"/>
                </a:lnTo>
                <a:close/>
              </a:path>
            </a:pathLst>
          </a:custGeom>
          <a:solidFill>
            <a:srgbClr val="FFFFFF"/>
          </a:solidFill>
        </xdr:spPr>
      </xdr:sp>
      <xdr:sp macro="" textlink="">
        <xdr:nvSpPr>
          <xdr:cNvPr id="55" name="Shape 55">
            <a:extLst>
              <a:ext uri="{FF2B5EF4-FFF2-40B4-BE49-F238E27FC236}">
                <a16:creationId xmlns:a16="http://schemas.microsoft.com/office/drawing/2014/main" id="{00000000-0008-0000-0400-000037000000}"/>
              </a:ext>
            </a:extLst>
          </xdr:cNvPr>
          <xdr:cNvSpPr/>
        </xdr:nvSpPr>
        <xdr:spPr>
          <a:xfrm>
            <a:off x="0" y="1655063"/>
            <a:ext cx="7486015" cy="2273935"/>
          </a:xfrm>
          <a:custGeom>
            <a:avLst/>
            <a:gdLst/>
            <a:ahLst/>
            <a:cxnLst/>
            <a:rect l="0" t="0" r="0" b="0"/>
            <a:pathLst>
              <a:path w="7486015" h="2273935">
                <a:moveTo>
                  <a:pt x="312420" y="207264"/>
                </a:moveTo>
                <a:lnTo>
                  <a:pt x="0" y="207264"/>
                </a:lnTo>
                <a:lnTo>
                  <a:pt x="0" y="1031748"/>
                </a:lnTo>
                <a:lnTo>
                  <a:pt x="312420" y="1031748"/>
                </a:lnTo>
                <a:lnTo>
                  <a:pt x="312420" y="207264"/>
                </a:lnTo>
                <a:close/>
              </a:path>
              <a:path w="7486015" h="2273935">
                <a:moveTo>
                  <a:pt x="1264920" y="207264"/>
                </a:moveTo>
                <a:lnTo>
                  <a:pt x="315468" y="207264"/>
                </a:lnTo>
                <a:lnTo>
                  <a:pt x="315468" y="1031748"/>
                </a:lnTo>
                <a:lnTo>
                  <a:pt x="1264920" y="1031748"/>
                </a:lnTo>
                <a:lnTo>
                  <a:pt x="1264920" y="207264"/>
                </a:lnTo>
                <a:close/>
              </a:path>
              <a:path w="7486015" h="2273935">
                <a:moveTo>
                  <a:pt x="2531364" y="207264"/>
                </a:moveTo>
                <a:lnTo>
                  <a:pt x="1267968" y="207264"/>
                </a:lnTo>
                <a:lnTo>
                  <a:pt x="1267968" y="1031748"/>
                </a:lnTo>
                <a:lnTo>
                  <a:pt x="2531364" y="1031748"/>
                </a:lnTo>
                <a:lnTo>
                  <a:pt x="2531364" y="207264"/>
                </a:lnTo>
                <a:close/>
              </a:path>
              <a:path w="7486015" h="2273935">
                <a:moveTo>
                  <a:pt x="3037332" y="2069592"/>
                </a:moveTo>
                <a:lnTo>
                  <a:pt x="2534412" y="2069592"/>
                </a:lnTo>
                <a:lnTo>
                  <a:pt x="2534412" y="2273808"/>
                </a:lnTo>
                <a:lnTo>
                  <a:pt x="3037332" y="2273808"/>
                </a:lnTo>
                <a:lnTo>
                  <a:pt x="3037332" y="2069592"/>
                </a:lnTo>
                <a:close/>
              </a:path>
              <a:path w="7486015" h="2273935">
                <a:moveTo>
                  <a:pt x="3037332" y="1862328"/>
                </a:moveTo>
                <a:lnTo>
                  <a:pt x="2534412" y="1862328"/>
                </a:lnTo>
                <a:lnTo>
                  <a:pt x="2534412" y="2066544"/>
                </a:lnTo>
                <a:lnTo>
                  <a:pt x="3037332" y="2066544"/>
                </a:lnTo>
                <a:lnTo>
                  <a:pt x="3037332" y="1862328"/>
                </a:lnTo>
                <a:close/>
              </a:path>
              <a:path w="7486015" h="2273935">
                <a:moveTo>
                  <a:pt x="3037332" y="1656588"/>
                </a:moveTo>
                <a:lnTo>
                  <a:pt x="2534412" y="1656588"/>
                </a:lnTo>
                <a:lnTo>
                  <a:pt x="2534412" y="1859280"/>
                </a:lnTo>
                <a:lnTo>
                  <a:pt x="3037332" y="1859280"/>
                </a:lnTo>
                <a:lnTo>
                  <a:pt x="3037332" y="1656588"/>
                </a:lnTo>
                <a:close/>
              </a:path>
              <a:path w="7486015" h="2273935">
                <a:moveTo>
                  <a:pt x="3037332" y="1449324"/>
                </a:moveTo>
                <a:lnTo>
                  <a:pt x="2534412" y="1449324"/>
                </a:lnTo>
                <a:lnTo>
                  <a:pt x="2534412" y="1653540"/>
                </a:lnTo>
                <a:lnTo>
                  <a:pt x="3037332" y="1653540"/>
                </a:lnTo>
                <a:lnTo>
                  <a:pt x="3037332" y="1449324"/>
                </a:lnTo>
                <a:close/>
              </a:path>
              <a:path w="7486015" h="2273935">
                <a:moveTo>
                  <a:pt x="3037332" y="1242060"/>
                </a:moveTo>
                <a:lnTo>
                  <a:pt x="2534412" y="1242060"/>
                </a:lnTo>
                <a:lnTo>
                  <a:pt x="2534412" y="1446276"/>
                </a:lnTo>
                <a:lnTo>
                  <a:pt x="3037332" y="1446276"/>
                </a:lnTo>
                <a:lnTo>
                  <a:pt x="3037332" y="1242060"/>
                </a:lnTo>
                <a:close/>
              </a:path>
              <a:path w="7486015" h="2273935">
                <a:moveTo>
                  <a:pt x="3037332" y="1034796"/>
                </a:moveTo>
                <a:lnTo>
                  <a:pt x="2534412" y="1034796"/>
                </a:lnTo>
                <a:lnTo>
                  <a:pt x="2534412" y="1239012"/>
                </a:lnTo>
                <a:lnTo>
                  <a:pt x="3037332" y="1239012"/>
                </a:lnTo>
                <a:lnTo>
                  <a:pt x="3037332" y="1034796"/>
                </a:lnTo>
                <a:close/>
              </a:path>
              <a:path w="7486015" h="2273935">
                <a:moveTo>
                  <a:pt x="3037332" y="827532"/>
                </a:moveTo>
                <a:lnTo>
                  <a:pt x="2534412" y="827532"/>
                </a:lnTo>
                <a:lnTo>
                  <a:pt x="2534412" y="1031748"/>
                </a:lnTo>
                <a:lnTo>
                  <a:pt x="3037332" y="1031748"/>
                </a:lnTo>
                <a:lnTo>
                  <a:pt x="3037332" y="827532"/>
                </a:lnTo>
                <a:close/>
              </a:path>
              <a:path w="7486015" h="2273935">
                <a:moveTo>
                  <a:pt x="3037332" y="621792"/>
                </a:moveTo>
                <a:lnTo>
                  <a:pt x="2534412" y="621792"/>
                </a:lnTo>
                <a:lnTo>
                  <a:pt x="2534412" y="824484"/>
                </a:lnTo>
                <a:lnTo>
                  <a:pt x="3037332" y="824484"/>
                </a:lnTo>
                <a:lnTo>
                  <a:pt x="3037332" y="621792"/>
                </a:lnTo>
                <a:close/>
              </a:path>
              <a:path w="7486015" h="2273935">
                <a:moveTo>
                  <a:pt x="3037332" y="414528"/>
                </a:moveTo>
                <a:lnTo>
                  <a:pt x="2534412" y="414528"/>
                </a:lnTo>
                <a:lnTo>
                  <a:pt x="2534412" y="618744"/>
                </a:lnTo>
                <a:lnTo>
                  <a:pt x="3037332" y="618744"/>
                </a:lnTo>
                <a:lnTo>
                  <a:pt x="3037332" y="414528"/>
                </a:lnTo>
                <a:close/>
              </a:path>
              <a:path w="7486015" h="2273935">
                <a:moveTo>
                  <a:pt x="3037332" y="207264"/>
                </a:moveTo>
                <a:lnTo>
                  <a:pt x="2534412" y="207264"/>
                </a:lnTo>
                <a:lnTo>
                  <a:pt x="2534412" y="411480"/>
                </a:lnTo>
                <a:lnTo>
                  <a:pt x="3037332" y="411480"/>
                </a:lnTo>
                <a:lnTo>
                  <a:pt x="3037332" y="207264"/>
                </a:lnTo>
                <a:close/>
              </a:path>
              <a:path w="7486015" h="2273935">
                <a:moveTo>
                  <a:pt x="3674364" y="2069592"/>
                </a:moveTo>
                <a:lnTo>
                  <a:pt x="3040380" y="2069592"/>
                </a:lnTo>
                <a:lnTo>
                  <a:pt x="3040380" y="2273808"/>
                </a:lnTo>
                <a:lnTo>
                  <a:pt x="3674364" y="2273808"/>
                </a:lnTo>
                <a:lnTo>
                  <a:pt x="3674364" y="2069592"/>
                </a:lnTo>
                <a:close/>
              </a:path>
              <a:path w="7486015" h="2273935">
                <a:moveTo>
                  <a:pt x="3674364" y="1862328"/>
                </a:moveTo>
                <a:lnTo>
                  <a:pt x="3040380" y="1862328"/>
                </a:lnTo>
                <a:lnTo>
                  <a:pt x="3040380" y="2066544"/>
                </a:lnTo>
                <a:lnTo>
                  <a:pt x="3674364" y="2066544"/>
                </a:lnTo>
                <a:lnTo>
                  <a:pt x="3674364" y="1862328"/>
                </a:lnTo>
                <a:close/>
              </a:path>
              <a:path w="7486015" h="2273935">
                <a:moveTo>
                  <a:pt x="3674364" y="1656588"/>
                </a:moveTo>
                <a:lnTo>
                  <a:pt x="3040380" y="1656588"/>
                </a:lnTo>
                <a:lnTo>
                  <a:pt x="3040380" y="1859280"/>
                </a:lnTo>
                <a:lnTo>
                  <a:pt x="3674364" y="1859280"/>
                </a:lnTo>
                <a:lnTo>
                  <a:pt x="3674364" y="1656588"/>
                </a:lnTo>
                <a:close/>
              </a:path>
              <a:path w="7486015" h="2273935">
                <a:moveTo>
                  <a:pt x="3674364" y="1449324"/>
                </a:moveTo>
                <a:lnTo>
                  <a:pt x="3040380" y="1449324"/>
                </a:lnTo>
                <a:lnTo>
                  <a:pt x="3040380" y="1653540"/>
                </a:lnTo>
                <a:lnTo>
                  <a:pt x="3674364" y="1653540"/>
                </a:lnTo>
                <a:lnTo>
                  <a:pt x="3674364" y="1449324"/>
                </a:lnTo>
                <a:close/>
              </a:path>
              <a:path w="7486015" h="2273935">
                <a:moveTo>
                  <a:pt x="3674364" y="1242060"/>
                </a:moveTo>
                <a:lnTo>
                  <a:pt x="3040380" y="1242060"/>
                </a:lnTo>
                <a:lnTo>
                  <a:pt x="3040380" y="1446276"/>
                </a:lnTo>
                <a:lnTo>
                  <a:pt x="3674364" y="1446276"/>
                </a:lnTo>
                <a:lnTo>
                  <a:pt x="3674364" y="1242060"/>
                </a:lnTo>
                <a:close/>
              </a:path>
              <a:path w="7486015" h="2273935">
                <a:moveTo>
                  <a:pt x="3674364" y="1034796"/>
                </a:moveTo>
                <a:lnTo>
                  <a:pt x="3040380" y="1034796"/>
                </a:lnTo>
                <a:lnTo>
                  <a:pt x="3040380" y="1239012"/>
                </a:lnTo>
                <a:lnTo>
                  <a:pt x="3674364" y="1239012"/>
                </a:lnTo>
                <a:lnTo>
                  <a:pt x="3674364" y="1034796"/>
                </a:lnTo>
                <a:close/>
              </a:path>
              <a:path w="7486015" h="2273935">
                <a:moveTo>
                  <a:pt x="3674364" y="827532"/>
                </a:moveTo>
                <a:lnTo>
                  <a:pt x="3040380" y="827532"/>
                </a:lnTo>
                <a:lnTo>
                  <a:pt x="3040380" y="1031748"/>
                </a:lnTo>
                <a:lnTo>
                  <a:pt x="3674364" y="1031748"/>
                </a:lnTo>
                <a:lnTo>
                  <a:pt x="3674364" y="827532"/>
                </a:lnTo>
                <a:close/>
              </a:path>
              <a:path w="7486015" h="2273935">
                <a:moveTo>
                  <a:pt x="3674364" y="621792"/>
                </a:moveTo>
                <a:lnTo>
                  <a:pt x="3040380" y="621792"/>
                </a:lnTo>
                <a:lnTo>
                  <a:pt x="3040380" y="824484"/>
                </a:lnTo>
                <a:lnTo>
                  <a:pt x="3674364" y="824484"/>
                </a:lnTo>
                <a:lnTo>
                  <a:pt x="3674364" y="621792"/>
                </a:lnTo>
                <a:close/>
              </a:path>
              <a:path w="7486015" h="2273935">
                <a:moveTo>
                  <a:pt x="3674364" y="414528"/>
                </a:moveTo>
                <a:lnTo>
                  <a:pt x="3040380" y="414528"/>
                </a:lnTo>
                <a:lnTo>
                  <a:pt x="3040380" y="618744"/>
                </a:lnTo>
                <a:lnTo>
                  <a:pt x="3674364" y="618744"/>
                </a:lnTo>
                <a:lnTo>
                  <a:pt x="3674364" y="414528"/>
                </a:lnTo>
                <a:close/>
              </a:path>
              <a:path w="7486015" h="2273935">
                <a:moveTo>
                  <a:pt x="3674364" y="207264"/>
                </a:moveTo>
                <a:lnTo>
                  <a:pt x="3040380" y="207264"/>
                </a:lnTo>
                <a:lnTo>
                  <a:pt x="3040380" y="411480"/>
                </a:lnTo>
                <a:lnTo>
                  <a:pt x="3674364" y="411480"/>
                </a:lnTo>
                <a:lnTo>
                  <a:pt x="3674364" y="207264"/>
                </a:lnTo>
                <a:close/>
              </a:path>
              <a:path w="7486015" h="2273935">
                <a:moveTo>
                  <a:pt x="4437888" y="2069592"/>
                </a:moveTo>
                <a:lnTo>
                  <a:pt x="3677412" y="2069592"/>
                </a:lnTo>
                <a:lnTo>
                  <a:pt x="3677412" y="2273808"/>
                </a:lnTo>
                <a:lnTo>
                  <a:pt x="4437888" y="2273808"/>
                </a:lnTo>
                <a:lnTo>
                  <a:pt x="4437888" y="2069592"/>
                </a:lnTo>
                <a:close/>
              </a:path>
              <a:path w="7486015" h="2273935">
                <a:moveTo>
                  <a:pt x="4437888" y="1862328"/>
                </a:moveTo>
                <a:lnTo>
                  <a:pt x="3677412" y="1862328"/>
                </a:lnTo>
                <a:lnTo>
                  <a:pt x="3677412" y="2066544"/>
                </a:lnTo>
                <a:lnTo>
                  <a:pt x="4437888" y="2066544"/>
                </a:lnTo>
                <a:lnTo>
                  <a:pt x="4437888" y="1862328"/>
                </a:lnTo>
                <a:close/>
              </a:path>
              <a:path w="7486015" h="2273935">
                <a:moveTo>
                  <a:pt x="4437888" y="1656588"/>
                </a:moveTo>
                <a:lnTo>
                  <a:pt x="3677412" y="1656588"/>
                </a:lnTo>
                <a:lnTo>
                  <a:pt x="3677412" y="1859280"/>
                </a:lnTo>
                <a:lnTo>
                  <a:pt x="4437888" y="1859280"/>
                </a:lnTo>
                <a:lnTo>
                  <a:pt x="4437888" y="1656588"/>
                </a:lnTo>
                <a:close/>
              </a:path>
              <a:path w="7486015" h="2273935">
                <a:moveTo>
                  <a:pt x="4437888" y="1449324"/>
                </a:moveTo>
                <a:lnTo>
                  <a:pt x="3677412" y="1449324"/>
                </a:lnTo>
                <a:lnTo>
                  <a:pt x="3677412" y="1653540"/>
                </a:lnTo>
                <a:lnTo>
                  <a:pt x="4437888" y="1653540"/>
                </a:lnTo>
                <a:lnTo>
                  <a:pt x="4437888" y="1449324"/>
                </a:lnTo>
                <a:close/>
              </a:path>
              <a:path w="7486015" h="2273935">
                <a:moveTo>
                  <a:pt x="4437888" y="1242060"/>
                </a:moveTo>
                <a:lnTo>
                  <a:pt x="3677412" y="1242060"/>
                </a:lnTo>
                <a:lnTo>
                  <a:pt x="3677412" y="1446276"/>
                </a:lnTo>
                <a:lnTo>
                  <a:pt x="4437888" y="1446276"/>
                </a:lnTo>
                <a:lnTo>
                  <a:pt x="4437888" y="1242060"/>
                </a:lnTo>
                <a:close/>
              </a:path>
              <a:path w="7486015" h="2273935">
                <a:moveTo>
                  <a:pt x="4437888" y="1034796"/>
                </a:moveTo>
                <a:lnTo>
                  <a:pt x="3677412" y="1034796"/>
                </a:lnTo>
                <a:lnTo>
                  <a:pt x="3677412" y="1239012"/>
                </a:lnTo>
                <a:lnTo>
                  <a:pt x="4437888" y="1239012"/>
                </a:lnTo>
                <a:lnTo>
                  <a:pt x="4437888" y="1034796"/>
                </a:lnTo>
                <a:close/>
              </a:path>
              <a:path w="7486015" h="2273935">
                <a:moveTo>
                  <a:pt x="4437888" y="827532"/>
                </a:moveTo>
                <a:lnTo>
                  <a:pt x="3677412" y="827532"/>
                </a:lnTo>
                <a:lnTo>
                  <a:pt x="3677412" y="1031748"/>
                </a:lnTo>
                <a:lnTo>
                  <a:pt x="4437888" y="1031748"/>
                </a:lnTo>
                <a:lnTo>
                  <a:pt x="4437888" y="827532"/>
                </a:lnTo>
                <a:close/>
              </a:path>
              <a:path w="7486015" h="2273935">
                <a:moveTo>
                  <a:pt x="4437888" y="621792"/>
                </a:moveTo>
                <a:lnTo>
                  <a:pt x="3677412" y="621792"/>
                </a:lnTo>
                <a:lnTo>
                  <a:pt x="3677412" y="824484"/>
                </a:lnTo>
                <a:lnTo>
                  <a:pt x="4437888" y="824484"/>
                </a:lnTo>
                <a:lnTo>
                  <a:pt x="4437888" y="621792"/>
                </a:lnTo>
                <a:close/>
              </a:path>
              <a:path w="7486015" h="2273935">
                <a:moveTo>
                  <a:pt x="4437888" y="414528"/>
                </a:moveTo>
                <a:lnTo>
                  <a:pt x="3677412" y="414528"/>
                </a:lnTo>
                <a:lnTo>
                  <a:pt x="3677412" y="618744"/>
                </a:lnTo>
                <a:lnTo>
                  <a:pt x="4437888" y="618744"/>
                </a:lnTo>
                <a:lnTo>
                  <a:pt x="4437888" y="414528"/>
                </a:lnTo>
                <a:close/>
              </a:path>
              <a:path w="7486015" h="2273935">
                <a:moveTo>
                  <a:pt x="4437888" y="207264"/>
                </a:moveTo>
                <a:lnTo>
                  <a:pt x="3677412" y="207264"/>
                </a:lnTo>
                <a:lnTo>
                  <a:pt x="3677412" y="411480"/>
                </a:lnTo>
                <a:lnTo>
                  <a:pt x="4437888" y="411480"/>
                </a:lnTo>
                <a:lnTo>
                  <a:pt x="4437888" y="207264"/>
                </a:lnTo>
                <a:close/>
              </a:path>
              <a:path w="7486015" h="2273935">
                <a:moveTo>
                  <a:pt x="5199888" y="1862328"/>
                </a:moveTo>
                <a:lnTo>
                  <a:pt x="4440936" y="1862328"/>
                </a:lnTo>
                <a:lnTo>
                  <a:pt x="4440936" y="2066544"/>
                </a:lnTo>
                <a:lnTo>
                  <a:pt x="5199888" y="2066544"/>
                </a:lnTo>
                <a:lnTo>
                  <a:pt x="5199888" y="1862328"/>
                </a:lnTo>
                <a:close/>
              </a:path>
              <a:path w="7486015" h="2273935">
                <a:moveTo>
                  <a:pt x="5199888" y="1656588"/>
                </a:moveTo>
                <a:lnTo>
                  <a:pt x="4440936" y="1656588"/>
                </a:lnTo>
                <a:lnTo>
                  <a:pt x="4440936" y="1859280"/>
                </a:lnTo>
                <a:lnTo>
                  <a:pt x="5199888" y="1859280"/>
                </a:lnTo>
                <a:lnTo>
                  <a:pt x="5199888" y="1656588"/>
                </a:lnTo>
                <a:close/>
              </a:path>
              <a:path w="7486015" h="2273935">
                <a:moveTo>
                  <a:pt x="5199888" y="1449324"/>
                </a:moveTo>
                <a:lnTo>
                  <a:pt x="4440936" y="1449324"/>
                </a:lnTo>
                <a:lnTo>
                  <a:pt x="4440936" y="1653540"/>
                </a:lnTo>
                <a:lnTo>
                  <a:pt x="5199888" y="1653540"/>
                </a:lnTo>
                <a:lnTo>
                  <a:pt x="5199888" y="1449324"/>
                </a:lnTo>
                <a:close/>
              </a:path>
              <a:path w="7486015" h="2273935">
                <a:moveTo>
                  <a:pt x="5199888" y="1242060"/>
                </a:moveTo>
                <a:lnTo>
                  <a:pt x="4440936" y="1242060"/>
                </a:lnTo>
                <a:lnTo>
                  <a:pt x="4440936" y="1446276"/>
                </a:lnTo>
                <a:lnTo>
                  <a:pt x="5199888" y="1446276"/>
                </a:lnTo>
                <a:lnTo>
                  <a:pt x="5199888" y="1242060"/>
                </a:lnTo>
                <a:close/>
              </a:path>
              <a:path w="7486015" h="2273935">
                <a:moveTo>
                  <a:pt x="5199888" y="1034796"/>
                </a:moveTo>
                <a:lnTo>
                  <a:pt x="4440936" y="1034796"/>
                </a:lnTo>
                <a:lnTo>
                  <a:pt x="4440936" y="1239012"/>
                </a:lnTo>
                <a:lnTo>
                  <a:pt x="5199888" y="1239012"/>
                </a:lnTo>
                <a:lnTo>
                  <a:pt x="5199888" y="1034796"/>
                </a:lnTo>
                <a:close/>
              </a:path>
              <a:path w="7486015" h="2273935">
                <a:moveTo>
                  <a:pt x="5199888" y="827532"/>
                </a:moveTo>
                <a:lnTo>
                  <a:pt x="4440936" y="827532"/>
                </a:lnTo>
                <a:lnTo>
                  <a:pt x="4440936" y="1031748"/>
                </a:lnTo>
                <a:lnTo>
                  <a:pt x="5199888" y="1031748"/>
                </a:lnTo>
                <a:lnTo>
                  <a:pt x="5199888" y="827532"/>
                </a:lnTo>
                <a:close/>
              </a:path>
              <a:path w="7486015" h="2273935">
                <a:moveTo>
                  <a:pt x="5199888" y="621792"/>
                </a:moveTo>
                <a:lnTo>
                  <a:pt x="4440936" y="621792"/>
                </a:lnTo>
                <a:lnTo>
                  <a:pt x="4440936" y="824484"/>
                </a:lnTo>
                <a:lnTo>
                  <a:pt x="5199888" y="824484"/>
                </a:lnTo>
                <a:lnTo>
                  <a:pt x="5199888" y="621792"/>
                </a:lnTo>
                <a:close/>
              </a:path>
              <a:path w="7486015" h="2273935">
                <a:moveTo>
                  <a:pt x="5199888" y="414528"/>
                </a:moveTo>
                <a:lnTo>
                  <a:pt x="4440936" y="414528"/>
                </a:lnTo>
                <a:lnTo>
                  <a:pt x="4440936" y="618744"/>
                </a:lnTo>
                <a:lnTo>
                  <a:pt x="5199888" y="618744"/>
                </a:lnTo>
                <a:lnTo>
                  <a:pt x="5199888" y="414528"/>
                </a:lnTo>
                <a:close/>
              </a:path>
              <a:path w="7486015" h="2273935">
                <a:moveTo>
                  <a:pt x="5199888" y="207264"/>
                </a:moveTo>
                <a:lnTo>
                  <a:pt x="4440936" y="207264"/>
                </a:lnTo>
                <a:lnTo>
                  <a:pt x="4440936" y="411480"/>
                </a:lnTo>
                <a:lnTo>
                  <a:pt x="5199888" y="411480"/>
                </a:lnTo>
                <a:lnTo>
                  <a:pt x="5199888" y="207264"/>
                </a:lnTo>
                <a:close/>
              </a:path>
              <a:path w="7486015" h="2273935">
                <a:moveTo>
                  <a:pt x="5961875" y="1862328"/>
                </a:moveTo>
                <a:lnTo>
                  <a:pt x="5202936" y="1862328"/>
                </a:lnTo>
                <a:lnTo>
                  <a:pt x="5202936" y="2066544"/>
                </a:lnTo>
                <a:lnTo>
                  <a:pt x="5961875" y="2066544"/>
                </a:lnTo>
                <a:lnTo>
                  <a:pt x="5961875" y="1862328"/>
                </a:lnTo>
                <a:close/>
              </a:path>
              <a:path w="7486015" h="2273935">
                <a:moveTo>
                  <a:pt x="5961875" y="1656588"/>
                </a:moveTo>
                <a:lnTo>
                  <a:pt x="5202936" y="1656588"/>
                </a:lnTo>
                <a:lnTo>
                  <a:pt x="5202936" y="1859280"/>
                </a:lnTo>
                <a:lnTo>
                  <a:pt x="5961875" y="1859280"/>
                </a:lnTo>
                <a:lnTo>
                  <a:pt x="5961875" y="1656588"/>
                </a:lnTo>
                <a:close/>
              </a:path>
              <a:path w="7486015" h="2273935">
                <a:moveTo>
                  <a:pt x="5961875" y="1449324"/>
                </a:moveTo>
                <a:lnTo>
                  <a:pt x="5202936" y="1449324"/>
                </a:lnTo>
                <a:lnTo>
                  <a:pt x="5202936" y="1653540"/>
                </a:lnTo>
                <a:lnTo>
                  <a:pt x="5961875" y="1653540"/>
                </a:lnTo>
                <a:lnTo>
                  <a:pt x="5961875" y="1449324"/>
                </a:lnTo>
                <a:close/>
              </a:path>
              <a:path w="7486015" h="2273935">
                <a:moveTo>
                  <a:pt x="5961875" y="1242060"/>
                </a:moveTo>
                <a:lnTo>
                  <a:pt x="5202936" y="1242060"/>
                </a:lnTo>
                <a:lnTo>
                  <a:pt x="5202936" y="1446276"/>
                </a:lnTo>
                <a:lnTo>
                  <a:pt x="5961875" y="1446276"/>
                </a:lnTo>
                <a:lnTo>
                  <a:pt x="5961875" y="1242060"/>
                </a:lnTo>
                <a:close/>
              </a:path>
              <a:path w="7486015" h="2273935">
                <a:moveTo>
                  <a:pt x="5961875" y="1034796"/>
                </a:moveTo>
                <a:lnTo>
                  <a:pt x="5202936" y="1034796"/>
                </a:lnTo>
                <a:lnTo>
                  <a:pt x="5202936" y="1239012"/>
                </a:lnTo>
                <a:lnTo>
                  <a:pt x="5961875" y="1239012"/>
                </a:lnTo>
                <a:lnTo>
                  <a:pt x="5961875" y="1034796"/>
                </a:lnTo>
                <a:close/>
              </a:path>
              <a:path w="7486015" h="2273935">
                <a:moveTo>
                  <a:pt x="5961875" y="827532"/>
                </a:moveTo>
                <a:lnTo>
                  <a:pt x="5202936" y="827532"/>
                </a:lnTo>
                <a:lnTo>
                  <a:pt x="5202936" y="1031748"/>
                </a:lnTo>
                <a:lnTo>
                  <a:pt x="5961875" y="1031748"/>
                </a:lnTo>
                <a:lnTo>
                  <a:pt x="5961875" y="827532"/>
                </a:lnTo>
                <a:close/>
              </a:path>
              <a:path w="7486015" h="2273935">
                <a:moveTo>
                  <a:pt x="5961875" y="621792"/>
                </a:moveTo>
                <a:lnTo>
                  <a:pt x="5202936" y="621792"/>
                </a:lnTo>
                <a:lnTo>
                  <a:pt x="5202936" y="824484"/>
                </a:lnTo>
                <a:lnTo>
                  <a:pt x="5961875" y="824484"/>
                </a:lnTo>
                <a:lnTo>
                  <a:pt x="5961875" y="621792"/>
                </a:lnTo>
                <a:close/>
              </a:path>
              <a:path w="7486015" h="2273935">
                <a:moveTo>
                  <a:pt x="5961875" y="414528"/>
                </a:moveTo>
                <a:lnTo>
                  <a:pt x="5202936" y="414528"/>
                </a:lnTo>
                <a:lnTo>
                  <a:pt x="5202936" y="618744"/>
                </a:lnTo>
                <a:lnTo>
                  <a:pt x="5961875" y="618744"/>
                </a:lnTo>
                <a:lnTo>
                  <a:pt x="5961875" y="414528"/>
                </a:lnTo>
                <a:close/>
              </a:path>
              <a:path w="7486015" h="2273935">
                <a:moveTo>
                  <a:pt x="5961875" y="207264"/>
                </a:moveTo>
                <a:lnTo>
                  <a:pt x="5202936" y="207264"/>
                </a:lnTo>
                <a:lnTo>
                  <a:pt x="5202936" y="411480"/>
                </a:lnTo>
                <a:lnTo>
                  <a:pt x="5961875" y="411480"/>
                </a:lnTo>
                <a:lnTo>
                  <a:pt x="5961875" y="207264"/>
                </a:lnTo>
                <a:close/>
              </a:path>
              <a:path w="7486015" h="2273935">
                <a:moveTo>
                  <a:pt x="6723888" y="1862328"/>
                </a:moveTo>
                <a:lnTo>
                  <a:pt x="5964936" y="1862328"/>
                </a:lnTo>
                <a:lnTo>
                  <a:pt x="5964936" y="2066544"/>
                </a:lnTo>
                <a:lnTo>
                  <a:pt x="6723888" y="2066544"/>
                </a:lnTo>
                <a:lnTo>
                  <a:pt x="6723888" y="1862328"/>
                </a:lnTo>
                <a:close/>
              </a:path>
              <a:path w="7486015" h="2273935">
                <a:moveTo>
                  <a:pt x="6723888" y="1656588"/>
                </a:moveTo>
                <a:lnTo>
                  <a:pt x="5964936" y="1656588"/>
                </a:lnTo>
                <a:lnTo>
                  <a:pt x="5964936" y="1859280"/>
                </a:lnTo>
                <a:lnTo>
                  <a:pt x="6723888" y="1859280"/>
                </a:lnTo>
                <a:lnTo>
                  <a:pt x="6723888" y="1656588"/>
                </a:lnTo>
                <a:close/>
              </a:path>
              <a:path w="7486015" h="2273935">
                <a:moveTo>
                  <a:pt x="6723888" y="1449324"/>
                </a:moveTo>
                <a:lnTo>
                  <a:pt x="5964936" y="1449324"/>
                </a:lnTo>
                <a:lnTo>
                  <a:pt x="5964936" y="1653540"/>
                </a:lnTo>
                <a:lnTo>
                  <a:pt x="6723888" y="1653540"/>
                </a:lnTo>
                <a:lnTo>
                  <a:pt x="6723888" y="1449324"/>
                </a:lnTo>
                <a:close/>
              </a:path>
              <a:path w="7486015" h="2273935">
                <a:moveTo>
                  <a:pt x="6723888" y="1242060"/>
                </a:moveTo>
                <a:lnTo>
                  <a:pt x="5964936" y="1242060"/>
                </a:lnTo>
                <a:lnTo>
                  <a:pt x="5964936" y="1446276"/>
                </a:lnTo>
                <a:lnTo>
                  <a:pt x="6723888" y="1446276"/>
                </a:lnTo>
                <a:lnTo>
                  <a:pt x="6723888" y="1242060"/>
                </a:lnTo>
                <a:close/>
              </a:path>
              <a:path w="7486015" h="2273935">
                <a:moveTo>
                  <a:pt x="6723888" y="1034796"/>
                </a:moveTo>
                <a:lnTo>
                  <a:pt x="5964936" y="1034796"/>
                </a:lnTo>
                <a:lnTo>
                  <a:pt x="5964936" y="1239012"/>
                </a:lnTo>
                <a:lnTo>
                  <a:pt x="6723888" y="1239012"/>
                </a:lnTo>
                <a:lnTo>
                  <a:pt x="6723888" y="1034796"/>
                </a:lnTo>
                <a:close/>
              </a:path>
              <a:path w="7486015" h="2273935">
                <a:moveTo>
                  <a:pt x="6723888" y="827532"/>
                </a:moveTo>
                <a:lnTo>
                  <a:pt x="5964936" y="827532"/>
                </a:lnTo>
                <a:lnTo>
                  <a:pt x="5964936" y="1031748"/>
                </a:lnTo>
                <a:lnTo>
                  <a:pt x="6723888" y="1031748"/>
                </a:lnTo>
                <a:lnTo>
                  <a:pt x="6723888" y="827532"/>
                </a:lnTo>
                <a:close/>
              </a:path>
              <a:path w="7486015" h="2273935">
                <a:moveTo>
                  <a:pt x="6723888" y="621792"/>
                </a:moveTo>
                <a:lnTo>
                  <a:pt x="5964936" y="621792"/>
                </a:lnTo>
                <a:lnTo>
                  <a:pt x="5964936" y="824484"/>
                </a:lnTo>
                <a:lnTo>
                  <a:pt x="6723888" y="824484"/>
                </a:lnTo>
                <a:lnTo>
                  <a:pt x="6723888" y="621792"/>
                </a:lnTo>
                <a:close/>
              </a:path>
              <a:path w="7486015" h="2273935">
                <a:moveTo>
                  <a:pt x="6723888" y="414528"/>
                </a:moveTo>
                <a:lnTo>
                  <a:pt x="5964936" y="414528"/>
                </a:lnTo>
                <a:lnTo>
                  <a:pt x="5964936" y="618744"/>
                </a:lnTo>
                <a:lnTo>
                  <a:pt x="6723888" y="618744"/>
                </a:lnTo>
                <a:lnTo>
                  <a:pt x="6723888" y="414528"/>
                </a:lnTo>
                <a:close/>
              </a:path>
              <a:path w="7486015" h="2273935">
                <a:moveTo>
                  <a:pt x="6723888" y="207264"/>
                </a:moveTo>
                <a:lnTo>
                  <a:pt x="5964936" y="207264"/>
                </a:lnTo>
                <a:lnTo>
                  <a:pt x="5964936" y="411480"/>
                </a:lnTo>
                <a:lnTo>
                  <a:pt x="6723888" y="411480"/>
                </a:lnTo>
                <a:lnTo>
                  <a:pt x="6723888" y="207264"/>
                </a:lnTo>
                <a:close/>
              </a:path>
              <a:path w="7486015" h="2273935">
                <a:moveTo>
                  <a:pt x="6723888" y="0"/>
                </a:moveTo>
                <a:lnTo>
                  <a:pt x="5964936" y="0"/>
                </a:lnTo>
                <a:lnTo>
                  <a:pt x="5964936" y="204216"/>
                </a:lnTo>
                <a:lnTo>
                  <a:pt x="6723888" y="204216"/>
                </a:lnTo>
                <a:lnTo>
                  <a:pt x="6723888" y="0"/>
                </a:lnTo>
                <a:close/>
              </a:path>
              <a:path w="7486015" h="2273935">
                <a:moveTo>
                  <a:pt x="7485888" y="1862328"/>
                </a:moveTo>
                <a:lnTo>
                  <a:pt x="6726936" y="1862328"/>
                </a:lnTo>
                <a:lnTo>
                  <a:pt x="6726936" y="2066544"/>
                </a:lnTo>
                <a:lnTo>
                  <a:pt x="7485888" y="2066544"/>
                </a:lnTo>
                <a:lnTo>
                  <a:pt x="7485888" y="1862328"/>
                </a:lnTo>
                <a:close/>
              </a:path>
              <a:path w="7486015" h="2273935">
                <a:moveTo>
                  <a:pt x="7485888" y="1656588"/>
                </a:moveTo>
                <a:lnTo>
                  <a:pt x="6726936" y="1656588"/>
                </a:lnTo>
                <a:lnTo>
                  <a:pt x="6726936" y="1859280"/>
                </a:lnTo>
                <a:lnTo>
                  <a:pt x="7485888" y="1859280"/>
                </a:lnTo>
                <a:lnTo>
                  <a:pt x="7485888" y="1656588"/>
                </a:lnTo>
                <a:close/>
              </a:path>
              <a:path w="7486015" h="2273935">
                <a:moveTo>
                  <a:pt x="7485888" y="1449324"/>
                </a:moveTo>
                <a:lnTo>
                  <a:pt x="6726936" y="1449324"/>
                </a:lnTo>
                <a:lnTo>
                  <a:pt x="6726936" y="1653540"/>
                </a:lnTo>
                <a:lnTo>
                  <a:pt x="7485888" y="1653540"/>
                </a:lnTo>
                <a:lnTo>
                  <a:pt x="7485888" y="1449324"/>
                </a:lnTo>
                <a:close/>
              </a:path>
              <a:path w="7486015" h="2273935">
                <a:moveTo>
                  <a:pt x="7485888" y="1242060"/>
                </a:moveTo>
                <a:lnTo>
                  <a:pt x="6726936" y="1242060"/>
                </a:lnTo>
                <a:lnTo>
                  <a:pt x="6726936" y="1446276"/>
                </a:lnTo>
                <a:lnTo>
                  <a:pt x="7485888" y="1446276"/>
                </a:lnTo>
                <a:lnTo>
                  <a:pt x="7485888" y="1242060"/>
                </a:lnTo>
                <a:close/>
              </a:path>
              <a:path w="7486015" h="2273935">
                <a:moveTo>
                  <a:pt x="7485888" y="1034796"/>
                </a:moveTo>
                <a:lnTo>
                  <a:pt x="6726936" y="1034796"/>
                </a:lnTo>
                <a:lnTo>
                  <a:pt x="6726936" y="1239012"/>
                </a:lnTo>
                <a:lnTo>
                  <a:pt x="7485888" y="1239012"/>
                </a:lnTo>
                <a:lnTo>
                  <a:pt x="7485888" y="1034796"/>
                </a:lnTo>
                <a:close/>
              </a:path>
              <a:path w="7486015" h="2273935">
                <a:moveTo>
                  <a:pt x="7485888" y="827532"/>
                </a:moveTo>
                <a:lnTo>
                  <a:pt x="6726936" y="827532"/>
                </a:lnTo>
                <a:lnTo>
                  <a:pt x="6726936" y="1031748"/>
                </a:lnTo>
                <a:lnTo>
                  <a:pt x="7485888" y="1031748"/>
                </a:lnTo>
                <a:lnTo>
                  <a:pt x="7485888" y="827532"/>
                </a:lnTo>
                <a:close/>
              </a:path>
              <a:path w="7486015" h="2273935">
                <a:moveTo>
                  <a:pt x="7485888" y="621792"/>
                </a:moveTo>
                <a:lnTo>
                  <a:pt x="6726936" y="621792"/>
                </a:lnTo>
                <a:lnTo>
                  <a:pt x="6726936" y="824484"/>
                </a:lnTo>
                <a:lnTo>
                  <a:pt x="7485888" y="824484"/>
                </a:lnTo>
                <a:lnTo>
                  <a:pt x="7485888" y="621792"/>
                </a:lnTo>
                <a:close/>
              </a:path>
              <a:path w="7486015" h="2273935">
                <a:moveTo>
                  <a:pt x="7485888" y="414528"/>
                </a:moveTo>
                <a:lnTo>
                  <a:pt x="6726936" y="414528"/>
                </a:lnTo>
                <a:lnTo>
                  <a:pt x="6726936" y="618744"/>
                </a:lnTo>
                <a:lnTo>
                  <a:pt x="7485888" y="618744"/>
                </a:lnTo>
                <a:lnTo>
                  <a:pt x="7485888" y="414528"/>
                </a:lnTo>
                <a:close/>
              </a:path>
              <a:path w="7486015" h="2273935">
                <a:moveTo>
                  <a:pt x="7485888" y="207264"/>
                </a:moveTo>
                <a:lnTo>
                  <a:pt x="6726936" y="207264"/>
                </a:lnTo>
                <a:lnTo>
                  <a:pt x="6726936" y="411480"/>
                </a:lnTo>
                <a:lnTo>
                  <a:pt x="7485888" y="411480"/>
                </a:lnTo>
                <a:lnTo>
                  <a:pt x="7485888" y="207264"/>
                </a:lnTo>
                <a:close/>
              </a:path>
              <a:path w="7486015" h="2273935">
                <a:moveTo>
                  <a:pt x="7485888" y="0"/>
                </a:moveTo>
                <a:lnTo>
                  <a:pt x="6726936" y="0"/>
                </a:lnTo>
                <a:lnTo>
                  <a:pt x="6726936" y="204216"/>
                </a:lnTo>
                <a:lnTo>
                  <a:pt x="7485888" y="204216"/>
                </a:lnTo>
                <a:lnTo>
                  <a:pt x="7485888" y="0"/>
                </a:lnTo>
                <a:close/>
              </a:path>
            </a:pathLst>
          </a:custGeom>
          <a:solidFill>
            <a:srgbClr val="FFFFFF"/>
          </a:solidFill>
        </xdr:spPr>
      </xdr:sp>
      <xdr:sp macro="" textlink="">
        <xdr:nvSpPr>
          <xdr:cNvPr id="56" name="Shape 56">
            <a:extLst>
              <a:ext uri="{FF2B5EF4-FFF2-40B4-BE49-F238E27FC236}">
                <a16:creationId xmlns:a16="http://schemas.microsoft.com/office/drawing/2014/main" id="{00000000-0008-0000-0400-000038000000}"/>
              </a:ext>
            </a:extLst>
          </xdr:cNvPr>
          <xdr:cNvSpPr/>
        </xdr:nvSpPr>
        <xdr:spPr>
          <a:xfrm>
            <a:off x="1267968" y="2689859"/>
            <a:ext cx="6217920" cy="1446530"/>
          </a:xfrm>
          <a:custGeom>
            <a:avLst/>
            <a:gdLst/>
            <a:ahLst/>
            <a:cxnLst/>
            <a:rect l="0" t="0" r="0" b="0"/>
            <a:pathLst>
              <a:path w="6217920" h="1446530">
                <a:moveTo>
                  <a:pt x="1263396" y="0"/>
                </a:moveTo>
                <a:lnTo>
                  <a:pt x="0" y="0"/>
                </a:lnTo>
                <a:lnTo>
                  <a:pt x="0" y="1446276"/>
                </a:lnTo>
                <a:lnTo>
                  <a:pt x="1263396" y="1446276"/>
                </a:lnTo>
                <a:lnTo>
                  <a:pt x="1263396" y="0"/>
                </a:lnTo>
                <a:close/>
              </a:path>
              <a:path w="6217920" h="1446530">
                <a:moveTo>
                  <a:pt x="1769364" y="1242060"/>
                </a:moveTo>
                <a:lnTo>
                  <a:pt x="1266444" y="1242060"/>
                </a:lnTo>
                <a:lnTo>
                  <a:pt x="1266444" y="1446276"/>
                </a:lnTo>
                <a:lnTo>
                  <a:pt x="1769364" y="1446276"/>
                </a:lnTo>
                <a:lnTo>
                  <a:pt x="1769364" y="1242060"/>
                </a:lnTo>
                <a:close/>
              </a:path>
              <a:path w="6217920" h="1446530">
                <a:moveTo>
                  <a:pt x="2406396" y="1242060"/>
                </a:moveTo>
                <a:lnTo>
                  <a:pt x="1772412" y="1242060"/>
                </a:lnTo>
                <a:lnTo>
                  <a:pt x="1772412" y="1446276"/>
                </a:lnTo>
                <a:lnTo>
                  <a:pt x="2406396" y="1446276"/>
                </a:lnTo>
                <a:lnTo>
                  <a:pt x="2406396" y="1242060"/>
                </a:lnTo>
                <a:close/>
              </a:path>
              <a:path w="6217920" h="1446530">
                <a:moveTo>
                  <a:pt x="3169920" y="1242060"/>
                </a:moveTo>
                <a:lnTo>
                  <a:pt x="2409444" y="1242060"/>
                </a:lnTo>
                <a:lnTo>
                  <a:pt x="2409444" y="1446276"/>
                </a:lnTo>
                <a:lnTo>
                  <a:pt x="3169920" y="1446276"/>
                </a:lnTo>
                <a:lnTo>
                  <a:pt x="3169920" y="1242060"/>
                </a:lnTo>
                <a:close/>
              </a:path>
              <a:path w="6217920" h="1446530">
                <a:moveTo>
                  <a:pt x="3169920" y="1034796"/>
                </a:moveTo>
                <a:lnTo>
                  <a:pt x="2409444" y="1034796"/>
                </a:lnTo>
                <a:lnTo>
                  <a:pt x="2409444" y="1239012"/>
                </a:lnTo>
                <a:lnTo>
                  <a:pt x="3169920" y="1239012"/>
                </a:lnTo>
                <a:lnTo>
                  <a:pt x="3169920" y="1034796"/>
                </a:lnTo>
                <a:close/>
              </a:path>
              <a:path w="6217920" h="1446530">
                <a:moveTo>
                  <a:pt x="3931920" y="1242060"/>
                </a:moveTo>
                <a:lnTo>
                  <a:pt x="3172968" y="1242060"/>
                </a:lnTo>
                <a:lnTo>
                  <a:pt x="3172968" y="1446276"/>
                </a:lnTo>
                <a:lnTo>
                  <a:pt x="3931920" y="1446276"/>
                </a:lnTo>
                <a:lnTo>
                  <a:pt x="3931920" y="1242060"/>
                </a:lnTo>
                <a:close/>
              </a:path>
              <a:path w="6217920" h="1446530">
                <a:moveTo>
                  <a:pt x="3931920" y="1034796"/>
                </a:moveTo>
                <a:lnTo>
                  <a:pt x="3172968" y="1034796"/>
                </a:lnTo>
                <a:lnTo>
                  <a:pt x="3172968" y="1239012"/>
                </a:lnTo>
                <a:lnTo>
                  <a:pt x="3931920" y="1239012"/>
                </a:lnTo>
                <a:lnTo>
                  <a:pt x="3931920" y="1034796"/>
                </a:lnTo>
                <a:close/>
              </a:path>
              <a:path w="6217920" h="1446530">
                <a:moveTo>
                  <a:pt x="4693907" y="1242060"/>
                </a:moveTo>
                <a:lnTo>
                  <a:pt x="3934968" y="1242060"/>
                </a:lnTo>
                <a:lnTo>
                  <a:pt x="3934968" y="1446276"/>
                </a:lnTo>
                <a:lnTo>
                  <a:pt x="4693907" y="1446276"/>
                </a:lnTo>
                <a:lnTo>
                  <a:pt x="4693907" y="1242060"/>
                </a:lnTo>
                <a:close/>
              </a:path>
              <a:path w="6217920" h="1446530">
                <a:moveTo>
                  <a:pt x="4693907" y="1034796"/>
                </a:moveTo>
                <a:lnTo>
                  <a:pt x="3934968" y="1034796"/>
                </a:lnTo>
                <a:lnTo>
                  <a:pt x="3934968" y="1239012"/>
                </a:lnTo>
                <a:lnTo>
                  <a:pt x="4693907" y="1239012"/>
                </a:lnTo>
                <a:lnTo>
                  <a:pt x="4693907" y="1034796"/>
                </a:lnTo>
                <a:close/>
              </a:path>
              <a:path w="6217920" h="1446530">
                <a:moveTo>
                  <a:pt x="5455920" y="1242060"/>
                </a:moveTo>
                <a:lnTo>
                  <a:pt x="4696968" y="1242060"/>
                </a:lnTo>
                <a:lnTo>
                  <a:pt x="4696968" y="1446276"/>
                </a:lnTo>
                <a:lnTo>
                  <a:pt x="5455920" y="1446276"/>
                </a:lnTo>
                <a:lnTo>
                  <a:pt x="5455920" y="1242060"/>
                </a:lnTo>
                <a:close/>
              </a:path>
              <a:path w="6217920" h="1446530">
                <a:moveTo>
                  <a:pt x="5455920" y="1034796"/>
                </a:moveTo>
                <a:lnTo>
                  <a:pt x="4696968" y="1034796"/>
                </a:lnTo>
                <a:lnTo>
                  <a:pt x="4696968" y="1239012"/>
                </a:lnTo>
                <a:lnTo>
                  <a:pt x="5455920" y="1239012"/>
                </a:lnTo>
                <a:lnTo>
                  <a:pt x="5455920" y="1034796"/>
                </a:lnTo>
                <a:close/>
              </a:path>
              <a:path w="6217920" h="1446530">
                <a:moveTo>
                  <a:pt x="6217920" y="1242060"/>
                </a:moveTo>
                <a:lnTo>
                  <a:pt x="5458968" y="1242060"/>
                </a:lnTo>
                <a:lnTo>
                  <a:pt x="5458968" y="1446276"/>
                </a:lnTo>
                <a:lnTo>
                  <a:pt x="6217920" y="1446276"/>
                </a:lnTo>
                <a:lnTo>
                  <a:pt x="6217920" y="1242060"/>
                </a:lnTo>
                <a:close/>
              </a:path>
              <a:path w="6217920" h="1446530">
                <a:moveTo>
                  <a:pt x="6217920" y="1034796"/>
                </a:moveTo>
                <a:lnTo>
                  <a:pt x="5458968" y="1034796"/>
                </a:lnTo>
                <a:lnTo>
                  <a:pt x="5458968" y="1239012"/>
                </a:lnTo>
                <a:lnTo>
                  <a:pt x="6217920" y="1239012"/>
                </a:lnTo>
                <a:lnTo>
                  <a:pt x="6217920" y="1034796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11</xdr:col>
      <xdr:colOff>546481</xdr:colOff>
      <xdr:row>26</xdr:row>
      <xdr:rowOff>0</xdr:rowOff>
    </xdr:from>
    <xdr:ext cx="645160" cy="4136390"/>
    <xdr:sp macro="" textlink="">
      <xdr:nvSpPr>
        <xdr:cNvPr id="57" name="Shape 57">
          <a:extLst>
            <a:ext uri="{FF2B5EF4-FFF2-40B4-BE49-F238E27FC236}">
              <a16:creationId xmlns:a16="http://schemas.microsoft.com/office/drawing/2014/main" id="{00000000-0008-0000-0400-000039000000}"/>
            </a:ext>
          </a:extLst>
        </xdr:cNvPr>
        <xdr:cNvSpPr/>
      </xdr:nvSpPr>
      <xdr:spPr>
        <a:xfrm>
          <a:off x="0" y="0"/>
          <a:ext cx="645160" cy="4136390"/>
        </a:xfrm>
        <a:custGeom>
          <a:avLst/>
          <a:gdLst/>
          <a:ahLst/>
          <a:cxnLst/>
          <a:rect l="0" t="0" r="0" b="0"/>
          <a:pathLst>
            <a:path w="645160" h="4136390">
              <a:moveTo>
                <a:pt x="644652" y="3931920"/>
              </a:moveTo>
              <a:lnTo>
                <a:pt x="0" y="3931920"/>
              </a:lnTo>
              <a:lnTo>
                <a:pt x="0" y="4136136"/>
              </a:lnTo>
              <a:lnTo>
                <a:pt x="644652" y="4136136"/>
              </a:lnTo>
              <a:lnTo>
                <a:pt x="644652" y="3931920"/>
              </a:lnTo>
              <a:close/>
            </a:path>
            <a:path w="645160" h="4136390">
              <a:moveTo>
                <a:pt x="644652" y="3724656"/>
              </a:moveTo>
              <a:lnTo>
                <a:pt x="0" y="3724656"/>
              </a:lnTo>
              <a:lnTo>
                <a:pt x="0" y="3928872"/>
              </a:lnTo>
              <a:lnTo>
                <a:pt x="644652" y="3928872"/>
              </a:lnTo>
              <a:lnTo>
                <a:pt x="644652" y="3724656"/>
              </a:lnTo>
              <a:close/>
            </a:path>
            <a:path w="645160" h="4136390">
              <a:moveTo>
                <a:pt x="644652" y="3517392"/>
              </a:moveTo>
              <a:lnTo>
                <a:pt x="0" y="3517392"/>
              </a:lnTo>
              <a:lnTo>
                <a:pt x="0" y="3721608"/>
              </a:lnTo>
              <a:lnTo>
                <a:pt x="644652" y="3721608"/>
              </a:lnTo>
              <a:lnTo>
                <a:pt x="644652" y="3517392"/>
              </a:lnTo>
              <a:close/>
            </a:path>
            <a:path w="645160" h="4136390">
              <a:moveTo>
                <a:pt x="644652" y="3311652"/>
              </a:moveTo>
              <a:lnTo>
                <a:pt x="0" y="3311652"/>
              </a:lnTo>
              <a:lnTo>
                <a:pt x="0" y="3514344"/>
              </a:lnTo>
              <a:lnTo>
                <a:pt x="644652" y="3514344"/>
              </a:lnTo>
              <a:lnTo>
                <a:pt x="644652" y="3311652"/>
              </a:lnTo>
              <a:close/>
            </a:path>
            <a:path w="645160" h="4136390">
              <a:moveTo>
                <a:pt x="644652" y="3104388"/>
              </a:moveTo>
              <a:lnTo>
                <a:pt x="0" y="3104388"/>
              </a:lnTo>
              <a:lnTo>
                <a:pt x="0" y="3308604"/>
              </a:lnTo>
              <a:lnTo>
                <a:pt x="644652" y="3308604"/>
              </a:lnTo>
              <a:lnTo>
                <a:pt x="644652" y="3104388"/>
              </a:lnTo>
              <a:close/>
            </a:path>
            <a:path w="645160" h="4136390">
              <a:moveTo>
                <a:pt x="644652" y="2897124"/>
              </a:moveTo>
              <a:lnTo>
                <a:pt x="0" y="2897124"/>
              </a:lnTo>
              <a:lnTo>
                <a:pt x="0" y="3101340"/>
              </a:lnTo>
              <a:lnTo>
                <a:pt x="644652" y="3101340"/>
              </a:lnTo>
              <a:lnTo>
                <a:pt x="644652" y="2897124"/>
              </a:lnTo>
              <a:close/>
            </a:path>
            <a:path w="645160" h="4136390">
              <a:moveTo>
                <a:pt x="644652" y="2689860"/>
              </a:moveTo>
              <a:lnTo>
                <a:pt x="0" y="2689860"/>
              </a:lnTo>
              <a:lnTo>
                <a:pt x="0" y="2894076"/>
              </a:lnTo>
              <a:lnTo>
                <a:pt x="644652" y="2894076"/>
              </a:lnTo>
              <a:lnTo>
                <a:pt x="644652" y="2689860"/>
              </a:lnTo>
              <a:close/>
            </a:path>
            <a:path w="645160" h="4136390">
              <a:moveTo>
                <a:pt x="644652" y="2482596"/>
              </a:moveTo>
              <a:lnTo>
                <a:pt x="0" y="2482596"/>
              </a:lnTo>
              <a:lnTo>
                <a:pt x="0" y="2686812"/>
              </a:lnTo>
              <a:lnTo>
                <a:pt x="644652" y="2686812"/>
              </a:lnTo>
              <a:lnTo>
                <a:pt x="644652" y="2482596"/>
              </a:lnTo>
              <a:close/>
            </a:path>
            <a:path w="645160" h="4136390">
              <a:moveTo>
                <a:pt x="644652" y="2276856"/>
              </a:moveTo>
              <a:lnTo>
                <a:pt x="0" y="2276856"/>
              </a:lnTo>
              <a:lnTo>
                <a:pt x="0" y="2479548"/>
              </a:lnTo>
              <a:lnTo>
                <a:pt x="644652" y="2479548"/>
              </a:lnTo>
              <a:lnTo>
                <a:pt x="644652" y="2276856"/>
              </a:lnTo>
              <a:close/>
            </a:path>
            <a:path w="645160" h="4136390">
              <a:moveTo>
                <a:pt x="644652" y="2069592"/>
              </a:moveTo>
              <a:lnTo>
                <a:pt x="0" y="2069592"/>
              </a:lnTo>
              <a:lnTo>
                <a:pt x="0" y="2273808"/>
              </a:lnTo>
              <a:lnTo>
                <a:pt x="644652" y="2273808"/>
              </a:lnTo>
              <a:lnTo>
                <a:pt x="644652" y="2069592"/>
              </a:lnTo>
              <a:close/>
            </a:path>
            <a:path w="645160" h="4136390">
              <a:moveTo>
                <a:pt x="644652" y="1862328"/>
              </a:moveTo>
              <a:lnTo>
                <a:pt x="0" y="1862328"/>
              </a:lnTo>
              <a:lnTo>
                <a:pt x="0" y="2066544"/>
              </a:lnTo>
              <a:lnTo>
                <a:pt x="644652" y="2066544"/>
              </a:lnTo>
              <a:lnTo>
                <a:pt x="644652" y="1862328"/>
              </a:lnTo>
              <a:close/>
            </a:path>
            <a:path w="645160" h="4136390">
              <a:moveTo>
                <a:pt x="644652" y="1655064"/>
              </a:moveTo>
              <a:lnTo>
                <a:pt x="0" y="1655064"/>
              </a:lnTo>
              <a:lnTo>
                <a:pt x="0" y="1859280"/>
              </a:lnTo>
              <a:lnTo>
                <a:pt x="644652" y="1859280"/>
              </a:lnTo>
              <a:lnTo>
                <a:pt x="644652" y="1655064"/>
              </a:lnTo>
              <a:close/>
            </a:path>
            <a:path w="645160" h="4136390">
              <a:moveTo>
                <a:pt x="644652" y="1449324"/>
              </a:moveTo>
              <a:lnTo>
                <a:pt x="0" y="1449324"/>
              </a:lnTo>
              <a:lnTo>
                <a:pt x="0" y="1652016"/>
              </a:lnTo>
              <a:lnTo>
                <a:pt x="644652" y="1652016"/>
              </a:lnTo>
              <a:lnTo>
                <a:pt x="644652" y="1449324"/>
              </a:lnTo>
              <a:close/>
            </a:path>
            <a:path w="645160" h="4136390">
              <a:moveTo>
                <a:pt x="644652" y="1242060"/>
              </a:moveTo>
              <a:lnTo>
                <a:pt x="0" y="1242060"/>
              </a:lnTo>
              <a:lnTo>
                <a:pt x="0" y="1446276"/>
              </a:lnTo>
              <a:lnTo>
                <a:pt x="644652" y="1446276"/>
              </a:lnTo>
              <a:lnTo>
                <a:pt x="644652" y="1242060"/>
              </a:lnTo>
              <a:close/>
            </a:path>
            <a:path w="645160" h="4136390">
              <a:moveTo>
                <a:pt x="644652" y="1034796"/>
              </a:moveTo>
              <a:lnTo>
                <a:pt x="0" y="1034796"/>
              </a:lnTo>
              <a:lnTo>
                <a:pt x="0" y="1239012"/>
              </a:lnTo>
              <a:lnTo>
                <a:pt x="644652" y="1239012"/>
              </a:lnTo>
              <a:lnTo>
                <a:pt x="644652" y="1034796"/>
              </a:lnTo>
              <a:close/>
            </a:path>
            <a:path w="645160" h="4136390">
              <a:moveTo>
                <a:pt x="644652" y="827532"/>
              </a:moveTo>
              <a:lnTo>
                <a:pt x="0" y="827532"/>
              </a:lnTo>
              <a:lnTo>
                <a:pt x="0" y="1031748"/>
              </a:lnTo>
              <a:lnTo>
                <a:pt x="644652" y="1031748"/>
              </a:lnTo>
              <a:lnTo>
                <a:pt x="644652" y="827532"/>
              </a:lnTo>
              <a:close/>
            </a:path>
            <a:path w="645160" h="4136390">
              <a:moveTo>
                <a:pt x="644652" y="621792"/>
              </a:moveTo>
              <a:lnTo>
                <a:pt x="0" y="621792"/>
              </a:lnTo>
              <a:lnTo>
                <a:pt x="0" y="824484"/>
              </a:lnTo>
              <a:lnTo>
                <a:pt x="644652" y="824484"/>
              </a:lnTo>
              <a:lnTo>
                <a:pt x="644652" y="621792"/>
              </a:lnTo>
              <a:close/>
            </a:path>
            <a:path w="645160" h="4136390">
              <a:moveTo>
                <a:pt x="644652" y="414528"/>
              </a:moveTo>
              <a:lnTo>
                <a:pt x="0" y="414528"/>
              </a:lnTo>
              <a:lnTo>
                <a:pt x="0" y="618744"/>
              </a:lnTo>
              <a:lnTo>
                <a:pt x="644652" y="618744"/>
              </a:lnTo>
              <a:lnTo>
                <a:pt x="644652" y="414528"/>
              </a:lnTo>
              <a:close/>
            </a:path>
            <a:path w="645160" h="4136390">
              <a:moveTo>
                <a:pt x="644652" y="207264"/>
              </a:moveTo>
              <a:lnTo>
                <a:pt x="0" y="207264"/>
              </a:lnTo>
              <a:lnTo>
                <a:pt x="0" y="411480"/>
              </a:lnTo>
              <a:lnTo>
                <a:pt x="644652" y="411480"/>
              </a:lnTo>
              <a:lnTo>
                <a:pt x="644652" y="207264"/>
              </a:lnTo>
              <a:close/>
            </a:path>
            <a:path w="645160" h="4136390">
              <a:moveTo>
                <a:pt x="644652" y="0"/>
              </a:moveTo>
              <a:lnTo>
                <a:pt x="0" y="0"/>
              </a:lnTo>
              <a:lnTo>
                <a:pt x="0" y="204216"/>
              </a:lnTo>
              <a:lnTo>
                <a:pt x="644652" y="204216"/>
              </a:lnTo>
              <a:lnTo>
                <a:pt x="644652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543687</xdr:colOff>
      <xdr:row>18</xdr:row>
      <xdr:rowOff>206501</xdr:rowOff>
    </xdr:from>
    <xdr:ext cx="3808729" cy="480059"/>
    <xdr:sp macro="" textlink="">
      <xdr:nvSpPr>
        <xdr:cNvPr id="58" name="Shape 58">
          <a:extLst>
            <a:ext uri="{FF2B5EF4-FFF2-40B4-BE49-F238E27FC236}">
              <a16:creationId xmlns:a16="http://schemas.microsoft.com/office/drawing/2014/main" id="{00000000-0008-0000-0500-00003A000000}"/>
            </a:ext>
          </a:extLst>
        </xdr:cNvPr>
        <xdr:cNvSpPr/>
      </xdr:nvSpPr>
      <xdr:spPr>
        <a:xfrm>
          <a:off x="0" y="0"/>
          <a:ext cx="3808729" cy="480059"/>
        </a:xfrm>
        <a:custGeom>
          <a:avLst/>
          <a:gdLst/>
          <a:ahLst/>
          <a:cxnLst/>
          <a:rect l="0" t="0" r="0" b="0"/>
          <a:pathLst>
            <a:path w="3808729" h="480059">
              <a:moveTo>
                <a:pt x="760476" y="0"/>
              </a:moveTo>
              <a:lnTo>
                <a:pt x="0" y="0"/>
              </a:lnTo>
              <a:lnTo>
                <a:pt x="0" y="480060"/>
              </a:lnTo>
              <a:lnTo>
                <a:pt x="760476" y="480060"/>
              </a:lnTo>
              <a:lnTo>
                <a:pt x="760476" y="0"/>
              </a:lnTo>
              <a:close/>
            </a:path>
            <a:path w="3808729" h="480059">
              <a:moveTo>
                <a:pt x="1522476" y="0"/>
              </a:moveTo>
              <a:lnTo>
                <a:pt x="763524" y="0"/>
              </a:lnTo>
              <a:lnTo>
                <a:pt x="763524" y="480060"/>
              </a:lnTo>
              <a:lnTo>
                <a:pt x="1522476" y="480060"/>
              </a:lnTo>
              <a:lnTo>
                <a:pt x="1522476" y="0"/>
              </a:lnTo>
              <a:close/>
            </a:path>
            <a:path w="3808729" h="480059">
              <a:moveTo>
                <a:pt x="2284463" y="0"/>
              </a:moveTo>
              <a:lnTo>
                <a:pt x="1525524" y="0"/>
              </a:lnTo>
              <a:lnTo>
                <a:pt x="1525524" y="480060"/>
              </a:lnTo>
              <a:lnTo>
                <a:pt x="2284463" y="480060"/>
              </a:lnTo>
              <a:lnTo>
                <a:pt x="2284463" y="0"/>
              </a:lnTo>
              <a:close/>
            </a:path>
            <a:path w="3808729" h="480059">
              <a:moveTo>
                <a:pt x="3046476" y="0"/>
              </a:moveTo>
              <a:lnTo>
                <a:pt x="2287524" y="0"/>
              </a:lnTo>
              <a:lnTo>
                <a:pt x="2287524" y="480060"/>
              </a:lnTo>
              <a:lnTo>
                <a:pt x="3046476" y="480060"/>
              </a:lnTo>
              <a:lnTo>
                <a:pt x="3046476" y="0"/>
              </a:lnTo>
              <a:close/>
            </a:path>
            <a:path w="3808729" h="480059">
              <a:moveTo>
                <a:pt x="3808476" y="0"/>
              </a:moveTo>
              <a:lnTo>
                <a:pt x="3049524" y="0"/>
              </a:lnTo>
              <a:lnTo>
                <a:pt x="3049524" y="480060"/>
              </a:lnTo>
              <a:lnTo>
                <a:pt x="3808476" y="480060"/>
              </a:lnTo>
              <a:lnTo>
                <a:pt x="3808476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5</xdr:col>
      <xdr:colOff>202691</xdr:colOff>
      <xdr:row>3</xdr:row>
      <xdr:rowOff>49142</xdr:rowOff>
    </xdr:from>
    <xdr:ext cx="381000" cy="290285"/>
    <xdr:pic>
      <xdr:nvPicPr>
        <xdr:cNvPr id="59" name="image1.jpeg">
          <a:extLst>
            <a:ext uri="{FF2B5EF4-FFF2-40B4-BE49-F238E27FC236}">
              <a16:creationId xmlns:a16="http://schemas.microsoft.com/office/drawing/2014/main" id="{00000000-0008-0000-05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290285"/>
        </a:xfrm>
        <a:prstGeom prst="rect">
          <a:avLst/>
        </a:prstGeom>
      </xdr:spPr>
    </xdr:pic>
    <xdr:clientData/>
  </xdr:oneCellAnchor>
  <xdr:oneCellAnchor>
    <xdr:from>
      <xdr:col>6</xdr:col>
      <xdr:colOff>201929</xdr:colOff>
      <xdr:row>3</xdr:row>
      <xdr:rowOff>761</xdr:rowOff>
    </xdr:from>
    <xdr:ext cx="338666" cy="381000"/>
    <xdr:pic>
      <xdr:nvPicPr>
        <xdr:cNvPr id="60" name="image2.jpeg">
          <a:extLst>
            <a:ext uri="{FF2B5EF4-FFF2-40B4-BE49-F238E27FC236}">
              <a16:creationId xmlns:a16="http://schemas.microsoft.com/office/drawing/2014/main" id="{00000000-0008-0000-05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38666" cy="381000"/>
        </a:xfrm>
        <a:prstGeom prst="rect">
          <a:avLst/>
        </a:prstGeom>
      </xdr:spPr>
    </xdr:pic>
    <xdr:clientData/>
  </xdr:oneCellAnchor>
  <xdr:oneCellAnchor>
    <xdr:from>
      <xdr:col>7</xdr:col>
      <xdr:colOff>201930</xdr:colOff>
      <xdr:row>3</xdr:row>
      <xdr:rowOff>49142</xdr:rowOff>
    </xdr:from>
    <xdr:ext cx="381000" cy="290285"/>
    <xdr:pic>
      <xdr:nvPicPr>
        <xdr:cNvPr id="61" name="image3.jpeg">
          <a:extLst>
            <a:ext uri="{FF2B5EF4-FFF2-40B4-BE49-F238E27FC236}">
              <a16:creationId xmlns:a16="http://schemas.microsoft.com/office/drawing/2014/main" id="{00000000-0008-0000-05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290285"/>
        </a:xfrm>
        <a:prstGeom prst="rect">
          <a:avLst/>
        </a:prstGeom>
      </xdr:spPr>
    </xdr:pic>
    <xdr:clientData/>
  </xdr:oneCellAnchor>
  <xdr:oneCellAnchor>
    <xdr:from>
      <xdr:col>8</xdr:col>
      <xdr:colOff>298691</xdr:colOff>
      <xdr:row>3</xdr:row>
      <xdr:rowOff>49142</xdr:rowOff>
    </xdr:from>
    <xdr:ext cx="193523" cy="290285"/>
    <xdr:pic>
      <xdr:nvPicPr>
        <xdr:cNvPr id="62" name="image4.jpeg">
          <a:extLst>
            <a:ext uri="{FF2B5EF4-FFF2-40B4-BE49-F238E27FC236}">
              <a16:creationId xmlns:a16="http://schemas.microsoft.com/office/drawing/2014/main" id="{00000000-0008-0000-05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3523" cy="290285"/>
        </a:xfrm>
        <a:prstGeom prst="rect">
          <a:avLst/>
        </a:prstGeom>
      </xdr:spPr>
    </xdr:pic>
    <xdr:clientData/>
  </xdr:oneCellAnchor>
  <xdr:oneCellAnchor>
    <xdr:from>
      <xdr:col>9</xdr:col>
      <xdr:colOff>201929</xdr:colOff>
      <xdr:row>3</xdr:row>
      <xdr:rowOff>761</xdr:rowOff>
    </xdr:from>
    <xdr:ext cx="381000" cy="381000"/>
    <xdr:pic>
      <xdr:nvPicPr>
        <xdr:cNvPr id="63" name="image5.jpeg">
          <a:extLst>
            <a:ext uri="{FF2B5EF4-FFF2-40B4-BE49-F238E27FC236}">
              <a16:creationId xmlns:a16="http://schemas.microsoft.com/office/drawing/2014/main" id="{00000000-0008-0000-05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381000"/>
        </a:xfrm>
        <a:prstGeom prst="rect">
          <a:avLst/>
        </a:prstGeom>
      </xdr:spPr>
    </xdr:pic>
    <xdr:clientData/>
  </xdr:oneCellAnchor>
  <xdr:oneCellAnchor>
    <xdr:from>
      <xdr:col>1</xdr:col>
      <xdr:colOff>226059</xdr:colOff>
      <xdr:row>20</xdr:row>
      <xdr:rowOff>0</xdr:rowOff>
    </xdr:from>
    <xdr:ext cx="7486015" cy="3101340"/>
    <xdr:grpSp>
      <xdr:nvGrpSpPr>
        <xdr:cNvPr id="64" name="Group 64">
          <a:extLst>
            <a:ext uri="{FF2B5EF4-FFF2-40B4-BE49-F238E27FC236}">
              <a16:creationId xmlns:a16="http://schemas.microsoft.com/office/drawing/2014/main" id="{00000000-0008-0000-0500-000040000000}"/>
            </a:ext>
          </a:extLst>
        </xdr:cNvPr>
        <xdr:cNvGrpSpPr/>
      </xdr:nvGrpSpPr>
      <xdr:grpSpPr>
        <a:xfrm>
          <a:off x="607059" y="5189220"/>
          <a:ext cx="7486015" cy="3101340"/>
          <a:chOff x="0" y="0"/>
          <a:chExt cx="7486015" cy="3101340"/>
        </a:xfrm>
      </xdr:grpSpPr>
      <xdr:sp macro="" textlink="">
        <xdr:nvSpPr>
          <xdr:cNvPr id="65" name="Shape 65">
            <a:extLst>
              <a:ext uri="{FF2B5EF4-FFF2-40B4-BE49-F238E27FC236}">
                <a16:creationId xmlns:a16="http://schemas.microsoft.com/office/drawing/2014/main" id="{00000000-0008-0000-0500-000041000000}"/>
              </a:ext>
            </a:extLst>
          </xdr:cNvPr>
          <xdr:cNvSpPr/>
        </xdr:nvSpPr>
        <xdr:spPr>
          <a:xfrm>
            <a:off x="0" y="0"/>
            <a:ext cx="7486015" cy="2066925"/>
          </a:xfrm>
          <a:custGeom>
            <a:avLst/>
            <a:gdLst/>
            <a:ahLst/>
            <a:cxnLst/>
            <a:rect l="0" t="0" r="0" b="0"/>
            <a:pathLst>
              <a:path w="7486015" h="2066925">
                <a:moveTo>
                  <a:pt x="312420" y="0"/>
                </a:moveTo>
                <a:lnTo>
                  <a:pt x="0" y="0"/>
                </a:lnTo>
                <a:lnTo>
                  <a:pt x="0" y="618744"/>
                </a:lnTo>
                <a:lnTo>
                  <a:pt x="312420" y="618744"/>
                </a:lnTo>
                <a:lnTo>
                  <a:pt x="312420" y="0"/>
                </a:lnTo>
                <a:close/>
              </a:path>
              <a:path w="7486015" h="2066925">
                <a:moveTo>
                  <a:pt x="1264920" y="0"/>
                </a:moveTo>
                <a:lnTo>
                  <a:pt x="315468" y="0"/>
                </a:lnTo>
                <a:lnTo>
                  <a:pt x="315468" y="618744"/>
                </a:lnTo>
                <a:lnTo>
                  <a:pt x="1264920" y="618744"/>
                </a:lnTo>
                <a:lnTo>
                  <a:pt x="1264920" y="0"/>
                </a:lnTo>
                <a:close/>
              </a:path>
              <a:path w="7486015" h="2066925">
                <a:moveTo>
                  <a:pt x="2531364" y="621792"/>
                </a:moveTo>
                <a:lnTo>
                  <a:pt x="1267968" y="621792"/>
                </a:lnTo>
                <a:lnTo>
                  <a:pt x="1267968" y="1446276"/>
                </a:lnTo>
                <a:lnTo>
                  <a:pt x="2531364" y="1446276"/>
                </a:lnTo>
                <a:lnTo>
                  <a:pt x="2531364" y="621792"/>
                </a:lnTo>
                <a:close/>
              </a:path>
              <a:path w="7486015" h="2066925">
                <a:moveTo>
                  <a:pt x="2531364" y="0"/>
                </a:moveTo>
                <a:lnTo>
                  <a:pt x="1267968" y="0"/>
                </a:lnTo>
                <a:lnTo>
                  <a:pt x="1267968" y="618744"/>
                </a:lnTo>
                <a:lnTo>
                  <a:pt x="2531364" y="618744"/>
                </a:lnTo>
                <a:lnTo>
                  <a:pt x="2531364" y="0"/>
                </a:lnTo>
                <a:close/>
              </a:path>
              <a:path w="7486015" h="2066925">
                <a:moveTo>
                  <a:pt x="3037332" y="1862328"/>
                </a:moveTo>
                <a:lnTo>
                  <a:pt x="2534412" y="1862328"/>
                </a:lnTo>
                <a:lnTo>
                  <a:pt x="2534412" y="2066544"/>
                </a:lnTo>
                <a:lnTo>
                  <a:pt x="3037332" y="2066544"/>
                </a:lnTo>
                <a:lnTo>
                  <a:pt x="3037332" y="1862328"/>
                </a:lnTo>
                <a:close/>
              </a:path>
              <a:path w="7486015" h="2066925">
                <a:moveTo>
                  <a:pt x="3037332" y="1655064"/>
                </a:moveTo>
                <a:lnTo>
                  <a:pt x="2534412" y="1655064"/>
                </a:lnTo>
                <a:lnTo>
                  <a:pt x="2534412" y="1859280"/>
                </a:lnTo>
                <a:lnTo>
                  <a:pt x="3037332" y="1859280"/>
                </a:lnTo>
                <a:lnTo>
                  <a:pt x="3037332" y="1655064"/>
                </a:lnTo>
                <a:close/>
              </a:path>
              <a:path w="7486015" h="2066925">
                <a:moveTo>
                  <a:pt x="3037332" y="1449324"/>
                </a:moveTo>
                <a:lnTo>
                  <a:pt x="2534412" y="1449324"/>
                </a:lnTo>
                <a:lnTo>
                  <a:pt x="2534412" y="1652016"/>
                </a:lnTo>
                <a:lnTo>
                  <a:pt x="3037332" y="1652016"/>
                </a:lnTo>
                <a:lnTo>
                  <a:pt x="3037332" y="1449324"/>
                </a:lnTo>
                <a:close/>
              </a:path>
              <a:path w="7486015" h="2066925">
                <a:moveTo>
                  <a:pt x="3037332" y="1242060"/>
                </a:moveTo>
                <a:lnTo>
                  <a:pt x="2534412" y="1242060"/>
                </a:lnTo>
                <a:lnTo>
                  <a:pt x="2534412" y="1446276"/>
                </a:lnTo>
                <a:lnTo>
                  <a:pt x="3037332" y="1446276"/>
                </a:lnTo>
                <a:lnTo>
                  <a:pt x="3037332" y="1242060"/>
                </a:lnTo>
                <a:close/>
              </a:path>
              <a:path w="7486015" h="2066925">
                <a:moveTo>
                  <a:pt x="3037332" y="1034796"/>
                </a:moveTo>
                <a:lnTo>
                  <a:pt x="2534412" y="1034796"/>
                </a:lnTo>
                <a:lnTo>
                  <a:pt x="2534412" y="1239012"/>
                </a:lnTo>
                <a:lnTo>
                  <a:pt x="3037332" y="1239012"/>
                </a:lnTo>
                <a:lnTo>
                  <a:pt x="3037332" y="1034796"/>
                </a:lnTo>
                <a:close/>
              </a:path>
              <a:path w="7486015" h="2066925">
                <a:moveTo>
                  <a:pt x="3037332" y="827532"/>
                </a:moveTo>
                <a:lnTo>
                  <a:pt x="2534412" y="827532"/>
                </a:lnTo>
                <a:lnTo>
                  <a:pt x="2534412" y="1031748"/>
                </a:lnTo>
                <a:lnTo>
                  <a:pt x="3037332" y="1031748"/>
                </a:lnTo>
                <a:lnTo>
                  <a:pt x="3037332" y="827532"/>
                </a:lnTo>
                <a:close/>
              </a:path>
              <a:path w="7486015" h="2066925">
                <a:moveTo>
                  <a:pt x="3037332" y="621792"/>
                </a:moveTo>
                <a:lnTo>
                  <a:pt x="2534412" y="621792"/>
                </a:lnTo>
                <a:lnTo>
                  <a:pt x="2534412" y="824484"/>
                </a:lnTo>
                <a:lnTo>
                  <a:pt x="3037332" y="824484"/>
                </a:lnTo>
                <a:lnTo>
                  <a:pt x="3037332" y="621792"/>
                </a:lnTo>
                <a:close/>
              </a:path>
              <a:path w="7486015" h="2066925">
                <a:moveTo>
                  <a:pt x="3037332" y="414528"/>
                </a:moveTo>
                <a:lnTo>
                  <a:pt x="2534412" y="414528"/>
                </a:lnTo>
                <a:lnTo>
                  <a:pt x="2534412" y="618744"/>
                </a:lnTo>
                <a:lnTo>
                  <a:pt x="3037332" y="618744"/>
                </a:lnTo>
                <a:lnTo>
                  <a:pt x="3037332" y="414528"/>
                </a:lnTo>
                <a:close/>
              </a:path>
              <a:path w="7486015" h="2066925">
                <a:moveTo>
                  <a:pt x="3037332" y="207264"/>
                </a:moveTo>
                <a:lnTo>
                  <a:pt x="2534412" y="207264"/>
                </a:lnTo>
                <a:lnTo>
                  <a:pt x="2534412" y="411480"/>
                </a:lnTo>
                <a:lnTo>
                  <a:pt x="3037332" y="411480"/>
                </a:lnTo>
                <a:lnTo>
                  <a:pt x="3037332" y="207264"/>
                </a:lnTo>
                <a:close/>
              </a:path>
              <a:path w="7486015" h="2066925">
                <a:moveTo>
                  <a:pt x="3037332" y="0"/>
                </a:moveTo>
                <a:lnTo>
                  <a:pt x="2534412" y="0"/>
                </a:lnTo>
                <a:lnTo>
                  <a:pt x="2534412" y="204216"/>
                </a:lnTo>
                <a:lnTo>
                  <a:pt x="3037332" y="204216"/>
                </a:lnTo>
                <a:lnTo>
                  <a:pt x="3037332" y="0"/>
                </a:lnTo>
                <a:close/>
              </a:path>
              <a:path w="7486015" h="2066925">
                <a:moveTo>
                  <a:pt x="3674364" y="1862328"/>
                </a:moveTo>
                <a:lnTo>
                  <a:pt x="3040380" y="1862328"/>
                </a:lnTo>
                <a:lnTo>
                  <a:pt x="3040380" y="2066544"/>
                </a:lnTo>
                <a:lnTo>
                  <a:pt x="3674364" y="2066544"/>
                </a:lnTo>
                <a:lnTo>
                  <a:pt x="3674364" y="1862328"/>
                </a:lnTo>
                <a:close/>
              </a:path>
              <a:path w="7486015" h="2066925">
                <a:moveTo>
                  <a:pt x="3674364" y="1655064"/>
                </a:moveTo>
                <a:lnTo>
                  <a:pt x="3040380" y="1655064"/>
                </a:lnTo>
                <a:lnTo>
                  <a:pt x="3040380" y="1859280"/>
                </a:lnTo>
                <a:lnTo>
                  <a:pt x="3674364" y="1859280"/>
                </a:lnTo>
                <a:lnTo>
                  <a:pt x="3674364" y="1655064"/>
                </a:lnTo>
                <a:close/>
              </a:path>
              <a:path w="7486015" h="2066925">
                <a:moveTo>
                  <a:pt x="3674364" y="1449324"/>
                </a:moveTo>
                <a:lnTo>
                  <a:pt x="3040380" y="1449324"/>
                </a:lnTo>
                <a:lnTo>
                  <a:pt x="3040380" y="1652016"/>
                </a:lnTo>
                <a:lnTo>
                  <a:pt x="3674364" y="1652016"/>
                </a:lnTo>
                <a:lnTo>
                  <a:pt x="3674364" y="1449324"/>
                </a:lnTo>
                <a:close/>
              </a:path>
              <a:path w="7486015" h="2066925">
                <a:moveTo>
                  <a:pt x="3674364" y="1242060"/>
                </a:moveTo>
                <a:lnTo>
                  <a:pt x="3040380" y="1242060"/>
                </a:lnTo>
                <a:lnTo>
                  <a:pt x="3040380" y="1446276"/>
                </a:lnTo>
                <a:lnTo>
                  <a:pt x="3674364" y="1446276"/>
                </a:lnTo>
                <a:lnTo>
                  <a:pt x="3674364" y="1242060"/>
                </a:lnTo>
                <a:close/>
              </a:path>
              <a:path w="7486015" h="2066925">
                <a:moveTo>
                  <a:pt x="3674364" y="1034796"/>
                </a:moveTo>
                <a:lnTo>
                  <a:pt x="3040380" y="1034796"/>
                </a:lnTo>
                <a:lnTo>
                  <a:pt x="3040380" y="1239012"/>
                </a:lnTo>
                <a:lnTo>
                  <a:pt x="3674364" y="1239012"/>
                </a:lnTo>
                <a:lnTo>
                  <a:pt x="3674364" y="1034796"/>
                </a:lnTo>
                <a:close/>
              </a:path>
              <a:path w="7486015" h="2066925">
                <a:moveTo>
                  <a:pt x="3674364" y="827532"/>
                </a:moveTo>
                <a:lnTo>
                  <a:pt x="3040380" y="827532"/>
                </a:lnTo>
                <a:lnTo>
                  <a:pt x="3040380" y="1031748"/>
                </a:lnTo>
                <a:lnTo>
                  <a:pt x="3674364" y="1031748"/>
                </a:lnTo>
                <a:lnTo>
                  <a:pt x="3674364" y="827532"/>
                </a:lnTo>
                <a:close/>
              </a:path>
              <a:path w="7486015" h="2066925">
                <a:moveTo>
                  <a:pt x="3674364" y="621792"/>
                </a:moveTo>
                <a:lnTo>
                  <a:pt x="3040380" y="621792"/>
                </a:lnTo>
                <a:lnTo>
                  <a:pt x="3040380" y="824484"/>
                </a:lnTo>
                <a:lnTo>
                  <a:pt x="3674364" y="824484"/>
                </a:lnTo>
                <a:lnTo>
                  <a:pt x="3674364" y="621792"/>
                </a:lnTo>
                <a:close/>
              </a:path>
              <a:path w="7486015" h="2066925">
                <a:moveTo>
                  <a:pt x="3674364" y="414528"/>
                </a:moveTo>
                <a:lnTo>
                  <a:pt x="3040380" y="414528"/>
                </a:lnTo>
                <a:lnTo>
                  <a:pt x="3040380" y="618744"/>
                </a:lnTo>
                <a:lnTo>
                  <a:pt x="3674364" y="618744"/>
                </a:lnTo>
                <a:lnTo>
                  <a:pt x="3674364" y="414528"/>
                </a:lnTo>
                <a:close/>
              </a:path>
              <a:path w="7486015" h="2066925">
                <a:moveTo>
                  <a:pt x="3674364" y="207264"/>
                </a:moveTo>
                <a:lnTo>
                  <a:pt x="3040380" y="207264"/>
                </a:lnTo>
                <a:lnTo>
                  <a:pt x="3040380" y="411480"/>
                </a:lnTo>
                <a:lnTo>
                  <a:pt x="3674364" y="411480"/>
                </a:lnTo>
                <a:lnTo>
                  <a:pt x="3674364" y="207264"/>
                </a:lnTo>
                <a:close/>
              </a:path>
              <a:path w="7486015" h="2066925">
                <a:moveTo>
                  <a:pt x="3674364" y="0"/>
                </a:moveTo>
                <a:lnTo>
                  <a:pt x="3040380" y="0"/>
                </a:lnTo>
                <a:lnTo>
                  <a:pt x="3040380" y="204216"/>
                </a:lnTo>
                <a:lnTo>
                  <a:pt x="3674364" y="204216"/>
                </a:lnTo>
                <a:lnTo>
                  <a:pt x="3674364" y="0"/>
                </a:lnTo>
                <a:close/>
              </a:path>
              <a:path w="7486015" h="2066925">
                <a:moveTo>
                  <a:pt x="4437888" y="1862328"/>
                </a:moveTo>
                <a:lnTo>
                  <a:pt x="3677412" y="1862328"/>
                </a:lnTo>
                <a:lnTo>
                  <a:pt x="3677412" y="2066544"/>
                </a:lnTo>
                <a:lnTo>
                  <a:pt x="4437888" y="2066544"/>
                </a:lnTo>
                <a:lnTo>
                  <a:pt x="4437888" y="1862328"/>
                </a:lnTo>
                <a:close/>
              </a:path>
              <a:path w="7486015" h="2066925">
                <a:moveTo>
                  <a:pt x="4437888" y="1655064"/>
                </a:moveTo>
                <a:lnTo>
                  <a:pt x="3677412" y="1655064"/>
                </a:lnTo>
                <a:lnTo>
                  <a:pt x="3677412" y="1859280"/>
                </a:lnTo>
                <a:lnTo>
                  <a:pt x="4437888" y="1859280"/>
                </a:lnTo>
                <a:lnTo>
                  <a:pt x="4437888" y="1655064"/>
                </a:lnTo>
                <a:close/>
              </a:path>
              <a:path w="7486015" h="2066925">
                <a:moveTo>
                  <a:pt x="4437888" y="1449324"/>
                </a:moveTo>
                <a:lnTo>
                  <a:pt x="3677412" y="1449324"/>
                </a:lnTo>
                <a:lnTo>
                  <a:pt x="3677412" y="1652016"/>
                </a:lnTo>
                <a:lnTo>
                  <a:pt x="4437888" y="1652016"/>
                </a:lnTo>
                <a:lnTo>
                  <a:pt x="4437888" y="1449324"/>
                </a:lnTo>
                <a:close/>
              </a:path>
              <a:path w="7486015" h="2066925">
                <a:moveTo>
                  <a:pt x="4437888" y="1242060"/>
                </a:moveTo>
                <a:lnTo>
                  <a:pt x="3677412" y="1242060"/>
                </a:lnTo>
                <a:lnTo>
                  <a:pt x="3677412" y="1446276"/>
                </a:lnTo>
                <a:lnTo>
                  <a:pt x="4437888" y="1446276"/>
                </a:lnTo>
                <a:lnTo>
                  <a:pt x="4437888" y="1242060"/>
                </a:lnTo>
                <a:close/>
              </a:path>
              <a:path w="7486015" h="2066925">
                <a:moveTo>
                  <a:pt x="4437888" y="1034796"/>
                </a:moveTo>
                <a:lnTo>
                  <a:pt x="3677412" y="1034796"/>
                </a:lnTo>
                <a:lnTo>
                  <a:pt x="3677412" y="1239012"/>
                </a:lnTo>
                <a:lnTo>
                  <a:pt x="4437888" y="1239012"/>
                </a:lnTo>
                <a:lnTo>
                  <a:pt x="4437888" y="1034796"/>
                </a:lnTo>
                <a:close/>
              </a:path>
              <a:path w="7486015" h="2066925">
                <a:moveTo>
                  <a:pt x="4437888" y="827532"/>
                </a:moveTo>
                <a:lnTo>
                  <a:pt x="3677412" y="827532"/>
                </a:lnTo>
                <a:lnTo>
                  <a:pt x="3677412" y="1031748"/>
                </a:lnTo>
                <a:lnTo>
                  <a:pt x="4437888" y="1031748"/>
                </a:lnTo>
                <a:lnTo>
                  <a:pt x="4437888" y="827532"/>
                </a:lnTo>
                <a:close/>
              </a:path>
              <a:path w="7486015" h="2066925">
                <a:moveTo>
                  <a:pt x="4437888" y="621792"/>
                </a:moveTo>
                <a:lnTo>
                  <a:pt x="3677412" y="621792"/>
                </a:lnTo>
                <a:lnTo>
                  <a:pt x="3677412" y="824484"/>
                </a:lnTo>
                <a:lnTo>
                  <a:pt x="4437888" y="824484"/>
                </a:lnTo>
                <a:lnTo>
                  <a:pt x="4437888" y="621792"/>
                </a:lnTo>
                <a:close/>
              </a:path>
              <a:path w="7486015" h="2066925">
                <a:moveTo>
                  <a:pt x="4437888" y="414528"/>
                </a:moveTo>
                <a:lnTo>
                  <a:pt x="3677412" y="414528"/>
                </a:lnTo>
                <a:lnTo>
                  <a:pt x="3677412" y="618744"/>
                </a:lnTo>
                <a:lnTo>
                  <a:pt x="4437888" y="618744"/>
                </a:lnTo>
                <a:lnTo>
                  <a:pt x="4437888" y="414528"/>
                </a:lnTo>
                <a:close/>
              </a:path>
              <a:path w="7486015" h="2066925">
                <a:moveTo>
                  <a:pt x="4437888" y="207264"/>
                </a:moveTo>
                <a:lnTo>
                  <a:pt x="3677412" y="207264"/>
                </a:lnTo>
                <a:lnTo>
                  <a:pt x="3677412" y="411480"/>
                </a:lnTo>
                <a:lnTo>
                  <a:pt x="4437888" y="411480"/>
                </a:lnTo>
                <a:lnTo>
                  <a:pt x="4437888" y="207264"/>
                </a:lnTo>
                <a:close/>
              </a:path>
              <a:path w="7486015" h="2066925">
                <a:moveTo>
                  <a:pt x="4437888" y="0"/>
                </a:moveTo>
                <a:lnTo>
                  <a:pt x="3677412" y="0"/>
                </a:lnTo>
                <a:lnTo>
                  <a:pt x="3677412" y="204216"/>
                </a:lnTo>
                <a:lnTo>
                  <a:pt x="4437888" y="204216"/>
                </a:lnTo>
                <a:lnTo>
                  <a:pt x="4437888" y="0"/>
                </a:lnTo>
                <a:close/>
              </a:path>
              <a:path w="7486015" h="2066925">
                <a:moveTo>
                  <a:pt x="5199888" y="1862328"/>
                </a:moveTo>
                <a:lnTo>
                  <a:pt x="4440936" y="1862328"/>
                </a:lnTo>
                <a:lnTo>
                  <a:pt x="4440936" y="2066544"/>
                </a:lnTo>
                <a:lnTo>
                  <a:pt x="5199888" y="2066544"/>
                </a:lnTo>
                <a:lnTo>
                  <a:pt x="5199888" y="1862328"/>
                </a:lnTo>
                <a:close/>
              </a:path>
              <a:path w="7486015" h="2066925">
                <a:moveTo>
                  <a:pt x="5199888" y="1655064"/>
                </a:moveTo>
                <a:lnTo>
                  <a:pt x="4440936" y="1655064"/>
                </a:lnTo>
                <a:lnTo>
                  <a:pt x="4440936" y="1859280"/>
                </a:lnTo>
                <a:lnTo>
                  <a:pt x="5199888" y="1859280"/>
                </a:lnTo>
                <a:lnTo>
                  <a:pt x="5199888" y="1655064"/>
                </a:lnTo>
                <a:close/>
              </a:path>
              <a:path w="7486015" h="2066925">
                <a:moveTo>
                  <a:pt x="5199888" y="1449324"/>
                </a:moveTo>
                <a:lnTo>
                  <a:pt x="4440936" y="1449324"/>
                </a:lnTo>
                <a:lnTo>
                  <a:pt x="4440936" y="1652016"/>
                </a:lnTo>
                <a:lnTo>
                  <a:pt x="5199888" y="1652016"/>
                </a:lnTo>
                <a:lnTo>
                  <a:pt x="5199888" y="1449324"/>
                </a:lnTo>
                <a:close/>
              </a:path>
              <a:path w="7486015" h="2066925">
                <a:moveTo>
                  <a:pt x="5199888" y="1242060"/>
                </a:moveTo>
                <a:lnTo>
                  <a:pt x="4440936" y="1242060"/>
                </a:lnTo>
                <a:lnTo>
                  <a:pt x="4440936" y="1446276"/>
                </a:lnTo>
                <a:lnTo>
                  <a:pt x="5199888" y="1446276"/>
                </a:lnTo>
                <a:lnTo>
                  <a:pt x="5199888" y="1242060"/>
                </a:lnTo>
                <a:close/>
              </a:path>
              <a:path w="7486015" h="2066925">
                <a:moveTo>
                  <a:pt x="5199888" y="1034796"/>
                </a:moveTo>
                <a:lnTo>
                  <a:pt x="4440936" y="1034796"/>
                </a:lnTo>
                <a:lnTo>
                  <a:pt x="4440936" y="1239012"/>
                </a:lnTo>
                <a:lnTo>
                  <a:pt x="5199888" y="1239012"/>
                </a:lnTo>
                <a:lnTo>
                  <a:pt x="5199888" y="1034796"/>
                </a:lnTo>
                <a:close/>
              </a:path>
              <a:path w="7486015" h="2066925">
                <a:moveTo>
                  <a:pt x="5199888" y="827532"/>
                </a:moveTo>
                <a:lnTo>
                  <a:pt x="4440936" y="827532"/>
                </a:lnTo>
                <a:lnTo>
                  <a:pt x="4440936" y="1031748"/>
                </a:lnTo>
                <a:lnTo>
                  <a:pt x="5199888" y="1031748"/>
                </a:lnTo>
                <a:lnTo>
                  <a:pt x="5199888" y="827532"/>
                </a:lnTo>
                <a:close/>
              </a:path>
              <a:path w="7486015" h="2066925">
                <a:moveTo>
                  <a:pt x="5199888" y="621792"/>
                </a:moveTo>
                <a:lnTo>
                  <a:pt x="4440936" y="621792"/>
                </a:lnTo>
                <a:lnTo>
                  <a:pt x="4440936" y="824484"/>
                </a:lnTo>
                <a:lnTo>
                  <a:pt x="5199888" y="824484"/>
                </a:lnTo>
                <a:lnTo>
                  <a:pt x="5199888" y="621792"/>
                </a:lnTo>
                <a:close/>
              </a:path>
              <a:path w="7486015" h="2066925">
                <a:moveTo>
                  <a:pt x="5199888" y="414528"/>
                </a:moveTo>
                <a:lnTo>
                  <a:pt x="4440936" y="414528"/>
                </a:lnTo>
                <a:lnTo>
                  <a:pt x="4440936" y="618744"/>
                </a:lnTo>
                <a:lnTo>
                  <a:pt x="5199888" y="618744"/>
                </a:lnTo>
                <a:lnTo>
                  <a:pt x="5199888" y="414528"/>
                </a:lnTo>
                <a:close/>
              </a:path>
              <a:path w="7486015" h="2066925">
                <a:moveTo>
                  <a:pt x="5199888" y="207264"/>
                </a:moveTo>
                <a:lnTo>
                  <a:pt x="4440936" y="207264"/>
                </a:lnTo>
                <a:lnTo>
                  <a:pt x="4440936" y="411480"/>
                </a:lnTo>
                <a:lnTo>
                  <a:pt x="5199888" y="411480"/>
                </a:lnTo>
                <a:lnTo>
                  <a:pt x="5199888" y="207264"/>
                </a:lnTo>
                <a:close/>
              </a:path>
              <a:path w="7486015" h="2066925">
                <a:moveTo>
                  <a:pt x="5199888" y="0"/>
                </a:moveTo>
                <a:lnTo>
                  <a:pt x="4440936" y="0"/>
                </a:lnTo>
                <a:lnTo>
                  <a:pt x="4440936" y="204216"/>
                </a:lnTo>
                <a:lnTo>
                  <a:pt x="5199888" y="204216"/>
                </a:lnTo>
                <a:lnTo>
                  <a:pt x="5199888" y="0"/>
                </a:lnTo>
                <a:close/>
              </a:path>
              <a:path w="7486015" h="2066925">
                <a:moveTo>
                  <a:pt x="5961875" y="1655064"/>
                </a:moveTo>
                <a:lnTo>
                  <a:pt x="5202936" y="1655064"/>
                </a:lnTo>
                <a:lnTo>
                  <a:pt x="5202936" y="1859280"/>
                </a:lnTo>
                <a:lnTo>
                  <a:pt x="5961875" y="1859280"/>
                </a:lnTo>
                <a:lnTo>
                  <a:pt x="5961875" y="1655064"/>
                </a:lnTo>
                <a:close/>
              </a:path>
              <a:path w="7486015" h="2066925">
                <a:moveTo>
                  <a:pt x="5961875" y="1449324"/>
                </a:moveTo>
                <a:lnTo>
                  <a:pt x="5202936" y="1449324"/>
                </a:lnTo>
                <a:lnTo>
                  <a:pt x="5202936" y="1652016"/>
                </a:lnTo>
                <a:lnTo>
                  <a:pt x="5961875" y="1652016"/>
                </a:lnTo>
                <a:lnTo>
                  <a:pt x="5961875" y="1449324"/>
                </a:lnTo>
                <a:close/>
              </a:path>
              <a:path w="7486015" h="2066925">
                <a:moveTo>
                  <a:pt x="5961875" y="1242060"/>
                </a:moveTo>
                <a:lnTo>
                  <a:pt x="5202936" y="1242060"/>
                </a:lnTo>
                <a:lnTo>
                  <a:pt x="5202936" y="1446276"/>
                </a:lnTo>
                <a:lnTo>
                  <a:pt x="5961875" y="1446276"/>
                </a:lnTo>
                <a:lnTo>
                  <a:pt x="5961875" y="1242060"/>
                </a:lnTo>
                <a:close/>
              </a:path>
              <a:path w="7486015" h="2066925">
                <a:moveTo>
                  <a:pt x="5961875" y="1034796"/>
                </a:moveTo>
                <a:lnTo>
                  <a:pt x="5202936" y="1034796"/>
                </a:lnTo>
                <a:lnTo>
                  <a:pt x="5202936" y="1239012"/>
                </a:lnTo>
                <a:lnTo>
                  <a:pt x="5961875" y="1239012"/>
                </a:lnTo>
                <a:lnTo>
                  <a:pt x="5961875" y="1034796"/>
                </a:lnTo>
                <a:close/>
              </a:path>
              <a:path w="7486015" h="2066925">
                <a:moveTo>
                  <a:pt x="5961875" y="827532"/>
                </a:moveTo>
                <a:lnTo>
                  <a:pt x="5202936" y="827532"/>
                </a:lnTo>
                <a:lnTo>
                  <a:pt x="5202936" y="1031748"/>
                </a:lnTo>
                <a:lnTo>
                  <a:pt x="5961875" y="1031748"/>
                </a:lnTo>
                <a:lnTo>
                  <a:pt x="5961875" y="827532"/>
                </a:lnTo>
                <a:close/>
              </a:path>
              <a:path w="7486015" h="2066925">
                <a:moveTo>
                  <a:pt x="5961875" y="621792"/>
                </a:moveTo>
                <a:lnTo>
                  <a:pt x="5202936" y="621792"/>
                </a:lnTo>
                <a:lnTo>
                  <a:pt x="5202936" y="824484"/>
                </a:lnTo>
                <a:lnTo>
                  <a:pt x="5961875" y="824484"/>
                </a:lnTo>
                <a:lnTo>
                  <a:pt x="5961875" y="621792"/>
                </a:lnTo>
                <a:close/>
              </a:path>
              <a:path w="7486015" h="2066925">
                <a:moveTo>
                  <a:pt x="5961875" y="414528"/>
                </a:moveTo>
                <a:lnTo>
                  <a:pt x="5202936" y="414528"/>
                </a:lnTo>
                <a:lnTo>
                  <a:pt x="5202936" y="618744"/>
                </a:lnTo>
                <a:lnTo>
                  <a:pt x="5961875" y="618744"/>
                </a:lnTo>
                <a:lnTo>
                  <a:pt x="5961875" y="414528"/>
                </a:lnTo>
                <a:close/>
              </a:path>
              <a:path w="7486015" h="2066925">
                <a:moveTo>
                  <a:pt x="5961875" y="207264"/>
                </a:moveTo>
                <a:lnTo>
                  <a:pt x="5202936" y="207264"/>
                </a:lnTo>
                <a:lnTo>
                  <a:pt x="5202936" y="411480"/>
                </a:lnTo>
                <a:lnTo>
                  <a:pt x="5961875" y="411480"/>
                </a:lnTo>
                <a:lnTo>
                  <a:pt x="5961875" y="207264"/>
                </a:lnTo>
                <a:close/>
              </a:path>
              <a:path w="7486015" h="2066925">
                <a:moveTo>
                  <a:pt x="5961875" y="0"/>
                </a:moveTo>
                <a:lnTo>
                  <a:pt x="5202936" y="0"/>
                </a:lnTo>
                <a:lnTo>
                  <a:pt x="5202936" y="204216"/>
                </a:lnTo>
                <a:lnTo>
                  <a:pt x="5961875" y="204216"/>
                </a:lnTo>
                <a:lnTo>
                  <a:pt x="5961875" y="0"/>
                </a:lnTo>
                <a:close/>
              </a:path>
              <a:path w="7486015" h="2066925">
                <a:moveTo>
                  <a:pt x="6723888" y="1655064"/>
                </a:moveTo>
                <a:lnTo>
                  <a:pt x="5964936" y="1655064"/>
                </a:lnTo>
                <a:lnTo>
                  <a:pt x="5964936" y="1859280"/>
                </a:lnTo>
                <a:lnTo>
                  <a:pt x="6723888" y="1859280"/>
                </a:lnTo>
                <a:lnTo>
                  <a:pt x="6723888" y="1655064"/>
                </a:lnTo>
                <a:close/>
              </a:path>
              <a:path w="7486015" h="2066925">
                <a:moveTo>
                  <a:pt x="6723888" y="1449324"/>
                </a:moveTo>
                <a:lnTo>
                  <a:pt x="5964936" y="1449324"/>
                </a:lnTo>
                <a:lnTo>
                  <a:pt x="5964936" y="1652016"/>
                </a:lnTo>
                <a:lnTo>
                  <a:pt x="6723888" y="1652016"/>
                </a:lnTo>
                <a:lnTo>
                  <a:pt x="6723888" y="1449324"/>
                </a:lnTo>
                <a:close/>
              </a:path>
              <a:path w="7486015" h="2066925">
                <a:moveTo>
                  <a:pt x="6723888" y="1242060"/>
                </a:moveTo>
                <a:lnTo>
                  <a:pt x="5964936" y="1242060"/>
                </a:lnTo>
                <a:lnTo>
                  <a:pt x="5964936" y="1446276"/>
                </a:lnTo>
                <a:lnTo>
                  <a:pt x="6723888" y="1446276"/>
                </a:lnTo>
                <a:lnTo>
                  <a:pt x="6723888" y="1242060"/>
                </a:lnTo>
                <a:close/>
              </a:path>
              <a:path w="7486015" h="2066925">
                <a:moveTo>
                  <a:pt x="6723888" y="1034796"/>
                </a:moveTo>
                <a:lnTo>
                  <a:pt x="5964936" y="1034796"/>
                </a:lnTo>
                <a:lnTo>
                  <a:pt x="5964936" y="1239012"/>
                </a:lnTo>
                <a:lnTo>
                  <a:pt x="6723888" y="1239012"/>
                </a:lnTo>
                <a:lnTo>
                  <a:pt x="6723888" y="1034796"/>
                </a:lnTo>
                <a:close/>
              </a:path>
              <a:path w="7486015" h="2066925">
                <a:moveTo>
                  <a:pt x="6723888" y="827532"/>
                </a:moveTo>
                <a:lnTo>
                  <a:pt x="5964936" y="827532"/>
                </a:lnTo>
                <a:lnTo>
                  <a:pt x="5964936" y="1031748"/>
                </a:lnTo>
                <a:lnTo>
                  <a:pt x="6723888" y="1031748"/>
                </a:lnTo>
                <a:lnTo>
                  <a:pt x="6723888" y="827532"/>
                </a:lnTo>
                <a:close/>
              </a:path>
              <a:path w="7486015" h="2066925">
                <a:moveTo>
                  <a:pt x="6723888" y="621792"/>
                </a:moveTo>
                <a:lnTo>
                  <a:pt x="5964936" y="621792"/>
                </a:lnTo>
                <a:lnTo>
                  <a:pt x="5964936" y="824484"/>
                </a:lnTo>
                <a:lnTo>
                  <a:pt x="6723888" y="824484"/>
                </a:lnTo>
                <a:lnTo>
                  <a:pt x="6723888" y="621792"/>
                </a:lnTo>
                <a:close/>
              </a:path>
              <a:path w="7486015" h="2066925">
                <a:moveTo>
                  <a:pt x="6723888" y="414528"/>
                </a:moveTo>
                <a:lnTo>
                  <a:pt x="5964936" y="414528"/>
                </a:lnTo>
                <a:lnTo>
                  <a:pt x="5964936" y="618744"/>
                </a:lnTo>
                <a:lnTo>
                  <a:pt x="6723888" y="618744"/>
                </a:lnTo>
                <a:lnTo>
                  <a:pt x="6723888" y="414528"/>
                </a:lnTo>
                <a:close/>
              </a:path>
              <a:path w="7486015" h="2066925">
                <a:moveTo>
                  <a:pt x="6723888" y="207264"/>
                </a:moveTo>
                <a:lnTo>
                  <a:pt x="5964936" y="207264"/>
                </a:lnTo>
                <a:lnTo>
                  <a:pt x="5964936" y="411480"/>
                </a:lnTo>
                <a:lnTo>
                  <a:pt x="6723888" y="411480"/>
                </a:lnTo>
                <a:lnTo>
                  <a:pt x="6723888" y="207264"/>
                </a:lnTo>
                <a:close/>
              </a:path>
              <a:path w="7486015" h="2066925">
                <a:moveTo>
                  <a:pt x="6723888" y="0"/>
                </a:moveTo>
                <a:lnTo>
                  <a:pt x="5964936" y="0"/>
                </a:lnTo>
                <a:lnTo>
                  <a:pt x="5964936" y="204216"/>
                </a:lnTo>
                <a:lnTo>
                  <a:pt x="6723888" y="204216"/>
                </a:lnTo>
                <a:lnTo>
                  <a:pt x="6723888" y="0"/>
                </a:lnTo>
                <a:close/>
              </a:path>
              <a:path w="7486015" h="2066925">
                <a:moveTo>
                  <a:pt x="7485888" y="1655064"/>
                </a:moveTo>
                <a:lnTo>
                  <a:pt x="6726936" y="1655064"/>
                </a:lnTo>
                <a:lnTo>
                  <a:pt x="6726936" y="1859280"/>
                </a:lnTo>
                <a:lnTo>
                  <a:pt x="7485888" y="1859280"/>
                </a:lnTo>
                <a:lnTo>
                  <a:pt x="7485888" y="1655064"/>
                </a:lnTo>
                <a:close/>
              </a:path>
              <a:path w="7486015" h="2066925">
                <a:moveTo>
                  <a:pt x="7485888" y="1449324"/>
                </a:moveTo>
                <a:lnTo>
                  <a:pt x="6726936" y="1449324"/>
                </a:lnTo>
                <a:lnTo>
                  <a:pt x="6726936" y="1652016"/>
                </a:lnTo>
                <a:lnTo>
                  <a:pt x="7485888" y="1652016"/>
                </a:lnTo>
                <a:lnTo>
                  <a:pt x="7485888" y="1449324"/>
                </a:lnTo>
                <a:close/>
              </a:path>
              <a:path w="7486015" h="2066925">
                <a:moveTo>
                  <a:pt x="7485888" y="1242060"/>
                </a:moveTo>
                <a:lnTo>
                  <a:pt x="6726936" y="1242060"/>
                </a:lnTo>
                <a:lnTo>
                  <a:pt x="6726936" y="1446276"/>
                </a:lnTo>
                <a:lnTo>
                  <a:pt x="7485888" y="1446276"/>
                </a:lnTo>
                <a:lnTo>
                  <a:pt x="7485888" y="1242060"/>
                </a:lnTo>
                <a:close/>
              </a:path>
              <a:path w="7486015" h="2066925">
                <a:moveTo>
                  <a:pt x="7485888" y="1034796"/>
                </a:moveTo>
                <a:lnTo>
                  <a:pt x="6726936" y="1034796"/>
                </a:lnTo>
                <a:lnTo>
                  <a:pt x="6726936" y="1239012"/>
                </a:lnTo>
                <a:lnTo>
                  <a:pt x="7485888" y="1239012"/>
                </a:lnTo>
                <a:lnTo>
                  <a:pt x="7485888" y="1034796"/>
                </a:lnTo>
                <a:close/>
              </a:path>
              <a:path w="7486015" h="2066925">
                <a:moveTo>
                  <a:pt x="7485888" y="827532"/>
                </a:moveTo>
                <a:lnTo>
                  <a:pt x="6726936" y="827532"/>
                </a:lnTo>
                <a:lnTo>
                  <a:pt x="6726936" y="1031748"/>
                </a:lnTo>
                <a:lnTo>
                  <a:pt x="7485888" y="1031748"/>
                </a:lnTo>
                <a:lnTo>
                  <a:pt x="7485888" y="827532"/>
                </a:lnTo>
                <a:close/>
              </a:path>
              <a:path w="7486015" h="2066925">
                <a:moveTo>
                  <a:pt x="7485888" y="621792"/>
                </a:moveTo>
                <a:lnTo>
                  <a:pt x="6726936" y="621792"/>
                </a:lnTo>
                <a:lnTo>
                  <a:pt x="6726936" y="824484"/>
                </a:lnTo>
                <a:lnTo>
                  <a:pt x="7485888" y="824484"/>
                </a:lnTo>
                <a:lnTo>
                  <a:pt x="7485888" y="621792"/>
                </a:lnTo>
                <a:close/>
              </a:path>
              <a:path w="7486015" h="2066925">
                <a:moveTo>
                  <a:pt x="7485888" y="414528"/>
                </a:moveTo>
                <a:lnTo>
                  <a:pt x="6726936" y="414528"/>
                </a:lnTo>
                <a:lnTo>
                  <a:pt x="6726936" y="618744"/>
                </a:lnTo>
                <a:lnTo>
                  <a:pt x="7485888" y="618744"/>
                </a:lnTo>
                <a:lnTo>
                  <a:pt x="7485888" y="414528"/>
                </a:lnTo>
                <a:close/>
              </a:path>
              <a:path w="7486015" h="2066925">
                <a:moveTo>
                  <a:pt x="7485888" y="207264"/>
                </a:moveTo>
                <a:lnTo>
                  <a:pt x="6726936" y="207264"/>
                </a:lnTo>
                <a:lnTo>
                  <a:pt x="6726936" y="411480"/>
                </a:lnTo>
                <a:lnTo>
                  <a:pt x="7485888" y="411480"/>
                </a:lnTo>
                <a:lnTo>
                  <a:pt x="7485888" y="207264"/>
                </a:lnTo>
                <a:close/>
              </a:path>
              <a:path w="7486015" h="2066925">
                <a:moveTo>
                  <a:pt x="7485888" y="0"/>
                </a:moveTo>
                <a:lnTo>
                  <a:pt x="6726936" y="0"/>
                </a:lnTo>
                <a:lnTo>
                  <a:pt x="6726936" y="204216"/>
                </a:lnTo>
                <a:lnTo>
                  <a:pt x="7485888" y="204216"/>
                </a:lnTo>
                <a:lnTo>
                  <a:pt x="7485888" y="0"/>
                </a:lnTo>
                <a:close/>
              </a:path>
            </a:pathLst>
          </a:custGeom>
          <a:solidFill>
            <a:srgbClr val="FFFFFF"/>
          </a:solidFill>
        </xdr:spPr>
      </xdr:sp>
      <xdr:sp macro="" textlink="">
        <xdr:nvSpPr>
          <xdr:cNvPr id="66" name="Shape 66">
            <a:extLst>
              <a:ext uri="{FF2B5EF4-FFF2-40B4-BE49-F238E27FC236}">
                <a16:creationId xmlns:a16="http://schemas.microsoft.com/office/drawing/2014/main" id="{00000000-0008-0000-0500-000042000000}"/>
              </a:ext>
            </a:extLst>
          </xdr:cNvPr>
          <xdr:cNvSpPr/>
        </xdr:nvSpPr>
        <xdr:spPr>
          <a:xfrm>
            <a:off x="0" y="621791"/>
            <a:ext cx="7486015" cy="2479675"/>
          </a:xfrm>
          <a:custGeom>
            <a:avLst/>
            <a:gdLst/>
            <a:ahLst/>
            <a:cxnLst/>
            <a:rect l="0" t="0" r="0" b="0"/>
            <a:pathLst>
              <a:path w="7486015" h="2479675">
                <a:moveTo>
                  <a:pt x="312420" y="1655064"/>
                </a:moveTo>
                <a:lnTo>
                  <a:pt x="0" y="1655064"/>
                </a:lnTo>
                <a:lnTo>
                  <a:pt x="0" y="2479548"/>
                </a:lnTo>
                <a:lnTo>
                  <a:pt x="312420" y="2479548"/>
                </a:lnTo>
                <a:lnTo>
                  <a:pt x="312420" y="1655064"/>
                </a:lnTo>
                <a:close/>
              </a:path>
              <a:path w="7486015" h="2479675">
                <a:moveTo>
                  <a:pt x="312420" y="0"/>
                </a:moveTo>
                <a:lnTo>
                  <a:pt x="0" y="0"/>
                </a:lnTo>
                <a:lnTo>
                  <a:pt x="0" y="1652016"/>
                </a:lnTo>
                <a:lnTo>
                  <a:pt x="312420" y="1652016"/>
                </a:lnTo>
                <a:lnTo>
                  <a:pt x="312420" y="0"/>
                </a:lnTo>
                <a:close/>
              </a:path>
              <a:path w="7486015" h="2479675">
                <a:moveTo>
                  <a:pt x="1264920" y="1655064"/>
                </a:moveTo>
                <a:lnTo>
                  <a:pt x="315468" y="1655064"/>
                </a:lnTo>
                <a:lnTo>
                  <a:pt x="315468" y="2479548"/>
                </a:lnTo>
                <a:lnTo>
                  <a:pt x="1264920" y="2479548"/>
                </a:lnTo>
                <a:lnTo>
                  <a:pt x="1264920" y="1655064"/>
                </a:lnTo>
                <a:close/>
              </a:path>
              <a:path w="7486015" h="2479675">
                <a:moveTo>
                  <a:pt x="1264920" y="0"/>
                </a:moveTo>
                <a:lnTo>
                  <a:pt x="315468" y="0"/>
                </a:lnTo>
                <a:lnTo>
                  <a:pt x="315468" y="1652016"/>
                </a:lnTo>
                <a:lnTo>
                  <a:pt x="1264920" y="1652016"/>
                </a:lnTo>
                <a:lnTo>
                  <a:pt x="1264920" y="0"/>
                </a:lnTo>
                <a:close/>
              </a:path>
              <a:path w="7486015" h="2479675">
                <a:moveTo>
                  <a:pt x="2531364" y="1655064"/>
                </a:moveTo>
                <a:lnTo>
                  <a:pt x="1267968" y="1655064"/>
                </a:lnTo>
                <a:lnTo>
                  <a:pt x="1267968" y="2479548"/>
                </a:lnTo>
                <a:lnTo>
                  <a:pt x="2531364" y="2479548"/>
                </a:lnTo>
                <a:lnTo>
                  <a:pt x="2531364" y="1655064"/>
                </a:lnTo>
                <a:close/>
              </a:path>
              <a:path w="7486015" h="2479675">
                <a:moveTo>
                  <a:pt x="2531364" y="827532"/>
                </a:moveTo>
                <a:lnTo>
                  <a:pt x="1267968" y="827532"/>
                </a:lnTo>
                <a:lnTo>
                  <a:pt x="1267968" y="1652016"/>
                </a:lnTo>
                <a:lnTo>
                  <a:pt x="2531364" y="1652016"/>
                </a:lnTo>
                <a:lnTo>
                  <a:pt x="2531364" y="827532"/>
                </a:lnTo>
                <a:close/>
              </a:path>
              <a:path w="7486015" h="2479675">
                <a:moveTo>
                  <a:pt x="3037332" y="2275332"/>
                </a:moveTo>
                <a:lnTo>
                  <a:pt x="2534412" y="2275332"/>
                </a:lnTo>
                <a:lnTo>
                  <a:pt x="2534412" y="2479548"/>
                </a:lnTo>
                <a:lnTo>
                  <a:pt x="3037332" y="2479548"/>
                </a:lnTo>
                <a:lnTo>
                  <a:pt x="3037332" y="2275332"/>
                </a:lnTo>
                <a:close/>
              </a:path>
              <a:path w="7486015" h="2479675">
                <a:moveTo>
                  <a:pt x="3037332" y="2068068"/>
                </a:moveTo>
                <a:lnTo>
                  <a:pt x="2534412" y="2068068"/>
                </a:lnTo>
                <a:lnTo>
                  <a:pt x="2534412" y="2272284"/>
                </a:lnTo>
                <a:lnTo>
                  <a:pt x="3037332" y="2272284"/>
                </a:lnTo>
                <a:lnTo>
                  <a:pt x="3037332" y="2068068"/>
                </a:lnTo>
                <a:close/>
              </a:path>
              <a:path w="7486015" h="2479675">
                <a:moveTo>
                  <a:pt x="3037332" y="1860804"/>
                </a:moveTo>
                <a:lnTo>
                  <a:pt x="2534412" y="1860804"/>
                </a:lnTo>
                <a:lnTo>
                  <a:pt x="2534412" y="2065020"/>
                </a:lnTo>
                <a:lnTo>
                  <a:pt x="3037332" y="2065020"/>
                </a:lnTo>
                <a:lnTo>
                  <a:pt x="3037332" y="1860804"/>
                </a:lnTo>
                <a:close/>
              </a:path>
              <a:path w="7486015" h="2479675">
                <a:moveTo>
                  <a:pt x="3037332" y="1655064"/>
                </a:moveTo>
                <a:lnTo>
                  <a:pt x="2534412" y="1655064"/>
                </a:lnTo>
                <a:lnTo>
                  <a:pt x="2534412" y="1857756"/>
                </a:lnTo>
                <a:lnTo>
                  <a:pt x="3037332" y="1857756"/>
                </a:lnTo>
                <a:lnTo>
                  <a:pt x="3037332" y="1655064"/>
                </a:lnTo>
                <a:close/>
              </a:path>
              <a:path w="7486015" h="2479675">
                <a:moveTo>
                  <a:pt x="3037332" y="1447800"/>
                </a:moveTo>
                <a:lnTo>
                  <a:pt x="2534412" y="1447800"/>
                </a:lnTo>
                <a:lnTo>
                  <a:pt x="2534412" y="1652016"/>
                </a:lnTo>
                <a:lnTo>
                  <a:pt x="3037332" y="1652016"/>
                </a:lnTo>
                <a:lnTo>
                  <a:pt x="3037332" y="1447800"/>
                </a:lnTo>
                <a:close/>
              </a:path>
              <a:path w="7486015" h="2479675">
                <a:moveTo>
                  <a:pt x="3674364" y="2275332"/>
                </a:moveTo>
                <a:lnTo>
                  <a:pt x="3040380" y="2275332"/>
                </a:lnTo>
                <a:lnTo>
                  <a:pt x="3040380" y="2479548"/>
                </a:lnTo>
                <a:lnTo>
                  <a:pt x="3674364" y="2479548"/>
                </a:lnTo>
                <a:lnTo>
                  <a:pt x="3674364" y="2275332"/>
                </a:lnTo>
                <a:close/>
              </a:path>
              <a:path w="7486015" h="2479675">
                <a:moveTo>
                  <a:pt x="3674364" y="2068068"/>
                </a:moveTo>
                <a:lnTo>
                  <a:pt x="3040380" y="2068068"/>
                </a:lnTo>
                <a:lnTo>
                  <a:pt x="3040380" y="2272284"/>
                </a:lnTo>
                <a:lnTo>
                  <a:pt x="3674364" y="2272284"/>
                </a:lnTo>
                <a:lnTo>
                  <a:pt x="3674364" y="2068068"/>
                </a:lnTo>
                <a:close/>
              </a:path>
              <a:path w="7486015" h="2479675">
                <a:moveTo>
                  <a:pt x="3674364" y="1860804"/>
                </a:moveTo>
                <a:lnTo>
                  <a:pt x="3040380" y="1860804"/>
                </a:lnTo>
                <a:lnTo>
                  <a:pt x="3040380" y="2065020"/>
                </a:lnTo>
                <a:lnTo>
                  <a:pt x="3674364" y="2065020"/>
                </a:lnTo>
                <a:lnTo>
                  <a:pt x="3674364" y="1860804"/>
                </a:lnTo>
                <a:close/>
              </a:path>
              <a:path w="7486015" h="2479675">
                <a:moveTo>
                  <a:pt x="3674364" y="1655064"/>
                </a:moveTo>
                <a:lnTo>
                  <a:pt x="3040380" y="1655064"/>
                </a:lnTo>
                <a:lnTo>
                  <a:pt x="3040380" y="1857756"/>
                </a:lnTo>
                <a:lnTo>
                  <a:pt x="3674364" y="1857756"/>
                </a:lnTo>
                <a:lnTo>
                  <a:pt x="3674364" y="1655064"/>
                </a:lnTo>
                <a:close/>
              </a:path>
              <a:path w="7486015" h="2479675">
                <a:moveTo>
                  <a:pt x="3674364" y="1447800"/>
                </a:moveTo>
                <a:lnTo>
                  <a:pt x="3040380" y="1447800"/>
                </a:lnTo>
                <a:lnTo>
                  <a:pt x="3040380" y="1652016"/>
                </a:lnTo>
                <a:lnTo>
                  <a:pt x="3674364" y="1652016"/>
                </a:lnTo>
                <a:lnTo>
                  <a:pt x="3674364" y="1447800"/>
                </a:lnTo>
                <a:close/>
              </a:path>
              <a:path w="7486015" h="2479675">
                <a:moveTo>
                  <a:pt x="4437888" y="2275332"/>
                </a:moveTo>
                <a:lnTo>
                  <a:pt x="3677412" y="2275332"/>
                </a:lnTo>
                <a:lnTo>
                  <a:pt x="3677412" y="2479548"/>
                </a:lnTo>
                <a:lnTo>
                  <a:pt x="4437888" y="2479548"/>
                </a:lnTo>
                <a:lnTo>
                  <a:pt x="4437888" y="2275332"/>
                </a:lnTo>
                <a:close/>
              </a:path>
              <a:path w="7486015" h="2479675">
                <a:moveTo>
                  <a:pt x="4437888" y="2068068"/>
                </a:moveTo>
                <a:lnTo>
                  <a:pt x="3677412" y="2068068"/>
                </a:lnTo>
                <a:lnTo>
                  <a:pt x="3677412" y="2272284"/>
                </a:lnTo>
                <a:lnTo>
                  <a:pt x="4437888" y="2272284"/>
                </a:lnTo>
                <a:lnTo>
                  <a:pt x="4437888" y="2068068"/>
                </a:lnTo>
                <a:close/>
              </a:path>
              <a:path w="7486015" h="2479675">
                <a:moveTo>
                  <a:pt x="4437888" y="1860804"/>
                </a:moveTo>
                <a:lnTo>
                  <a:pt x="3677412" y="1860804"/>
                </a:lnTo>
                <a:lnTo>
                  <a:pt x="3677412" y="2065020"/>
                </a:lnTo>
                <a:lnTo>
                  <a:pt x="4437888" y="2065020"/>
                </a:lnTo>
                <a:lnTo>
                  <a:pt x="4437888" y="1860804"/>
                </a:lnTo>
                <a:close/>
              </a:path>
              <a:path w="7486015" h="2479675">
                <a:moveTo>
                  <a:pt x="4437888" y="1655064"/>
                </a:moveTo>
                <a:lnTo>
                  <a:pt x="3677412" y="1655064"/>
                </a:lnTo>
                <a:lnTo>
                  <a:pt x="3677412" y="1857756"/>
                </a:lnTo>
                <a:lnTo>
                  <a:pt x="4437888" y="1857756"/>
                </a:lnTo>
                <a:lnTo>
                  <a:pt x="4437888" y="1655064"/>
                </a:lnTo>
                <a:close/>
              </a:path>
              <a:path w="7486015" h="2479675">
                <a:moveTo>
                  <a:pt x="4437888" y="1447800"/>
                </a:moveTo>
                <a:lnTo>
                  <a:pt x="3677412" y="1447800"/>
                </a:lnTo>
                <a:lnTo>
                  <a:pt x="3677412" y="1652016"/>
                </a:lnTo>
                <a:lnTo>
                  <a:pt x="4437888" y="1652016"/>
                </a:lnTo>
                <a:lnTo>
                  <a:pt x="4437888" y="1447800"/>
                </a:lnTo>
                <a:close/>
              </a:path>
              <a:path w="7486015" h="2479675">
                <a:moveTo>
                  <a:pt x="5199888" y="2275332"/>
                </a:moveTo>
                <a:lnTo>
                  <a:pt x="4440936" y="2275332"/>
                </a:lnTo>
                <a:lnTo>
                  <a:pt x="4440936" y="2479548"/>
                </a:lnTo>
                <a:lnTo>
                  <a:pt x="5199888" y="2479548"/>
                </a:lnTo>
                <a:lnTo>
                  <a:pt x="5199888" y="2275332"/>
                </a:lnTo>
                <a:close/>
              </a:path>
              <a:path w="7486015" h="2479675">
                <a:moveTo>
                  <a:pt x="5199888" y="2068068"/>
                </a:moveTo>
                <a:lnTo>
                  <a:pt x="4440936" y="2068068"/>
                </a:lnTo>
                <a:lnTo>
                  <a:pt x="4440936" y="2272284"/>
                </a:lnTo>
                <a:lnTo>
                  <a:pt x="5199888" y="2272284"/>
                </a:lnTo>
                <a:lnTo>
                  <a:pt x="5199888" y="2068068"/>
                </a:lnTo>
                <a:close/>
              </a:path>
              <a:path w="7486015" h="2479675">
                <a:moveTo>
                  <a:pt x="5199888" y="1860804"/>
                </a:moveTo>
                <a:lnTo>
                  <a:pt x="4440936" y="1860804"/>
                </a:lnTo>
                <a:lnTo>
                  <a:pt x="4440936" y="2065020"/>
                </a:lnTo>
                <a:lnTo>
                  <a:pt x="5199888" y="2065020"/>
                </a:lnTo>
                <a:lnTo>
                  <a:pt x="5199888" y="1860804"/>
                </a:lnTo>
                <a:close/>
              </a:path>
              <a:path w="7486015" h="2479675">
                <a:moveTo>
                  <a:pt x="5199888" y="1655064"/>
                </a:moveTo>
                <a:lnTo>
                  <a:pt x="4440936" y="1655064"/>
                </a:lnTo>
                <a:lnTo>
                  <a:pt x="4440936" y="1857756"/>
                </a:lnTo>
                <a:lnTo>
                  <a:pt x="5199888" y="1857756"/>
                </a:lnTo>
                <a:lnTo>
                  <a:pt x="5199888" y="1655064"/>
                </a:lnTo>
                <a:close/>
              </a:path>
              <a:path w="7486015" h="2479675">
                <a:moveTo>
                  <a:pt x="5199888" y="1447800"/>
                </a:moveTo>
                <a:lnTo>
                  <a:pt x="4440936" y="1447800"/>
                </a:lnTo>
                <a:lnTo>
                  <a:pt x="4440936" y="1652016"/>
                </a:lnTo>
                <a:lnTo>
                  <a:pt x="5199888" y="1652016"/>
                </a:lnTo>
                <a:lnTo>
                  <a:pt x="5199888" y="1447800"/>
                </a:lnTo>
                <a:close/>
              </a:path>
              <a:path w="7486015" h="2479675">
                <a:moveTo>
                  <a:pt x="5199888" y="1240536"/>
                </a:moveTo>
                <a:lnTo>
                  <a:pt x="4440936" y="1240536"/>
                </a:lnTo>
                <a:lnTo>
                  <a:pt x="4440936" y="1444752"/>
                </a:lnTo>
                <a:lnTo>
                  <a:pt x="5199888" y="1444752"/>
                </a:lnTo>
                <a:lnTo>
                  <a:pt x="5199888" y="1240536"/>
                </a:lnTo>
                <a:close/>
              </a:path>
              <a:path w="7486015" h="2479675">
                <a:moveTo>
                  <a:pt x="5961875" y="2275332"/>
                </a:moveTo>
                <a:lnTo>
                  <a:pt x="5202936" y="2275332"/>
                </a:lnTo>
                <a:lnTo>
                  <a:pt x="5202936" y="2479548"/>
                </a:lnTo>
                <a:lnTo>
                  <a:pt x="5961875" y="2479548"/>
                </a:lnTo>
                <a:lnTo>
                  <a:pt x="5961875" y="2275332"/>
                </a:lnTo>
                <a:close/>
              </a:path>
              <a:path w="7486015" h="2479675">
                <a:moveTo>
                  <a:pt x="5961875" y="2068068"/>
                </a:moveTo>
                <a:lnTo>
                  <a:pt x="5202936" y="2068068"/>
                </a:lnTo>
                <a:lnTo>
                  <a:pt x="5202936" y="2272284"/>
                </a:lnTo>
                <a:lnTo>
                  <a:pt x="5961875" y="2272284"/>
                </a:lnTo>
                <a:lnTo>
                  <a:pt x="5961875" y="2068068"/>
                </a:lnTo>
                <a:close/>
              </a:path>
              <a:path w="7486015" h="2479675">
                <a:moveTo>
                  <a:pt x="5961875" y="1860804"/>
                </a:moveTo>
                <a:lnTo>
                  <a:pt x="5202936" y="1860804"/>
                </a:lnTo>
                <a:lnTo>
                  <a:pt x="5202936" y="2065020"/>
                </a:lnTo>
                <a:lnTo>
                  <a:pt x="5961875" y="2065020"/>
                </a:lnTo>
                <a:lnTo>
                  <a:pt x="5961875" y="1860804"/>
                </a:lnTo>
                <a:close/>
              </a:path>
              <a:path w="7486015" h="2479675">
                <a:moveTo>
                  <a:pt x="5961875" y="1655064"/>
                </a:moveTo>
                <a:lnTo>
                  <a:pt x="5202936" y="1655064"/>
                </a:lnTo>
                <a:lnTo>
                  <a:pt x="5202936" y="1857756"/>
                </a:lnTo>
                <a:lnTo>
                  <a:pt x="5961875" y="1857756"/>
                </a:lnTo>
                <a:lnTo>
                  <a:pt x="5961875" y="1655064"/>
                </a:lnTo>
                <a:close/>
              </a:path>
              <a:path w="7486015" h="2479675">
                <a:moveTo>
                  <a:pt x="5961875" y="1447800"/>
                </a:moveTo>
                <a:lnTo>
                  <a:pt x="5202936" y="1447800"/>
                </a:lnTo>
                <a:lnTo>
                  <a:pt x="5202936" y="1652016"/>
                </a:lnTo>
                <a:lnTo>
                  <a:pt x="5961875" y="1652016"/>
                </a:lnTo>
                <a:lnTo>
                  <a:pt x="5961875" y="1447800"/>
                </a:lnTo>
                <a:close/>
              </a:path>
              <a:path w="7486015" h="2479675">
                <a:moveTo>
                  <a:pt x="5961875" y="1240536"/>
                </a:moveTo>
                <a:lnTo>
                  <a:pt x="5202936" y="1240536"/>
                </a:lnTo>
                <a:lnTo>
                  <a:pt x="5202936" y="1444752"/>
                </a:lnTo>
                <a:lnTo>
                  <a:pt x="5961875" y="1444752"/>
                </a:lnTo>
                <a:lnTo>
                  <a:pt x="5961875" y="1240536"/>
                </a:lnTo>
                <a:close/>
              </a:path>
              <a:path w="7486015" h="2479675">
                <a:moveTo>
                  <a:pt x="6723888" y="2275332"/>
                </a:moveTo>
                <a:lnTo>
                  <a:pt x="5964936" y="2275332"/>
                </a:lnTo>
                <a:lnTo>
                  <a:pt x="5964936" y="2479548"/>
                </a:lnTo>
                <a:lnTo>
                  <a:pt x="6723888" y="2479548"/>
                </a:lnTo>
                <a:lnTo>
                  <a:pt x="6723888" y="2275332"/>
                </a:lnTo>
                <a:close/>
              </a:path>
              <a:path w="7486015" h="2479675">
                <a:moveTo>
                  <a:pt x="6723888" y="2068068"/>
                </a:moveTo>
                <a:lnTo>
                  <a:pt x="5964936" y="2068068"/>
                </a:lnTo>
                <a:lnTo>
                  <a:pt x="5964936" y="2272284"/>
                </a:lnTo>
                <a:lnTo>
                  <a:pt x="6723888" y="2272284"/>
                </a:lnTo>
                <a:lnTo>
                  <a:pt x="6723888" y="2068068"/>
                </a:lnTo>
                <a:close/>
              </a:path>
              <a:path w="7486015" h="2479675">
                <a:moveTo>
                  <a:pt x="6723888" y="1860804"/>
                </a:moveTo>
                <a:lnTo>
                  <a:pt x="5964936" y="1860804"/>
                </a:lnTo>
                <a:lnTo>
                  <a:pt x="5964936" y="2065020"/>
                </a:lnTo>
                <a:lnTo>
                  <a:pt x="6723888" y="2065020"/>
                </a:lnTo>
                <a:lnTo>
                  <a:pt x="6723888" y="1860804"/>
                </a:lnTo>
                <a:close/>
              </a:path>
              <a:path w="7486015" h="2479675">
                <a:moveTo>
                  <a:pt x="6723888" y="1655064"/>
                </a:moveTo>
                <a:lnTo>
                  <a:pt x="5964936" y="1655064"/>
                </a:lnTo>
                <a:lnTo>
                  <a:pt x="5964936" y="1857756"/>
                </a:lnTo>
                <a:lnTo>
                  <a:pt x="6723888" y="1857756"/>
                </a:lnTo>
                <a:lnTo>
                  <a:pt x="6723888" y="1655064"/>
                </a:lnTo>
                <a:close/>
              </a:path>
              <a:path w="7486015" h="2479675">
                <a:moveTo>
                  <a:pt x="6723888" y="1447800"/>
                </a:moveTo>
                <a:lnTo>
                  <a:pt x="5964936" y="1447800"/>
                </a:lnTo>
                <a:lnTo>
                  <a:pt x="5964936" y="1652016"/>
                </a:lnTo>
                <a:lnTo>
                  <a:pt x="6723888" y="1652016"/>
                </a:lnTo>
                <a:lnTo>
                  <a:pt x="6723888" y="1447800"/>
                </a:lnTo>
                <a:close/>
              </a:path>
              <a:path w="7486015" h="2479675">
                <a:moveTo>
                  <a:pt x="6723888" y="1240536"/>
                </a:moveTo>
                <a:lnTo>
                  <a:pt x="5964936" y="1240536"/>
                </a:lnTo>
                <a:lnTo>
                  <a:pt x="5964936" y="1444752"/>
                </a:lnTo>
                <a:lnTo>
                  <a:pt x="6723888" y="1444752"/>
                </a:lnTo>
                <a:lnTo>
                  <a:pt x="6723888" y="1240536"/>
                </a:lnTo>
                <a:close/>
              </a:path>
              <a:path w="7486015" h="2479675">
                <a:moveTo>
                  <a:pt x="7485888" y="2275332"/>
                </a:moveTo>
                <a:lnTo>
                  <a:pt x="6726936" y="2275332"/>
                </a:lnTo>
                <a:lnTo>
                  <a:pt x="6726936" y="2479548"/>
                </a:lnTo>
                <a:lnTo>
                  <a:pt x="7485888" y="2479548"/>
                </a:lnTo>
                <a:lnTo>
                  <a:pt x="7485888" y="2275332"/>
                </a:lnTo>
                <a:close/>
              </a:path>
              <a:path w="7486015" h="2479675">
                <a:moveTo>
                  <a:pt x="7485888" y="2068068"/>
                </a:moveTo>
                <a:lnTo>
                  <a:pt x="6726936" y="2068068"/>
                </a:lnTo>
                <a:lnTo>
                  <a:pt x="6726936" y="2272284"/>
                </a:lnTo>
                <a:lnTo>
                  <a:pt x="7485888" y="2272284"/>
                </a:lnTo>
                <a:lnTo>
                  <a:pt x="7485888" y="2068068"/>
                </a:lnTo>
                <a:close/>
              </a:path>
              <a:path w="7486015" h="2479675">
                <a:moveTo>
                  <a:pt x="7485888" y="1860804"/>
                </a:moveTo>
                <a:lnTo>
                  <a:pt x="6726936" y="1860804"/>
                </a:lnTo>
                <a:lnTo>
                  <a:pt x="6726936" y="2065020"/>
                </a:lnTo>
                <a:lnTo>
                  <a:pt x="7485888" y="2065020"/>
                </a:lnTo>
                <a:lnTo>
                  <a:pt x="7485888" y="1860804"/>
                </a:lnTo>
                <a:close/>
              </a:path>
              <a:path w="7486015" h="2479675">
                <a:moveTo>
                  <a:pt x="7485888" y="1655064"/>
                </a:moveTo>
                <a:lnTo>
                  <a:pt x="6726936" y="1655064"/>
                </a:lnTo>
                <a:lnTo>
                  <a:pt x="6726936" y="1857756"/>
                </a:lnTo>
                <a:lnTo>
                  <a:pt x="7485888" y="1857756"/>
                </a:lnTo>
                <a:lnTo>
                  <a:pt x="7485888" y="1655064"/>
                </a:lnTo>
                <a:close/>
              </a:path>
              <a:path w="7486015" h="2479675">
                <a:moveTo>
                  <a:pt x="7485888" y="1447800"/>
                </a:moveTo>
                <a:lnTo>
                  <a:pt x="6726936" y="1447800"/>
                </a:lnTo>
                <a:lnTo>
                  <a:pt x="6726936" y="1652016"/>
                </a:lnTo>
                <a:lnTo>
                  <a:pt x="7485888" y="1652016"/>
                </a:lnTo>
                <a:lnTo>
                  <a:pt x="7485888" y="1447800"/>
                </a:lnTo>
                <a:close/>
              </a:path>
              <a:path w="7486015" h="2479675">
                <a:moveTo>
                  <a:pt x="7485888" y="1240536"/>
                </a:moveTo>
                <a:lnTo>
                  <a:pt x="6726936" y="1240536"/>
                </a:lnTo>
                <a:lnTo>
                  <a:pt x="6726936" y="1444752"/>
                </a:lnTo>
                <a:lnTo>
                  <a:pt x="7485888" y="1444752"/>
                </a:lnTo>
                <a:lnTo>
                  <a:pt x="7485888" y="1240536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11</xdr:col>
      <xdr:colOff>546481</xdr:colOff>
      <xdr:row>21</xdr:row>
      <xdr:rowOff>0</xdr:rowOff>
    </xdr:from>
    <xdr:ext cx="645160" cy="3101340"/>
    <xdr:sp macro="" textlink="">
      <xdr:nvSpPr>
        <xdr:cNvPr id="67" name="Shape 67">
          <a:extLst>
            <a:ext uri="{FF2B5EF4-FFF2-40B4-BE49-F238E27FC236}">
              <a16:creationId xmlns:a16="http://schemas.microsoft.com/office/drawing/2014/main" id="{00000000-0008-0000-0500-000043000000}"/>
            </a:ext>
          </a:extLst>
        </xdr:cNvPr>
        <xdr:cNvSpPr/>
      </xdr:nvSpPr>
      <xdr:spPr>
        <a:xfrm>
          <a:off x="0" y="0"/>
          <a:ext cx="645160" cy="3101340"/>
        </a:xfrm>
        <a:custGeom>
          <a:avLst/>
          <a:gdLst/>
          <a:ahLst/>
          <a:cxnLst/>
          <a:rect l="0" t="0" r="0" b="0"/>
          <a:pathLst>
            <a:path w="645160" h="3101340">
              <a:moveTo>
                <a:pt x="644652" y="2897124"/>
              </a:moveTo>
              <a:lnTo>
                <a:pt x="0" y="2897124"/>
              </a:lnTo>
              <a:lnTo>
                <a:pt x="0" y="3101340"/>
              </a:lnTo>
              <a:lnTo>
                <a:pt x="644652" y="3101340"/>
              </a:lnTo>
              <a:lnTo>
                <a:pt x="644652" y="2897124"/>
              </a:lnTo>
              <a:close/>
            </a:path>
            <a:path w="645160" h="3101340">
              <a:moveTo>
                <a:pt x="644652" y="2689860"/>
              </a:moveTo>
              <a:lnTo>
                <a:pt x="0" y="2689860"/>
              </a:lnTo>
              <a:lnTo>
                <a:pt x="0" y="2894076"/>
              </a:lnTo>
              <a:lnTo>
                <a:pt x="644652" y="2894076"/>
              </a:lnTo>
              <a:lnTo>
                <a:pt x="644652" y="2689860"/>
              </a:lnTo>
              <a:close/>
            </a:path>
            <a:path w="645160" h="3101340">
              <a:moveTo>
                <a:pt x="644652" y="2482596"/>
              </a:moveTo>
              <a:lnTo>
                <a:pt x="0" y="2482596"/>
              </a:lnTo>
              <a:lnTo>
                <a:pt x="0" y="2686812"/>
              </a:lnTo>
              <a:lnTo>
                <a:pt x="644652" y="2686812"/>
              </a:lnTo>
              <a:lnTo>
                <a:pt x="644652" y="2482596"/>
              </a:lnTo>
              <a:close/>
            </a:path>
            <a:path w="645160" h="3101340">
              <a:moveTo>
                <a:pt x="644652" y="2276856"/>
              </a:moveTo>
              <a:lnTo>
                <a:pt x="0" y="2276856"/>
              </a:lnTo>
              <a:lnTo>
                <a:pt x="0" y="2479548"/>
              </a:lnTo>
              <a:lnTo>
                <a:pt x="644652" y="2479548"/>
              </a:lnTo>
              <a:lnTo>
                <a:pt x="644652" y="2276856"/>
              </a:lnTo>
              <a:close/>
            </a:path>
            <a:path w="645160" h="3101340">
              <a:moveTo>
                <a:pt x="644652" y="2069592"/>
              </a:moveTo>
              <a:lnTo>
                <a:pt x="0" y="2069592"/>
              </a:lnTo>
              <a:lnTo>
                <a:pt x="0" y="2273808"/>
              </a:lnTo>
              <a:lnTo>
                <a:pt x="644652" y="2273808"/>
              </a:lnTo>
              <a:lnTo>
                <a:pt x="644652" y="2069592"/>
              </a:lnTo>
              <a:close/>
            </a:path>
            <a:path w="645160" h="3101340">
              <a:moveTo>
                <a:pt x="644652" y="1862328"/>
              </a:moveTo>
              <a:lnTo>
                <a:pt x="0" y="1862328"/>
              </a:lnTo>
              <a:lnTo>
                <a:pt x="0" y="2066544"/>
              </a:lnTo>
              <a:lnTo>
                <a:pt x="644652" y="2066544"/>
              </a:lnTo>
              <a:lnTo>
                <a:pt x="644652" y="1862328"/>
              </a:lnTo>
              <a:close/>
            </a:path>
            <a:path w="645160" h="3101340">
              <a:moveTo>
                <a:pt x="644652" y="1655064"/>
              </a:moveTo>
              <a:lnTo>
                <a:pt x="0" y="1655064"/>
              </a:lnTo>
              <a:lnTo>
                <a:pt x="0" y="1859280"/>
              </a:lnTo>
              <a:lnTo>
                <a:pt x="644652" y="1859280"/>
              </a:lnTo>
              <a:lnTo>
                <a:pt x="644652" y="1655064"/>
              </a:lnTo>
              <a:close/>
            </a:path>
            <a:path w="645160" h="3101340">
              <a:moveTo>
                <a:pt x="644652" y="1449324"/>
              </a:moveTo>
              <a:lnTo>
                <a:pt x="0" y="1449324"/>
              </a:lnTo>
              <a:lnTo>
                <a:pt x="0" y="1652016"/>
              </a:lnTo>
              <a:lnTo>
                <a:pt x="644652" y="1652016"/>
              </a:lnTo>
              <a:lnTo>
                <a:pt x="644652" y="1449324"/>
              </a:lnTo>
              <a:close/>
            </a:path>
            <a:path w="645160" h="3101340">
              <a:moveTo>
                <a:pt x="644652" y="1242060"/>
              </a:moveTo>
              <a:lnTo>
                <a:pt x="0" y="1242060"/>
              </a:lnTo>
              <a:lnTo>
                <a:pt x="0" y="1446276"/>
              </a:lnTo>
              <a:lnTo>
                <a:pt x="644652" y="1446276"/>
              </a:lnTo>
              <a:lnTo>
                <a:pt x="644652" y="1242060"/>
              </a:lnTo>
              <a:close/>
            </a:path>
            <a:path w="645160" h="3101340">
              <a:moveTo>
                <a:pt x="644652" y="1034796"/>
              </a:moveTo>
              <a:lnTo>
                <a:pt x="0" y="1034796"/>
              </a:lnTo>
              <a:lnTo>
                <a:pt x="0" y="1239012"/>
              </a:lnTo>
              <a:lnTo>
                <a:pt x="644652" y="1239012"/>
              </a:lnTo>
              <a:lnTo>
                <a:pt x="644652" y="1034796"/>
              </a:lnTo>
              <a:close/>
            </a:path>
            <a:path w="645160" h="3101340">
              <a:moveTo>
                <a:pt x="644652" y="827532"/>
              </a:moveTo>
              <a:lnTo>
                <a:pt x="0" y="827532"/>
              </a:lnTo>
              <a:lnTo>
                <a:pt x="0" y="1031748"/>
              </a:lnTo>
              <a:lnTo>
                <a:pt x="644652" y="1031748"/>
              </a:lnTo>
              <a:lnTo>
                <a:pt x="644652" y="827532"/>
              </a:lnTo>
              <a:close/>
            </a:path>
            <a:path w="645160" h="3101340">
              <a:moveTo>
                <a:pt x="644652" y="621792"/>
              </a:moveTo>
              <a:lnTo>
                <a:pt x="0" y="621792"/>
              </a:lnTo>
              <a:lnTo>
                <a:pt x="0" y="824484"/>
              </a:lnTo>
              <a:lnTo>
                <a:pt x="644652" y="824484"/>
              </a:lnTo>
              <a:lnTo>
                <a:pt x="644652" y="621792"/>
              </a:lnTo>
              <a:close/>
            </a:path>
            <a:path w="645160" h="3101340">
              <a:moveTo>
                <a:pt x="644652" y="414528"/>
              </a:moveTo>
              <a:lnTo>
                <a:pt x="0" y="414528"/>
              </a:lnTo>
              <a:lnTo>
                <a:pt x="0" y="618744"/>
              </a:lnTo>
              <a:lnTo>
                <a:pt x="644652" y="618744"/>
              </a:lnTo>
              <a:lnTo>
                <a:pt x="644652" y="414528"/>
              </a:lnTo>
              <a:close/>
            </a:path>
            <a:path w="645160" h="3101340">
              <a:moveTo>
                <a:pt x="644652" y="207264"/>
              </a:moveTo>
              <a:lnTo>
                <a:pt x="0" y="207264"/>
              </a:lnTo>
              <a:lnTo>
                <a:pt x="0" y="411480"/>
              </a:lnTo>
              <a:lnTo>
                <a:pt x="644652" y="411480"/>
              </a:lnTo>
              <a:lnTo>
                <a:pt x="644652" y="207264"/>
              </a:lnTo>
              <a:close/>
            </a:path>
            <a:path w="645160" h="3101340">
              <a:moveTo>
                <a:pt x="644652" y="0"/>
              </a:moveTo>
              <a:lnTo>
                <a:pt x="0" y="0"/>
              </a:lnTo>
              <a:lnTo>
                <a:pt x="0" y="204216"/>
              </a:lnTo>
              <a:lnTo>
                <a:pt x="644652" y="204216"/>
              </a:lnTo>
              <a:lnTo>
                <a:pt x="644652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543687</xdr:colOff>
      <xdr:row>18</xdr:row>
      <xdr:rowOff>206501</xdr:rowOff>
    </xdr:from>
    <xdr:ext cx="3808729" cy="480059"/>
    <xdr:sp macro="" textlink="">
      <xdr:nvSpPr>
        <xdr:cNvPr id="68" name="Shape 68">
          <a:extLst>
            <a:ext uri="{FF2B5EF4-FFF2-40B4-BE49-F238E27FC236}">
              <a16:creationId xmlns:a16="http://schemas.microsoft.com/office/drawing/2014/main" id="{00000000-0008-0000-0600-000044000000}"/>
            </a:ext>
          </a:extLst>
        </xdr:cNvPr>
        <xdr:cNvSpPr/>
      </xdr:nvSpPr>
      <xdr:spPr>
        <a:xfrm>
          <a:off x="0" y="0"/>
          <a:ext cx="3808729" cy="480059"/>
        </a:xfrm>
        <a:custGeom>
          <a:avLst/>
          <a:gdLst/>
          <a:ahLst/>
          <a:cxnLst/>
          <a:rect l="0" t="0" r="0" b="0"/>
          <a:pathLst>
            <a:path w="3808729" h="480059">
              <a:moveTo>
                <a:pt x="760476" y="0"/>
              </a:moveTo>
              <a:lnTo>
                <a:pt x="0" y="0"/>
              </a:lnTo>
              <a:lnTo>
                <a:pt x="0" y="480060"/>
              </a:lnTo>
              <a:lnTo>
                <a:pt x="760476" y="480060"/>
              </a:lnTo>
              <a:lnTo>
                <a:pt x="760476" y="0"/>
              </a:lnTo>
              <a:close/>
            </a:path>
            <a:path w="3808729" h="480059">
              <a:moveTo>
                <a:pt x="1522476" y="0"/>
              </a:moveTo>
              <a:lnTo>
                <a:pt x="763524" y="0"/>
              </a:lnTo>
              <a:lnTo>
                <a:pt x="763524" y="480060"/>
              </a:lnTo>
              <a:lnTo>
                <a:pt x="1522476" y="480060"/>
              </a:lnTo>
              <a:lnTo>
                <a:pt x="1522476" y="0"/>
              </a:lnTo>
              <a:close/>
            </a:path>
            <a:path w="3808729" h="480059">
              <a:moveTo>
                <a:pt x="2284463" y="0"/>
              </a:moveTo>
              <a:lnTo>
                <a:pt x="1525524" y="0"/>
              </a:lnTo>
              <a:lnTo>
                <a:pt x="1525524" y="480060"/>
              </a:lnTo>
              <a:lnTo>
                <a:pt x="2284463" y="480060"/>
              </a:lnTo>
              <a:lnTo>
                <a:pt x="2284463" y="0"/>
              </a:lnTo>
              <a:close/>
            </a:path>
            <a:path w="3808729" h="480059">
              <a:moveTo>
                <a:pt x="3046476" y="0"/>
              </a:moveTo>
              <a:lnTo>
                <a:pt x="2287524" y="0"/>
              </a:lnTo>
              <a:lnTo>
                <a:pt x="2287524" y="480060"/>
              </a:lnTo>
              <a:lnTo>
                <a:pt x="3046476" y="480060"/>
              </a:lnTo>
              <a:lnTo>
                <a:pt x="3046476" y="0"/>
              </a:lnTo>
              <a:close/>
            </a:path>
            <a:path w="3808729" h="480059">
              <a:moveTo>
                <a:pt x="3808476" y="0"/>
              </a:moveTo>
              <a:lnTo>
                <a:pt x="3049524" y="0"/>
              </a:lnTo>
              <a:lnTo>
                <a:pt x="3049524" y="480060"/>
              </a:lnTo>
              <a:lnTo>
                <a:pt x="3808476" y="480060"/>
              </a:lnTo>
              <a:lnTo>
                <a:pt x="3808476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5</xdr:col>
      <xdr:colOff>202691</xdr:colOff>
      <xdr:row>3</xdr:row>
      <xdr:rowOff>49142</xdr:rowOff>
    </xdr:from>
    <xdr:ext cx="381000" cy="290285"/>
    <xdr:pic>
      <xdr:nvPicPr>
        <xdr:cNvPr id="69" name="image1.jpeg">
          <a:extLst>
            <a:ext uri="{FF2B5EF4-FFF2-40B4-BE49-F238E27FC236}">
              <a16:creationId xmlns:a16="http://schemas.microsoft.com/office/drawing/2014/main" id="{00000000-0008-0000-06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290285"/>
        </a:xfrm>
        <a:prstGeom prst="rect">
          <a:avLst/>
        </a:prstGeom>
      </xdr:spPr>
    </xdr:pic>
    <xdr:clientData/>
  </xdr:oneCellAnchor>
  <xdr:oneCellAnchor>
    <xdr:from>
      <xdr:col>6</xdr:col>
      <xdr:colOff>201929</xdr:colOff>
      <xdr:row>3</xdr:row>
      <xdr:rowOff>761</xdr:rowOff>
    </xdr:from>
    <xdr:ext cx="338666" cy="381000"/>
    <xdr:pic>
      <xdr:nvPicPr>
        <xdr:cNvPr id="70" name="image2.jpeg">
          <a:extLst>
            <a:ext uri="{FF2B5EF4-FFF2-40B4-BE49-F238E27FC236}">
              <a16:creationId xmlns:a16="http://schemas.microsoft.com/office/drawing/2014/main" id="{00000000-0008-0000-06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38666" cy="381000"/>
        </a:xfrm>
        <a:prstGeom prst="rect">
          <a:avLst/>
        </a:prstGeom>
      </xdr:spPr>
    </xdr:pic>
    <xdr:clientData/>
  </xdr:oneCellAnchor>
  <xdr:oneCellAnchor>
    <xdr:from>
      <xdr:col>7</xdr:col>
      <xdr:colOff>201930</xdr:colOff>
      <xdr:row>3</xdr:row>
      <xdr:rowOff>49142</xdr:rowOff>
    </xdr:from>
    <xdr:ext cx="381000" cy="290285"/>
    <xdr:pic>
      <xdr:nvPicPr>
        <xdr:cNvPr id="71" name="image3.jpeg">
          <a:extLst>
            <a:ext uri="{FF2B5EF4-FFF2-40B4-BE49-F238E27FC236}">
              <a16:creationId xmlns:a16="http://schemas.microsoft.com/office/drawing/2014/main" id="{00000000-0008-0000-06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290285"/>
        </a:xfrm>
        <a:prstGeom prst="rect">
          <a:avLst/>
        </a:prstGeom>
      </xdr:spPr>
    </xdr:pic>
    <xdr:clientData/>
  </xdr:oneCellAnchor>
  <xdr:oneCellAnchor>
    <xdr:from>
      <xdr:col>8</xdr:col>
      <xdr:colOff>298691</xdr:colOff>
      <xdr:row>3</xdr:row>
      <xdr:rowOff>49142</xdr:rowOff>
    </xdr:from>
    <xdr:ext cx="193523" cy="290285"/>
    <xdr:pic>
      <xdr:nvPicPr>
        <xdr:cNvPr id="72" name="image4.jpeg">
          <a:extLst>
            <a:ext uri="{FF2B5EF4-FFF2-40B4-BE49-F238E27FC236}">
              <a16:creationId xmlns:a16="http://schemas.microsoft.com/office/drawing/2014/main" id="{00000000-0008-0000-06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3523" cy="290285"/>
        </a:xfrm>
        <a:prstGeom prst="rect">
          <a:avLst/>
        </a:prstGeom>
      </xdr:spPr>
    </xdr:pic>
    <xdr:clientData/>
  </xdr:oneCellAnchor>
  <xdr:oneCellAnchor>
    <xdr:from>
      <xdr:col>9</xdr:col>
      <xdr:colOff>201929</xdr:colOff>
      <xdr:row>3</xdr:row>
      <xdr:rowOff>761</xdr:rowOff>
    </xdr:from>
    <xdr:ext cx="381000" cy="381000"/>
    <xdr:pic>
      <xdr:nvPicPr>
        <xdr:cNvPr id="73" name="image5.jpeg">
          <a:extLst>
            <a:ext uri="{FF2B5EF4-FFF2-40B4-BE49-F238E27FC236}">
              <a16:creationId xmlns:a16="http://schemas.microsoft.com/office/drawing/2014/main" id="{00000000-0008-0000-06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381000"/>
        </a:xfrm>
        <a:prstGeom prst="rect">
          <a:avLst/>
        </a:prstGeom>
      </xdr:spPr>
    </xdr:pic>
    <xdr:clientData/>
  </xdr:oneCellAnchor>
  <xdr:oneCellAnchor>
    <xdr:from>
      <xdr:col>2</xdr:col>
      <xdr:colOff>541528</xdr:colOff>
      <xdr:row>20</xdr:row>
      <xdr:rowOff>0</xdr:rowOff>
    </xdr:from>
    <xdr:ext cx="6217920" cy="3101340"/>
    <xdr:grpSp>
      <xdr:nvGrpSpPr>
        <xdr:cNvPr id="74" name="Group 74">
          <a:extLst>
            <a:ext uri="{FF2B5EF4-FFF2-40B4-BE49-F238E27FC236}">
              <a16:creationId xmlns:a16="http://schemas.microsoft.com/office/drawing/2014/main" id="{00000000-0008-0000-0600-00004A000000}"/>
            </a:ext>
          </a:extLst>
        </xdr:cNvPr>
        <xdr:cNvGrpSpPr/>
      </xdr:nvGrpSpPr>
      <xdr:grpSpPr>
        <a:xfrm>
          <a:off x="2111248" y="5189220"/>
          <a:ext cx="6217920" cy="3101340"/>
          <a:chOff x="0" y="0"/>
          <a:chExt cx="6217920" cy="3101340"/>
        </a:xfrm>
      </xdr:grpSpPr>
      <xdr:sp macro="" textlink="">
        <xdr:nvSpPr>
          <xdr:cNvPr id="75" name="Shape 75">
            <a:extLst>
              <a:ext uri="{FF2B5EF4-FFF2-40B4-BE49-F238E27FC236}">
                <a16:creationId xmlns:a16="http://schemas.microsoft.com/office/drawing/2014/main" id="{00000000-0008-0000-0600-00004B000000}"/>
              </a:ext>
            </a:extLst>
          </xdr:cNvPr>
          <xdr:cNvSpPr/>
        </xdr:nvSpPr>
        <xdr:spPr>
          <a:xfrm>
            <a:off x="0" y="0"/>
            <a:ext cx="6217920" cy="2066925"/>
          </a:xfrm>
          <a:custGeom>
            <a:avLst/>
            <a:gdLst/>
            <a:ahLst/>
            <a:cxnLst/>
            <a:rect l="0" t="0" r="0" b="0"/>
            <a:pathLst>
              <a:path w="6217920" h="2066925">
                <a:moveTo>
                  <a:pt x="1263396" y="0"/>
                </a:moveTo>
                <a:lnTo>
                  <a:pt x="0" y="0"/>
                </a:lnTo>
                <a:lnTo>
                  <a:pt x="0" y="1446276"/>
                </a:lnTo>
                <a:lnTo>
                  <a:pt x="1263396" y="1446276"/>
                </a:lnTo>
                <a:lnTo>
                  <a:pt x="1263396" y="0"/>
                </a:lnTo>
                <a:close/>
              </a:path>
              <a:path w="6217920" h="2066925">
                <a:moveTo>
                  <a:pt x="1769364" y="1862328"/>
                </a:moveTo>
                <a:lnTo>
                  <a:pt x="1266444" y="1862328"/>
                </a:lnTo>
                <a:lnTo>
                  <a:pt x="1266444" y="2066544"/>
                </a:lnTo>
                <a:lnTo>
                  <a:pt x="1769364" y="2066544"/>
                </a:lnTo>
                <a:lnTo>
                  <a:pt x="1769364" y="1862328"/>
                </a:lnTo>
                <a:close/>
              </a:path>
              <a:path w="6217920" h="2066925">
                <a:moveTo>
                  <a:pt x="1769364" y="1655064"/>
                </a:moveTo>
                <a:lnTo>
                  <a:pt x="1266444" y="1655064"/>
                </a:lnTo>
                <a:lnTo>
                  <a:pt x="1266444" y="1859280"/>
                </a:lnTo>
                <a:lnTo>
                  <a:pt x="1769364" y="1859280"/>
                </a:lnTo>
                <a:lnTo>
                  <a:pt x="1769364" y="1655064"/>
                </a:lnTo>
                <a:close/>
              </a:path>
              <a:path w="6217920" h="2066925">
                <a:moveTo>
                  <a:pt x="1769364" y="1449324"/>
                </a:moveTo>
                <a:lnTo>
                  <a:pt x="1266444" y="1449324"/>
                </a:lnTo>
                <a:lnTo>
                  <a:pt x="1266444" y="1652016"/>
                </a:lnTo>
                <a:lnTo>
                  <a:pt x="1769364" y="1652016"/>
                </a:lnTo>
                <a:lnTo>
                  <a:pt x="1769364" y="1449324"/>
                </a:lnTo>
                <a:close/>
              </a:path>
              <a:path w="6217920" h="2066925">
                <a:moveTo>
                  <a:pt x="1769364" y="1242060"/>
                </a:moveTo>
                <a:lnTo>
                  <a:pt x="1266444" y="1242060"/>
                </a:lnTo>
                <a:lnTo>
                  <a:pt x="1266444" y="1446276"/>
                </a:lnTo>
                <a:lnTo>
                  <a:pt x="1769364" y="1446276"/>
                </a:lnTo>
                <a:lnTo>
                  <a:pt x="1769364" y="1242060"/>
                </a:lnTo>
                <a:close/>
              </a:path>
              <a:path w="6217920" h="2066925">
                <a:moveTo>
                  <a:pt x="1769364" y="1034796"/>
                </a:moveTo>
                <a:lnTo>
                  <a:pt x="1266444" y="1034796"/>
                </a:lnTo>
                <a:lnTo>
                  <a:pt x="1266444" y="1239012"/>
                </a:lnTo>
                <a:lnTo>
                  <a:pt x="1769364" y="1239012"/>
                </a:lnTo>
                <a:lnTo>
                  <a:pt x="1769364" y="1034796"/>
                </a:lnTo>
                <a:close/>
              </a:path>
              <a:path w="6217920" h="2066925">
                <a:moveTo>
                  <a:pt x="1769364" y="827532"/>
                </a:moveTo>
                <a:lnTo>
                  <a:pt x="1266444" y="827532"/>
                </a:lnTo>
                <a:lnTo>
                  <a:pt x="1266444" y="1031748"/>
                </a:lnTo>
                <a:lnTo>
                  <a:pt x="1769364" y="1031748"/>
                </a:lnTo>
                <a:lnTo>
                  <a:pt x="1769364" y="827532"/>
                </a:lnTo>
                <a:close/>
              </a:path>
              <a:path w="6217920" h="2066925">
                <a:moveTo>
                  <a:pt x="1769364" y="621792"/>
                </a:moveTo>
                <a:lnTo>
                  <a:pt x="1266444" y="621792"/>
                </a:lnTo>
                <a:lnTo>
                  <a:pt x="1266444" y="824484"/>
                </a:lnTo>
                <a:lnTo>
                  <a:pt x="1769364" y="824484"/>
                </a:lnTo>
                <a:lnTo>
                  <a:pt x="1769364" y="621792"/>
                </a:lnTo>
                <a:close/>
              </a:path>
              <a:path w="6217920" h="2066925">
                <a:moveTo>
                  <a:pt x="1769364" y="414528"/>
                </a:moveTo>
                <a:lnTo>
                  <a:pt x="1266444" y="414528"/>
                </a:lnTo>
                <a:lnTo>
                  <a:pt x="1266444" y="618744"/>
                </a:lnTo>
                <a:lnTo>
                  <a:pt x="1769364" y="618744"/>
                </a:lnTo>
                <a:lnTo>
                  <a:pt x="1769364" y="414528"/>
                </a:lnTo>
                <a:close/>
              </a:path>
              <a:path w="6217920" h="2066925">
                <a:moveTo>
                  <a:pt x="1769364" y="207264"/>
                </a:moveTo>
                <a:lnTo>
                  <a:pt x="1266444" y="207264"/>
                </a:lnTo>
                <a:lnTo>
                  <a:pt x="1266444" y="411480"/>
                </a:lnTo>
                <a:lnTo>
                  <a:pt x="1769364" y="411480"/>
                </a:lnTo>
                <a:lnTo>
                  <a:pt x="1769364" y="207264"/>
                </a:lnTo>
                <a:close/>
              </a:path>
              <a:path w="6217920" h="2066925">
                <a:moveTo>
                  <a:pt x="1769364" y="0"/>
                </a:moveTo>
                <a:lnTo>
                  <a:pt x="1266444" y="0"/>
                </a:lnTo>
                <a:lnTo>
                  <a:pt x="1266444" y="204216"/>
                </a:lnTo>
                <a:lnTo>
                  <a:pt x="1769364" y="204216"/>
                </a:lnTo>
                <a:lnTo>
                  <a:pt x="1769364" y="0"/>
                </a:lnTo>
                <a:close/>
              </a:path>
              <a:path w="6217920" h="2066925">
                <a:moveTo>
                  <a:pt x="2406396" y="1862328"/>
                </a:moveTo>
                <a:lnTo>
                  <a:pt x="1772412" y="1862328"/>
                </a:lnTo>
                <a:lnTo>
                  <a:pt x="1772412" y="2066544"/>
                </a:lnTo>
                <a:lnTo>
                  <a:pt x="2406396" y="2066544"/>
                </a:lnTo>
                <a:lnTo>
                  <a:pt x="2406396" y="1862328"/>
                </a:lnTo>
                <a:close/>
              </a:path>
              <a:path w="6217920" h="2066925">
                <a:moveTo>
                  <a:pt x="2406396" y="1655064"/>
                </a:moveTo>
                <a:lnTo>
                  <a:pt x="1772412" y="1655064"/>
                </a:lnTo>
                <a:lnTo>
                  <a:pt x="1772412" y="1859280"/>
                </a:lnTo>
                <a:lnTo>
                  <a:pt x="2406396" y="1859280"/>
                </a:lnTo>
                <a:lnTo>
                  <a:pt x="2406396" y="1655064"/>
                </a:lnTo>
                <a:close/>
              </a:path>
              <a:path w="6217920" h="2066925">
                <a:moveTo>
                  <a:pt x="2406396" y="1449324"/>
                </a:moveTo>
                <a:lnTo>
                  <a:pt x="1772412" y="1449324"/>
                </a:lnTo>
                <a:lnTo>
                  <a:pt x="1772412" y="1652016"/>
                </a:lnTo>
                <a:lnTo>
                  <a:pt x="2406396" y="1652016"/>
                </a:lnTo>
                <a:lnTo>
                  <a:pt x="2406396" y="1449324"/>
                </a:lnTo>
                <a:close/>
              </a:path>
              <a:path w="6217920" h="2066925">
                <a:moveTo>
                  <a:pt x="2406396" y="1242060"/>
                </a:moveTo>
                <a:lnTo>
                  <a:pt x="1772412" y="1242060"/>
                </a:lnTo>
                <a:lnTo>
                  <a:pt x="1772412" y="1446276"/>
                </a:lnTo>
                <a:lnTo>
                  <a:pt x="2406396" y="1446276"/>
                </a:lnTo>
                <a:lnTo>
                  <a:pt x="2406396" y="1242060"/>
                </a:lnTo>
                <a:close/>
              </a:path>
              <a:path w="6217920" h="2066925">
                <a:moveTo>
                  <a:pt x="2406396" y="1034796"/>
                </a:moveTo>
                <a:lnTo>
                  <a:pt x="1772412" y="1034796"/>
                </a:lnTo>
                <a:lnTo>
                  <a:pt x="1772412" y="1239012"/>
                </a:lnTo>
                <a:lnTo>
                  <a:pt x="2406396" y="1239012"/>
                </a:lnTo>
                <a:lnTo>
                  <a:pt x="2406396" y="1034796"/>
                </a:lnTo>
                <a:close/>
              </a:path>
              <a:path w="6217920" h="2066925">
                <a:moveTo>
                  <a:pt x="2406396" y="827532"/>
                </a:moveTo>
                <a:lnTo>
                  <a:pt x="1772412" y="827532"/>
                </a:lnTo>
                <a:lnTo>
                  <a:pt x="1772412" y="1031748"/>
                </a:lnTo>
                <a:lnTo>
                  <a:pt x="2406396" y="1031748"/>
                </a:lnTo>
                <a:lnTo>
                  <a:pt x="2406396" y="827532"/>
                </a:lnTo>
                <a:close/>
              </a:path>
              <a:path w="6217920" h="2066925">
                <a:moveTo>
                  <a:pt x="2406396" y="621792"/>
                </a:moveTo>
                <a:lnTo>
                  <a:pt x="1772412" y="621792"/>
                </a:lnTo>
                <a:lnTo>
                  <a:pt x="1772412" y="824484"/>
                </a:lnTo>
                <a:lnTo>
                  <a:pt x="2406396" y="824484"/>
                </a:lnTo>
                <a:lnTo>
                  <a:pt x="2406396" y="621792"/>
                </a:lnTo>
                <a:close/>
              </a:path>
              <a:path w="6217920" h="2066925">
                <a:moveTo>
                  <a:pt x="2406396" y="414528"/>
                </a:moveTo>
                <a:lnTo>
                  <a:pt x="1772412" y="414528"/>
                </a:lnTo>
                <a:lnTo>
                  <a:pt x="1772412" y="618744"/>
                </a:lnTo>
                <a:lnTo>
                  <a:pt x="2406396" y="618744"/>
                </a:lnTo>
                <a:lnTo>
                  <a:pt x="2406396" y="414528"/>
                </a:lnTo>
                <a:close/>
              </a:path>
              <a:path w="6217920" h="2066925">
                <a:moveTo>
                  <a:pt x="2406396" y="207264"/>
                </a:moveTo>
                <a:lnTo>
                  <a:pt x="1772412" y="207264"/>
                </a:lnTo>
                <a:lnTo>
                  <a:pt x="1772412" y="411480"/>
                </a:lnTo>
                <a:lnTo>
                  <a:pt x="2406396" y="411480"/>
                </a:lnTo>
                <a:lnTo>
                  <a:pt x="2406396" y="207264"/>
                </a:lnTo>
                <a:close/>
              </a:path>
              <a:path w="6217920" h="2066925">
                <a:moveTo>
                  <a:pt x="2406396" y="0"/>
                </a:moveTo>
                <a:lnTo>
                  <a:pt x="1772412" y="0"/>
                </a:lnTo>
                <a:lnTo>
                  <a:pt x="1772412" y="204216"/>
                </a:lnTo>
                <a:lnTo>
                  <a:pt x="2406396" y="204216"/>
                </a:lnTo>
                <a:lnTo>
                  <a:pt x="2406396" y="0"/>
                </a:lnTo>
                <a:close/>
              </a:path>
              <a:path w="6217920" h="2066925">
                <a:moveTo>
                  <a:pt x="3169920" y="1862328"/>
                </a:moveTo>
                <a:lnTo>
                  <a:pt x="2409444" y="1862328"/>
                </a:lnTo>
                <a:lnTo>
                  <a:pt x="2409444" y="2066544"/>
                </a:lnTo>
                <a:lnTo>
                  <a:pt x="3169920" y="2066544"/>
                </a:lnTo>
                <a:lnTo>
                  <a:pt x="3169920" y="1862328"/>
                </a:lnTo>
                <a:close/>
              </a:path>
              <a:path w="6217920" h="2066925">
                <a:moveTo>
                  <a:pt x="3169920" y="1655064"/>
                </a:moveTo>
                <a:lnTo>
                  <a:pt x="2409444" y="1655064"/>
                </a:lnTo>
                <a:lnTo>
                  <a:pt x="2409444" y="1859280"/>
                </a:lnTo>
                <a:lnTo>
                  <a:pt x="3169920" y="1859280"/>
                </a:lnTo>
                <a:lnTo>
                  <a:pt x="3169920" y="1655064"/>
                </a:lnTo>
                <a:close/>
              </a:path>
              <a:path w="6217920" h="2066925">
                <a:moveTo>
                  <a:pt x="3169920" y="1449324"/>
                </a:moveTo>
                <a:lnTo>
                  <a:pt x="2409444" y="1449324"/>
                </a:lnTo>
                <a:lnTo>
                  <a:pt x="2409444" y="1652016"/>
                </a:lnTo>
                <a:lnTo>
                  <a:pt x="3169920" y="1652016"/>
                </a:lnTo>
                <a:lnTo>
                  <a:pt x="3169920" y="1449324"/>
                </a:lnTo>
                <a:close/>
              </a:path>
              <a:path w="6217920" h="2066925">
                <a:moveTo>
                  <a:pt x="3169920" y="1242060"/>
                </a:moveTo>
                <a:lnTo>
                  <a:pt x="2409444" y="1242060"/>
                </a:lnTo>
                <a:lnTo>
                  <a:pt x="2409444" y="1446276"/>
                </a:lnTo>
                <a:lnTo>
                  <a:pt x="3169920" y="1446276"/>
                </a:lnTo>
                <a:lnTo>
                  <a:pt x="3169920" y="1242060"/>
                </a:lnTo>
                <a:close/>
              </a:path>
              <a:path w="6217920" h="2066925">
                <a:moveTo>
                  <a:pt x="3169920" y="1034796"/>
                </a:moveTo>
                <a:lnTo>
                  <a:pt x="2409444" y="1034796"/>
                </a:lnTo>
                <a:lnTo>
                  <a:pt x="2409444" y="1239012"/>
                </a:lnTo>
                <a:lnTo>
                  <a:pt x="3169920" y="1239012"/>
                </a:lnTo>
                <a:lnTo>
                  <a:pt x="3169920" y="1034796"/>
                </a:lnTo>
                <a:close/>
              </a:path>
              <a:path w="6217920" h="2066925">
                <a:moveTo>
                  <a:pt x="3169920" y="827532"/>
                </a:moveTo>
                <a:lnTo>
                  <a:pt x="2409444" y="827532"/>
                </a:lnTo>
                <a:lnTo>
                  <a:pt x="2409444" y="1031748"/>
                </a:lnTo>
                <a:lnTo>
                  <a:pt x="3169920" y="1031748"/>
                </a:lnTo>
                <a:lnTo>
                  <a:pt x="3169920" y="827532"/>
                </a:lnTo>
                <a:close/>
              </a:path>
              <a:path w="6217920" h="2066925">
                <a:moveTo>
                  <a:pt x="3169920" y="621792"/>
                </a:moveTo>
                <a:lnTo>
                  <a:pt x="2409444" y="621792"/>
                </a:lnTo>
                <a:lnTo>
                  <a:pt x="2409444" y="824484"/>
                </a:lnTo>
                <a:lnTo>
                  <a:pt x="3169920" y="824484"/>
                </a:lnTo>
                <a:lnTo>
                  <a:pt x="3169920" y="621792"/>
                </a:lnTo>
                <a:close/>
              </a:path>
              <a:path w="6217920" h="2066925">
                <a:moveTo>
                  <a:pt x="3169920" y="414528"/>
                </a:moveTo>
                <a:lnTo>
                  <a:pt x="2409444" y="414528"/>
                </a:lnTo>
                <a:lnTo>
                  <a:pt x="2409444" y="618744"/>
                </a:lnTo>
                <a:lnTo>
                  <a:pt x="3169920" y="618744"/>
                </a:lnTo>
                <a:lnTo>
                  <a:pt x="3169920" y="414528"/>
                </a:lnTo>
                <a:close/>
              </a:path>
              <a:path w="6217920" h="2066925">
                <a:moveTo>
                  <a:pt x="3169920" y="207264"/>
                </a:moveTo>
                <a:lnTo>
                  <a:pt x="2409444" y="207264"/>
                </a:lnTo>
                <a:lnTo>
                  <a:pt x="2409444" y="411480"/>
                </a:lnTo>
                <a:lnTo>
                  <a:pt x="3169920" y="411480"/>
                </a:lnTo>
                <a:lnTo>
                  <a:pt x="3169920" y="207264"/>
                </a:lnTo>
                <a:close/>
              </a:path>
              <a:path w="6217920" h="2066925">
                <a:moveTo>
                  <a:pt x="3169920" y="0"/>
                </a:moveTo>
                <a:lnTo>
                  <a:pt x="2409444" y="0"/>
                </a:lnTo>
                <a:lnTo>
                  <a:pt x="2409444" y="204216"/>
                </a:lnTo>
                <a:lnTo>
                  <a:pt x="3169920" y="204216"/>
                </a:lnTo>
                <a:lnTo>
                  <a:pt x="3169920" y="0"/>
                </a:lnTo>
                <a:close/>
              </a:path>
              <a:path w="6217920" h="2066925">
                <a:moveTo>
                  <a:pt x="3931920" y="1862328"/>
                </a:moveTo>
                <a:lnTo>
                  <a:pt x="3172968" y="1862328"/>
                </a:lnTo>
                <a:lnTo>
                  <a:pt x="3172968" y="2066544"/>
                </a:lnTo>
                <a:lnTo>
                  <a:pt x="3931920" y="2066544"/>
                </a:lnTo>
                <a:lnTo>
                  <a:pt x="3931920" y="1862328"/>
                </a:lnTo>
                <a:close/>
              </a:path>
              <a:path w="6217920" h="2066925">
                <a:moveTo>
                  <a:pt x="3931920" y="1655064"/>
                </a:moveTo>
                <a:lnTo>
                  <a:pt x="3172968" y="1655064"/>
                </a:lnTo>
                <a:lnTo>
                  <a:pt x="3172968" y="1859280"/>
                </a:lnTo>
                <a:lnTo>
                  <a:pt x="3931920" y="1859280"/>
                </a:lnTo>
                <a:lnTo>
                  <a:pt x="3931920" y="1655064"/>
                </a:lnTo>
                <a:close/>
              </a:path>
              <a:path w="6217920" h="2066925">
                <a:moveTo>
                  <a:pt x="3931920" y="1449324"/>
                </a:moveTo>
                <a:lnTo>
                  <a:pt x="3172968" y="1449324"/>
                </a:lnTo>
                <a:lnTo>
                  <a:pt x="3172968" y="1652016"/>
                </a:lnTo>
                <a:lnTo>
                  <a:pt x="3931920" y="1652016"/>
                </a:lnTo>
                <a:lnTo>
                  <a:pt x="3931920" y="1449324"/>
                </a:lnTo>
                <a:close/>
              </a:path>
              <a:path w="6217920" h="2066925">
                <a:moveTo>
                  <a:pt x="3931920" y="1242060"/>
                </a:moveTo>
                <a:lnTo>
                  <a:pt x="3172968" y="1242060"/>
                </a:lnTo>
                <a:lnTo>
                  <a:pt x="3172968" y="1446276"/>
                </a:lnTo>
                <a:lnTo>
                  <a:pt x="3931920" y="1446276"/>
                </a:lnTo>
                <a:lnTo>
                  <a:pt x="3931920" y="1242060"/>
                </a:lnTo>
                <a:close/>
              </a:path>
              <a:path w="6217920" h="2066925">
                <a:moveTo>
                  <a:pt x="3931920" y="1034796"/>
                </a:moveTo>
                <a:lnTo>
                  <a:pt x="3172968" y="1034796"/>
                </a:lnTo>
                <a:lnTo>
                  <a:pt x="3172968" y="1239012"/>
                </a:lnTo>
                <a:lnTo>
                  <a:pt x="3931920" y="1239012"/>
                </a:lnTo>
                <a:lnTo>
                  <a:pt x="3931920" y="1034796"/>
                </a:lnTo>
                <a:close/>
              </a:path>
              <a:path w="6217920" h="2066925">
                <a:moveTo>
                  <a:pt x="3931920" y="827532"/>
                </a:moveTo>
                <a:lnTo>
                  <a:pt x="3172968" y="827532"/>
                </a:lnTo>
                <a:lnTo>
                  <a:pt x="3172968" y="1031748"/>
                </a:lnTo>
                <a:lnTo>
                  <a:pt x="3931920" y="1031748"/>
                </a:lnTo>
                <a:lnTo>
                  <a:pt x="3931920" y="827532"/>
                </a:lnTo>
                <a:close/>
              </a:path>
              <a:path w="6217920" h="2066925">
                <a:moveTo>
                  <a:pt x="3931920" y="621792"/>
                </a:moveTo>
                <a:lnTo>
                  <a:pt x="3172968" y="621792"/>
                </a:lnTo>
                <a:lnTo>
                  <a:pt x="3172968" y="824484"/>
                </a:lnTo>
                <a:lnTo>
                  <a:pt x="3931920" y="824484"/>
                </a:lnTo>
                <a:lnTo>
                  <a:pt x="3931920" y="621792"/>
                </a:lnTo>
                <a:close/>
              </a:path>
              <a:path w="6217920" h="2066925">
                <a:moveTo>
                  <a:pt x="3931920" y="414528"/>
                </a:moveTo>
                <a:lnTo>
                  <a:pt x="3172968" y="414528"/>
                </a:lnTo>
                <a:lnTo>
                  <a:pt x="3172968" y="618744"/>
                </a:lnTo>
                <a:lnTo>
                  <a:pt x="3931920" y="618744"/>
                </a:lnTo>
                <a:lnTo>
                  <a:pt x="3931920" y="414528"/>
                </a:lnTo>
                <a:close/>
              </a:path>
              <a:path w="6217920" h="2066925">
                <a:moveTo>
                  <a:pt x="3931920" y="207264"/>
                </a:moveTo>
                <a:lnTo>
                  <a:pt x="3172968" y="207264"/>
                </a:lnTo>
                <a:lnTo>
                  <a:pt x="3172968" y="411480"/>
                </a:lnTo>
                <a:lnTo>
                  <a:pt x="3931920" y="411480"/>
                </a:lnTo>
                <a:lnTo>
                  <a:pt x="3931920" y="207264"/>
                </a:lnTo>
                <a:close/>
              </a:path>
              <a:path w="6217920" h="2066925">
                <a:moveTo>
                  <a:pt x="3931920" y="0"/>
                </a:moveTo>
                <a:lnTo>
                  <a:pt x="3172968" y="0"/>
                </a:lnTo>
                <a:lnTo>
                  <a:pt x="3172968" y="204216"/>
                </a:lnTo>
                <a:lnTo>
                  <a:pt x="3931920" y="204216"/>
                </a:lnTo>
                <a:lnTo>
                  <a:pt x="3931920" y="0"/>
                </a:lnTo>
                <a:close/>
              </a:path>
              <a:path w="6217920" h="2066925">
                <a:moveTo>
                  <a:pt x="4693907" y="1862328"/>
                </a:moveTo>
                <a:lnTo>
                  <a:pt x="3934968" y="1862328"/>
                </a:lnTo>
                <a:lnTo>
                  <a:pt x="3934968" y="2066544"/>
                </a:lnTo>
                <a:lnTo>
                  <a:pt x="4693907" y="2066544"/>
                </a:lnTo>
                <a:lnTo>
                  <a:pt x="4693907" y="1862328"/>
                </a:lnTo>
                <a:close/>
              </a:path>
              <a:path w="6217920" h="2066925">
                <a:moveTo>
                  <a:pt x="4693907" y="1655064"/>
                </a:moveTo>
                <a:lnTo>
                  <a:pt x="3934968" y="1655064"/>
                </a:lnTo>
                <a:lnTo>
                  <a:pt x="3934968" y="1859280"/>
                </a:lnTo>
                <a:lnTo>
                  <a:pt x="4693907" y="1859280"/>
                </a:lnTo>
                <a:lnTo>
                  <a:pt x="4693907" y="1655064"/>
                </a:lnTo>
                <a:close/>
              </a:path>
              <a:path w="6217920" h="2066925">
                <a:moveTo>
                  <a:pt x="4693907" y="1449324"/>
                </a:moveTo>
                <a:lnTo>
                  <a:pt x="3934968" y="1449324"/>
                </a:lnTo>
                <a:lnTo>
                  <a:pt x="3934968" y="1652016"/>
                </a:lnTo>
                <a:lnTo>
                  <a:pt x="4693907" y="1652016"/>
                </a:lnTo>
                <a:lnTo>
                  <a:pt x="4693907" y="1449324"/>
                </a:lnTo>
                <a:close/>
              </a:path>
              <a:path w="6217920" h="2066925">
                <a:moveTo>
                  <a:pt x="4693907" y="1242060"/>
                </a:moveTo>
                <a:lnTo>
                  <a:pt x="3934968" y="1242060"/>
                </a:lnTo>
                <a:lnTo>
                  <a:pt x="3934968" y="1446276"/>
                </a:lnTo>
                <a:lnTo>
                  <a:pt x="4693907" y="1446276"/>
                </a:lnTo>
                <a:lnTo>
                  <a:pt x="4693907" y="1242060"/>
                </a:lnTo>
                <a:close/>
              </a:path>
              <a:path w="6217920" h="2066925">
                <a:moveTo>
                  <a:pt x="4693907" y="1034796"/>
                </a:moveTo>
                <a:lnTo>
                  <a:pt x="3934968" y="1034796"/>
                </a:lnTo>
                <a:lnTo>
                  <a:pt x="3934968" y="1239012"/>
                </a:lnTo>
                <a:lnTo>
                  <a:pt x="4693907" y="1239012"/>
                </a:lnTo>
                <a:lnTo>
                  <a:pt x="4693907" y="1034796"/>
                </a:lnTo>
                <a:close/>
              </a:path>
              <a:path w="6217920" h="2066925">
                <a:moveTo>
                  <a:pt x="4693907" y="827532"/>
                </a:moveTo>
                <a:lnTo>
                  <a:pt x="3934968" y="827532"/>
                </a:lnTo>
                <a:lnTo>
                  <a:pt x="3934968" y="1031748"/>
                </a:lnTo>
                <a:lnTo>
                  <a:pt x="4693907" y="1031748"/>
                </a:lnTo>
                <a:lnTo>
                  <a:pt x="4693907" y="827532"/>
                </a:lnTo>
                <a:close/>
              </a:path>
              <a:path w="6217920" h="2066925">
                <a:moveTo>
                  <a:pt x="4693907" y="621792"/>
                </a:moveTo>
                <a:lnTo>
                  <a:pt x="3934968" y="621792"/>
                </a:lnTo>
                <a:lnTo>
                  <a:pt x="3934968" y="824484"/>
                </a:lnTo>
                <a:lnTo>
                  <a:pt x="4693907" y="824484"/>
                </a:lnTo>
                <a:lnTo>
                  <a:pt x="4693907" y="621792"/>
                </a:lnTo>
                <a:close/>
              </a:path>
              <a:path w="6217920" h="2066925">
                <a:moveTo>
                  <a:pt x="4693907" y="414528"/>
                </a:moveTo>
                <a:lnTo>
                  <a:pt x="3934968" y="414528"/>
                </a:lnTo>
                <a:lnTo>
                  <a:pt x="3934968" y="618744"/>
                </a:lnTo>
                <a:lnTo>
                  <a:pt x="4693907" y="618744"/>
                </a:lnTo>
                <a:lnTo>
                  <a:pt x="4693907" y="414528"/>
                </a:lnTo>
                <a:close/>
              </a:path>
              <a:path w="6217920" h="2066925">
                <a:moveTo>
                  <a:pt x="4693907" y="207264"/>
                </a:moveTo>
                <a:lnTo>
                  <a:pt x="3934968" y="207264"/>
                </a:lnTo>
                <a:lnTo>
                  <a:pt x="3934968" y="411480"/>
                </a:lnTo>
                <a:lnTo>
                  <a:pt x="4693907" y="411480"/>
                </a:lnTo>
                <a:lnTo>
                  <a:pt x="4693907" y="207264"/>
                </a:lnTo>
                <a:close/>
              </a:path>
              <a:path w="6217920" h="2066925">
                <a:moveTo>
                  <a:pt x="4693907" y="0"/>
                </a:moveTo>
                <a:lnTo>
                  <a:pt x="3934968" y="0"/>
                </a:lnTo>
                <a:lnTo>
                  <a:pt x="3934968" y="204216"/>
                </a:lnTo>
                <a:lnTo>
                  <a:pt x="4693907" y="204216"/>
                </a:lnTo>
                <a:lnTo>
                  <a:pt x="4693907" y="0"/>
                </a:lnTo>
                <a:close/>
              </a:path>
              <a:path w="6217920" h="2066925">
                <a:moveTo>
                  <a:pt x="5455920" y="1862328"/>
                </a:moveTo>
                <a:lnTo>
                  <a:pt x="4696968" y="1862328"/>
                </a:lnTo>
                <a:lnTo>
                  <a:pt x="4696968" y="2066544"/>
                </a:lnTo>
                <a:lnTo>
                  <a:pt x="5455920" y="2066544"/>
                </a:lnTo>
                <a:lnTo>
                  <a:pt x="5455920" y="1862328"/>
                </a:lnTo>
                <a:close/>
              </a:path>
              <a:path w="6217920" h="2066925">
                <a:moveTo>
                  <a:pt x="5455920" y="1655064"/>
                </a:moveTo>
                <a:lnTo>
                  <a:pt x="4696968" y="1655064"/>
                </a:lnTo>
                <a:lnTo>
                  <a:pt x="4696968" y="1859280"/>
                </a:lnTo>
                <a:lnTo>
                  <a:pt x="5455920" y="1859280"/>
                </a:lnTo>
                <a:lnTo>
                  <a:pt x="5455920" y="1655064"/>
                </a:lnTo>
                <a:close/>
              </a:path>
              <a:path w="6217920" h="2066925">
                <a:moveTo>
                  <a:pt x="5455920" y="1449324"/>
                </a:moveTo>
                <a:lnTo>
                  <a:pt x="4696968" y="1449324"/>
                </a:lnTo>
                <a:lnTo>
                  <a:pt x="4696968" y="1652016"/>
                </a:lnTo>
                <a:lnTo>
                  <a:pt x="5455920" y="1652016"/>
                </a:lnTo>
                <a:lnTo>
                  <a:pt x="5455920" y="1449324"/>
                </a:lnTo>
                <a:close/>
              </a:path>
              <a:path w="6217920" h="2066925">
                <a:moveTo>
                  <a:pt x="5455920" y="1242060"/>
                </a:moveTo>
                <a:lnTo>
                  <a:pt x="4696968" y="1242060"/>
                </a:lnTo>
                <a:lnTo>
                  <a:pt x="4696968" y="1446276"/>
                </a:lnTo>
                <a:lnTo>
                  <a:pt x="5455920" y="1446276"/>
                </a:lnTo>
                <a:lnTo>
                  <a:pt x="5455920" y="1242060"/>
                </a:lnTo>
                <a:close/>
              </a:path>
              <a:path w="6217920" h="2066925">
                <a:moveTo>
                  <a:pt x="5455920" y="1034796"/>
                </a:moveTo>
                <a:lnTo>
                  <a:pt x="4696968" y="1034796"/>
                </a:lnTo>
                <a:lnTo>
                  <a:pt x="4696968" y="1239012"/>
                </a:lnTo>
                <a:lnTo>
                  <a:pt x="5455920" y="1239012"/>
                </a:lnTo>
                <a:lnTo>
                  <a:pt x="5455920" y="1034796"/>
                </a:lnTo>
                <a:close/>
              </a:path>
              <a:path w="6217920" h="2066925">
                <a:moveTo>
                  <a:pt x="5455920" y="827532"/>
                </a:moveTo>
                <a:lnTo>
                  <a:pt x="4696968" y="827532"/>
                </a:lnTo>
                <a:lnTo>
                  <a:pt x="4696968" y="1031748"/>
                </a:lnTo>
                <a:lnTo>
                  <a:pt x="5455920" y="1031748"/>
                </a:lnTo>
                <a:lnTo>
                  <a:pt x="5455920" y="827532"/>
                </a:lnTo>
                <a:close/>
              </a:path>
              <a:path w="6217920" h="2066925">
                <a:moveTo>
                  <a:pt x="5455920" y="621792"/>
                </a:moveTo>
                <a:lnTo>
                  <a:pt x="4696968" y="621792"/>
                </a:lnTo>
                <a:lnTo>
                  <a:pt x="4696968" y="824484"/>
                </a:lnTo>
                <a:lnTo>
                  <a:pt x="5455920" y="824484"/>
                </a:lnTo>
                <a:lnTo>
                  <a:pt x="5455920" y="621792"/>
                </a:lnTo>
                <a:close/>
              </a:path>
              <a:path w="6217920" h="2066925">
                <a:moveTo>
                  <a:pt x="5455920" y="414528"/>
                </a:moveTo>
                <a:lnTo>
                  <a:pt x="4696968" y="414528"/>
                </a:lnTo>
                <a:lnTo>
                  <a:pt x="4696968" y="618744"/>
                </a:lnTo>
                <a:lnTo>
                  <a:pt x="5455920" y="618744"/>
                </a:lnTo>
                <a:lnTo>
                  <a:pt x="5455920" y="414528"/>
                </a:lnTo>
                <a:close/>
              </a:path>
              <a:path w="6217920" h="2066925">
                <a:moveTo>
                  <a:pt x="5455920" y="207264"/>
                </a:moveTo>
                <a:lnTo>
                  <a:pt x="4696968" y="207264"/>
                </a:lnTo>
                <a:lnTo>
                  <a:pt x="4696968" y="411480"/>
                </a:lnTo>
                <a:lnTo>
                  <a:pt x="5455920" y="411480"/>
                </a:lnTo>
                <a:lnTo>
                  <a:pt x="5455920" y="207264"/>
                </a:lnTo>
                <a:close/>
              </a:path>
              <a:path w="6217920" h="2066925">
                <a:moveTo>
                  <a:pt x="5455920" y="0"/>
                </a:moveTo>
                <a:lnTo>
                  <a:pt x="4696968" y="0"/>
                </a:lnTo>
                <a:lnTo>
                  <a:pt x="4696968" y="204216"/>
                </a:lnTo>
                <a:lnTo>
                  <a:pt x="5455920" y="204216"/>
                </a:lnTo>
                <a:lnTo>
                  <a:pt x="5455920" y="0"/>
                </a:lnTo>
                <a:close/>
              </a:path>
              <a:path w="6217920" h="2066925">
                <a:moveTo>
                  <a:pt x="6217920" y="1862328"/>
                </a:moveTo>
                <a:lnTo>
                  <a:pt x="5458968" y="1862328"/>
                </a:lnTo>
                <a:lnTo>
                  <a:pt x="5458968" y="2066544"/>
                </a:lnTo>
                <a:lnTo>
                  <a:pt x="6217920" y="2066544"/>
                </a:lnTo>
                <a:lnTo>
                  <a:pt x="6217920" y="1862328"/>
                </a:lnTo>
                <a:close/>
              </a:path>
              <a:path w="6217920" h="2066925">
                <a:moveTo>
                  <a:pt x="6217920" y="1655064"/>
                </a:moveTo>
                <a:lnTo>
                  <a:pt x="5458968" y="1655064"/>
                </a:lnTo>
                <a:lnTo>
                  <a:pt x="5458968" y="1859280"/>
                </a:lnTo>
                <a:lnTo>
                  <a:pt x="6217920" y="1859280"/>
                </a:lnTo>
                <a:lnTo>
                  <a:pt x="6217920" y="1655064"/>
                </a:lnTo>
                <a:close/>
              </a:path>
              <a:path w="6217920" h="2066925">
                <a:moveTo>
                  <a:pt x="6217920" y="1449324"/>
                </a:moveTo>
                <a:lnTo>
                  <a:pt x="5458968" y="1449324"/>
                </a:lnTo>
                <a:lnTo>
                  <a:pt x="5458968" y="1652016"/>
                </a:lnTo>
                <a:lnTo>
                  <a:pt x="6217920" y="1652016"/>
                </a:lnTo>
                <a:lnTo>
                  <a:pt x="6217920" y="1449324"/>
                </a:lnTo>
                <a:close/>
              </a:path>
              <a:path w="6217920" h="2066925">
                <a:moveTo>
                  <a:pt x="6217920" y="1242060"/>
                </a:moveTo>
                <a:lnTo>
                  <a:pt x="5458968" y="1242060"/>
                </a:lnTo>
                <a:lnTo>
                  <a:pt x="5458968" y="1446276"/>
                </a:lnTo>
                <a:lnTo>
                  <a:pt x="6217920" y="1446276"/>
                </a:lnTo>
                <a:lnTo>
                  <a:pt x="6217920" y="1242060"/>
                </a:lnTo>
                <a:close/>
              </a:path>
              <a:path w="6217920" h="2066925">
                <a:moveTo>
                  <a:pt x="6217920" y="1034796"/>
                </a:moveTo>
                <a:lnTo>
                  <a:pt x="5458968" y="1034796"/>
                </a:lnTo>
                <a:lnTo>
                  <a:pt x="5458968" y="1239012"/>
                </a:lnTo>
                <a:lnTo>
                  <a:pt x="6217920" y="1239012"/>
                </a:lnTo>
                <a:lnTo>
                  <a:pt x="6217920" y="1034796"/>
                </a:lnTo>
                <a:close/>
              </a:path>
              <a:path w="6217920" h="2066925">
                <a:moveTo>
                  <a:pt x="6217920" y="827532"/>
                </a:moveTo>
                <a:lnTo>
                  <a:pt x="5458968" y="827532"/>
                </a:lnTo>
                <a:lnTo>
                  <a:pt x="5458968" y="1031748"/>
                </a:lnTo>
                <a:lnTo>
                  <a:pt x="6217920" y="1031748"/>
                </a:lnTo>
                <a:lnTo>
                  <a:pt x="6217920" y="827532"/>
                </a:lnTo>
                <a:close/>
              </a:path>
              <a:path w="6217920" h="2066925">
                <a:moveTo>
                  <a:pt x="6217920" y="621792"/>
                </a:moveTo>
                <a:lnTo>
                  <a:pt x="5458968" y="621792"/>
                </a:lnTo>
                <a:lnTo>
                  <a:pt x="5458968" y="824484"/>
                </a:lnTo>
                <a:lnTo>
                  <a:pt x="6217920" y="824484"/>
                </a:lnTo>
                <a:lnTo>
                  <a:pt x="6217920" y="621792"/>
                </a:lnTo>
                <a:close/>
              </a:path>
              <a:path w="6217920" h="2066925">
                <a:moveTo>
                  <a:pt x="6217920" y="414528"/>
                </a:moveTo>
                <a:lnTo>
                  <a:pt x="5458968" y="414528"/>
                </a:lnTo>
                <a:lnTo>
                  <a:pt x="5458968" y="618744"/>
                </a:lnTo>
                <a:lnTo>
                  <a:pt x="6217920" y="618744"/>
                </a:lnTo>
                <a:lnTo>
                  <a:pt x="6217920" y="414528"/>
                </a:lnTo>
                <a:close/>
              </a:path>
              <a:path w="6217920" h="2066925">
                <a:moveTo>
                  <a:pt x="6217920" y="207264"/>
                </a:moveTo>
                <a:lnTo>
                  <a:pt x="5458968" y="207264"/>
                </a:lnTo>
                <a:lnTo>
                  <a:pt x="5458968" y="411480"/>
                </a:lnTo>
                <a:lnTo>
                  <a:pt x="6217920" y="411480"/>
                </a:lnTo>
                <a:lnTo>
                  <a:pt x="6217920" y="207264"/>
                </a:lnTo>
                <a:close/>
              </a:path>
              <a:path w="6217920" h="2066925">
                <a:moveTo>
                  <a:pt x="6217920" y="0"/>
                </a:moveTo>
                <a:lnTo>
                  <a:pt x="5458968" y="0"/>
                </a:lnTo>
                <a:lnTo>
                  <a:pt x="5458968" y="204216"/>
                </a:lnTo>
                <a:lnTo>
                  <a:pt x="6217920" y="204216"/>
                </a:lnTo>
                <a:lnTo>
                  <a:pt x="6217920" y="0"/>
                </a:lnTo>
                <a:close/>
              </a:path>
            </a:pathLst>
          </a:custGeom>
          <a:solidFill>
            <a:srgbClr val="FFFFFF"/>
          </a:solidFill>
        </xdr:spPr>
      </xdr:sp>
      <xdr:sp macro="" textlink="">
        <xdr:nvSpPr>
          <xdr:cNvPr id="76" name="Shape 76">
            <a:extLst>
              <a:ext uri="{FF2B5EF4-FFF2-40B4-BE49-F238E27FC236}">
                <a16:creationId xmlns:a16="http://schemas.microsoft.com/office/drawing/2014/main" id="{00000000-0008-0000-0600-00004C000000}"/>
              </a:ext>
            </a:extLst>
          </xdr:cNvPr>
          <xdr:cNvSpPr/>
        </xdr:nvSpPr>
        <xdr:spPr>
          <a:xfrm>
            <a:off x="0" y="1449323"/>
            <a:ext cx="6217920" cy="1652270"/>
          </a:xfrm>
          <a:custGeom>
            <a:avLst/>
            <a:gdLst/>
            <a:ahLst/>
            <a:cxnLst/>
            <a:rect l="0" t="0" r="0" b="0"/>
            <a:pathLst>
              <a:path w="6217920" h="1652270">
                <a:moveTo>
                  <a:pt x="1263396" y="0"/>
                </a:moveTo>
                <a:lnTo>
                  <a:pt x="0" y="0"/>
                </a:lnTo>
                <a:lnTo>
                  <a:pt x="0" y="1652016"/>
                </a:lnTo>
                <a:lnTo>
                  <a:pt x="1263396" y="1652016"/>
                </a:lnTo>
                <a:lnTo>
                  <a:pt x="1263396" y="0"/>
                </a:lnTo>
                <a:close/>
              </a:path>
              <a:path w="6217920" h="1652270">
                <a:moveTo>
                  <a:pt x="1769364" y="1447800"/>
                </a:moveTo>
                <a:lnTo>
                  <a:pt x="1266444" y="1447800"/>
                </a:lnTo>
                <a:lnTo>
                  <a:pt x="1266444" y="1652016"/>
                </a:lnTo>
                <a:lnTo>
                  <a:pt x="1769364" y="1652016"/>
                </a:lnTo>
                <a:lnTo>
                  <a:pt x="1769364" y="1447800"/>
                </a:lnTo>
                <a:close/>
              </a:path>
              <a:path w="6217920" h="1652270">
                <a:moveTo>
                  <a:pt x="1769364" y="1240536"/>
                </a:moveTo>
                <a:lnTo>
                  <a:pt x="1266444" y="1240536"/>
                </a:lnTo>
                <a:lnTo>
                  <a:pt x="1266444" y="1444752"/>
                </a:lnTo>
                <a:lnTo>
                  <a:pt x="1769364" y="1444752"/>
                </a:lnTo>
                <a:lnTo>
                  <a:pt x="1769364" y="1240536"/>
                </a:lnTo>
                <a:close/>
              </a:path>
              <a:path w="6217920" h="1652270">
                <a:moveTo>
                  <a:pt x="1769364" y="1033272"/>
                </a:moveTo>
                <a:lnTo>
                  <a:pt x="1266444" y="1033272"/>
                </a:lnTo>
                <a:lnTo>
                  <a:pt x="1266444" y="1237488"/>
                </a:lnTo>
                <a:lnTo>
                  <a:pt x="1769364" y="1237488"/>
                </a:lnTo>
                <a:lnTo>
                  <a:pt x="1769364" y="1033272"/>
                </a:lnTo>
                <a:close/>
              </a:path>
              <a:path w="6217920" h="1652270">
                <a:moveTo>
                  <a:pt x="1769364" y="827532"/>
                </a:moveTo>
                <a:lnTo>
                  <a:pt x="1266444" y="827532"/>
                </a:lnTo>
                <a:lnTo>
                  <a:pt x="1266444" y="1030224"/>
                </a:lnTo>
                <a:lnTo>
                  <a:pt x="1769364" y="1030224"/>
                </a:lnTo>
                <a:lnTo>
                  <a:pt x="1769364" y="827532"/>
                </a:lnTo>
                <a:close/>
              </a:path>
              <a:path w="6217920" h="1652270">
                <a:moveTo>
                  <a:pt x="1769364" y="620268"/>
                </a:moveTo>
                <a:lnTo>
                  <a:pt x="1266444" y="620268"/>
                </a:lnTo>
                <a:lnTo>
                  <a:pt x="1266444" y="824484"/>
                </a:lnTo>
                <a:lnTo>
                  <a:pt x="1769364" y="824484"/>
                </a:lnTo>
                <a:lnTo>
                  <a:pt x="1769364" y="620268"/>
                </a:lnTo>
                <a:close/>
              </a:path>
              <a:path w="6217920" h="1652270">
                <a:moveTo>
                  <a:pt x="2406396" y="1447800"/>
                </a:moveTo>
                <a:lnTo>
                  <a:pt x="1772412" y="1447800"/>
                </a:lnTo>
                <a:lnTo>
                  <a:pt x="1772412" y="1652016"/>
                </a:lnTo>
                <a:lnTo>
                  <a:pt x="2406396" y="1652016"/>
                </a:lnTo>
                <a:lnTo>
                  <a:pt x="2406396" y="1447800"/>
                </a:lnTo>
                <a:close/>
              </a:path>
              <a:path w="6217920" h="1652270">
                <a:moveTo>
                  <a:pt x="2406396" y="1240536"/>
                </a:moveTo>
                <a:lnTo>
                  <a:pt x="1772412" y="1240536"/>
                </a:lnTo>
                <a:lnTo>
                  <a:pt x="1772412" y="1444752"/>
                </a:lnTo>
                <a:lnTo>
                  <a:pt x="2406396" y="1444752"/>
                </a:lnTo>
                <a:lnTo>
                  <a:pt x="2406396" y="1240536"/>
                </a:lnTo>
                <a:close/>
              </a:path>
              <a:path w="6217920" h="1652270">
                <a:moveTo>
                  <a:pt x="2406396" y="1033272"/>
                </a:moveTo>
                <a:lnTo>
                  <a:pt x="1772412" y="1033272"/>
                </a:lnTo>
                <a:lnTo>
                  <a:pt x="1772412" y="1237488"/>
                </a:lnTo>
                <a:lnTo>
                  <a:pt x="2406396" y="1237488"/>
                </a:lnTo>
                <a:lnTo>
                  <a:pt x="2406396" y="1033272"/>
                </a:lnTo>
                <a:close/>
              </a:path>
              <a:path w="6217920" h="1652270">
                <a:moveTo>
                  <a:pt x="2406396" y="827532"/>
                </a:moveTo>
                <a:lnTo>
                  <a:pt x="1772412" y="827532"/>
                </a:lnTo>
                <a:lnTo>
                  <a:pt x="1772412" y="1030224"/>
                </a:lnTo>
                <a:lnTo>
                  <a:pt x="2406396" y="1030224"/>
                </a:lnTo>
                <a:lnTo>
                  <a:pt x="2406396" y="827532"/>
                </a:lnTo>
                <a:close/>
              </a:path>
              <a:path w="6217920" h="1652270">
                <a:moveTo>
                  <a:pt x="2406396" y="620268"/>
                </a:moveTo>
                <a:lnTo>
                  <a:pt x="1772412" y="620268"/>
                </a:lnTo>
                <a:lnTo>
                  <a:pt x="1772412" y="824484"/>
                </a:lnTo>
                <a:lnTo>
                  <a:pt x="2406396" y="824484"/>
                </a:lnTo>
                <a:lnTo>
                  <a:pt x="2406396" y="620268"/>
                </a:lnTo>
                <a:close/>
              </a:path>
              <a:path w="6217920" h="1652270">
                <a:moveTo>
                  <a:pt x="3169920" y="1447800"/>
                </a:moveTo>
                <a:lnTo>
                  <a:pt x="2409444" y="1447800"/>
                </a:lnTo>
                <a:lnTo>
                  <a:pt x="2409444" y="1652016"/>
                </a:lnTo>
                <a:lnTo>
                  <a:pt x="3169920" y="1652016"/>
                </a:lnTo>
                <a:lnTo>
                  <a:pt x="3169920" y="1447800"/>
                </a:lnTo>
                <a:close/>
              </a:path>
              <a:path w="6217920" h="1652270">
                <a:moveTo>
                  <a:pt x="3169920" y="1240536"/>
                </a:moveTo>
                <a:lnTo>
                  <a:pt x="2409444" y="1240536"/>
                </a:lnTo>
                <a:lnTo>
                  <a:pt x="2409444" y="1444752"/>
                </a:lnTo>
                <a:lnTo>
                  <a:pt x="3169920" y="1444752"/>
                </a:lnTo>
                <a:lnTo>
                  <a:pt x="3169920" y="1240536"/>
                </a:lnTo>
                <a:close/>
              </a:path>
              <a:path w="6217920" h="1652270">
                <a:moveTo>
                  <a:pt x="3169920" y="1033272"/>
                </a:moveTo>
                <a:lnTo>
                  <a:pt x="2409444" y="1033272"/>
                </a:lnTo>
                <a:lnTo>
                  <a:pt x="2409444" y="1237488"/>
                </a:lnTo>
                <a:lnTo>
                  <a:pt x="3169920" y="1237488"/>
                </a:lnTo>
                <a:lnTo>
                  <a:pt x="3169920" y="1033272"/>
                </a:lnTo>
                <a:close/>
              </a:path>
              <a:path w="6217920" h="1652270">
                <a:moveTo>
                  <a:pt x="3169920" y="827532"/>
                </a:moveTo>
                <a:lnTo>
                  <a:pt x="2409444" y="827532"/>
                </a:lnTo>
                <a:lnTo>
                  <a:pt x="2409444" y="1030224"/>
                </a:lnTo>
                <a:lnTo>
                  <a:pt x="3169920" y="1030224"/>
                </a:lnTo>
                <a:lnTo>
                  <a:pt x="3169920" y="827532"/>
                </a:lnTo>
                <a:close/>
              </a:path>
              <a:path w="6217920" h="1652270">
                <a:moveTo>
                  <a:pt x="3169920" y="620268"/>
                </a:moveTo>
                <a:lnTo>
                  <a:pt x="2409444" y="620268"/>
                </a:lnTo>
                <a:lnTo>
                  <a:pt x="2409444" y="824484"/>
                </a:lnTo>
                <a:lnTo>
                  <a:pt x="3169920" y="824484"/>
                </a:lnTo>
                <a:lnTo>
                  <a:pt x="3169920" y="620268"/>
                </a:lnTo>
                <a:close/>
              </a:path>
              <a:path w="6217920" h="1652270">
                <a:moveTo>
                  <a:pt x="3931920" y="1447800"/>
                </a:moveTo>
                <a:lnTo>
                  <a:pt x="3172968" y="1447800"/>
                </a:lnTo>
                <a:lnTo>
                  <a:pt x="3172968" y="1652016"/>
                </a:lnTo>
                <a:lnTo>
                  <a:pt x="3931920" y="1652016"/>
                </a:lnTo>
                <a:lnTo>
                  <a:pt x="3931920" y="1447800"/>
                </a:lnTo>
                <a:close/>
              </a:path>
              <a:path w="6217920" h="1652270">
                <a:moveTo>
                  <a:pt x="3931920" y="1240536"/>
                </a:moveTo>
                <a:lnTo>
                  <a:pt x="3172968" y="1240536"/>
                </a:lnTo>
                <a:lnTo>
                  <a:pt x="3172968" y="1444752"/>
                </a:lnTo>
                <a:lnTo>
                  <a:pt x="3931920" y="1444752"/>
                </a:lnTo>
                <a:lnTo>
                  <a:pt x="3931920" y="1240536"/>
                </a:lnTo>
                <a:close/>
              </a:path>
              <a:path w="6217920" h="1652270">
                <a:moveTo>
                  <a:pt x="3931920" y="1033272"/>
                </a:moveTo>
                <a:lnTo>
                  <a:pt x="3172968" y="1033272"/>
                </a:lnTo>
                <a:lnTo>
                  <a:pt x="3172968" y="1237488"/>
                </a:lnTo>
                <a:lnTo>
                  <a:pt x="3931920" y="1237488"/>
                </a:lnTo>
                <a:lnTo>
                  <a:pt x="3931920" y="1033272"/>
                </a:lnTo>
                <a:close/>
              </a:path>
              <a:path w="6217920" h="1652270">
                <a:moveTo>
                  <a:pt x="3931920" y="827532"/>
                </a:moveTo>
                <a:lnTo>
                  <a:pt x="3172968" y="827532"/>
                </a:lnTo>
                <a:lnTo>
                  <a:pt x="3172968" y="1030224"/>
                </a:lnTo>
                <a:lnTo>
                  <a:pt x="3931920" y="1030224"/>
                </a:lnTo>
                <a:lnTo>
                  <a:pt x="3931920" y="827532"/>
                </a:lnTo>
                <a:close/>
              </a:path>
              <a:path w="6217920" h="1652270">
                <a:moveTo>
                  <a:pt x="3931920" y="620268"/>
                </a:moveTo>
                <a:lnTo>
                  <a:pt x="3172968" y="620268"/>
                </a:lnTo>
                <a:lnTo>
                  <a:pt x="3172968" y="824484"/>
                </a:lnTo>
                <a:lnTo>
                  <a:pt x="3931920" y="824484"/>
                </a:lnTo>
                <a:lnTo>
                  <a:pt x="3931920" y="620268"/>
                </a:lnTo>
                <a:close/>
              </a:path>
              <a:path w="6217920" h="1652270">
                <a:moveTo>
                  <a:pt x="4693907" y="1447800"/>
                </a:moveTo>
                <a:lnTo>
                  <a:pt x="3934968" y="1447800"/>
                </a:lnTo>
                <a:lnTo>
                  <a:pt x="3934968" y="1652016"/>
                </a:lnTo>
                <a:lnTo>
                  <a:pt x="4693907" y="1652016"/>
                </a:lnTo>
                <a:lnTo>
                  <a:pt x="4693907" y="1447800"/>
                </a:lnTo>
                <a:close/>
              </a:path>
              <a:path w="6217920" h="1652270">
                <a:moveTo>
                  <a:pt x="4693907" y="1240536"/>
                </a:moveTo>
                <a:lnTo>
                  <a:pt x="3934968" y="1240536"/>
                </a:lnTo>
                <a:lnTo>
                  <a:pt x="3934968" y="1444752"/>
                </a:lnTo>
                <a:lnTo>
                  <a:pt x="4693907" y="1444752"/>
                </a:lnTo>
                <a:lnTo>
                  <a:pt x="4693907" y="1240536"/>
                </a:lnTo>
                <a:close/>
              </a:path>
              <a:path w="6217920" h="1652270">
                <a:moveTo>
                  <a:pt x="4693907" y="1033272"/>
                </a:moveTo>
                <a:lnTo>
                  <a:pt x="3934968" y="1033272"/>
                </a:lnTo>
                <a:lnTo>
                  <a:pt x="3934968" y="1237488"/>
                </a:lnTo>
                <a:lnTo>
                  <a:pt x="4693907" y="1237488"/>
                </a:lnTo>
                <a:lnTo>
                  <a:pt x="4693907" y="1033272"/>
                </a:lnTo>
                <a:close/>
              </a:path>
              <a:path w="6217920" h="1652270">
                <a:moveTo>
                  <a:pt x="4693907" y="827532"/>
                </a:moveTo>
                <a:lnTo>
                  <a:pt x="3934968" y="827532"/>
                </a:lnTo>
                <a:lnTo>
                  <a:pt x="3934968" y="1030224"/>
                </a:lnTo>
                <a:lnTo>
                  <a:pt x="4693907" y="1030224"/>
                </a:lnTo>
                <a:lnTo>
                  <a:pt x="4693907" y="827532"/>
                </a:lnTo>
                <a:close/>
              </a:path>
              <a:path w="6217920" h="1652270">
                <a:moveTo>
                  <a:pt x="4693907" y="620268"/>
                </a:moveTo>
                <a:lnTo>
                  <a:pt x="3934968" y="620268"/>
                </a:lnTo>
                <a:lnTo>
                  <a:pt x="3934968" y="824484"/>
                </a:lnTo>
                <a:lnTo>
                  <a:pt x="4693907" y="824484"/>
                </a:lnTo>
                <a:lnTo>
                  <a:pt x="4693907" y="620268"/>
                </a:lnTo>
                <a:close/>
              </a:path>
              <a:path w="6217920" h="1652270">
                <a:moveTo>
                  <a:pt x="5455920" y="1447800"/>
                </a:moveTo>
                <a:lnTo>
                  <a:pt x="4696968" y="1447800"/>
                </a:lnTo>
                <a:lnTo>
                  <a:pt x="4696968" y="1652016"/>
                </a:lnTo>
                <a:lnTo>
                  <a:pt x="5455920" y="1652016"/>
                </a:lnTo>
                <a:lnTo>
                  <a:pt x="5455920" y="1447800"/>
                </a:lnTo>
                <a:close/>
              </a:path>
              <a:path w="6217920" h="1652270">
                <a:moveTo>
                  <a:pt x="5455920" y="1240536"/>
                </a:moveTo>
                <a:lnTo>
                  <a:pt x="4696968" y="1240536"/>
                </a:lnTo>
                <a:lnTo>
                  <a:pt x="4696968" y="1444752"/>
                </a:lnTo>
                <a:lnTo>
                  <a:pt x="5455920" y="1444752"/>
                </a:lnTo>
                <a:lnTo>
                  <a:pt x="5455920" y="1240536"/>
                </a:lnTo>
                <a:close/>
              </a:path>
              <a:path w="6217920" h="1652270">
                <a:moveTo>
                  <a:pt x="5455920" y="1033272"/>
                </a:moveTo>
                <a:lnTo>
                  <a:pt x="4696968" y="1033272"/>
                </a:lnTo>
                <a:lnTo>
                  <a:pt x="4696968" y="1237488"/>
                </a:lnTo>
                <a:lnTo>
                  <a:pt x="5455920" y="1237488"/>
                </a:lnTo>
                <a:lnTo>
                  <a:pt x="5455920" y="1033272"/>
                </a:lnTo>
                <a:close/>
              </a:path>
              <a:path w="6217920" h="1652270">
                <a:moveTo>
                  <a:pt x="5455920" y="827532"/>
                </a:moveTo>
                <a:lnTo>
                  <a:pt x="4696968" y="827532"/>
                </a:lnTo>
                <a:lnTo>
                  <a:pt x="4696968" y="1030224"/>
                </a:lnTo>
                <a:lnTo>
                  <a:pt x="5455920" y="1030224"/>
                </a:lnTo>
                <a:lnTo>
                  <a:pt x="5455920" y="827532"/>
                </a:lnTo>
                <a:close/>
              </a:path>
              <a:path w="6217920" h="1652270">
                <a:moveTo>
                  <a:pt x="5455920" y="620268"/>
                </a:moveTo>
                <a:lnTo>
                  <a:pt x="4696968" y="620268"/>
                </a:lnTo>
                <a:lnTo>
                  <a:pt x="4696968" y="824484"/>
                </a:lnTo>
                <a:lnTo>
                  <a:pt x="5455920" y="824484"/>
                </a:lnTo>
                <a:lnTo>
                  <a:pt x="5455920" y="620268"/>
                </a:lnTo>
                <a:close/>
              </a:path>
              <a:path w="6217920" h="1652270">
                <a:moveTo>
                  <a:pt x="6217920" y="1447800"/>
                </a:moveTo>
                <a:lnTo>
                  <a:pt x="5458968" y="1447800"/>
                </a:lnTo>
                <a:lnTo>
                  <a:pt x="5458968" y="1652016"/>
                </a:lnTo>
                <a:lnTo>
                  <a:pt x="6217920" y="1652016"/>
                </a:lnTo>
                <a:lnTo>
                  <a:pt x="6217920" y="1447800"/>
                </a:lnTo>
                <a:close/>
              </a:path>
              <a:path w="6217920" h="1652270">
                <a:moveTo>
                  <a:pt x="6217920" y="1240536"/>
                </a:moveTo>
                <a:lnTo>
                  <a:pt x="5458968" y="1240536"/>
                </a:lnTo>
                <a:lnTo>
                  <a:pt x="5458968" y="1444752"/>
                </a:lnTo>
                <a:lnTo>
                  <a:pt x="6217920" y="1444752"/>
                </a:lnTo>
                <a:lnTo>
                  <a:pt x="6217920" y="1240536"/>
                </a:lnTo>
                <a:close/>
              </a:path>
              <a:path w="6217920" h="1652270">
                <a:moveTo>
                  <a:pt x="6217920" y="1033272"/>
                </a:moveTo>
                <a:lnTo>
                  <a:pt x="5458968" y="1033272"/>
                </a:lnTo>
                <a:lnTo>
                  <a:pt x="5458968" y="1237488"/>
                </a:lnTo>
                <a:lnTo>
                  <a:pt x="6217920" y="1237488"/>
                </a:lnTo>
                <a:lnTo>
                  <a:pt x="6217920" y="1033272"/>
                </a:lnTo>
                <a:close/>
              </a:path>
              <a:path w="6217920" h="1652270">
                <a:moveTo>
                  <a:pt x="6217920" y="827532"/>
                </a:moveTo>
                <a:lnTo>
                  <a:pt x="5458968" y="827532"/>
                </a:lnTo>
                <a:lnTo>
                  <a:pt x="5458968" y="1030224"/>
                </a:lnTo>
                <a:lnTo>
                  <a:pt x="6217920" y="1030224"/>
                </a:lnTo>
                <a:lnTo>
                  <a:pt x="6217920" y="827532"/>
                </a:lnTo>
                <a:close/>
              </a:path>
              <a:path w="6217920" h="1652270">
                <a:moveTo>
                  <a:pt x="6217920" y="620268"/>
                </a:moveTo>
                <a:lnTo>
                  <a:pt x="5458968" y="620268"/>
                </a:lnTo>
                <a:lnTo>
                  <a:pt x="5458968" y="824484"/>
                </a:lnTo>
                <a:lnTo>
                  <a:pt x="6217920" y="824484"/>
                </a:lnTo>
                <a:lnTo>
                  <a:pt x="6217920" y="620268"/>
                </a:lnTo>
                <a:close/>
              </a:path>
              <a:path w="6217920" h="1652270">
                <a:moveTo>
                  <a:pt x="6217920" y="413004"/>
                </a:moveTo>
                <a:lnTo>
                  <a:pt x="5458968" y="413004"/>
                </a:lnTo>
                <a:lnTo>
                  <a:pt x="5458968" y="617220"/>
                </a:lnTo>
                <a:lnTo>
                  <a:pt x="6217920" y="617220"/>
                </a:lnTo>
                <a:lnTo>
                  <a:pt x="6217920" y="413004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11</xdr:col>
      <xdr:colOff>546481</xdr:colOff>
      <xdr:row>21</xdr:row>
      <xdr:rowOff>0</xdr:rowOff>
    </xdr:from>
    <xdr:ext cx="645160" cy="3101340"/>
    <xdr:sp macro="" textlink="">
      <xdr:nvSpPr>
        <xdr:cNvPr id="77" name="Shape 77">
          <a:extLst>
            <a:ext uri="{FF2B5EF4-FFF2-40B4-BE49-F238E27FC236}">
              <a16:creationId xmlns:a16="http://schemas.microsoft.com/office/drawing/2014/main" id="{00000000-0008-0000-0600-00004D000000}"/>
            </a:ext>
          </a:extLst>
        </xdr:cNvPr>
        <xdr:cNvSpPr/>
      </xdr:nvSpPr>
      <xdr:spPr>
        <a:xfrm>
          <a:off x="0" y="0"/>
          <a:ext cx="645160" cy="3101340"/>
        </a:xfrm>
        <a:custGeom>
          <a:avLst/>
          <a:gdLst/>
          <a:ahLst/>
          <a:cxnLst/>
          <a:rect l="0" t="0" r="0" b="0"/>
          <a:pathLst>
            <a:path w="645160" h="3101340">
              <a:moveTo>
                <a:pt x="644652" y="2897124"/>
              </a:moveTo>
              <a:lnTo>
                <a:pt x="0" y="2897124"/>
              </a:lnTo>
              <a:lnTo>
                <a:pt x="0" y="3101340"/>
              </a:lnTo>
              <a:lnTo>
                <a:pt x="644652" y="3101340"/>
              </a:lnTo>
              <a:lnTo>
                <a:pt x="644652" y="2897124"/>
              </a:lnTo>
              <a:close/>
            </a:path>
            <a:path w="645160" h="3101340">
              <a:moveTo>
                <a:pt x="644652" y="2689860"/>
              </a:moveTo>
              <a:lnTo>
                <a:pt x="0" y="2689860"/>
              </a:lnTo>
              <a:lnTo>
                <a:pt x="0" y="2894076"/>
              </a:lnTo>
              <a:lnTo>
                <a:pt x="644652" y="2894076"/>
              </a:lnTo>
              <a:lnTo>
                <a:pt x="644652" y="2689860"/>
              </a:lnTo>
              <a:close/>
            </a:path>
            <a:path w="645160" h="3101340">
              <a:moveTo>
                <a:pt x="644652" y="2482596"/>
              </a:moveTo>
              <a:lnTo>
                <a:pt x="0" y="2482596"/>
              </a:lnTo>
              <a:lnTo>
                <a:pt x="0" y="2686812"/>
              </a:lnTo>
              <a:lnTo>
                <a:pt x="644652" y="2686812"/>
              </a:lnTo>
              <a:lnTo>
                <a:pt x="644652" y="2482596"/>
              </a:lnTo>
              <a:close/>
            </a:path>
            <a:path w="645160" h="3101340">
              <a:moveTo>
                <a:pt x="644652" y="2276856"/>
              </a:moveTo>
              <a:lnTo>
                <a:pt x="0" y="2276856"/>
              </a:lnTo>
              <a:lnTo>
                <a:pt x="0" y="2479548"/>
              </a:lnTo>
              <a:lnTo>
                <a:pt x="644652" y="2479548"/>
              </a:lnTo>
              <a:lnTo>
                <a:pt x="644652" y="2276856"/>
              </a:lnTo>
              <a:close/>
            </a:path>
            <a:path w="645160" h="3101340">
              <a:moveTo>
                <a:pt x="644652" y="2069592"/>
              </a:moveTo>
              <a:lnTo>
                <a:pt x="0" y="2069592"/>
              </a:lnTo>
              <a:lnTo>
                <a:pt x="0" y="2273808"/>
              </a:lnTo>
              <a:lnTo>
                <a:pt x="644652" y="2273808"/>
              </a:lnTo>
              <a:lnTo>
                <a:pt x="644652" y="2069592"/>
              </a:lnTo>
              <a:close/>
            </a:path>
            <a:path w="645160" h="3101340">
              <a:moveTo>
                <a:pt x="644652" y="1862328"/>
              </a:moveTo>
              <a:lnTo>
                <a:pt x="0" y="1862328"/>
              </a:lnTo>
              <a:lnTo>
                <a:pt x="0" y="2066544"/>
              </a:lnTo>
              <a:lnTo>
                <a:pt x="644652" y="2066544"/>
              </a:lnTo>
              <a:lnTo>
                <a:pt x="644652" y="1862328"/>
              </a:lnTo>
              <a:close/>
            </a:path>
            <a:path w="645160" h="3101340">
              <a:moveTo>
                <a:pt x="644652" y="1655064"/>
              </a:moveTo>
              <a:lnTo>
                <a:pt x="0" y="1655064"/>
              </a:lnTo>
              <a:lnTo>
                <a:pt x="0" y="1859280"/>
              </a:lnTo>
              <a:lnTo>
                <a:pt x="644652" y="1859280"/>
              </a:lnTo>
              <a:lnTo>
                <a:pt x="644652" y="1655064"/>
              </a:lnTo>
              <a:close/>
            </a:path>
            <a:path w="645160" h="3101340">
              <a:moveTo>
                <a:pt x="644652" y="1449324"/>
              </a:moveTo>
              <a:lnTo>
                <a:pt x="0" y="1449324"/>
              </a:lnTo>
              <a:lnTo>
                <a:pt x="0" y="1652016"/>
              </a:lnTo>
              <a:lnTo>
                <a:pt x="644652" y="1652016"/>
              </a:lnTo>
              <a:lnTo>
                <a:pt x="644652" y="1449324"/>
              </a:lnTo>
              <a:close/>
            </a:path>
            <a:path w="645160" h="3101340">
              <a:moveTo>
                <a:pt x="644652" y="1242060"/>
              </a:moveTo>
              <a:lnTo>
                <a:pt x="0" y="1242060"/>
              </a:lnTo>
              <a:lnTo>
                <a:pt x="0" y="1446276"/>
              </a:lnTo>
              <a:lnTo>
                <a:pt x="644652" y="1446276"/>
              </a:lnTo>
              <a:lnTo>
                <a:pt x="644652" y="1242060"/>
              </a:lnTo>
              <a:close/>
            </a:path>
            <a:path w="645160" h="3101340">
              <a:moveTo>
                <a:pt x="644652" y="1034796"/>
              </a:moveTo>
              <a:lnTo>
                <a:pt x="0" y="1034796"/>
              </a:lnTo>
              <a:lnTo>
                <a:pt x="0" y="1239012"/>
              </a:lnTo>
              <a:lnTo>
                <a:pt x="644652" y="1239012"/>
              </a:lnTo>
              <a:lnTo>
                <a:pt x="644652" y="1034796"/>
              </a:lnTo>
              <a:close/>
            </a:path>
            <a:path w="645160" h="3101340">
              <a:moveTo>
                <a:pt x="644652" y="827532"/>
              </a:moveTo>
              <a:lnTo>
                <a:pt x="0" y="827532"/>
              </a:lnTo>
              <a:lnTo>
                <a:pt x="0" y="1031748"/>
              </a:lnTo>
              <a:lnTo>
                <a:pt x="644652" y="1031748"/>
              </a:lnTo>
              <a:lnTo>
                <a:pt x="644652" y="827532"/>
              </a:lnTo>
              <a:close/>
            </a:path>
            <a:path w="645160" h="3101340">
              <a:moveTo>
                <a:pt x="644652" y="621792"/>
              </a:moveTo>
              <a:lnTo>
                <a:pt x="0" y="621792"/>
              </a:lnTo>
              <a:lnTo>
                <a:pt x="0" y="824484"/>
              </a:lnTo>
              <a:lnTo>
                <a:pt x="644652" y="824484"/>
              </a:lnTo>
              <a:lnTo>
                <a:pt x="644652" y="621792"/>
              </a:lnTo>
              <a:close/>
            </a:path>
            <a:path w="645160" h="3101340">
              <a:moveTo>
                <a:pt x="644652" y="414528"/>
              </a:moveTo>
              <a:lnTo>
                <a:pt x="0" y="414528"/>
              </a:lnTo>
              <a:lnTo>
                <a:pt x="0" y="618744"/>
              </a:lnTo>
              <a:lnTo>
                <a:pt x="644652" y="618744"/>
              </a:lnTo>
              <a:lnTo>
                <a:pt x="644652" y="414528"/>
              </a:lnTo>
              <a:close/>
            </a:path>
            <a:path w="645160" h="3101340">
              <a:moveTo>
                <a:pt x="644652" y="207264"/>
              </a:moveTo>
              <a:lnTo>
                <a:pt x="0" y="207264"/>
              </a:lnTo>
              <a:lnTo>
                <a:pt x="0" y="411480"/>
              </a:lnTo>
              <a:lnTo>
                <a:pt x="644652" y="411480"/>
              </a:lnTo>
              <a:lnTo>
                <a:pt x="644652" y="207264"/>
              </a:lnTo>
              <a:close/>
            </a:path>
            <a:path w="645160" h="3101340">
              <a:moveTo>
                <a:pt x="644652" y="0"/>
              </a:moveTo>
              <a:lnTo>
                <a:pt x="0" y="0"/>
              </a:lnTo>
              <a:lnTo>
                <a:pt x="0" y="204216"/>
              </a:lnTo>
              <a:lnTo>
                <a:pt x="644652" y="204216"/>
              </a:lnTo>
              <a:lnTo>
                <a:pt x="644652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543687</xdr:colOff>
      <xdr:row>17</xdr:row>
      <xdr:rowOff>206501</xdr:rowOff>
    </xdr:from>
    <xdr:ext cx="3808729" cy="480059"/>
    <xdr:sp macro="" textlink="">
      <xdr:nvSpPr>
        <xdr:cNvPr id="78" name="Shape 78">
          <a:extLst>
            <a:ext uri="{FF2B5EF4-FFF2-40B4-BE49-F238E27FC236}">
              <a16:creationId xmlns:a16="http://schemas.microsoft.com/office/drawing/2014/main" id="{00000000-0008-0000-0700-00004E000000}"/>
            </a:ext>
          </a:extLst>
        </xdr:cNvPr>
        <xdr:cNvSpPr/>
      </xdr:nvSpPr>
      <xdr:spPr>
        <a:xfrm>
          <a:off x="0" y="0"/>
          <a:ext cx="3808729" cy="480059"/>
        </a:xfrm>
        <a:custGeom>
          <a:avLst/>
          <a:gdLst/>
          <a:ahLst/>
          <a:cxnLst/>
          <a:rect l="0" t="0" r="0" b="0"/>
          <a:pathLst>
            <a:path w="3808729" h="480059">
              <a:moveTo>
                <a:pt x="760476" y="0"/>
              </a:moveTo>
              <a:lnTo>
                <a:pt x="0" y="0"/>
              </a:lnTo>
              <a:lnTo>
                <a:pt x="0" y="480060"/>
              </a:lnTo>
              <a:lnTo>
                <a:pt x="760476" y="480060"/>
              </a:lnTo>
              <a:lnTo>
                <a:pt x="760476" y="0"/>
              </a:lnTo>
              <a:close/>
            </a:path>
            <a:path w="3808729" h="480059">
              <a:moveTo>
                <a:pt x="1522476" y="0"/>
              </a:moveTo>
              <a:lnTo>
                <a:pt x="763524" y="0"/>
              </a:lnTo>
              <a:lnTo>
                <a:pt x="763524" y="480060"/>
              </a:lnTo>
              <a:lnTo>
                <a:pt x="1522476" y="480060"/>
              </a:lnTo>
              <a:lnTo>
                <a:pt x="1522476" y="0"/>
              </a:lnTo>
              <a:close/>
            </a:path>
            <a:path w="3808729" h="480059">
              <a:moveTo>
                <a:pt x="2284463" y="0"/>
              </a:moveTo>
              <a:lnTo>
                <a:pt x="1525524" y="0"/>
              </a:lnTo>
              <a:lnTo>
                <a:pt x="1525524" y="480060"/>
              </a:lnTo>
              <a:lnTo>
                <a:pt x="2284463" y="480060"/>
              </a:lnTo>
              <a:lnTo>
                <a:pt x="2284463" y="0"/>
              </a:lnTo>
              <a:close/>
            </a:path>
            <a:path w="3808729" h="480059">
              <a:moveTo>
                <a:pt x="3046476" y="0"/>
              </a:moveTo>
              <a:lnTo>
                <a:pt x="2287524" y="0"/>
              </a:lnTo>
              <a:lnTo>
                <a:pt x="2287524" y="480060"/>
              </a:lnTo>
              <a:lnTo>
                <a:pt x="3046476" y="480060"/>
              </a:lnTo>
              <a:lnTo>
                <a:pt x="3046476" y="0"/>
              </a:lnTo>
              <a:close/>
            </a:path>
            <a:path w="3808729" h="480059">
              <a:moveTo>
                <a:pt x="3808476" y="0"/>
              </a:moveTo>
              <a:lnTo>
                <a:pt x="3049524" y="0"/>
              </a:lnTo>
              <a:lnTo>
                <a:pt x="3049524" y="480060"/>
              </a:lnTo>
              <a:lnTo>
                <a:pt x="3808476" y="480060"/>
              </a:lnTo>
              <a:lnTo>
                <a:pt x="3808476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5</xdr:col>
      <xdr:colOff>202691</xdr:colOff>
      <xdr:row>3</xdr:row>
      <xdr:rowOff>49142</xdr:rowOff>
    </xdr:from>
    <xdr:ext cx="381000" cy="290285"/>
    <xdr:pic>
      <xdr:nvPicPr>
        <xdr:cNvPr id="79" name="image1.jpeg">
          <a:extLst>
            <a:ext uri="{FF2B5EF4-FFF2-40B4-BE49-F238E27FC236}">
              <a16:creationId xmlns:a16="http://schemas.microsoft.com/office/drawing/2014/main" id="{00000000-0008-0000-07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290285"/>
        </a:xfrm>
        <a:prstGeom prst="rect">
          <a:avLst/>
        </a:prstGeom>
      </xdr:spPr>
    </xdr:pic>
    <xdr:clientData/>
  </xdr:oneCellAnchor>
  <xdr:oneCellAnchor>
    <xdr:from>
      <xdr:col>6</xdr:col>
      <xdr:colOff>201929</xdr:colOff>
      <xdr:row>3</xdr:row>
      <xdr:rowOff>761</xdr:rowOff>
    </xdr:from>
    <xdr:ext cx="338666" cy="381000"/>
    <xdr:pic>
      <xdr:nvPicPr>
        <xdr:cNvPr id="80" name="image2.jpeg">
          <a:extLst>
            <a:ext uri="{FF2B5EF4-FFF2-40B4-BE49-F238E27FC236}">
              <a16:creationId xmlns:a16="http://schemas.microsoft.com/office/drawing/2014/main" id="{00000000-0008-0000-07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38666" cy="381000"/>
        </a:xfrm>
        <a:prstGeom prst="rect">
          <a:avLst/>
        </a:prstGeom>
      </xdr:spPr>
    </xdr:pic>
    <xdr:clientData/>
  </xdr:oneCellAnchor>
  <xdr:oneCellAnchor>
    <xdr:from>
      <xdr:col>7</xdr:col>
      <xdr:colOff>201930</xdr:colOff>
      <xdr:row>3</xdr:row>
      <xdr:rowOff>49142</xdr:rowOff>
    </xdr:from>
    <xdr:ext cx="381000" cy="290285"/>
    <xdr:pic>
      <xdr:nvPicPr>
        <xdr:cNvPr id="81" name="image3.jpeg">
          <a:extLst>
            <a:ext uri="{FF2B5EF4-FFF2-40B4-BE49-F238E27FC236}">
              <a16:creationId xmlns:a16="http://schemas.microsoft.com/office/drawing/2014/main" id="{00000000-0008-0000-07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290285"/>
        </a:xfrm>
        <a:prstGeom prst="rect">
          <a:avLst/>
        </a:prstGeom>
      </xdr:spPr>
    </xdr:pic>
    <xdr:clientData/>
  </xdr:oneCellAnchor>
  <xdr:oneCellAnchor>
    <xdr:from>
      <xdr:col>8</xdr:col>
      <xdr:colOff>298691</xdr:colOff>
      <xdr:row>3</xdr:row>
      <xdr:rowOff>49142</xdr:rowOff>
    </xdr:from>
    <xdr:ext cx="193523" cy="290285"/>
    <xdr:pic>
      <xdr:nvPicPr>
        <xdr:cNvPr id="82" name="image4.jpeg">
          <a:extLst>
            <a:ext uri="{FF2B5EF4-FFF2-40B4-BE49-F238E27FC236}">
              <a16:creationId xmlns:a16="http://schemas.microsoft.com/office/drawing/2014/main" id="{00000000-0008-0000-07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3523" cy="290285"/>
        </a:xfrm>
        <a:prstGeom prst="rect">
          <a:avLst/>
        </a:prstGeom>
      </xdr:spPr>
    </xdr:pic>
    <xdr:clientData/>
  </xdr:oneCellAnchor>
  <xdr:oneCellAnchor>
    <xdr:from>
      <xdr:col>9</xdr:col>
      <xdr:colOff>201929</xdr:colOff>
      <xdr:row>3</xdr:row>
      <xdr:rowOff>761</xdr:rowOff>
    </xdr:from>
    <xdr:ext cx="381000" cy="381000"/>
    <xdr:pic>
      <xdr:nvPicPr>
        <xdr:cNvPr id="83" name="image5.jpeg">
          <a:extLst>
            <a:ext uri="{FF2B5EF4-FFF2-40B4-BE49-F238E27FC236}">
              <a16:creationId xmlns:a16="http://schemas.microsoft.com/office/drawing/2014/main" id="{00000000-0008-0000-07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381000"/>
        </a:xfrm>
        <a:prstGeom prst="rect">
          <a:avLst/>
        </a:prstGeom>
      </xdr:spPr>
    </xdr:pic>
    <xdr:clientData/>
  </xdr:oneCellAnchor>
  <xdr:oneCellAnchor>
    <xdr:from>
      <xdr:col>1</xdr:col>
      <xdr:colOff>226059</xdr:colOff>
      <xdr:row>19</xdr:row>
      <xdr:rowOff>0</xdr:rowOff>
    </xdr:from>
    <xdr:ext cx="7486015" cy="2894330"/>
    <xdr:grpSp>
      <xdr:nvGrpSpPr>
        <xdr:cNvPr id="84" name="Group 84">
          <a:extLst>
            <a:ext uri="{FF2B5EF4-FFF2-40B4-BE49-F238E27FC236}">
              <a16:creationId xmlns:a16="http://schemas.microsoft.com/office/drawing/2014/main" id="{00000000-0008-0000-0700-000054000000}"/>
            </a:ext>
          </a:extLst>
        </xdr:cNvPr>
        <xdr:cNvGrpSpPr/>
      </xdr:nvGrpSpPr>
      <xdr:grpSpPr>
        <a:xfrm>
          <a:off x="607059" y="4975860"/>
          <a:ext cx="7486015" cy="2894330"/>
          <a:chOff x="0" y="0"/>
          <a:chExt cx="7486015" cy="2894330"/>
        </a:xfrm>
      </xdr:grpSpPr>
      <xdr:sp macro="" textlink="">
        <xdr:nvSpPr>
          <xdr:cNvPr id="85" name="Shape 85">
            <a:extLst>
              <a:ext uri="{FF2B5EF4-FFF2-40B4-BE49-F238E27FC236}">
                <a16:creationId xmlns:a16="http://schemas.microsoft.com/office/drawing/2014/main" id="{00000000-0008-0000-0700-000055000000}"/>
              </a:ext>
            </a:extLst>
          </xdr:cNvPr>
          <xdr:cNvSpPr/>
        </xdr:nvSpPr>
        <xdr:spPr>
          <a:xfrm>
            <a:off x="0" y="0"/>
            <a:ext cx="7486015" cy="2066925"/>
          </a:xfrm>
          <a:custGeom>
            <a:avLst/>
            <a:gdLst/>
            <a:ahLst/>
            <a:cxnLst/>
            <a:rect l="0" t="0" r="0" b="0"/>
            <a:pathLst>
              <a:path w="7486015" h="2066925">
                <a:moveTo>
                  <a:pt x="312420" y="0"/>
                </a:moveTo>
                <a:lnTo>
                  <a:pt x="0" y="0"/>
                </a:lnTo>
                <a:lnTo>
                  <a:pt x="0" y="1446276"/>
                </a:lnTo>
                <a:lnTo>
                  <a:pt x="312420" y="1446276"/>
                </a:lnTo>
                <a:lnTo>
                  <a:pt x="312420" y="0"/>
                </a:lnTo>
                <a:close/>
              </a:path>
              <a:path w="7486015" h="2066925">
                <a:moveTo>
                  <a:pt x="1264920" y="0"/>
                </a:moveTo>
                <a:lnTo>
                  <a:pt x="315468" y="0"/>
                </a:lnTo>
                <a:lnTo>
                  <a:pt x="315468" y="1446276"/>
                </a:lnTo>
                <a:lnTo>
                  <a:pt x="1264920" y="1446276"/>
                </a:lnTo>
                <a:lnTo>
                  <a:pt x="1264920" y="0"/>
                </a:lnTo>
                <a:close/>
              </a:path>
              <a:path w="7486015" h="2066925">
                <a:moveTo>
                  <a:pt x="2531364" y="0"/>
                </a:moveTo>
                <a:lnTo>
                  <a:pt x="1267968" y="0"/>
                </a:lnTo>
                <a:lnTo>
                  <a:pt x="1267968" y="1446276"/>
                </a:lnTo>
                <a:lnTo>
                  <a:pt x="2531364" y="1446276"/>
                </a:lnTo>
                <a:lnTo>
                  <a:pt x="2531364" y="0"/>
                </a:lnTo>
                <a:close/>
              </a:path>
              <a:path w="7486015" h="2066925">
                <a:moveTo>
                  <a:pt x="3037332" y="1862328"/>
                </a:moveTo>
                <a:lnTo>
                  <a:pt x="2534412" y="1862328"/>
                </a:lnTo>
                <a:lnTo>
                  <a:pt x="2534412" y="2066544"/>
                </a:lnTo>
                <a:lnTo>
                  <a:pt x="3037332" y="2066544"/>
                </a:lnTo>
                <a:lnTo>
                  <a:pt x="3037332" y="1862328"/>
                </a:lnTo>
                <a:close/>
              </a:path>
              <a:path w="7486015" h="2066925">
                <a:moveTo>
                  <a:pt x="3037332" y="1655064"/>
                </a:moveTo>
                <a:lnTo>
                  <a:pt x="2534412" y="1655064"/>
                </a:lnTo>
                <a:lnTo>
                  <a:pt x="2534412" y="1859280"/>
                </a:lnTo>
                <a:lnTo>
                  <a:pt x="3037332" y="1859280"/>
                </a:lnTo>
                <a:lnTo>
                  <a:pt x="3037332" y="1655064"/>
                </a:lnTo>
                <a:close/>
              </a:path>
              <a:path w="7486015" h="2066925">
                <a:moveTo>
                  <a:pt x="3037332" y="1449324"/>
                </a:moveTo>
                <a:lnTo>
                  <a:pt x="2534412" y="1449324"/>
                </a:lnTo>
                <a:lnTo>
                  <a:pt x="2534412" y="1652016"/>
                </a:lnTo>
                <a:lnTo>
                  <a:pt x="3037332" y="1652016"/>
                </a:lnTo>
                <a:lnTo>
                  <a:pt x="3037332" y="1449324"/>
                </a:lnTo>
                <a:close/>
              </a:path>
              <a:path w="7486015" h="2066925">
                <a:moveTo>
                  <a:pt x="3037332" y="1242060"/>
                </a:moveTo>
                <a:lnTo>
                  <a:pt x="2534412" y="1242060"/>
                </a:lnTo>
                <a:lnTo>
                  <a:pt x="2534412" y="1446276"/>
                </a:lnTo>
                <a:lnTo>
                  <a:pt x="3037332" y="1446276"/>
                </a:lnTo>
                <a:lnTo>
                  <a:pt x="3037332" y="1242060"/>
                </a:lnTo>
                <a:close/>
              </a:path>
              <a:path w="7486015" h="2066925">
                <a:moveTo>
                  <a:pt x="3037332" y="1034796"/>
                </a:moveTo>
                <a:lnTo>
                  <a:pt x="2534412" y="1034796"/>
                </a:lnTo>
                <a:lnTo>
                  <a:pt x="2534412" y="1239012"/>
                </a:lnTo>
                <a:lnTo>
                  <a:pt x="3037332" y="1239012"/>
                </a:lnTo>
                <a:lnTo>
                  <a:pt x="3037332" y="1034796"/>
                </a:lnTo>
                <a:close/>
              </a:path>
              <a:path w="7486015" h="2066925">
                <a:moveTo>
                  <a:pt x="3037332" y="827532"/>
                </a:moveTo>
                <a:lnTo>
                  <a:pt x="2534412" y="827532"/>
                </a:lnTo>
                <a:lnTo>
                  <a:pt x="2534412" y="1031748"/>
                </a:lnTo>
                <a:lnTo>
                  <a:pt x="3037332" y="1031748"/>
                </a:lnTo>
                <a:lnTo>
                  <a:pt x="3037332" y="827532"/>
                </a:lnTo>
                <a:close/>
              </a:path>
              <a:path w="7486015" h="2066925">
                <a:moveTo>
                  <a:pt x="3037332" y="621792"/>
                </a:moveTo>
                <a:lnTo>
                  <a:pt x="2534412" y="621792"/>
                </a:lnTo>
                <a:lnTo>
                  <a:pt x="2534412" y="824484"/>
                </a:lnTo>
                <a:lnTo>
                  <a:pt x="3037332" y="824484"/>
                </a:lnTo>
                <a:lnTo>
                  <a:pt x="3037332" y="621792"/>
                </a:lnTo>
                <a:close/>
              </a:path>
              <a:path w="7486015" h="2066925">
                <a:moveTo>
                  <a:pt x="3037332" y="414528"/>
                </a:moveTo>
                <a:lnTo>
                  <a:pt x="2534412" y="414528"/>
                </a:lnTo>
                <a:lnTo>
                  <a:pt x="2534412" y="618744"/>
                </a:lnTo>
                <a:lnTo>
                  <a:pt x="3037332" y="618744"/>
                </a:lnTo>
                <a:lnTo>
                  <a:pt x="3037332" y="414528"/>
                </a:lnTo>
                <a:close/>
              </a:path>
              <a:path w="7486015" h="2066925">
                <a:moveTo>
                  <a:pt x="3037332" y="207264"/>
                </a:moveTo>
                <a:lnTo>
                  <a:pt x="2534412" y="207264"/>
                </a:lnTo>
                <a:lnTo>
                  <a:pt x="2534412" y="411480"/>
                </a:lnTo>
                <a:lnTo>
                  <a:pt x="3037332" y="411480"/>
                </a:lnTo>
                <a:lnTo>
                  <a:pt x="3037332" y="207264"/>
                </a:lnTo>
                <a:close/>
              </a:path>
              <a:path w="7486015" h="2066925">
                <a:moveTo>
                  <a:pt x="3037332" y="0"/>
                </a:moveTo>
                <a:lnTo>
                  <a:pt x="2534412" y="0"/>
                </a:lnTo>
                <a:lnTo>
                  <a:pt x="2534412" y="204216"/>
                </a:lnTo>
                <a:lnTo>
                  <a:pt x="3037332" y="204216"/>
                </a:lnTo>
                <a:lnTo>
                  <a:pt x="3037332" y="0"/>
                </a:lnTo>
                <a:close/>
              </a:path>
              <a:path w="7486015" h="2066925">
                <a:moveTo>
                  <a:pt x="3674364" y="1862328"/>
                </a:moveTo>
                <a:lnTo>
                  <a:pt x="3040380" y="1862328"/>
                </a:lnTo>
                <a:lnTo>
                  <a:pt x="3040380" y="2066544"/>
                </a:lnTo>
                <a:lnTo>
                  <a:pt x="3674364" y="2066544"/>
                </a:lnTo>
                <a:lnTo>
                  <a:pt x="3674364" y="1862328"/>
                </a:lnTo>
                <a:close/>
              </a:path>
              <a:path w="7486015" h="2066925">
                <a:moveTo>
                  <a:pt x="3674364" y="1655064"/>
                </a:moveTo>
                <a:lnTo>
                  <a:pt x="3040380" y="1655064"/>
                </a:lnTo>
                <a:lnTo>
                  <a:pt x="3040380" y="1859280"/>
                </a:lnTo>
                <a:lnTo>
                  <a:pt x="3674364" y="1859280"/>
                </a:lnTo>
                <a:lnTo>
                  <a:pt x="3674364" y="1655064"/>
                </a:lnTo>
                <a:close/>
              </a:path>
              <a:path w="7486015" h="2066925">
                <a:moveTo>
                  <a:pt x="3674364" y="1449324"/>
                </a:moveTo>
                <a:lnTo>
                  <a:pt x="3040380" y="1449324"/>
                </a:lnTo>
                <a:lnTo>
                  <a:pt x="3040380" y="1652016"/>
                </a:lnTo>
                <a:lnTo>
                  <a:pt x="3674364" y="1652016"/>
                </a:lnTo>
                <a:lnTo>
                  <a:pt x="3674364" y="1449324"/>
                </a:lnTo>
                <a:close/>
              </a:path>
              <a:path w="7486015" h="2066925">
                <a:moveTo>
                  <a:pt x="3674364" y="1242060"/>
                </a:moveTo>
                <a:lnTo>
                  <a:pt x="3040380" y="1242060"/>
                </a:lnTo>
                <a:lnTo>
                  <a:pt x="3040380" y="1446276"/>
                </a:lnTo>
                <a:lnTo>
                  <a:pt x="3674364" y="1446276"/>
                </a:lnTo>
                <a:lnTo>
                  <a:pt x="3674364" y="1242060"/>
                </a:lnTo>
                <a:close/>
              </a:path>
              <a:path w="7486015" h="2066925">
                <a:moveTo>
                  <a:pt x="3674364" y="1034796"/>
                </a:moveTo>
                <a:lnTo>
                  <a:pt x="3040380" y="1034796"/>
                </a:lnTo>
                <a:lnTo>
                  <a:pt x="3040380" y="1239012"/>
                </a:lnTo>
                <a:lnTo>
                  <a:pt x="3674364" y="1239012"/>
                </a:lnTo>
                <a:lnTo>
                  <a:pt x="3674364" y="1034796"/>
                </a:lnTo>
                <a:close/>
              </a:path>
              <a:path w="7486015" h="2066925">
                <a:moveTo>
                  <a:pt x="3674364" y="827532"/>
                </a:moveTo>
                <a:lnTo>
                  <a:pt x="3040380" y="827532"/>
                </a:lnTo>
                <a:lnTo>
                  <a:pt x="3040380" y="1031748"/>
                </a:lnTo>
                <a:lnTo>
                  <a:pt x="3674364" y="1031748"/>
                </a:lnTo>
                <a:lnTo>
                  <a:pt x="3674364" y="827532"/>
                </a:lnTo>
                <a:close/>
              </a:path>
              <a:path w="7486015" h="2066925">
                <a:moveTo>
                  <a:pt x="3674364" y="621792"/>
                </a:moveTo>
                <a:lnTo>
                  <a:pt x="3040380" y="621792"/>
                </a:lnTo>
                <a:lnTo>
                  <a:pt x="3040380" y="824484"/>
                </a:lnTo>
                <a:lnTo>
                  <a:pt x="3674364" y="824484"/>
                </a:lnTo>
                <a:lnTo>
                  <a:pt x="3674364" y="621792"/>
                </a:lnTo>
                <a:close/>
              </a:path>
              <a:path w="7486015" h="2066925">
                <a:moveTo>
                  <a:pt x="3674364" y="414528"/>
                </a:moveTo>
                <a:lnTo>
                  <a:pt x="3040380" y="414528"/>
                </a:lnTo>
                <a:lnTo>
                  <a:pt x="3040380" y="618744"/>
                </a:lnTo>
                <a:lnTo>
                  <a:pt x="3674364" y="618744"/>
                </a:lnTo>
                <a:lnTo>
                  <a:pt x="3674364" y="414528"/>
                </a:lnTo>
                <a:close/>
              </a:path>
              <a:path w="7486015" h="2066925">
                <a:moveTo>
                  <a:pt x="3674364" y="207264"/>
                </a:moveTo>
                <a:lnTo>
                  <a:pt x="3040380" y="207264"/>
                </a:lnTo>
                <a:lnTo>
                  <a:pt x="3040380" y="411480"/>
                </a:lnTo>
                <a:lnTo>
                  <a:pt x="3674364" y="411480"/>
                </a:lnTo>
                <a:lnTo>
                  <a:pt x="3674364" y="207264"/>
                </a:lnTo>
                <a:close/>
              </a:path>
              <a:path w="7486015" h="2066925">
                <a:moveTo>
                  <a:pt x="3674364" y="0"/>
                </a:moveTo>
                <a:lnTo>
                  <a:pt x="3040380" y="0"/>
                </a:lnTo>
                <a:lnTo>
                  <a:pt x="3040380" y="204216"/>
                </a:lnTo>
                <a:lnTo>
                  <a:pt x="3674364" y="204216"/>
                </a:lnTo>
                <a:lnTo>
                  <a:pt x="3674364" y="0"/>
                </a:lnTo>
                <a:close/>
              </a:path>
              <a:path w="7486015" h="2066925">
                <a:moveTo>
                  <a:pt x="4437888" y="1862328"/>
                </a:moveTo>
                <a:lnTo>
                  <a:pt x="3677412" y="1862328"/>
                </a:lnTo>
                <a:lnTo>
                  <a:pt x="3677412" y="2066544"/>
                </a:lnTo>
                <a:lnTo>
                  <a:pt x="4437888" y="2066544"/>
                </a:lnTo>
                <a:lnTo>
                  <a:pt x="4437888" y="1862328"/>
                </a:lnTo>
                <a:close/>
              </a:path>
              <a:path w="7486015" h="2066925">
                <a:moveTo>
                  <a:pt x="4437888" y="1655064"/>
                </a:moveTo>
                <a:lnTo>
                  <a:pt x="3677412" y="1655064"/>
                </a:lnTo>
                <a:lnTo>
                  <a:pt x="3677412" y="1859280"/>
                </a:lnTo>
                <a:lnTo>
                  <a:pt x="4437888" y="1859280"/>
                </a:lnTo>
                <a:lnTo>
                  <a:pt x="4437888" y="1655064"/>
                </a:lnTo>
                <a:close/>
              </a:path>
              <a:path w="7486015" h="2066925">
                <a:moveTo>
                  <a:pt x="4437888" y="1449324"/>
                </a:moveTo>
                <a:lnTo>
                  <a:pt x="3677412" y="1449324"/>
                </a:lnTo>
                <a:lnTo>
                  <a:pt x="3677412" y="1652016"/>
                </a:lnTo>
                <a:lnTo>
                  <a:pt x="4437888" y="1652016"/>
                </a:lnTo>
                <a:lnTo>
                  <a:pt x="4437888" y="1449324"/>
                </a:lnTo>
                <a:close/>
              </a:path>
              <a:path w="7486015" h="2066925">
                <a:moveTo>
                  <a:pt x="4437888" y="1242060"/>
                </a:moveTo>
                <a:lnTo>
                  <a:pt x="3677412" y="1242060"/>
                </a:lnTo>
                <a:lnTo>
                  <a:pt x="3677412" y="1446276"/>
                </a:lnTo>
                <a:lnTo>
                  <a:pt x="4437888" y="1446276"/>
                </a:lnTo>
                <a:lnTo>
                  <a:pt x="4437888" y="1242060"/>
                </a:lnTo>
                <a:close/>
              </a:path>
              <a:path w="7486015" h="2066925">
                <a:moveTo>
                  <a:pt x="4437888" y="1034796"/>
                </a:moveTo>
                <a:lnTo>
                  <a:pt x="3677412" y="1034796"/>
                </a:lnTo>
                <a:lnTo>
                  <a:pt x="3677412" y="1239012"/>
                </a:lnTo>
                <a:lnTo>
                  <a:pt x="4437888" y="1239012"/>
                </a:lnTo>
                <a:lnTo>
                  <a:pt x="4437888" y="1034796"/>
                </a:lnTo>
                <a:close/>
              </a:path>
              <a:path w="7486015" h="2066925">
                <a:moveTo>
                  <a:pt x="4437888" y="827532"/>
                </a:moveTo>
                <a:lnTo>
                  <a:pt x="3677412" y="827532"/>
                </a:lnTo>
                <a:lnTo>
                  <a:pt x="3677412" y="1031748"/>
                </a:lnTo>
                <a:lnTo>
                  <a:pt x="4437888" y="1031748"/>
                </a:lnTo>
                <a:lnTo>
                  <a:pt x="4437888" y="827532"/>
                </a:lnTo>
                <a:close/>
              </a:path>
              <a:path w="7486015" h="2066925">
                <a:moveTo>
                  <a:pt x="4437888" y="621792"/>
                </a:moveTo>
                <a:lnTo>
                  <a:pt x="3677412" y="621792"/>
                </a:lnTo>
                <a:lnTo>
                  <a:pt x="3677412" y="824484"/>
                </a:lnTo>
                <a:lnTo>
                  <a:pt x="4437888" y="824484"/>
                </a:lnTo>
                <a:lnTo>
                  <a:pt x="4437888" y="621792"/>
                </a:lnTo>
                <a:close/>
              </a:path>
              <a:path w="7486015" h="2066925">
                <a:moveTo>
                  <a:pt x="4437888" y="414528"/>
                </a:moveTo>
                <a:lnTo>
                  <a:pt x="3677412" y="414528"/>
                </a:lnTo>
                <a:lnTo>
                  <a:pt x="3677412" y="618744"/>
                </a:lnTo>
                <a:lnTo>
                  <a:pt x="4437888" y="618744"/>
                </a:lnTo>
                <a:lnTo>
                  <a:pt x="4437888" y="414528"/>
                </a:lnTo>
                <a:close/>
              </a:path>
              <a:path w="7486015" h="2066925">
                <a:moveTo>
                  <a:pt x="4437888" y="207264"/>
                </a:moveTo>
                <a:lnTo>
                  <a:pt x="3677412" y="207264"/>
                </a:lnTo>
                <a:lnTo>
                  <a:pt x="3677412" y="411480"/>
                </a:lnTo>
                <a:lnTo>
                  <a:pt x="4437888" y="411480"/>
                </a:lnTo>
                <a:lnTo>
                  <a:pt x="4437888" y="207264"/>
                </a:lnTo>
                <a:close/>
              </a:path>
              <a:path w="7486015" h="2066925">
                <a:moveTo>
                  <a:pt x="4437888" y="0"/>
                </a:moveTo>
                <a:lnTo>
                  <a:pt x="3677412" y="0"/>
                </a:lnTo>
                <a:lnTo>
                  <a:pt x="3677412" y="204216"/>
                </a:lnTo>
                <a:lnTo>
                  <a:pt x="4437888" y="204216"/>
                </a:lnTo>
                <a:lnTo>
                  <a:pt x="4437888" y="0"/>
                </a:lnTo>
                <a:close/>
              </a:path>
              <a:path w="7486015" h="2066925">
                <a:moveTo>
                  <a:pt x="5199888" y="1862328"/>
                </a:moveTo>
                <a:lnTo>
                  <a:pt x="4440936" y="1862328"/>
                </a:lnTo>
                <a:lnTo>
                  <a:pt x="4440936" y="2066544"/>
                </a:lnTo>
                <a:lnTo>
                  <a:pt x="5199888" y="2066544"/>
                </a:lnTo>
                <a:lnTo>
                  <a:pt x="5199888" y="1862328"/>
                </a:lnTo>
                <a:close/>
              </a:path>
              <a:path w="7486015" h="2066925">
                <a:moveTo>
                  <a:pt x="5199888" y="1655064"/>
                </a:moveTo>
                <a:lnTo>
                  <a:pt x="4440936" y="1655064"/>
                </a:lnTo>
                <a:lnTo>
                  <a:pt x="4440936" y="1859280"/>
                </a:lnTo>
                <a:lnTo>
                  <a:pt x="5199888" y="1859280"/>
                </a:lnTo>
                <a:lnTo>
                  <a:pt x="5199888" y="1655064"/>
                </a:lnTo>
                <a:close/>
              </a:path>
              <a:path w="7486015" h="2066925">
                <a:moveTo>
                  <a:pt x="5199888" y="1449324"/>
                </a:moveTo>
                <a:lnTo>
                  <a:pt x="4440936" y="1449324"/>
                </a:lnTo>
                <a:lnTo>
                  <a:pt x="4440936" y="1652016"/>
                </a:lnTo>
                <a:lnTo>
                  <a:pt x="5199888" y="1652016"/>
                </a:lnTo>
                <a:lnTo>
                  <a:pt x="5199888" y="1449324"/>
                </a:lnTo>
                <a:close/>
              </a:path>
              <a:path w="7486015" h="2066925">
                <a:moveTo>
                  <a:pt x="5199888" y="1242060"/>
                </a:moveTo>
                <a:lnTo>
                  <a:pt x="4440936" y="1242060"/>
                </a:lnTo>
                <a:lnTo>
                  <a:pt x="4440936" y="1446276"/>
                </a:lnTo>
                <a:lnTo>
                  <a:pt x="5199888" y="1446276"/>
                </a:lnTo>
                <a:lnTo>
                  <a:pt x="5199888" y="1242060"/>
                </a:lnTo>
                <a:close/>
              </a:path>
              <a:path w="7486015" h="2066925">
                <a:moveTo>
                  <a:pt x="5199888" y="1034796"/>
                </a:moveTo>
                <a:lnTo>
                  <a:pt x="4440936" y="1034796"/>
                </a:lnTo>
                <a:lnTo>
                  <a:pt x="4440936" y="1239012"/>
                </a:lnTo>
                <a:lnTo>
                  <a:pt x="5199888" y="1239012"/>
                </a:lnTo>
                <a:lnTo>
                  <a:pt x="5199888" y="1034796"/>
                </a:lnTo>
                <a:close/>
              </a:path>
              <a:path w="7486015" h="2066925">
                <a:moveTo>
                  <a:pt x="5199888" y="827532"/>
                </a:moveTo>
                <a:lnTo>
                  <a:pt x="4440936" y="827532"/>
                </a:lnTo>
                <a:lnTo>
                  <a:pt x="4440936" y="1031748"/>
                </a:lnTo>
                <a:lnTo>
                  <a:pt x="5199888" y="1031748"/>
                </a:lnTo>
                <a:lnTo>
                  <a:pt x="5199888" y="827532"/>
                </a:lnTo>
                <a:close/>
              </a:path>
              <a:path w="7486015" h="2066925">
                <a:moveTo>
                  <a:pt x="5199888" y="621792"/>
                </a:moveTo>
                <a:lnTo>
                  <a:pt x="4440936" y="621792"/>
                </a:lnTo>
                <a:lnTo>
                  <a:pt x="4440936" y="824484"/>
                </a:lnTo>
                <a:lnTo>
                  <a:pt x="5199888" y="824484"/>
                </a:lnTo>
                <a:lnTo>
                  <a:pt x="5199888" y="621792"/>
                </a:lnTo>
                <a:close/>
              </a:path>
              <a:path w="7486015" h="2066925">
                <a:moveTo>
                  <a:pt x="5199888" y="414528"/>
                </a:moveTo>
                <a:lnTo>
                  <a:pt x="4440936" y="414528"/>
                </a:lnTo>
                <a:lnTo>
                  <a:pt x="4440936" y="618744"/>
                </a:lnTo>
                <a:lnTo>
                  <a:pt x="5199888" y="618744"/>
                </a:lnTo>
                <a:lnTo>
                  <a:pt x="5199888" y="414528"/>
                </a:lnTo>
                <a:close/>
              </a:path>
              <a:path w="7486015" h="2066925">
                <a:moveTo>
                  <a:pt x="5199888" y="207264"/>
                </a:moveTo>
                <a:lnTo>
                  <a:pt x="4440936" y="207264"/>
                </a:lnTo>
                <a:lnTo>
                  <a:pt x="4440936" y="411480"/>
                </a:lnTo>
                <a:lnTo>
                  <a:pt x="5199888" y="411480"/>
                </a:lnTo>
                <a:lnTo>
                  <a:pt x="5199888" y="207264"/>
                </a:lnTo>
                <a:close/>
              </a:path>
              <a:path w="7486015" h="2066925">
                <a:moveTo>
                  <a:pt x="5199888" y="0"/>
                </a:moveTo>
                <a:lnTo>
                  <a:pt x="4440936" y="0"/>
                </a:lnTo>
                <a:lnTo>
                  <a:pt x="4440936" y="204216"/>
                </a:lnTo>
                <a:lnTo>
                  <a:pt x="5199888" y="204216"/>
                </a:lnTo>
                <a:lnTo>
                  <a:pt x="5199888" y="0"/>
                </a:lnTo>
                <a:close/>
              </a:path>
              <a:path w="7486015" h="2066925">
                <a:moveTo>
                  <a:pt x="5961875" y="1862328"/>
                </a:moveTo>
                <a:lnTo>
                  <a:pt x="5202936" y="1862328"/>
                </a:lnTo>
                <a:lnTo>
                  <a:pt x="5202936" y="2066544"/>
                </a:lnTo>
                <a:lnTo>
                  <a:pt x="5961875" y="2066544"/>
                </a:lnTo>
                <a:lnTo>
                  <a:pt x="5961875" y="1862328"/>
                </a:lnTo>
                <a:close/>
              </a:path>
              <a:path w="7486015" h="2066925">
                <a:moveTo>
                  <a:pt x="5961875" y="1655064"/>
                </a:moveTo>
                <a:lnTo>
                  <a:pt x="5202936" y="1655064"/>
                </a:lnTo>
                <a:lnTo>
                  <a:pt x="5202936" y="1859280"/>
                </a:lnTo>
                <a:lnTo>
                  <a:pt x="5961875" y="1859280"/>
                </a:lnTo>
                <a:lnTo>
                  <a:pt x="5961875" y="1655064"/>
                </a:lnTo>
                <a:close/>
              </a:path>
              <a:path w="7486015" h="2066925">
                <a:moveTo>
                  <a:pt x="5961875" y="1449324"/>
                </a:moveTo>
                <a:lnTo>
                  <a:pt x="5202936" y="1449324"/>
                </a:lnTo>
                <a:lnTo>
                  <a:pt x="5202936" y="1652016"/>
                </a:lnTo>
                <a:lnTo>
                  <a:pt x="5961875" y="1652016"/>
                </a:lnTo>
                <a:lnTo>
                  <a:pt x="5961875" y="1449324"/>
                </a:lnTo>
                <a:close/>
              </a:path>
              <a:path w="7486015" h="2066925">
                <a:moveTo>
                  <a:pt x="5961875" y="1242060"/>
                </a:moveTo>
                <a:lnTo>
                  <a:pt x="5202936" y="1242060"/>
                </a:lnTo>
                <a:lnTo>
                  <a:pt x="5202936" y="1446276"/>
                </a:lnTo>
                <a:lnTo>
                  <a:pt x="5961875" y="1446276"/>
                </a:lnTo>
                <a:lnTo>
                  <a:pt x="5961875" y="1242060"/>
                </a:lnTo>
                <a:close/>
              </a:path>
              <a:path w="7486015" h="2066925">
                <a:moveTo>
                  <a:pt x="5961875" y="1034796"/>
                </a:moveTo>
                <a:lnTo>
                  <a:pt x="5202936" y="1034796"/>
                </a:lnTo>
                <a:lnTo>
                  <a:pt x="5202936" y="1239012"/>
                </a:lnTo>
                <a:lnTo>
                  <a:pt x="5961875" y="1239012"/>
                </a:lnTo>
                <a:lnTo>
                  <a:pt x="5961875" y="1034796"/>
                </a:lnTo>
                <a:close/>
              </a:path>
              <a:path w="7486015" h="2066925">
                <a:moveTo>
                  <a:pt x="5961875" y="827532"/>
                </a:moveTo>
                <a:lnTo>
                  <a:pt x="5202936" y="827532"/>
                </a:lnTo>
                <a:lnTo>
                  <a:pt x="5202936" y="1031748"/>
                </a:lnTo>
                <a:lnTo>
                  <a:pt x="5961875" y="1031748"/>
                </a:lnTo>
                <a:lnTo>
                  <a:pt x="5961875" y="827532"/>
                </a:lnTo>
                <a:close/>
              </a:path>
              <a:path w="7486015" h="2066925">
                <a:moveTo>
                  <a:pt x="5961875" y="621792"/>
                </a:moveTo>
                <a:lnTo>
                  <a:pt x="5202936" y="621792"/>
                </a:lnTo>
                <a:lnTo>
                  <a:pt x="5202936" y="824484"/>
                </a:lnTo>
                <a:lnTo>
                  <a:pt x="5961875" y="824484"/>
                </a:lnTo>
                <a:lnTo>
                  <a:pt x="5961875" y="621792"/>
                </a:lnTo>
                <a:close/>
              </a:path>
              <a:path w="7486015" h="2066925">
                <a:moveTo>
                  <a:pt x="5961875" y="414528"/>
                </a:moveTo>
                <a:lnTo>
                  <a:pt x="5202936" y="414528"/>
                </a:lnTo>
                <a:lnTo>
                  <a:pt x="5202936" y="618744"/>
                </a:lnTo>
                <a:lnTo>
                  <a:pt x="5961875" y="618744"/>
                </a:lnTo>
                <a:lnTo>
                  <a:pt x="5961875" y="414528"/>
                </a:lnTo>
                <a:close/>
              </a:path>
              <a:path w="7486015" h="2066925">
                <a:moveTo>
                  <a:pt x="5961875" y="207264"/>
                </a:moveTo>
                <a:lnTo>
                  <a:pt x="5202936" y="207264"/>
                </a:lnTo>
                <a:lnTo>
                  <a:pt x="5202936" y="411480"/>
                </a:lnTo>
                <a:lnTo>
                  <a:pt x="5961875" y="411480"/>
                </a:lnTo>
                <a:lnTo>
                  <a:pt x="5961875" y="207264"/>
                </a:lnTo>
                <a:close/>
              </a:path>
              <a:path w="7486015" h="2066925">
                <a:moveTo>
                  <a:pt x="5961875" y="0"/>
                </a:moveTo>
                <a:lnTo>
                  <a:pt x="5202936" y="0"/>
                </a:lnTo>
                <a:lnTo>
                  <a:pt x="5202936" y="204216"/>
                </a:lnTo>
                <a:lnTo>
                  <a:pt x="5961875" y="204216"/>
                </a:lnTo>
                <a:lnTo>
                  <a:pt x="5961875" y="0"/>
                </a:lnTo>
                <a:close/>
              </a:path>
              <a:path w="7486015" h="2066925">
                <a:moveTo>
                  <a:pt x="6723888" y="1655064"/>
                </a:moveTo>
                <a:lnTo>
                  <a:pt x="5964936" y="1655064"/>
                </a:lnTo>
                <a:lnTo>
                  <a:pt x="5964936" y="1859280"/>
                </a:lnTo>
                <a:lnTo>
                  <a:pt x="6723888" y="1859280"/>
                </a:lnTo>
                <a:lnTo>
                  <a:pt x="6723888" y="1655064"/>
                </a:lnTo>
                <a:close/>
              </a:path>
              <a:path w="7486015" h="2066925">
                <a:moveTo>
                  <a:pt x="6723888" y="1449324"/>
                </a:moveTo>
                <a:lnTo>
                  <a:pt x="5964936" y="1449324"/>
                </a:lnTo>
                <a:lnTo>
                  <a:pt x="5964936" y="1652016"/>
                </a:lnTo>
                <a:lnTo>
                  <a:pt x="6723888" y="1652016"/>
                </a:lnTo>
                <a:lnTo>
                  <a:pt x="6723888" y="1449324"/>
                </a:lnTo>
                <a:close/>
              </a:path>
              <a:path w="7486015" h="2066925">
                <a:moveTo>
                  <a:pt x="6723888" y="1242060"/>
                </a:moveTo>
                <a:lnTo>
                  <a:pt x="5964936" y="1242060"/>
                </a:lnTo>
                <a:lnTo>
                  <a:pt x="5964936" y="1446276"/>
                </a:lnTo>
                <a:lnTo>
                  <a:pt x="6723888" y="1446276"/>
                </a:lnTo>
                <a:lnTo>
                  <a:pt x="6723888" y="1242060"/>
                </a:lnTo>
                <a:close/>
              </a:path>
              <a:path w="7486015" h="2066925">
                <a:moveTo>
                  <a:pt x="6723888" y="1034796"/>
                </a:moveTo>
                <a:lnTo>
                  <a:pt x="5964936" y="1034796"/>
                </a:lnTo>
                <a:lnTo>
                  <a:pt x="5964936" y="1239012"/>
                </a:lnTo>
                <a:lnTo>
                  <a:pt x="6723888" y="1239012"/>
                </a:lnTo>
                <a:lnTo>
                  <a:pt x="6723888" y="1034796"/>
                </a:lnTo>
                <a:close/>
              </a:path>
              <a:path w="7486015" h="2066925">
                <a:moveTo>
                  <a:pt x="6723888" y="827532"/>
                </a:moveTo>
                <a:lnTo>
                  <a:pt x="5964936" y="827532"/>
                </a:lnTo>
                <a:lnTo>
                  <a:pt x="5964936" y="1031748"/>
                </a:lnTo>
                <a:lnTo>
                  <a:pt x="6723888" y="1031748"/>
                </a:lnTo>
                <a:lnTo>
                  <a:pt x="6723888" y="827532"/>
                </a:lnTo>
                <a:close/>
              </a:path>
              <a:path w="7486015" h="2066925">
                <a:moveTo>
                  <a:pt x="6723888" y="621792"/>
                </a:moveTo>
                <a:lnTo>
                  <a:pt x="5964936" y="621792"/>
                </a:lnTo>
                <a:lnTo>
                  <a:pt x="5964936" y="824484"/>
                </a:lnTo>
                <a:lnTo>
                  <a:pt x="6723888" y="824484"/>
                </a:lnTo>
                <a:lnTo>
                  <a:pt x="6723888" y="621792"/>
                </a:lnTo>
                <a:close/>
              </a:path>
              <a:path w="7486015" h="2066925">
                <a:moveTo>
                  <a:pt x="6723888" y="414528"/>
                </a:moveTo>
                <a:lnTo>
                  <a:pt x="5964936" y="414528"/>
                </a:lnTo>
                <a:lnTo>
                  <a:pt x="5964936" y="618744"/>
                </a:lnTo>
                <a:lnTo>
                  <a:pt x="6723888" y="618744"/>
                </a:lnTo>
                <a:lnTo>
                  <a:pt x="6723888" y="414528"/>
                </a:lnTo>
                <a:close/>
              </a:path>
              <a:path w="7486015" h="2066925">
                <a:moveTo>
                  <a:pt x="6723888" y="207264"/>
                </a:moveTo>
                <a:lnTo>
                  <a:pt x="5964936" y="207264"/>
                </a:lnTo>
                <a:lnTo>
                  <a:pt x="5964936" y="411480"/>
                </a:lnTo>
                <a:lnTo>
                  <a:pt x="6723888" y="411480"/>
                </a:lnTo>
                <a:lnTo>
                  <a:pt x="6723888" y="207264"/>
                </a:lnTo>
                <a:close/>
              </a:path>
              <a:path w="7486015" h="2066925">
                <a:moveTo>
                  <a:pt x="6723888" y="0"/>
                </a:moveTo>
                <a:lnTo>
                  <a:pt x="5964936" y="0"/>
                </a:lnTo>
                <a:lnTo>
                  <a:pt x="5964936" y="204216"/>
                </a:lnTo>
                <a:lnTo>
                  <a:pt x="6723888" y="204216"/>
                </a:lnTo>
                <a:lnTo>
                  <a:pt x="6723888" y="0"/>
                </a:lnTo>
                <a:close/>
              </a:path>
              <a:path w="7486015" h="2066925">
                <a:moveTo>
                  <a:pt x="7485888" y="1655064"/>
                </a:moveTo>
                <a:lnTo>
                  <a:pt x="6726936" y="1655064"/>
                </a:lnTo>
                <a:lnTo>
                  <a:pt x="6726936" y="1859280"/>
                </a:lnTo>
                <a:lnTo>
                  <a:pt x="7485888" y="1859280"/>
                </a:lnTo>
                <a:lnTo>
                  <a:pt x="7485888" y="1655064"/>
                </a:lnTo>
                <a:close/>
              </a:path>
              <a:path w="7486015" h="2066925">
                <a:moveTo>
                  <a:pt x="7485888" y="1449324"/>
                </a:moveTo>
                <a:lnTo>
                  <a:pt x="6726936" y="1449324"/>
                </a:lnTo>
                <a:lnTo>
                  <a:pt x="6726936" y="1652016"/>
                </a:lnTo>
                <a:lnTo>
                  <a:pt x="7485888" y="1652016"/>
                </a:lnTo>
                <a:lnTo>
                  <a:pt x="7485888" y="1449324"/>
                </a:lnTo>
                <a:close/>
              </a:path>
              <a:path w="7486015" h="2066925">
                <a:moveTo>
                  <a:pt x="7485888" y="1242060"/>
                </a:moveTo>
                <a:lnTo>
                  <a:pt x="6726936" y="1242060"/>
                </a:lnTo>
                <a:lnTo>
                  <a:pt x="6726936" y="1446276"/>
                </a:lnTo>
                <a:lnTo>
                  <a:pt x="7485888" y="1446276"/>
                </a:lnTo>
                <a:lnTo>
                  <a:pt x="7485888" y="1242060"/>
                </a:lnTo>
                <a:close/>
              </a:path>
              <a:path w="7486015" h="2066925">
                <a:moveTo>
                  <a:pt x="7485888" y="1034796"/>
                </a:moveTo>
                <a:lnTo>
                  <a:pt x="6726936" y="1034796"/>
                </a:lnTo>
                <a:lnTo>
                  <a:pt x="6726936" y="1239012"/>
                </a:lnTo>
                <a:lnTo>
                  <a:pt x="7485888" y="1239012"/>
                </a:lnTo>
                <a:lnTo>
                  <a:pt x="7485888" y="1034796"/>
                </a:lnTo>
                <a:close/>
              </a:path>
              <a:path w="7486015" h="2066925">
                <a:moveTo>
                  <a:pt x="7485888" y="827532"/>
                </a:moveTo>
                <a:lnTo>
                  <a:pt x="6726936" y="827532"/>
                </a:lnTo>
                <a:lnTo>
                  <a:pt x="6726936" y="1031748"/>
                </a:lnTo>
                <a:lnTo>
                  <a:pt x="7485888" y="1031748"/>
                </a:lnTo>
                <a:lnTo>
                  <a:pt x="7485888" y="827532"/>
                </a:lnTo>
                <a:close/>
              </a:path>
              <a:path w="7486015" h="2066925">
                <a:moveTo>
                  <a:pt x="7485888" y="621792"/>
                </a:moveTo>
                <a:lnTo>
                  <a:pt x="6726936" y="621792"/>
                </a:lnTo>
                <a:lnTo>
                  <a:pt x="6726936" y="824484"/>
                </a:lnTo>
                <a:lnTo>
                  <a:pt x="7485888" y="824484"/>
                </a:lnTo>
                <a:lnTo>
                  <a:pt x="7485888" y="621792"/>
                </a:lnTo>
                <a:close/>
              </a:path>
              <a:path w="7486015" h="2066925">
                <a:moveTo>
                  <a:pt x="7485888" y="414528"/>
                </a:moveTo>
                <a:lnTo>
                  <a:pt x="6726936" y="414528"/>
                </a:lnTo>
                <a:lnTo>
                  <a:pt x="6726936" y="618744"/>
                </a:lnTo>
                <a:lnTo>
                  <a:pt x="7485888" y="618744"/>
                </a:lnTo>
                <a:lnTo>
                  <a:pt x="7485888" y="414528"/>
                </a:lnTo>
                <a:close/>
              </a:path>
              <a:path w="7486015" h="2066925">
                <a:moveTo>
                  <a:pt x="7485888" y="207264"/>
                </a:moveTo>
                <a:lnTo>
                  <a:pt x="6726936" y="207264"/>
                </a:lnTo>
                <a:lnTo>
                  <a:pt x="6726936" y="411480"/>
                </a:lnTo>
                <a:lnTo>
                  <a:pt x="7485888" y="411480"/>
                </a:lnTo>
                <a:lnTo>
                  <a:pt x="7485888" y="207264"/>
                </a:lnTo>
                <a:close/>
              </a:path>
              <a:path w="7486015" h="2066925">
                <a:moveTo>
                  <a:pt x="7485888" y="0"/>
                </a:moveTo>
                <a:lnTo>
                  <a:pt x="6726936" y="0"/>
                </a:lnTo>
                <a:lnTo>
                  <a:pt x="6726936" y="204216"/>
                </a:lnTo>
                <a:lnTo>
                  <a:pt x="7485888" y="204216"/>
                </a:lnTo>
                <a:lnTo>
                  <a:pt x="7485888" y="0"/>
                </a:lnTo>
                <a:close/>
              </a:path>
            </a:pathLst>
          </a:custGeom>
          <a:solidFill>
            <a:srgbClr val="FFFFFF"/>
          </a:solidFill>
        </xdr:spPr>
      </xdr:sp>
      <xdr:sp macro="" textlink="">
        <xdr:nvSpPr>
          <xdr:cNvPr id="86" name="Shape 86">
            <a:extLst>
              <a:ext uri="{FF2B5EF4-FFF2-40B4-BE49-F238E27FC236}">
                <a16:creationId xmlns:a16="http://schemas.microsoft.com/office/drawing/2014/main" id="{00000000-0008-0000-0700-000056000000}"/>
              </a:ext>
            </a:extLst>
          </xdr:cNvPr>
          <xdr:cNvSpPr/>
        </xdr:nvSpPr>
        <xdr:spPr>
          <a:xfrm>
            <a:off x="0" y="1449323"/>
            <a:ext cx="7486015" cy="1445260"/>
          </a:xfrm>
          <a:custGeom>
            <a:avLst/>
            <a:gdLst/>
            <a:ahLst/>
            <a:cxnLst/>
            <a:rect l="0" t="0" r="0" b="0"/>
            <a:pathLst>
              <a:path w="7486015" h="1445260">
                <a:moveTo>
                  <a:pt x="312420" y="0"/>
                </a:moveTo>
                <a:lnTo>
                  <a:pt x="0" y="0"/>
                </a:lnTo>
                <a:lnTo>
                  <a:pt x="0" y="1444752"/>
                </a:lnTo>
                <a:lnTo>
                  <a:pt x="312420" y="1444752"/>
                </a:lnTo>
                <a:lnTo>
                  <a:pt x="312420" y="0"/>
                </a:lnTo>
                <a:close/>
              </a:path>
              <a:path w="7486015" h="1445260">
                <a:moveTo>
                  <a:pt x="1264920" y="0"/>
                </a:moveTo>
                <a:lnTo>
                  <a:pt x="315468" y="0"/>
                </a:lnTo>
                <a:lnTo>
                  <a:pt x="315468" y="1444752"/>
                </a:lnTo>
                <a:lnTo>
                  <a:pt x="1264920" y="1444752"/>
                </a:lnTo>
                <a:lnTo>
                  <a:pt x="1264920" y="0"/>
                </a:lnTo>
                <a:close/>
              </a:path>
              <a:path w="7486015" h="1445260">
                <a:moveTo>
                  <a:pt x="2531364" y="0"/>
                </a:moveTo>
                <a:lnTo>
                  <a:pt x="1267968" y="0"/>
                </a:lnTo>
                <a:lnTo>
                  <a:pt x="1267968" y="1444752"/>
                </a:lnTo>
                <a:lnTo>
                  <a:pt x="2531364" y="1444752"/>
                </a:lnTo>
                <a:lnTo>
                  <a:pt x="2531364" y="0"/>
                </a:lnTo>
                <a:close/>
              </a:path>
              <a:path w="7486015" h="1445260">
                <a:moveTo>
                  <a:pt x="3037332" y="1240536"/>
                </a:moveTo>
                <a:lnTo>
                  <a:pt x="2534412" y="1240536"/>
                </a:lnTo>
                <a:lnTo>
                  <a:pt x="2534412" y="1444752"/>
                </a:lnTo>
                <a:lnTo>
                  <a:pt x="3037332" y="1444752"/>
                </a:lnTo>
                <a:lnTo>
                  <a:pt x="3037332" y="1240536"/>
                </a:lnTo>
                <a:close/>
              </a:path>
              <a:path w="7486015" h="1445260">
                <a:moveTo>
                  <a:pt x="3037332" y="1033272"/>
                </a:moveTo>
                <a:lnTo>
                  <a:pt x="2534412" y="1033272"/>
                </a:lnTo>
                <a:lnTo>
                  <a:pt x="2534412" y="1237488"/>
                </a:lnTo>
                <a:lnTo>
                  <a:pt x="3037332" y="1237488"/>
                </a:lnTo>
                <a:lnTo>
                  <a:pt x="3037332" y="1033272"/>
                </a:lnTo>
                <a:close/>
              </a:path>
              <a:path w="7486015" h="1445260">
                <a:moveTo>
                  <a:pt x="3037332" y="827532"/>
                </a:moveTo>
                <a:lnTo>
                  <a:pt x="2534412" y="827532"/>
                </a:lnTo>
                <a:lnTo>
                  <a:pt x="2534412" y="1030224"/>
                </a:lnTo>
                <a:lnTo>
                  <a:pt x="3037332" y="1030224"/>
                </a:lnTo>
                <a:lnTo>
                  <a:pt x="3037332" y="827532"/>
                </a:lnTo>
                <a:close/>
              </a:path>
              <a:path w="7486015" h="1445260">
                <a:moveTo>
                  <a:pt x="3037332" y="620268"/>
                </a:moveTo>
                <a:lnTo>
                  <a:pt x="2534412" y="620268"/>
                </a:lnTo>
                <a:lnTo>
                  <a:pt x="2534412" y="824484"/>
                </a:lnTo>
                <a:lnTo>
                  <a:pt x="3037332" y="824484"/>
                </a:lnTo>
                <a:lnTo>
                  <a:pt x="3037332" y="620268"/>
                </a:lnTo>
                <a:close/>
              </a:path>
              <a:path w="7486015" h="1445260">
                <a:moveTo>
                  <a:pt x="3674364" y="1240536"/>
                </a:moveTo>
                <a:lnTo>
                  <a:pt x="3040380" y="1240536"/>
                </a:lnTo>
                <a:lnTo>
                  <a:pt x="3040380" y="1444752"/>
                </a:lnTo>
                <a:lnTo>
                  <a:pt x="3674364" y="1444752"/>
                </a:lnTo>
                <a:lnTo>
                  <a:pt x="3674364" y="1240536"/>
                </a:lnTo>
                <a:close/>
              </a:path>
              <a:path w="7486015" h="1445260">
                <a:moveTo>
                  <a:pt x="3674364" y="1033272"/>
                </a:moveTo>
                <a:lnTo>
                  <a:pt x="3040380" y="1033272"/>
                </a:lnTo>
                <a:lnTo>
                  <a:pt x="3040380" y="1237488"/>
                </a:lnTo>
                <a:lnTo>
                  <a:pt x="3674364" y="1237488"/>
                </a:lnTo>
                <a:lnTo>
                  <a:pt x="3674364" y="1033272"/>
                </a:lnTo>
                <a:close/>
              </a:path>
              <a:path w="7486015" h="1445260">
                <a:moveTo>
                  <a:pt x="3674364" y="827532"/>
                </a:moveTo>
                <a:lnTo>
                  <a:pt x="3040380" y="827532"/>
                </a:lnTo>
                <a:lnTo>
                  <a:pt x="3040380" y="1030224"/>
                </a:lnTo>
                <a:lnTo>
                  <a:pt x="3674364" y="1030224"/>
                </a:lnTo>
                <a:lnTo>
                  <a:pt x="3674364" y="827532"/>
                </a:lnTo>
                <a:close/>
              </a:path>
              <a:path w="7486015" h="1445260">
                <a:moveTo>
                  <a:pt x="3674364" y="620268"/>
                </a:moveTo>
                <a:lnTo>
                  <a:pt x="3040380" y="620268"/>
                </a:lnTo>
                <a:lnTo>
                  <a:pt x="3040380" y="824484"/>
                </a:lnTo>
                <a:lnTo>
                  <a:pt x="3674364" y="824484"/>
                </a:lnTo>
                <a:lnTo>
                  <a:pt x="3674364" y="620268"/>
                </a:lnTo>
                <a:close/>
              </a:path>
              <a:path w="7486015" h="1445260">
                <a:moveTo>
                  <a:pt x="4437888" y="1240536"/>
                </a:moveTo>
                <a:lnTo>
                  <a:pt x="3677412" y="1240536"/>
                </a:lnTo>
                <a:lnTo>
                  <a:pt x="3677412" y="1444752"/>
                </a:lnTo>
                <a:lnTo>
                  <a:pt x="4437888" y="1444752"/>
                </a:lnTo>
                <a:lnTo>
                  <a:pt x="4437888" y="1240536"/>
                </a:lnTo>
                <a:close/>
              </a:path>
              <a:path w="7486015" h="1445260">
                <a:moveTo>
                  <a:pt x="4437888" y="1033272"/>
                </a:moveTo>
                <a:lnTo>
                  <a:pt x="3677412" y="1033272"/>
                </a:lnTo>
                <a:lnTo>
                  <a:pt x="3677412" y="1237488"/>
                </a:lnTo>
                <a:lnTo>
                  <a:pt x="4437888" y="1237488"/>
                </a:lnTo>
                <a:lnTo>
                  <a:pt x="4437888" y="1033272"/>
                </a:lnTo>
                <a:close/>
              </a:path>
              <a:path w="7486015" h="1445260">
                <a:moveTo>
                  <a:pt x="4437888" y="827532"/>
                </a:moveTo>
                <a:lnTo>
                  <a:pt x="3677412" y="827532"/>
                </a:lnTo>
                <a:lnTo>
                  <a:pt x="3677412" y="1030224"/>
                </a:lnTo>
                <a:lnTo>
                  <a:pt x="4437888" y="1030224"/>
                </a:lnTo>
                <a:lnTo>
                  <a:pt x="4437888" y="827532"/>
                </a:lnTo>
                <a:close/>
              </a:path>
              <a:path w="7486015" h="1445260">
                <a:moveTo>
                  <a:pt x="4437888" y="620268"/>
                </a:moveTo>
                <a:lnTo>
                  <a:pt x="3677412" y="620268"/>
                </a:lnTo>
                <a:lnTo>
                  <a:pt x="3677412" y="824484"/>
                </a:lnTo>
                <a:lnTo>
                  <a:pt x="4437888" y="824484"/>
                </a:lnTo>
                <a:lnTo>
                  <a:pt x="4437888" y="620268"/>
                </a:lnTo>
                <a:close/>
              </a:path>
              <a:path w="7486015" h="1445260">
                <a:moveTo>
                  <a:pt x="5199888" y="1240536"/>
                </a:moveTo>
                <a:lnTo>
                  <a:pt x="4440936" y="1240536"/>
                </a:lnTo>
                <a:lnTo>
                  <a:pt x="4440936" y="1444752"/>
                </a:lnTo>
                <a:lnTo>
                  <a:pt x="5199888" y="1444752"/>
                </a:lnTo>
                <a:lnTo>
                  <a:pt x="5199888" y="1240536"/>
                </a:lnTo>
                <a:close/>
              </a:path>
              <a:path w="7486015" h="1445260">
                <a:moveTo>
                  <a:pt x="5199888" y="1033272"/>
                </a:moveTo>
                <a:lnTo>
                  <a:pt x="4440936" y="1033272"/>
                </a:lnTo>
                <a:lnTo>
                  <a:pt x="4440936" y="1237488"/>
                </a:lnTo>
                <a:lnTo>
                  <a:pt x="5199888" y="1237488"/>
                </a:lnTo>
                <a:lnTo>
                  <a:pt x="5199888" y="1033272"/>
                </a:lnTo>
                <a:close/>
              </a:path>
              <a:path w="7486015" h="1445260">
                <a:moveTo>
                  <a:pt x="5199888" y="827532"/>
                </a:moveTo>
                <a:lnTo>
                  <a:pt x="4440936" y="827532"/>
                </a:lnTo>
                <a:lnTo>
                  <a:pt x="4440936" y="1030224"/>
                </a:lnTo>
                <a:lnTo>
                  <a:pt x="5199888" y="1030224"/>
                </a:lnTo>
                <a:lnTo>
                  <a:pt x="5199888" y="827532"/>
                </a:lnTo>
                <a:close/>
              </a:path>
              <a:path w="7486015" h="1445260">
                <a:moveTo>
                  <a:pt x="5199888" y="620268"/>
                </a:moveTo>
                <a:lnTo>
                  <a:pt x="4440936" y="620268"/>
                </a:lnTo>
                <a:lnTo>
                  <a:pt x="4440936" y="824484"/>
                </a:lnTo>
                <a:lnTo>
                  <a:pt x="5199888" y="824484"/>
                </a:lnTo>
                <a:lnTo>
                  <a:pt x="5199888" y="620268"/>
                </a:lnTo>
                <a:close/>
              </a:path>
              <a:path w="7486015" h="1445260">
                <a:moveTo>
                  <a:pt x="5961875" y="1240536"/>
                </a:moveTo>
                <a:lnTo>
                  <a:pt x="5202936" y="1240536"/>
                </a:lnTo>
                <a:lnTo>
                  <a:pt x="5202936" y="1444752"/>
                </a:lnTo>
                <a:lnTo>
                  <a:pt x="5961875" y="1444752"/>
                </a:lnTo>
                <a:lnTo>
                  <a:pt x="5961875" y="1240536"/>
                </a:lnTo>
                <a:close/>
              </a:path>
              <a:path w="7486015" h="1445260">
                <a:moveTo>
                  <a:pt x="5961875" y="1033272"/>
                </a:moveTo>
                <a:lnTo>
                  <a:pt x="5202936" y="1033272"/>
                </a:lnTo>
                <a:lnTo>
                  <a:pt x="5202936" y="1237488"/>
                </a:lnTo>
                <a:lnTo>
                  <a:pt x="5961875" y="1237488"/>
                </a:lnTo>
                <a:lnTo>
                  <a:pt x="5961875" y="1033272"/>
                </a:lnTo>
                <a:close/>
              </a:path>
              <a:path w="7486015" h="1445260">
                <a:moveTo>
                  <a:pt x="5961875" y="827532"/>
                </a:moveTo>
                <a:lnTo>
                  <a:pt x="5202936" y="827532"/>
                </a:lnTo>
                <a:lnTo>
                  <a:pt x="5202936" y="1030224"/>
                </a:lnTo>
                <a:lnTo>
                  <a:pt x="5961875" y="1030224"/>
                </a:lnTo>
                <a:lnTo>
                  <a:pt x="5961875" y="827532"/>
                </a:lnTo>
                <a:close/>
              </a:path>
              <a:path w="7486015" h="1445260">
                <a:moveTo>
                  <a:pt x="5961875" y="620268"/>
                </a:moveTo>
                <a:lnTo>
                  <a:pt x="5202936" y="620268"/>
                </a:lnTo>
                <a:lnTo>
                  <a:pt x="5202936" y="824484"/>
                </a:lnTo>
                <a:lnTo>
                  <a:pt x="5961875" y="824484"/>
                </a:lnTo>
                <a:lnTo>
                  <a:pt x="5961875" y="620268"/>
                </a:lnTo>
                <a:close/>
              </a:path>
              <a:path w="7486015" h="1445260">
                <a:moveTo>
                  <a:pt x="5961875" y="413004"/>
                </a:moveTo>
                <a:lnTo>
                  <a:pt x="5202936" y="413004"/>
                </a:lnTo>
                <a:lnTo>
                  <a:pt x="5202936" y="617220"/>
                </a:lnTo>
                <a:lnTo>
                  <a:pt x="5961875" y="617220"/>
                </a:lnTo>
                <a:lnTo>
                  <a:pt x="5961875" y="413004"/>
                </a:lnTo>
                <a:close/>
              </a:path>
              <a:path w="7486015" h="1445260">
                <a:moveTo>
                  <a:pt x="6723888" y="1240536"/>
                </a:moveTo>
                <a:lnTo>
                  <a:pt x="5964936" y="1240536"/>
                </a:lnTo>
                <a:lnTo>
                  <a:pt x="5964936" y="1444752"/>
                </a:lnTo>
                <a:lnTo>
                  <a:pt x="6723888" y="1444752"/>
                </a:lnTo>
                <a:lnTo>
                  <a:pt x="6723888" y="1240536"/>
                </a:lnTo>
                <a:close/>
              </a:path>
              <a:path w="7486015" h="1445260">
                <a:moveTo>
                  <a:pt x="6723888" y="1033272"/>
                </a:moveTo>
                <a:lnTo>
                  <a:pt x="5964936" y="1033272"/>
                </a:lnTo>
                <a:lnTo>
                  <a:pt x="5964936" y="1237488"/>
                </a:lnTo>
                <a:lnTo>
                  <a:pt x="6723888" y="1237488"/>
                </a:lnTo>
                <a:lnTo>
                  <a:pt x="6723888" y="1033272"/>
                </a:lnTo>
                <a:close/>
              </a:path>
              <a:path w="7486015" h="1445260">
                <a:moveTo>
                  <a:pt x="6723888" y="827532"/>
                </a:moveTo>
                <a:lnTo>
                  <a:pt x="5964936" y="827532"/>
                </a:lnTo>
                <a:lnTo>
                  <a:pt x="5964936" y="1030224"/>
                </a:lnTo>
                <a:lnTo>
                  <a:pt x="6723888" y="1030224"/>
                </a:lnTo>
                <a:lnTo>
                  <a:pt x="6723888" y="827532"/>
                </a:lnTo>
                <a:close/>
              </a:path>
              <a:path w="7486015" h="1445260">
                <a:moveTo>
                  <a:pt x="6723888" y="620268"/>
                </a:moveTo>
                <a:lnTo>
                  <a:pt x="5964936" y="620268"/>
                </a:lnTo>
                <a:lnTo>
                  <a:pt x="5964936" y="824484"/>
                </a:lnTo>
                <a:lnTo>
                  <a:pt x="6723888" y="824484"/>
                </a:lnTo>
                <a:lnTo>
                  <a:pt x="6723888" y="620268"/>
                </a:lnTo>
                <a:close/>
              </a:path>
              <a:path w="7486015" h="1445260">
                <a:moveTo>
                  <a:pt x="6723888" y="413004"/>
                </a:moveTo>
                <a:lnTo>
                  <a:pt x="5964936" y="413004"/>
                </a:lnTo>
                <a:lnTo>
                  <a:pt x="5964936" y="617220"/>
                </a:lnTo>
                <a:lnTo>
                  <a:pt x="6723888" y="617220"/>
                </a:lnTo>
                <a:lnTo>
                  <a:pt x="6723888" y="413004"/>
                </a:lnTo>
                <a:close/>
              </a:path>
              <a:path w="7486015" h="1445260">
                <a:moveTo>
                  <a:pt x="7485888" y="1240536"/>
                </a:moveTo>
                <a:lnTo>
                  <a:pt x="6726936" y="1240536"/>
                </a:lnTo>
                <a:lnTo>
                  <a:pt x="6726936" y="1444752"/>
                </a:lnTo>
                <a:lnTo>
                  <a:pt x="7485888" y="1444752"/>
                </a:lnTo>
                <a:lnTo>
                  <a:pt x="7485888" y="1240536"/>
                </a:lnTo>
                <a:close/>
              </a:path>
              <a:path w="7486015" h="1445260">
                <a:moveTo>
                  <a:pt x="7485888" y="1033272"/>
                </a:moveTo>
                <a:lnTo>
                  <a:pt x="6726936" y="1033272"/>
                </a:lnTo>
                <a:lnTo>
                  <a:pt x="6726936" y="1237488"/>
                </a:lnTo>
                <a:lnTo>
                  <a:pt x="7485888" y="1237488"/>
                </a:lnTo>
                <a:lnTo>
                  <a:pt x="7485888" y="1033272"/>
                </a:lnTo>
                <a:close/>
              </a:path>
              <a:path w="7486015" h="1445260">
                <a:moveTo>
                  <a:pt x="7485888" y="827532"/>
                </a:moveTo>
                <a:lnTo>
                  <a:pt x="6726936" y="827532"/>
                </a:lnTo>
                <a:lnTo>
                  <a:pt x="6726936" y="1030224"/>
                </a:lnTo>
                <a:lnTo>
                  <a:pt x="7485888" y="1030224"/>
                </a:lnTo>
                <a:lnTo>
                  <a:pt x="7485888" y="827532"/>
                </a:lnTo>
                <a:close/>
              </a:path>
              <a:path w="7486015" h="1445260">
                <a:moveTo>
                  <a:pt x="7485888" y="620268"/>
                </a:moveTo>
                <a:lnTo>
                  <a:pt x="6726936" y="620268"/>
                </a:lnTo>
                <a:lnTo>
                  <a:pt x="6726936" y="824484"/>
                </a:lnTo>
                <a:lnTo>
                  <a:pt x="7485888" y="824484"/>
                </a:lnTo>
                <a:lnTo>
                  <a:pt x="7485888" y="620268"/>
                </a:lnTo>
                <a:close/>
              </a:path>
              <a:path w="7486015" h="1445260">
                <a:moveTo>
                  <a:pt x="7485888" y="413004"/>
                </a:moveTo>
                <a:lnTo>
                  <a:pt x="6726936" y="413004"/>
                </a:lnTo>
                <a:lnTo>
                  <a:pt x="6726936" y="617220"/>
                </a:lnTo>
                <a:lnTo>
                  <a:pt x="7485888" y="617220"/>
                </a:lnTo>
                <a:lnTo>
                  <a:pt x="7485888" y="413004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11</xdr:col>
      <xdr:colOff>546481</xdr:colOff>
      <xdr:row>20</xdr:row>
      <xdr:rowOff>0</xdr:rowOff>
    </xdr:from>
    <xdr:ext cx="645160" cy="2894330"/>
    <xdr:sp macro="" textlink="">
      <xdr:nvSpPr>
        <xdr:cNvPr id="87" name="Shape 87">
          <a:extLst>
            <a:ext uri="{FF2B5EF4-FFF2-40B4-BE49-F238E27FC236}">
              <a16:creationId xmlns:a16="http://schemas.microsoft.com/office/drawing/2014/main" id="{00000000-0008-0000-0700-000057000000}"/>
            </a:ext>
          </a:extLst>
        </xdr:cNvPr>
        <xdr:cNvSpPr/>
      </xdr:nvSpPr>
      <xdr:spPr>
        <a:xfrm>
          <a:off x="0" y="0"/>
          <a:ext cx="645160" cy="2894330"/>
        </a:xfrm>
        <a:custGeom>
          <a:avLst/>
          <a:gdLst/>
          <a:ahLst/>
          <a:cxnLst/>
          <a:rect l="0" t="0" r="0" b="0"/>
          <a:pathLst>
            <a:path w="645160" h="2894330">
              <a:moveTo>
                <a:pt x="644652" y="2689860"/>
              </a:moveTo>
              <a:lnTo>
                <a:pt x="0" y="2689860"/>
              </a:lnTo>
              <a:lnTo>
                <a:pt x="0" y="2894076"/>
              </a:lnTo>
              <a:lnTo>
                <a:pt x="644652" y="2894076"/>
              </a:lnTo>
              <a:lnTo>
                <a:pt x="644652" y="2689860"/>
              </a:lnTo>
              <a:close/>
            </a:path>
            <a:path w="645160" h="2894330">
              <a:moveTo>
                <a:pt x="644652" y="2482596"/>
              </a:moveTo>
              <a:lnTo>
                <a:pt x="0" y="2482596"/>
              </a:lnTo>
              <a:lnTo>
                <a:pt x="0" y="2686812"/>
              </a:lnTo>
              <a:lnTo>
                <a:pt x="644652" y="2686812"/>
              </a:lnTo>
              <a:lnTo>
                <a:pt x="644652" y="2482596"/>
              </a:lnTo>
              <a:close/>
            </a:path>
            <a:path w="645160" h="2894330">
              <a:moveTo>
                <a:pt x="644652" y="2276856"/>
              </a:moveTo>
              <a:lnTo>
                <a:pt x="0" y="2276856"/>
              </a:lnTo>
              <a:lnTo>
                <a:pt x="0" y="2479548"/>
              </a:lnTo>
              <a:lnTo>
                <a:pt x="644652" y="2479548"/>
              </a:lnTo>
              <a:lnTo>
                <a:pt x="644652" y="2276856"/>
              </a:lnTo>
              <a:close/>
            </a:path>
            <a:path w="645160" h="2894330">
              <a:moveTo>
                <a:pt x="644652" y="2069592"/>
              </a:moveTo>
              <a:lnTo>
                <a:pt x="0" y="2069592"/>
              </a:lnTo>
              <a:lnTo>
                <a:pt x="0" y="2273808"/>
              </a:lnTo>
              <a:lnTo>
                <a:pt x="644652" y="2273808"/>
              </a:lnTo>
              <a:lnTo>
                <a:pt x="644652" y="2069592"/>
              </a:lnTo>
              <a:close/>
            </a:path>
            <a:path w="645160" h="2894330">
              <a:moveTo>
                <a:pt x="644652" y="1862328"/>
              </a:moveTo>
              <a:lnTo>
                <a:pt x="0" y="1862328"/>
              </a:lnTo>
              <a:lnTo>
                <a:pt x="0" y="2066544"/>
              </a:lnTo>
              <a:lnTo>
                <a:pt x="644652" y="2066544"/>
              </a:lnTo>
              <a:lnTo>
                <a:pt x="644652" y="1862328"/>
              </a:lnTo>
              <a:close/>
            </a:path>
            <a:path w="645160" h="2894330">
              <a:moveTo>
                <a:pt x="644652" y="1655064"/>
              </a:moveTo>
              <a:lnTo>
                <a:pt x="0" y="1655064"/>
              </a:lnTo>
              <a:lnTo>
                <a:pt x="0" y="1859280"/>
              </a:lnTo>
              <a:lnTo>
                <a:pt x="644652" y="1859280"/>
              </a:lnTo>
              <a:lnTo>
                <a:pt x="644652" y="1655064"/>
              </a:lnTo>
              <a:close/>
            </a:path>
            <a:path w="645160" h="2894330">
              <a:moveTo>
                <a:pt x="644652" y="1449324"/>
              </a:moveTo>
              <a:lnTo>
                <a:pt x="0" y="1449324"/>
              </a:lnTo>
              <a:lnTo>
                <a:pt x="0" y="1652016"/>
              </a:lnTo>
              <a:lnTo>
                <a:pt x="644652" y="1652016"/>
              </a:lnTo>
              <a:lnTo>
                <a:pt x="644652" y="1449324"/>
              </a:lnTo>
              <a:close/>
            </a:path>
            <a:path w="645160" h="2894330">
              <a:moveTo>
                <a:pt x="644652" y="1242060"/>
              </a:moveTo>
              <a:lnTo>
                <a:pt x="0" y="1242060"/>
              </a:lnTo>
              <a:lnTo>
                <a:pt x="0" y="1446276"/>
              </a:lnTo>
              <a:lnTo>
                <a:pt x="644652" y="1446276"/>
              </a:lnTo>
              <a:lnTo>
                <a:pt x="644652" y="1242060"/>
              </a:lnTo>
              <a:close/>
            </a:path>
            <a:path w="645160" h="2894330">
              <a:moveTo>
                <a:pt x="644652" y="1034796"/>
              </a:moveTo>
              <a:lnTo>
                <a:pt x="0" y="1034796"/>
              </a:lnTo>
              <a:lnTo>
                <a:pt x="0" y="1239012"/>
              </a:lnTo>
              <a:lnTo>
                <a:pt x="644652" y="1239012"/>
              </a:lnTo>
              <a:lnTo>
                <a:pt x="644652" y="1034796"/>
              </a:lnTo>
              <a:close/>
            </a:path>
            <a:path w="645160" h="2894330">
              <a:moveTo>
                <a:pt x="644652" y="827532"/>
              </a:moveTo>
              <a:lnTo>
                <a:pt x="0" y="827532"/>
              </a:lnTo>
              <a:lnTo>
                <a:pt x="0" y="1031748"/>
              </a:lnTo>
              <a:lnTo>
                <a:pt x="644652" y="1031748"/>
              </a:lnTo>
              <a:lnTo>
                <a:pt x="644652" y="827532"/>
              </a:lnTo>
              <a:close/>
            </a:path>
            <a:path w="645160" h="2894330">
              <a:moveTo>
                <a:pt x="644652" y="621792"/>
              </a:moveTo>
              <a:lnTo>
                <a:pt x="0" y="621792"/>
              </a:lnTo>
              <a:lnTo>
                <a:pt x="0" y="824484"/>
              </a:lnTo>
              <a:lnTo>
                <a:pt x="644652" y="824484"/>
              </a:lnTo>
              <a:lnTo>
                <a:pt x="644652" y="621792"/>
              </a:lnTo>
              <a:close/>
            </a:path>
            <a:path w="645160" h="2894330">
              <a:moveTo>
                <a:pt x="644652" y="414528"/>
              </a:moveTo>
              <a:lnTo>
                <a:pt x="0" y="414528"/>
              </a:lnTo>
              <a:lnTo>
                <a:pt x="0" y="618744"/>
              </a:lnTo>
              <a:lnTo>
                <a:pt x="644652" y="618744"/>
              </a:lnTo>
              <a:lnTo>
                <a:pt x="644652" y="414528"/>
              </a:lnTo>
              <a:close/>
            </a:path>
            <a:path w="645160" h="2894330">
              <a:moveTo>
                <a:pt x="644652" y="207264"/>
              </a:moveTo>
              <a:lnTo>
                <a:pt x="0" y="207264"/>
              </a:lnTo>
              <a:lnTo>
                <a:pt x="0" y="411480"/>
              </a:lnTo>
              <a:lnTo>
                <a:pt x="644652" y="411480"/>
              </a:lnTo>
              <a:lnTo>
                <a:pt x="644652" y="207264"/>
              </a:lnTo>
              <a:close/>
            </a:path>
            <a:path w="645160" h="2894330">
              <a:moveTo>
                <a:pt x="644652" y="0"/>
              </a:moveTo>
              <a:lnTo>
                <a:pt x="0" y="0"/>
              </a:lnTo>
              <a:lnTo>
                <a:pt x="0" y="204216"/>
              </a:lnTo>
              <a:lnTo>
                <a:pt x="644652" y="204216"/>
              </a:lnTo>
              <a:lnTo>
                <a:pt x="644652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543687</xdr:colOff>
      <xdr:row>24</xdr:row>
      <xdr:rowOff>206501</xdr:rowOff>
    </xdr:from>
    <xdr:ext cx="3808729" cy="480059"/>
    <xdr:sp macro="" textlink="">
      <xdr:nvSpPr>
        <xdr:cNvPr id="88" name="Shape 88">
          <a:extLst>
            <a:ext uri="{FF2B5EF4-FFF2-40B4-BE49-F238E27FC236}">
              <a16:creationId xmlns:a16="http://schemas.microsoft.com/office/drawing/2014/main" id="{00000000-0008-0000-0800-000058000000}"/>
            </a:ext>
          </a:extLst>
        </xdr:cNvPr>
        <xdr:cNvSpPr/>
      </xdr:nvSpPr>
      <xdr:spPr>
        <a:xfrm>
          <a:off x="0" y="0"/>
          <a:ext cx="3808729" cy="480059"/>
        </a:xfrm>
        <a:custGeom>
          <a:avLst/>
          <a:gdLst/>
          <a:ahLst/>
          <a:cxnLst/>
          <a:rect l="0" t="0" r="0" b="0"/>
          <a:pathLst>
            <a:path w="3808729" h="480059">
              <a:moveTo>
                <a:pt x="760476" y="0"/>
              </a:moveTo>
              <a:lnTo>
                <a:pt x="0" y="0"/>
              </a:lnTo>
              <a:lnTo>
                <a:pt x="0" y="480060"/>
              </a:lnTo>
              <a:lnTo>
                <a:pt x="760476" y="480060"/>
              </a:lnTo>
              <a:lnTo>
                <a:pt x="760476" y="0"/>
              </a:lnTo>
              <a:close/>
            </a:path>
            <a:path w="3808729" h="480059">
              <a:moveTo>
                <a:pt x="1522476" y="0"/>
              </a:moveTo>
              <a:lnTo>
                <a:pt x="763524" y="0"/>
              </a:lnTo>
              <a:lnTo>
                <a:pt x="763524" y="480060"/>
              </a:lnTo>
              <a:lnTo>
                <a:pt x="1522476" y="480060"/>
              </a:lnTo>
              <a:lnTo>
                <a:pt x="1522476" y="0"/>
              </a:lnTo>
              <a:close/>
            </a:path>
            <a:path w="3808729" h="480059">
              <a:moveTo>
                <a:pt x="2284463" y="0"/>
              </a:moveTo>
              <a:lnTo>
                <a:pt x="1525524" y="0"/>
              </a:lnTo>
              <a:lnTo>
                <a:pt x="1525524" y="480060"/>
              </a:lnTo>
              <a:lnTo>
                <a:pt x="2284463" y="480060"/>
              </a:lnTo>
              <a:lnTo>
                <a:pt x="2284463" y="0"/>
              </a:lnTo>
              <a:close/>
            </a:path>
            <a:path w="3808729" h="480059">
              <a:moveTo>
                <a:pt x="3046476" y="0"/>
              </a:moveTo>
              <a:lnTo>
                <a:pt x="2287524" y="0"/>
              </a:lnTo>
              <a:lnTo>
                <a:pt x="2287524" y="480060"/>
              </a:lnTo>
              <a:lnTo>
                <a:pt x="3046476" y="480060"/>
              </a:lnTo>
              <a:lnTo>
                <a:pt x="3046476" y="0"/>
              </a:lnTo>
              <a:close/>
            </a:path>
            <a:path w="3808729" h="480059">
              <a:moveTo>
                <a:pt x="3808476" y="0"/>
              </a:moveTo>
              <a:lnTo>
                <a:pt x="3049524" y="0"/>
              </a:lnTo>
              <a:lnTo>
                <a:pt x="3049524" y="480060"/>
              </a:lnTo>
              <a:lnTo>
                <a:pt x="3808476" y="480060"/>
              </a:lnTo>
              <a:lnTo>
                <a:pt x="3808476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5</xdr:col>
      <xdr:colOff>202691</xdr:colOff>
      <xdr:row>3</xdr:row>
      <xdr:rowOff>49142</xdr:rowOff>
    </xdr:from>
    <xdr:ext cx="381000" cy="290285"/>
    <xdr:pic>
      <xdr:nvPicPr>
        <xdr:cNvPr id="89" name="image1.jpeg">
          <a:extLst>
            <a:ext uri="{FF2B5EF4-FFF2-40B4-BE49-F238E27FC236}">
              <a16:creationId xmlns:a16="http://schemas.microsoft.com/office/drawing/2014/main" id="{00000000-0008-0000-08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290285"/>
        </a:xfrm>
        <a:prstGeom prst="rect">
          <a:avLst/>
        </a:prstGeom>
      </xdr:spPr>
    </xdr:pic>
    <xdr:clientData/>
  </xdr:oneCellAnchor>
  <xdr:oneCellAnchor>
    <xdr:from>
      <xdr:col>6</xdr:col>
      <xdr:colOff>201929</xdr:colOff>
      <xdr:row>3</xdr:row>
      <xdr:rowOff>761</xdr:rowOff>
    </xdr:from>
    <xdr:ext cx="338666" cy="381000"/>
    <xdr:pic>
      <xdr:nvPicPr>
        <xdr:cNvPr id="90" name="image2.jpeg">
          <a:extLst>
            <a:ext uri="{FF2B5EF4-FFF2-40B4-BE49-F238E27FC236}">
              <a16:creationId xmlns:a16="http://schemas.microsoft.com/office/drawing/2014/main" id="{00000000-0008-0000-0800-00005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38666" cy="381000"/>
        </a:xfrm>
        <a:prstGeom prst="rect">
          <a:avLst/>
        </a:prstGeom>
      </xdr:spPr>
    </xdr:pic>
    <xdr:clientData/>
  </xdr:oneCellAnchor>
  <xdr:oneCellAnchor>
    <xdr:from>
      <xdr:col>7</xdr:col>
      <xdr:colOff>201930</xdr:colOff>
      <xdr:row>3</xdr:row>
      <xdr:rowOff>49142</xdr:rowOff>
    </xdr:from>
    <xdr:ext cx="381000" cy="290285"/>
    <xdr:pic>
      <xdr:nvPicPr>
        <xdr:cNvPr id="91" name="image3.jpeg">
          <a:extLst>
            <a:ext uri="{FF2B5EF4-FFF2-40B4-BE49-F238E27FC236}">
              <a16:creationId xmlns:a16="http://schemas.microsoft.com/office/drawing/2014/main" id="{00000000-0008-0000-0800-00005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290285"/>
        </a:xfrm>
        <a:prstGeom prst="rect">
          <a:avLst/>
        </a:prstGeom>
      </xdr:spPr>
    </xdr:pic>
    <xdr:clientData/>
  </xdr:oneCellAnchor>
  <xdr:oneCellAnchor>
    <xdr:from>
      <xdr:col>8</xdr:col>
      <xdr:colOff>298691</xdr:colOff>
      <xdr:row>3</xdr:row>
      <xdr:rowOff>49142</xdr:rowOff>
    </xdr:from>
    <xdr:ext cx="193523" cy="290285"/>
    <xdr:pic>
      <xdr:nvPicPr>
        <xdr:cNvPr id="92" name="image4.jpeg">
          <a:extLst>
            <a:ext uri="{FF2B5EF4-FFF2-40B4-BE49-F238E27FC236}">
              <a16:creationId xmlns:a16="http://schemas.microsoft.com/office/drawing/2014/main" id="{00000000-0008-0000-0800-00005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3523" cy="290285"/>
        </a:xfrm>
        <a:prstGeom prst="rect">
          <a:avLst/>
        </a:prstGeom>
      </xdr:spPr>
    </xdr:pic>
    <xdr:clientData/>
  </xdr:oneCellAnchor>
  <xdr:oneCellAnchor>
    <xdr:from>
      <xdr:col>9</xdr:col>
      <xdr:colOff>201929</xdr:colOff>
      <xdr:row>3</xdr:row>
      <xdr:rowOff>761</xdr:rowOff>
    </xdr:from>
    <xdr:ext cx="381000" cy="381000"/>
    <xdr:pic>
      <xdr:nvPicPr>
        <xdr:cNvPr id="93" name="image5.jpeg">
          <a:extLst>
            <a:ext uri="{FF2B5EF4-FFF2-40B4-BE49-F238E27FC236}">
              <a16:creationId xmlns:a16="http://schemas.microsoft.com/office/drawing/2014/main" id="{00000000-0008-0000-0800-00005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381000"/>
        </a:xfrm>
        <a:prstGeom prst="rect">
          <a:avLst/>
        </a:prstGeom>
      </xdr:spPr>
    </xdr:pic>
    <xdr:clientData/>
  </xdr:oneCellAnchor>
  <xdr:oneCellAnchor>
    <xdr:from>
      <xdr:col>1</xdr:col>
      <xdr:colOff>226059</xdr:colOff>
      <xdr:row>26</xdr:row>
      <xdr:rowOff>0</xdr:rowOff>
    </xdr:from>
    <xdr:ext cx="7486015" cy="4343400"/>
    <xdr:grpSp>
      <xdr:nvGrpSpPr>
        <xdr:cNvPr id="94" name="Group 94">
          <a:extLst>
            <a:ext uri="{FF2B5EF4-FFF2-40B4-BE49-F238E27FC236}">
              <a16:creationId xmlns:a16="http://schemas.microsoft.com/office/drawing/2014/main" id="{00000000-0008-0000-0800-00005E000000}"/>
            </a:ext>
          </a:extLst>
        </xdr:cNvPr>
        <xdr:cNvGrpSpPr/>
      </xdr:nvGrpSpPr>
      <xdr:grpSpPr>
        <a:xfrm>
          <a:off x="607059" y="6469380"/>
          <a:ext cx="7486015" cy="4343400"/>
          <a:chOff x="0" y="0"/>
          <a:chExt cx="7486015" cy="4343400"/>
        </a:xfrm>
      </xdr:grpSpPr>
      <xdr:sp macro="" textlink="">
        <xdr:nvSpPr>
          <xdr:cNvPr id="95" name="Shape 95">
            <a:extLst>
              <a:ext uri="{FF2B5EF4-FFF2-40B4-BE49-F238E27FC236}">
                <a16:creationId xmlns:a16="http://schemas.microsoft.com/office/drawing/2014/main" id="{00000000-0008-0000-0800-00005F000000}"/>
              </a:ext>
            </a:extLst>
          </xdr:cNvPr>
          <xdr:cNvSpPr/>
        </xdr:nvSpPr>
        <xdr:spPr>
          <a:xfrm>
            <a:off x="0" y="0"/>
            <a:ext cx="7486015" cy="2066925"/>
          </a:xfrm>
          <a:custGeom>
            <a:avLst/>
            <a:gdLst/>
            <a:ahLst/>
            <a:cxnLst/>
            <a:rect l="0" t="0" r="0" b="0"/>
            <a:pathLst>
              <a:path w="7486015" h="2066925">
                <a:moveTo>
                  <a:pt x="312420" y="0"/>
                </a:moveTo>
                <a:lnTo>
                  <a:pt x="0" y="0"/>
                </a:lnTo>
                <a:lnTo>
                  <a:pt x="0" y="1859280"/>
                </a:lnTo>
                <a:lnTo>
                  <a:pt x="312420" y="1859280"/>
                </a:lnTo>
                <a:lnTo>
                  <a:pt x="312420" y="0"/>
                </a:lnTo>
                <a:close/>
              </a:path>
              <a:path w="7486015" h="2066925">
                <a:moveTo>
                  <a:pt x="1264920" y="0"/>
                </a:moveTo>
                <a:lnTo>
                  <a:pt x="315468" y="0"/>
                </a:lnTo>
                <a:lnTo>
                  <a:pt x="315468" y="1859280"/>
                </a:lnTo>
                <a:lnTo>
                  <a:pt x="1264920" y="1859280"/>
                </a:lnTo>
                <a:lnTo>
                  <a:pt x="1264920" y="0"/>
                </a:lnTo>
                <a:close/>
              </a:path>
              <a:path w="7486015" h="2066925">
                <a:moveTo>
                  <a:pt x="2531364" y="0"/>
                </a:moveTo>
                <a:lnTo>
                  <a:pt x="1267968" y="0"/>
                </a:lnTo>
                <a:lnTo>
                  <a:pt x="1267968" y="1859280"/>
                </a:lnTo>
                <a:lnTo>
                  <a:pt x="2531364" y="1859280"/>
                </a:lnTo>
                <a:lnTo>
                  <a:pt x="2531364" y="0"/>
                </a:lnTo>
                <a:close/>
              </a:path>
              <a:path w="7486015" h="2066925">
                <a:moveTo>
                  <a:pt x="3037332" y="1862328"/>
                </a:moveTo>
                <a:lnTo>
                  <a:pt x="2534412" y="1862328"/>
                </a:lnTo>
                <a:lnTo>
                  <a:pt x="2534412" y="2066544"/>
                </a:lnTo>
                <a:lnTo>
                  <a:pt x="3037332" y="2066544"/>
                </a:lnTo>
                <a:lnTo>
                  <a:pt x="3037332" y="1862328"/>
                </a:lnTo>
                <a:close/>
              </a:path>
              <a:path w="7486015" h="2066925">
                <a:moveTo>
                  <a:pt x="3037332" y="1655064"/>
                </a:moveTo>
                <a:lnTo>
                  <a:pt x="2534412" y="1655064"/>
                </a:lnTo>
                <a:lnTo>
                  <a:pt x="2534412" y="1859280"/>
                </a:lnTo>
                <a:lnTo>
                  <a:pt x="3037332" y="1859280"/>
                </a:lnTo>
                <a:lnTo>
                  <a:pt x="3037332" y="1655064"/>
                </a:lnTo>
                <a:close/>
              </a:path>
              <a:path w="7486015" h="2066925">
                <a:moveTo>
                  <a:pt x="3037332" y="1449324"/>
                </a:moveTo>
                <a:lnTo>
                  <a:pt x="2534412" y="1449324"/>
                </a:lnTo>
                <a:lnTo>
                  <a:pt x="2534412" y="1652016"/>
                </a:lnTo>
                <a:lnTo>
                  <a:pt x="3037332" y="1652016"/>
                </a:lnTo>
                <a:lnTo>
                  <a:pt x="3037332" y="1449324"/>
                </a:lnTo>
                <a:close/>
              </a:path>
              <a:path w="7486015" h="2066925">
                <a:moveTo>
                  <a:pt x="3037332" y="1242060"/>
                </a:moveTo>
                <a:lnTo>
                  <a:pt x="2534412" y="1242060"/>
                </a:lnTo>
                <a:lnTo>
                  <a:pt x="2534412" y="1446276"/>
                </a:lnTo>
                <a:lnTo>
                  <a:pt x="3037332" y="1446276"/>
                </a:lnTo>
                <a:lnTo>
                  <a:pt x="3037332" y="1242060"/>
                </a:lnTo>
                <a:close/>
              </a:path>
              <a:path w="7486015" h="2066925">
                <a:moveTo>
                  <a:pt x="3037332" y="1034796"/>
                </a:moveTo>
                <a:lnTo>
                  <a:pt x="2534412" y="1034796"/>
                </a:lnTo>
                <a:lnTo>
                  <a:pt x="2534412" y="1239012"/>
                </a:lnTo>
                <a:lnTo>
                  <a:pt x="3037332" y="1239012"/>
                </a:lnTo>
                <a:lnTo>
                  <a:pt x="3037332" y="1034796"/>
                </a:lnTo>
                <a:close/>
              </a:path>
              <a:path w="7486015" h="2066925">
                <a:moveTo>
                  <a:pt x="3037332" y="827532"/>
                </a:moveTo>
                <a:lnTo>
                  <a:pt x="2534412" y="827532"/>
                </a:lnTo>
                <a:lnTo>
                  <a:pt x="2534412" y="1031748"/>
                </a:lnTo>
                <a:lnTo>
                  <a:pt x="3037332" y="1031748"/>
                </a:lnTo>
                <a:lnTo>
                  <a:pt x="3037332" y="827532"/>
                </a:lnTo>
                <a:close/>
              </a:path>
              <a:path w="7486015" h="2066925">
                <a:moveTo>
                  <a:pt x="3037332" y="621792"/>
                </a:moveTo>
                <a:lnTo>
                  <a:pt x="2534412" y="621792"/>
                </a:lnTo>
                <a:lnTo>
                  <a:pt x="2534412" y="824484"/>
                </a:lnTo>
                <a:lnTo>
                  <a:pt x="3037332" y="824484"/>
                </a:lnTo>
                <a:lnTo>
                  <a:pt x="3037332" y="621792"/>
                </a:lnTo>
                <a:close/>
              </a:path>
              <a:path w="7486015" h="2066925">
                <a:moveTo>
                  <a:pt x="3037332" y="414528"/>
                </a:moveTo>
                <a:lnTo>
                  <a:pt x="2534412" y="414528"/>
                </a:lnTo>
                <a:lnTo>
                  <a:pt x="2534412" y="618744"/>
                </a:lnTo>
                <a:lnTo>
                  <a:pt x="3037332" y="618744"/>
                </a:lnTo>
                <a:lnTo>
                  <a:pt x="3037332" y="414528"/>
                </a:lnTo>
                <a:close/>
              </a:path>
              <a:path w="7486015" h="2066925">
                <a:moveTo>
                  <a:pt x="3037332" y="207264"/>
                </a:moveTo>
                <a:lnTo>
                  <a:pt x="2534412" y="207264"/>
                </a:lnTo>
                <a:lnTo>
                  <a:pt x="2534412" y="411480"/>
                </a:lnTo>
                <a:lnTo>
                  <a:pt x="3037332" y="411480"/>
                </a:lnTo>
                <a:lnTo>
                  <a:pt x="3037332" y="207264"/>
                </a:lnTo>
                <a:close/>
              </a:path>
              <a:path w="7486015" h="2066925">
                <a:moveTo>
                  <a:pt x="3037332" y="0"/>
                </a:moveTo>
                <a:lnTo>
                  <a:pt x="2534412" y="0"/>
                </a:lnTo>
                <a:lnTo>
                  <a:pt x="2534412" y="204216"/>
                </a:lnTo>
                <a:lnTo>
                  <a:pt x="3037332" y="204216"/>
                </a:lnTo>
                <a:lnTo>
                  <a:pt x="3037332" y="0"/>
                </a:lnTo>
                <a:close/>
              </a:path>
              <a:path w="7486015" h="2066925">
                <a:moveTo>
                  <a:pt x="3674364" y="1862328"/>
                </a:moveTo>
                <a:lnTo>
                  <a:pt x="3040380" y="1862328"/>
                </a:lnTo>
                <a:lnTo>
                  <a:pt x="3040380" y="2066544"/>
                </a:lnTo>
                <a:lnTo>
                  <a:pt x="3674364" y="2066544"/>
                </a:lnTo>
                <a:lnTo>
                  <a:pt x="3674364" y="1862328"/>
                </a:lnTo>
                <a:close/>
              </a:path>
              <a:path w="7486015" h="2066925">
                <a:moveTo>
                  <a:pt x="3674364" y="1655064"/>
                </a:moveTo>
                <a:lnTo>
                  <a:pt x="3040380" y="1655064"/>
                </a:lnTo>
                <a:lnTo>
                  <a:pt x="3040380" y="1859280"/>
                </a:lnTo>
                <a:lnTo>
                  <a:pt x="3674364" y="1859280"/>
                </a:lnTo>
                <a:lnTo>
                  <a:pt x="3674364" y="1655064"/>
                </a:lnTo>
                <a:close/>
              </a:path>
              <a:path w="7486015" h="2066925">
                <a:moveTo>
                  <a:pt x="3674364" y="1449324"/>
                </a:moveTo>
                <a:lnTo>
                  <a:pt x="3040380" y="1449324"/>
                </a:lnTo>
                <a:lnTo>
                  <a:pt x="3040380" y="1652016"/>
                </a:lnTo>
                <a:lnTo>
                  <a:pt x="3674364" y="1652016"/>
                </a:lnTo>
                <a:lnTo>
                  <a:pt x="3674364" y="1449324"/>
                </a:lnTo>
                <a:close/>
              </a:path>
              <a:path w="7486015" h="2066925">
                <a:moveTo>
                  <a:pt x="3674364" y="1242060"/>
                </a:moveTo>
                <a:lnTo>
                  <a:pt x="3040380" y="1242060"/>
                </a:lnTo>
                <a:lnTo>
                  <a:pt x="3040380" y="1446276"/>
                </a:lnTo>
                <a:lnTo>
                  <a:pt x="3674364" y="1446276"/>
                </a:lnTo>
                <a:lnTo>
                  <a:pt x="3674364" y="1242060"/>
                </a:lnTo>
                <a:close/>
              </a:path>
              <a:path w="7486015" h="2066925">
                <a:moveTo>
                  <a:pt x="3674364" y="1034796"/>
                </a:moveTo>
                <a:lnTo>
                  <a:pt x="3040380" y="1034796"/>
                </a:lnTo>
                <a:lnTo>
                  <a:pt x="3040380" y="1239012"/>
                </a:lnTo>
                <a:lnTo>
                  <a:pt x="3674364" y="1239012"/>
                </a:lnTo>
                <a:lnTo>
                  <a:pt x="3674364" y="1034796"/>
                </a:lnTo>
                <a:close/>
              </a:path>
              <a:path w="7486015" h="2066925">
                <a:moveTo>
                  <a:pt x="3674364" y="827532"/>
                </a:moveTo>
                <a:lnTo>
                  <a:pt x="3040380" y="827532"/>
                </a:lnTo>
                <a:lnTo>
                  <a:pt x="3040380" y="1031748"/>
                </a:lnTo>
                <a:lnTo>
                  <a:pt x="3674364" y="1031748"/>
                </a:lnTo>
                <a:lnTo>
                  <a:pt x="3674364" y="827532"/>
                </a:lnTo>
                <a:close/>
              </a:path>
              <a:path w="7486015" h="2066925">
                <a:moveTo>
                  <a:pt x="3674364" y="621792"/>
                </a:moveTo>
                <a:lnTo>
                  <a:pt x="3040380" y="621792"/>
                </a:lnTo>
                <a:lnTo>
                  <a:pt x="3040380" y="824484"/>
                </a:lnTo>
                <a:lnTo>
                  <a:pt x="3674364" y="824484"/>
                </a:lnTo>
                <a:lnTo>
                  <a:pt x="3674364" y="621792"/>
                </a:lnTo>
                <a:close/>
              </a:path>
              <a:path w="7486015" h="2066925">
                <a:moveTo>
                  <a:pt x="3674364" y="414528"/>
                </a:moveTo>
                <a:lnTo>
                  <a:pt x="3040380" y="414528"/>
                </a:lnTo>
                <a:lnTo>
                  <a:pt x="3040380" y="618744"/>
                </a:lnTo>
                <a:lnTo>
                  <a:pt x="3674364" y="618744"/>
                </a:lnTo>
                <a:lnTo>
                  <a:pt x="3674364" y="414528"/>
                </a:lnTo>
                <a:close/>
              </a:path>
              <a:path w="7486015" h="2066925">
                <a:moveTo>
                  <a:pt x="3674364" y="207264"/>
                </a:moveTo>
                <a:lnTo>
                  <a:pt x="3040380" y="207264"/>
                </a:lnTo>
                <a:lnTo>
                  <a:pt x="3040380" y="411480"/>
                </a:lnTo>
                <a:lnTo>
                  <a:pt x="3674364" y="411480"/>
                </a:lnTo>
                <a:lnTo>
                  <a:pt x="3674364" y="207264"/>
                </a:lnTo>
                <a:close/>
              </a:path>
              <a:path w="7486015" h="2066925">
                <a:moveTo>
                  <a:pt x="3674364" y="0"/>
                </a:moveTo>
                <a:lnTo>
                  <a:pt x="3040380" y="0"/>
                </a:lnTo>
                <a:lnTo>
                  <a:pt x="3040380" y="204216"/>
                </a:lnTo>
                <a:lnTo>
                  <a:pt x="3674364" y="204216"/>
                </a:lnTo>
                <a:lnTo>
                  <a:pt x="3674364" y="0"/>
                </a:lnTo>
                <a:close/>
              </a:path>
              <a:path w="7486015" h="2066925">
                <a:moveTo>
                  <a:pt x="4437888" y="1862328"/>
                </a:moveTo>
                <a:lnTo>
                  <a:pt x="3677412" y="1862328"/>
                </a:lnTo>
                <a:lnTo>
                  <a:pt x="3677412" y="2066544"/>
                </a:lnTo>
                <a:lnTo>
                  <a:pt x="4437888" y="2066544"/>
                </a:lnTo>
                <a:lnTo>
                  <a:pt x="4437888" y="1862328"/>
                </a:lnTo>
                <a:close/>
              </a:path>
              <a:path w="7486015" h="2066925">
                <a:moveTo>
                  <a:pt x="4437888" y="1655064"/>
                </a:moveTo>
                <a:lnTo>
                  <a:pt x="3677412" y="1655064"/>
                </a:lnTo>
                <a:lnTo>
                  <a:pt x="3677412" y="1859280"/>
                </a:lnTo>
                <a:lnTo>
                  <a:pt x="4437888" y="1859280"/>
                </a:lnTo>
                <a:lnTo>
                  <a:pt x="4437888" y="1655064"/>
                </a:lnTo>
                <a:close/>
              </a:path>
              <a:path w="7486015" h="2066925">
                <a:moveTo>
                  <a:pt x="4437888" y="1449324"/>
                </a:moveTo>
                <a:lnTo>
                  <a:pt x="3677412" y="1449324"/>
                </a:lnTo>
                <a:lnTo>
                  <a:pt x="3677412" y="1652016"/>
                </a:lnTo>
                <a:lnTo>
                  <a:pt x="4437888" y="1652016"/>
                </a:lnTo>
                <a:lnTo>
                  <a:pt x="4437888" y="1449324"/>
                </a:lnTo>
                <a:close/>
              </a:path>
              <a:path w="7486015" h="2066925">
                <a:moveTo>
                  <a:pt x="4437888" y="1242060"/>
                </a:moveTo>
                <a:lnTo>
                  <a:pt x="3677412" y="1242060"/>
                </a:lnTo>
                <a:lnTo>
                  <a:pt x="3677412" y="1446276"/>
                </a:lnTo>
                <a:lnTo>
                  <a:pt x="4437888" y="1446276"/>
                </a:lnTo>
                <a:lnTo>
                  <a:pt x="4437888" y="1242060"/>
                </a:lnTo>
                <a:close/>
              </a:path>
              <a:path w="7486015" h="2066925">
                <a:moveTo>
                  <a:pt x="4437888" y="1034796"/>
                </a:moveTo>
                <a:lnTo>
                  <a:pt x="3677412" y="1034796"/>
                </a:lnTo>
                <a:lnTo>
                  <a:pt x="3677412" y="1239012"/>
                </a:lnTo>
                <a:lnTo>
                  <a:pt x="4437888" y="1239012"/>
                </a:lnTo>
                <a:lnTo>
                  <a:pt x="4437888" y="1034796"/>
                </a:lnTo>
                <a:close/>
              </a:path>
              <a:path w="7486015" h="2066925">
                <a:moveTo>
                  <a:pt x="4437888" y="827532"/>
                </a:moveTo>
                <a:lnTo>
                  <a:pt x="3677412" y="827532"/>
                </a:lnTo>
                <a:lnTo>
                  <a:pt x="3677412" y="1031748"/>
                </a:lnTo>
                <a:lnTo>
                  <a:pt x="4437888" y="1031748"/>
                </a:lnTo>
                <a:lnTo>
                  <a:pt x="4437888" y="827532"/>
                </a:lnTo>
                <a:close/>
              </a:path>
              <a:path w="7486015" h="2066925">
                <a:moveTo>
                  <a:pt x="4437888" y="621792"/>
                </a:moveTo>
                <a:lnTo>
                  <a:pt x="3677412" y="621792"/>
                </a:lnTo>
                <a:lnTo>
                  <a:pt x="3677412" y="824484"/>
                </a:lnTo>
                <a:lnTo>
                  <a:pt x="4437888" y="824484"/>
                </a:lnTo>
                <a:lnTo>
                  <a:pt x="4437888" y="621792"/>
                </a:lnTo>
                <a:close/>
              </a:path>
              <a:path w="7486015" h="2066925">
                <a:moveTo>
                  <a:pt x="4437888" y="414528"/>
                </a:moveTo>
                <a:lnTo>
                  <a:pt x="3677412" y="414528"/>
                </a:lnTo>
                <a:lnTo>
                  <a:pt x="3677412" y="618744"/>
                </a:lnTo>
                <a:lnTo>
                  <a:pt x="4437888" y="618744"/>
                </a:lnTo>
                <a:lnTo>
                  <a:pt x="4437888" y="414528"/>
                </a:lnTo>
                <a:close/>
              </a:path>
              <a:path w="7486015" h="2066925">
                <a:moveTo>
                  <a:pt x="4437888" y="207264"/>
                </a:moveTo>
                <a:lnTo>
                  <a:pt x="3677412" y="207264"/>
                </a:lnTo>
                <a:lnTo>
                  <a:pt x="3677412" y="411480"/>
                </a:lnTo>
                <a:lnTo>
                  <a:pt x="4437888" y="411480"/>
                </a:lnTo>
                <a:lnTo>
                  <a:pt x="4437888" y="207264"/>
                </a:lnTo>
                <a:close/>
              </a:path>
              <a:path w="7486015" h="2066925">
                <a:moveTo>
                  <a:pt x="4437888" y="0"/>
                </a:moveTo>
                <a:lnTo>
                  <a:pt x="3677412" y="0"/>
                </a:lnTo>
                <a:lnTo>
                  <a:pt x="3677412" y="204216"/>
                </a:lnTo>
                <a:lnTo>
                  <a:pt x="4437888" y="204216"/>
                </a:lnTo>
                <a:lnTo>
                  <a:pt x="4437888" y="0"/>
                </a:lnTo>
                <a:close/>
              </a:path>
              <a:path w="7486015" h="2066925">
                <a:moveTo>
                  <a:pt x="5199888" y="1862328"/>
                </a:moveTo>
                <a:lnTo>
                  <a:pt x="4440936" y="1862328"/>
                </a:lnTo>
                <a:lnTo>
                  <a:pt x="4440936" y="2066544"/>
                </a:lnTo>
                <a:lnTo>
                  <a:pt x="5199888" y="2066544"/>
                </a:lnTo>
                <a:lnTo>
                  <a:pt x="5199888" y="1862328"/>
                </a:lnTo>
                <a:close/>
              </a:path>
              <a:path w="7486015" h="2066925">
                <a:moveTo>
                  <a:pt x="5199888" y="1655064"/>
                </a:moveTo>
                <a:lnTo>
                  <a:pt x="4440936" y="1655064"/>
                </a:lnTo>
                <a:lnTo>
                  <a:pt x="4440936" y="1859280"/>
                </a:lnTo>
                <a:lnTo>
                  <a:pt x="5199888" y="1859280"/>
                </a:lnTo>
                <a:lnTo>
                  <a:pt x="5199888" y="1655064"/>
                </a:lnTo>
                <a:close/>
              </a:path>
              <a:path w="7486015" h="2066925">
                <a:moveTo>
                  <a:pt x="5199888" y="1449324"/>
                </a:moveTo>
                <a:lnTo>
                  <a:pt x="4440936" y="1449324"/>
                </a:lnTo>
                <a:lnTo>
                  <a:pt x="4440936" y="1652016"/>
                </a:lnTo>
                <a:lnTo>
                  <a:pt x="5199888" y="1652016"/>
                </a:lnTo>
                <a:lnTo>
                  <a:pt x="5199888" y="1449324"/>
                </a:lnTo>
                <a:close/>
              </a:path>
              <a:path w="7486015" h="2066925">
                <a:moveTo>
                  <a:pt x="5199888" y="1242060"/>
                </a:moveTo>
                <a:lnTo>
                  <a:pt x="4440936" y="1242060"/>
                </a:lnTo>
                <a:lnTo>
                  <a:pt x="4440936" y="1446276"/>
                </a:lnTo>
                <a:lnTo>
                  <a:pt x="5199888" y="1446276"/>
                </a:lnTo>
                <a:lnTo>
                  <a:pt x="5199888" y="1242060"/>
                </a:lnTo>
                <a:close/>
              </a:path>
              <a:path w="7486015" h="2066925">
                <a:moveTo>
                  <a:pt x="5199888" y="1034796"/>
                </a:moveTo>
                <a:lnTo>
                  <a:pt x="4440936" y="1034796"/>
                </a:lnTo>
                <a:lnTo>
                  <a:pt x="4440936" y="1239012"/>
                </a:lnTo>
                <a:lnTo>
                  <a:pt x="5199888" y="1239012"/>
                </a:lnTo>
                <a:lnTo>
                  <a:pt x="5199888" y="1034796"/>
                </a:lnTo>
                <a:close/>
              </a:path>
              <a:path w="7486015" h="2066925">
                <a:moveTo>
                  <a:pt x="5199888" y="827532"/>
                </a:moveTo>
                <a:lnTo>
                  <a:pt x="4440936" y="827532"/>
                </a:lnTo>
                <a:lnTo>
                  <a:pt x="4440936" y="1031748"/>
                </a:lnTo>
                <a:lnTo>
                  <a:pt x="5199888" y="1031748"/>
                </a:lnTo>
                <a:lnTo>
                  <a:pt x="5199888" y="827532"/>
                </a:lnTo>
                <a:close/>
              </a:path>
              <a:path w="7486015" h="2066925">
                <a:moveTo>
                  <a:pt x="5199888" y="621792"/>
                </a:moveTo>
                <a:lnTo>
                  <a:pt x="4440936" y="621792"/>
                </a:lnTo>
                <a:lnTo>
                  <a:pt x="4440936" y="824484"/>
                </a:lnTo>
                <a:lnTo>
                  <a:pt x="5199888" y="824484"/>
                </a:lnTo>
                <a:lnTo>
                  <a:pt x="5199888" y="621792"/>
                </a:lnTo>
                <a:close/>
              </a:path>
              <a:path w="7486015" h="2066925">
                <a:moveTo>
                  <a:pt x="5199888" y="414528"/>
                </a:moveTo>
                <a:lnTo>
                  <a:pt x="4440936" y="414528"/>
                </a:lnTo>
                <a:lnTo>
                  <a:pt x="4440936" y="618744"/>
                </a:lnTo>
                <a:lnTo>
                  <a:pt x="5199888" y="618744"/>
                </a:lnTo>
                <a:lnTo>
                  <a:pt x="5199888" y="414528"/>
                </a:lnTo>
                <a:close/>
              </a:path>
              <a:path w="7486015" h="2066925">
                <a:moveTo>
                  <a:pt x="5199888" y="207264"/>
                </a:moveTo>
                <a:lnTo>
                  <a:pt x="4440936" y="207264"/>
                </a:lnTo>
                <a:lnTo>
                  <a:pt x="4440936" y="411480"/>
                </a:lnTo>
                <a:lnTo>
                  <a:pt x="5199888" y="411480"/>
                </a:lnTo>
                <a:lnTo>
                  <a:pt x="5199888" y="207264"/>
                </a:lnTo>
                <a:close/>
              </a:path>
              <a:path w="7486015" h="2066925">
                <a:moveTo>
                  <a:pt x="5199888" y="0"/>
                </a:moveTo>
                <a:lnTo>
                  <a:pt x="4440936" y="0"/>
                </a:lnTo>
                <a:lnTo>
                  <a:pt x="4440936" y="204216"/>
                </a:lnTo>
                <a:lnTo>
                  <a:pt x="5199888" y="204216"/>
                </a:lnTo>
                <a:lnTo>
                  <a:pt x="5199888" y="0"/>
                </a:lnTo>
                <a:close/>
              </a:path>
              <a:path w="7486015" h="2066925">
                <a:moveTo>
                  <a:pt x="5961875" y="1862328"/>
                </a:moveTo>
                <a:lnTo>
                  <a:pt x="5202936" y="1862328"/>
                </a:lnTo>
                <a:lnTo>
                  <a:pt x="5202936" y="2066544"/>
                </a:lnTo>
                <a:lnTo>
                  <a:pt x="5961875" y="2066544"/>
                </a:lnTo>
                <a:lnTo>
                  <a:pt x="5961875" y="1862328"/>
                </a:lnTo>
                <a:close/>
              </a:path>
              <a:path w="7486015" h="2066925">
                <a:moveTo>
                  <a:pt x="5961875" y="1655064"/>
                </a:moveTo>
                <a:lnTo>
                  <a:pt x="5202936" y="1655064"/>
                </a:lnTo>
                <a:lnTo>
                  <a:pt x="5202936" y="1859280"/>
                </a:lnTo>
                <a:lnTo>
                  <a:pt x="5961875" y="1859280"/>
                </a:lnTo>
                <a:lnTo>
                  <a:pt x="5961875" y="1655064"/>
                </a:lnTo>
                <a:close/>
              </a:path>
              <a:path w="7486015" h="2066925">
                <a:moveTo>
                  <a:pt x="5961875" y="1449324"/>
                </a:moveTo>
                <a:lnTo>
                  <a:pt x="5202936" y="1449324"/>
                </a:lnTo>
                <a:lnTo>
                  <a:pt x="5202936" y="1652016"/>
                </a:lnTo>
                <a:lnTo>
                  <a:pt x="5961875" y="1652016"/>
                </a:lnTo>
                <a:lnTo>
                  <a:pt x="5961875" y="1449324"/>
                </a:lnTo>
                <a:close/>
              </a:path>
              <a:path w="7486015" h="2066925">
                <a:moveTo>
                  <a:pt x="5961875" y="1242060"/>
                </a:moveTo>
                <a:lnTo>
                  <a:pt x="5202936" y="1242060"/>
                </a:lnTo>
                <a:lnTo>
                  <a:pt x="5202936" y="1446276"/>
                </a:lnTo>
                <a:lnTo>
                  <a:pt x="5961875" y="1446276"/>
                </a:lnTo>
                <a:lnTo>
                  <a:pt x="5961875" y="1242060"/>
                </a:lnTo>
                <a:close/>
              </a:path>
              <a:path w="7486015" h="2066925">
                <a:moveTo>
                  <a:pt x="5961875" y="1034796"/>
                </a:moveTo>
                <a:lnTo>
                  <a:pt x="5202936" y="1034796"/>
                </a:lnTo>
                <a:lnTo>
                  <a:pt x="5202936" y="1239012"/>
                </a:lnTo>
                <a:lnTo>
                  <a:pt x="5961875" y="1239012"/>
                </a:lnTo>
                <a:lnTo>
                  <a:pt x="5961875" y="1034796"/>
                </a:lnTo>
                <a:close/>
              </a:path>
              <a:path w="7486015" h="2066925">
                <a:moveTo>
                  <a:pt x="5961875" y="827532"/>
                </a:moveTo>
                <a:lnTo>
                  <a:pt x="5202936" y="827532"/>
                </a:lnTo>
                <a:lnTo>
                  <a:pt x="5202936" y="1031748"/>
                </a:lnTo>
                <a:lnTo>
                  <a:pt x="5961875" y="1031748"/>
                </a:lnTo>
                <a:lnTo>
                  <a:pt x="5961875" y="827532"/>
                </a:lnTo>
                <a:close/>
              </a:path>
              <a:path w="7486015" h="2066925">
                <a:moveTo>
                  <a:pt x="5961875" y="621792"/>
                </a:moveTo>
                <a:lnTo>
                  <a:pt x="5202936" y="621792"/>
                </a:lnTo>
                <a:lnTo>
                  <a:pt x="5202936" y="824484"/>
                </a:lnTo>
                <a:lnTo>
                  <a:pt x="5961875" y="824484"/>
                </a:lnTo>
                <a:lnTo>
                  <a:pt x="5961875" y="621792"/>
                </a:lnTo>
                <a:close/>
              </a:path>
              <a:path w="7486015" h="2066925">
                <a:moveTo>
                  <a:pt x="5961875" y="414528"/>
                </a:moveTo>
                <a:lnTo>
                  <a:pt x="5202936" y="414528"/>
                </a:lnTo>
                <a:lnTo>
                  <a:pt x="5202936" y="618744"/>
                </a:lnTo>
                <a:lnTo>
                  <a:pt x="5961875" y="618744"/>
                </a:lnTo>
                <a:lnTo>
                  <a:pt x="5961875" y="414528"/>
                </a:lnTo>
                <a:close/>
              </a:path>
              <a:path w="7486015" h="2066925">
                <a:moveTo>
                  <a:pt x="5961875" y="207264"/>
                </a:moveTo>
                <a:lnTo>
                  <a:pt x="5202936" y="207264"/>
                </a:lnTo>
                <a:lnTo>
                  <a:pt x="5202936" y="411480"/>
                </a:lnTo>
                <a:lnTo>
                  <a:pt x="5961875" y="411480"/>
                </a:lnTo>
                <a:lnTo>
                  <a:pt x="5961875" y="207264"/>
                </a:lnTo>
                <a:close/>
              </a:path>
              <a:path w="7486015" h="2066925">
                <a:moveTo>
                  <a:pt x="5961875" y="0"/>
                </a:moveTo>
                <a:lnTo>
                  <a:pt x="5202936" y="0"/>
                </a:lnTo>
                <a:lnTo>
                  <a:pt x="5202936" y="204216"/>
                </a:lnTo>
                <a:lnTo>
                  <a:pt x="5961875" y="204216"/>
                </a:lnTo>
                <a:lnTo>
                  <a:pt x="5961875" y="0"/>
                </a:lnTo>
                <a:close/>
              </a:path>
              <a:path w="7486015" h="2066925">
                <a:moveTo>
                  <a:pt x="6723888" y="1655064"/>
                </a:moveTo>
                <a:lnTo>
                  <a:pt x="5964936" y="1655064"/>
                </a:lnTo>
                <a:lnTo>
                  <a:pt x="5964936" y="1859280"/>
                </a:lnTo>
                <a:lnTo>
                  <a:pt x="6723888" y="1859280"/>
                </a:lnTo>
                <a:lnTo>
                  <a:pt x="6723888" y="1655064"/>
                </a:lnTo>
                <a:close/>
              </a:path>
              <a:path w="7486015" h="2066925">
                <a:moveTo>
                  <a:pt x="6723888" y="1449324"/>
                </a:moveTo>
                <a:lnTo>
                  <a:pt x="5964936" y="1449324"/>
                </a:lnTo>
                <a:lnTo>
                  <a:pt x="5964936" y="1652016"/>
                </a:lnTo>
                <a:lnTo>
                  <a:pt x="6723888" y="1652016"/>
                </a:lnTo>
                <a:lnTo>
                  <a:pt x="6723888" y="1449324"/>
                </a:lnTo>
                <a:close/>
              </a:path>
              <a:path w="7486015" h="2066925">
                <a:moveTo>
                  <a:pt x="6723888" y="1242060"/>
                </a:moveTo>
                <a:lnTo>
                  <a:pt x="5964936" y="1242060"/>
                </a:lnTo>
                <a:lnTo>
                  <a:pt x="5964936" y="1446276"/>
                </a:lnTo>
                <a:lnTo>
                  <a:pt x="6723888" y="1446276"/>
                </a:lnTo>
                <a:lnTo>
                  <a:pt x="6723888" y="1242060"/>
                </a:lnTo>
                <a:close/>
              </a:path>
              <a:path w="7486015" h="2066925">
                <a:moveTo>
                  <a:pt x="6723888" y="1034796"/>
                </a:moveTo>
                <a:lnTo>
                  <a:pt x="5964936" y="1034796"/>
                </a:lnTo>
                <a:lnTo>
                  <a:pt x="5964936" y="1239012"/>
                </a:lnTo>
                <a:lnTo>
                  <a:pt x="6723888" y="1239012"/>
                </a:lnTo>
                <a:lnTo>
                  <a:pt x="6723888" y="1034796"/>
                </a:lnTo>
                <a:close/>
              </a:path>
              <a:path w="7486015" h="2066925">
                <a:moveTo>
                  <a:pt x="6723888" y="827532"/>
                </a:moveTo>
                <a:lnTo>
                  <a:pt x="5964936" y="827532"/>
                </a:lnTo>
                <a:lnTo>
                  <a:pt x="5964936" y="1031748"/>
                </a:lnTo>
                <a:lnTo>
                  <a:pt x="6723888" y="1031748"/>
                </a:lnTo>
                <a:lnTo>
                  <a:pt x="6723888" y="827532"/>
                </a:lnTo>
                <a:close/>
              </a:path>
              <a:path w="7486015" h="2066925">
                <a:moveTo>
                  <a:pt x="6723888" y="621792"/>
                </a:moveTo>
                <a:lnTo>
                  <a:pt x="5964936" y="621792"/>
                </a:lnTo>
                <a:lnTo>
                  <a:pt x="5964936" y="824484"/>
                </a:lnTo>
                <a:lnTo>
                  <a:pt x="6723888" y="824484"/>
                </a:lnTo>
                <a:lnTo>
                  <a:pt x="6723888" y="621792"/>
                </a:lnTo>
                <a:close/>
              </a:path>
              <a:path w="7486015" h="2066925">
                <a:moveTo>
                  <a:pt x="6723888" y="414528"/>
                </a:moveTo>
                <a:lnTo>
                  <a:pt x="5964936" y="414528"/>
                </a:lnTo>
                <a:lnTo>
                  <a:pt x="5964936" y="618744"/>
                </a:lnTo>
                <a:lnTo>
                  <a:pt x="6723888" y="618744"/>
                </a:lnTo>
                <a:lnTo>
                  <a:pt x="6723888" y="414528"/>
                </a:lnTo>
                <a:close/>
              </a:path>
              <a:path w="7486015" h="2066925">
                <a:moveTo>
                  <a:pt x="6723888" y="207264"/>
                </a:moveTo>
                <a:lnTo>
                  <a:pt x="5964936" y="207264"/>
                </a:lnTo>
                <a:lnTo>
                  <a:pt x="5964936" y="411480"/>
                </a:lnTo>
                <a:lnTo>
                  <a:pt x="6723888" y="411480"/>
                </a:lnTo>
                <a:lnTo>
                  <a:pt x="6723888" y="207264"/>
                </a:lnTo>
                <a:close/>
              </a:path>
              <a:path w="7486015" h="2066925">
                <a:moveTo>
                  <a:pt x="6723888" y="0"/>
                </a:moveTo>
                <a:lnTo>
                  <a:pt x="5964936" y="0"/>
                </a:lnTo>
                <a:lnTo>
                  <a:pt x="5964936" y="204216"/>
                </a:lnTo>
                <a:lnTo>
                  <a:pt x="6723888" y="204216"/>
                </a:lnTo>
                <a:lnTo>
                  <a:pt x="6723888" y="0"/>
                </a:lnTo>
                <a:close/>
              </a:path>
              <a:path w="7486015" h="2066925">
                <a:moveTo>
                  <a:pt x="7485888" y="1655064"/>
                </a:moveTo>
                <a:lnTo>
                  <a:pt x="6726936" y="1655064"/>
                </a:lnTo>
                <a:lnTo>
                  <a:pt x="6726936" y="1859280"/>
                </a:lnTo>
                <a:lnTo>
                  <a:pt x="7485888" y="1859280"/>
                </a:lnTo>
                <a:lnTo>
                  <a:pt x="7485888" y="1655064"/>
                </a:lnTo>
                <a:close/>
              </a:path>
              <a:path w="7486015" h="2066925">
                <a:moveTo>
                  <a:pt x="7485888" y="1449324"/>
                </a:moveTo>
                <a:lnTo>
                  <a:pt x="6726936" y="1449324"/>
                </a:lnTo>
                <a:lnTo>
                  <a:pt x="6726936" y="1652016"/>
                </a:lnTo>
                <a:lnTo>
                  <a:pt x="7485888" y="1652016"/>
                </a:lnTo>
                <a:lnTo>
                  <a:pt x="7485888" y="1449324"/>
                </a:lnTo>
                <a:close/>
              </a:path>
              <a:path w="7486015" h="2066925">
                <a:moveTo>
                  <a:pt x="7485888" y="1242060"/>
                </a:moveTo>
                <a:lnTo>
                  <a:pt x="6726936" y="1242060"/>
                </a:lnTo>
                <a:lnTo>
                  <a:pt x="6726936" y="1446276"/>
                </a:lnTo>
                <a:lnTo>
                  <a:pt x="7485888" y="1446276"/>
                </a:lnTo>
                <a:lnTo>
                  <a:pt x="7485888" y="1242060"/>
                </a:lnTo>
                <a:close/>
              </a:path>
              <a:path w="7486015" h="2066925">
                <a:moveTo>
                  <a:pt x="7485888" y="1034796"/>
                </a:moveTo>
                <a:lnTo>
                  <a:pt x="6726936" y="1034796"/>
                </a:lnTo>
                <a:lnTo>
                  <a:pt x="6726936" y="1239012"/>
                </a:lnTo>
                <a:lnTo>
                  <a:pt x="7485888" y="1239012"/>
                </a:lnTo>
                <a:lnTo>
                  <a:pt x="7485888" y="1034796"/>
                </a:lnTo>
                <a:close/>
              </a:path>
              <a:path w="7486015" h="2066925">
                <a:moveTo>
                  <a:pt x="7485888" y="827532"/>
                </a:moveTo>
                <a:lnTo>
                  <a:pt x="6726936" y="827532"/>
                </a:lnTo>
                <a:lnTo>
                  <a:pt x="6726936" y="1031748"/>
                </a:lnTo>
                <a:lnTo>
                  <a:pt x="7485888" y="1031748"/>
                </a:lnTo>
                <a:lnTo>
                  <a:pt x="7485888" y="827532"/>
                </a:lnTo>
                <a:close/>
              </a:path>
              <a:path w="7486015" h="2066925">
                <a:moveTo>
                  <a:pt x="7485888" y="621792"/>
                </a:moveTo>
                <a:lnTo>
                  <a:pt x="6726936" y="621792"/>
                </a:lnTo>
                <a:lnTo>
                  <a:pt x="6726936" y="824484"/>
                </a:lnTo>
                <a:lnTo>
                  <a:pt x="7485888" y="824484"/>
                </a:lnTo>
                <a:lnTo>
                  <a:pt x="7485888" y="621792"/>
                </a:lnTo>
                <a:close/>
              </a:path>
              <a:path w="7486015" h="2066925">
                <a:moveTo>
                  <a:pt x="7485888" y="414528"/>
                </a:moveTo>
                <a:lnTo>
                  <a:pt x="6726936" y="414528"/>
                </a:lnTo>
                <a:lnTo>
                  <a:pt x="6726936" y="618744"/>
                </a:lnTo>
                <a:lnTo>
                  <a:pt x="7485888" y="618744"/>
                </a:lnTo>
                <a:lnTo>
                  <a:pt x="7485888" y="414528"/>
                </a:lnTo>
                <a:close/>
              </a:path>
              <a:path w="7486015" h="2066925">
                <a:moveTo>
                  <a:pt x="7485888" y="207264"/>
                </a:moveTo>
                <a:lnTo>
                  <a:pt x="6726936" y="207264"/>
                </a:lnTo>
                <a:lnTo>
                  <a:pt x="6726936" y="411480"/>
                </a:lnTo>
                <a:lnTo>
                  <a:pt x="7485888" y="411480"/>
                </a:lnTo>
                <a:lnTo>
                  <a:pt x="7485888" y="207264"/>
                </a:lnTo>
                <a:close/>
              </a:path>
              <a:path w="7486015" h="2066925">
                <a:moveTo>
                  <a:pt x="7485888" y="0"/>
                </a:moveTo>
                <a:lnTo>
                  <a:pt x="6726936" y="0"/>
                </a:lnTo>
                <a:lnTo>
                  <a:pt x="6726936" y="204216"/>
                </a:lnTo>
                <a:lnTo>
                  <a:pt x="7485888" y="204216"/>
                </a:lnTo>
                <a:lnTo>
                  <a:pt x="7485888" y="0"/>
                </a:lnTo>
                <a:close/>
              </a:path>
            </a:pathLst>
          </a:custGeom>
          <a:solidFill>
            <a:srgbClr val="FFFFFF"/>
          </a:solidFill>
        </xdr:spPr>
      </xdr:sp>
      <xdr:sp macro="" textlink="">
        <xdr:nvSpPr>
          <xdr:cNvPr id="96" name="Shape 96">
            <a:extLst>
              <a:ext uri="{FF2B5EF4-FFF2-40B4-BE49-F238E27FC236}">
                <a16:creationId xmlns:a16="http://schemas.microsoft.com/office/drawing/2014/main" id="{00000000-0008-0000-0800-000060000000}"/>
              </a:ext>
            </a:extLst>
          </xdr:cNvPr>
          <xdr:cNvSpPr/>
        </xdr:nvSpPr>
        <xdr:spPr>
          <a:xfrm>
            <a:off x="0" y="1862327"/>
            <a:ext cx="7486015" cy="2273935"/>
          </a:xfrm>
          <a:custGeom>
            <a:avLst/>
            <a:gdLst/>
            <a:ahLst/>
            <a:cxnLst/>
            <a:rect l="0" t="0" r="0" b="0"/>
            <a:pathLst>
              <a:path w="7486015" h="2273935">
                <a:moveTo>
                  <a:pt x="312420" y="0"/>
                </a:moveTo>
                <a:lnTo>
                  <a:pt x="0" y="0"/>
                </a:lnTo>
                <a:lnTo>
                  <a:pt x="0" y="1031748"/>
                </a:lnTo>
                <a:lnTo>
                  <a:pt x="312420" y="1031748"/>
                </a:lnTo>
                <a:lnTo>
                  <a:pt x="312420" y="0"/>
                </a:lnTo>
                <a:close/>
              </a:path>
              <a:path w="7486015" h="2273935">
                <a:moveTo>
                  <a:pt x="1264920" y="0"/>
                </a:moveTo>
                <a:lnTo>
                  <a:pt x="315468" y="0"/>
                </a:lnTo>
                <a:lnTo>
                  <a:pt x="315468" y="1031748"/>
                </a:lnTo>
                <a:lnTo>
                  <a:pt x="1264920" y="1031748"/>
                </a:lnTo>
                <a:lnTo>
                  <a:pt x="1264920" y="0"/>
                </a:lnTo>
                <a:close/>
              </a:path>
              <a:path w="7486015" h="2273935">
                <a:moveTo>
                  <a:pt x="2531364" y="0"/>
                </a:moveTo>
                <a:lnTo>
                  <a:pt x="1267968" y="0"/>
                </a:lnTo>
                <a:lnTo>
                  <a:pt x="1267968" y="1031748"/>
                </a:lnTo>
                <a:lnTo>
                  <a:pt x="2531364" y="1031748"/>
                </a:lnTo>
                <a:lnTo>
                  <a:pt x="2531364" y="0"/>
                </a:lnTo>
                <a:close/>
              </a:path>
              <a:path w="7486015" h="2273935">
                <a:moveTo>
                  <a:pt x="3037332" y="2069592"/>
                </a:moveTo>
                <a:lnTo>
                  <a:pt x="2534412" y="2069592"/>
                </a:lnTo>
                <a:lnTo>
                  <a:pt x="2534412" y="2273808"/>
                </a:lnTo>
                <a:lnTo>
                  <a:pt x="3037332" y="2273808"/>
                </a:lnTo>
                <a:lnTo>
                  <a:pt x="3037332" y="2069592"/>
                </a:lnTo>
                <a:close/>
              </a:path>
              <a:path w="7486015" h="2273935">
                <a:moveTo>
                  <a:pt x="3037332" y="1862328"/>
                </a:moveTo>
                <a:lnTo>
                  <a:pt x="2534412" y="1862328"/>
                </a:lnTo>
                <a:lnTo>
                  <a:pt x="2534412" y="2066544"/>
                </a:lnTo>
                <a:lnTo>
                  <a:pt x="3037332" y="2066544"/>
                </a:lnTo>
                <a:lnTo>
                  <a:pt x="3037332" y="1862328"/>
                </a:lnTo>
                <a:close/>
              </a:path>
              <a:path w="7486015" h="2273935">
                <a:moveTo>
                  <a:pt x="3037332" y="1655064"/>
                </a:moveTo>
                <a:lnTo>
                  <a:pt x="2534412" y="1655064"/>
                </a:lnTo>
                <a:lnTo>
                  <a:pt x="2534412" y="1859280"/>
                </a:lnTo>
                <a:lnTo>
                  <a:pt x="3037332" y="1859280"/>
                </a:lnTo>
                <a:lnTo>
                  <a:pt x="3037332" y="1655064"/>
                </a:lnTo>
                <a:close/>
              </a:path>
              <a:path w="7486015" h="2273935">
                <a:moveTo>
                  <a:pt x="3037332" y="1449324"/>
                </a:moveTo>
                <a:lnTo>
                  <a:pt x="2534412" y="1449324"/>
                </a:lnTo>
                <a:lnTo>
                  <a:pt x="2534412" y="1652016"/>
                </a:lnTo>
                <a:lnTo>
                  <a:pt x="3037332" y="1652016"/>
                </a:lnTo>
                <a:lnTo>
                  <a:pt x="3037332" y="1449324"/>
                </a:lnTo>
                <a:close/>
              </a:path>
              <a:path w="7486015" h="2273935">
                <a:moveTo>
                  <a:pt x="3037332" y="1242060"/>
                </a:moveTo>
                <a:lnTo>
                  <a:pt x="2534412" y="1242060"/>
                </a:lnTo>
                <a:lnTo>
                  <a:pt x="2534412" y="1446276"/>
                </a:lnTo>
                <a:lnTo>
                  <a:pt x="3037332" y="1446276"/>
                </a:lnTo>
                <a:lnTo>
                  <a:pt x="3037332" y="1242060"/>
                </a:lnTo>
                <a:close/>
              </a:path>
              <a:path w="7486015" h="2273935">
                <a:moveTo>
                  <a:pt x="3037332" y="1034796"/>
                </a:moveTo>
                <a:lnTo>
                  <a:pt x="2534412" y="1034796"/>
                </a:lnTo>
                <a:lnTo>
                  <a:pt x="2534412" y="1239012"/>
                </a:lnTo>
                <a:lnTo>
                  <a:pt x="3037332" y="1239012"/>
                </a:lnTo>
                <a:lnTo>
                  <a:pt x="3037332" y="1034796"/>
                </a:lnTo>
                <a:close/>
              </a:path>
              <a:path w="7486015" h="2273935">
                <a:moveTo>
                  <a:pt x="3037332" y="827532"/>
                </a:moveTo>
                <a:lnTo>
                  <a:pt x="2534412" y="827532"/>
                </a:lnTo>
                <a:lnTo>
                  <a:pt x="2534412" y="1031748"/>
                </a:lnTo>
                <a:lnTo>
                  <a:pt x="3037332" y="1031748"/>
                </a:lnTo>
                <a:lnTo>
                  <a:pt x="3037332" y="827532"/>
                </a:lnTo>
                <a:close/>
              </a:path>
              <a:path w="7486015" h="2273935">
                <a:moveTo>
                  <a:pt x="3037332" y="620268"/>
                </a:moveTo>
                <a:lnTo>
                  <a:pt x="2534412" y="620268"/>
                </a:lnTo>
                <a:lnTo>
                  <a:pt x="2534412" y="824484"/>
                </a:lnTo>
                <a:lnTo>
                  <a:pt x="3037332" y="824484"/>
                </a:lnTo>
                <a:lnTo>
                  <a:pt x="3037332" y="620268"/>
                </a:lnTo>
                <a:close/>
              </a:path>
              <a:path w="7486015" h="2273935">
                <a:moveTo>
                  <a:pt x="3037332" y="414528"/>
                </a:moveTo>
                <a:lnTo>
                  <a:pt x="2534412" y="414528"/>
                </a:lnTo>
                <a:lnTo>
                  <a:pt x="2534412" y="617220"/>
                </a:lnTo>
                <a:lnTo>
                  <a:pt x="3037332" y="617220"/>
                </a:lnTo>
                <a:lnTo>
                  <a:pt x="3037332" y="414528"/>
                </a:lnTo>
                <a:close/>
              </a:path>
              <a:path w="7486015" h="2273935">
                <a:moveTo>
                  <a:pt x="3037332" y="207264"/>
                </a:moveTo>
                <a:lnTo>
                  <a:pt x="2534412" y="207264"/>
                </a:lnTo>
                <a:lnTo>
                  <a:pt x="2534412" y="411480"/>
                </a:lnTo>
                <a:lnTo>
                  <a:pt x="3037332" y="411480"/>
                </a:lnTo>
                <a:lnTo>
                  <a:pt x="3037332" y="207264"/>
                </a:lnTo>
                <a:close/>
              </a:path>
              <a:path w="7486015" h="2273935">
                <a:moveTo>
                  <a:pt x="3674364" y="2069592"/>
                </a:moveTo>
                <a:lnTo>
                  <a:pt x="3040380" y="2069592"/>
                </a:lnTo>
                <a:lnTo>
                  <a:pt x="3040380" y="2273808"/>
                </a:lnTo>
                <a:lnTo>
                  <a:pt x="3674364" y="2273808"/>
                </a:lnTo>
                <a:lnTo>
                  <a:pt x="3674364" y="2069592"/>
                </a:lnTo>
                <a:close/>
              </a:path>
              <a:path w="7486015" h="2273935">
                <a:moveTo>
                  <a:pt x="3674364" y="1862328"/>
                </a:moveTo>
                <a:lnTo>
                  <a:pt x="3040380" y="1862328"/>
                </a:lnTo>
                <a:lnTo>
                  <a:pt x="3040380" y="2066544"/>
                </a:lnTo>
                <a:lnTo>
                  <a:pt x="3674364" y="2066544"/>
                </a:lnTo>
                <a:lnTo>
                  <a:pt x="3674364" y="1862328"/>
                </a:lnTo>
                <a:close/>
              </a:path>
              <a:path w="7486015" h="2273935">
                <a:moveTo>
                  <a:pt x="3674364" y="1655064"/>
                </a:moveTo>
                <a:lnTo>
                  <a:pt x="3040380" y="1655064"/>
                </a:lnTo>
                <a:lnTo>
                  <a:pt x="3040380" y="1859280"/>
                </a:lnTo>
                <a:lnTo>
                  <a:pt x="3674364" y="1859280"/>
                </a:lnTo>
                <a:lnTo>
                  <a:pt x="3674364" y="1655064"/>
                </a:lnTo>
                <a:close/>
              </a:path>
              <a:path w="7486015" h="2273935">
                <a:moveTo>
                  <a:pt x="3674364" y="1449324"/>
                </a:moveTo>
                <a:lnTo>
                  <a:pt x="3040380" y="1449324"/>
                </a:lnTo>
                <a:lnTo>
                  <a:pt x="3040380" y="1652016"/>
                </a:lnTo>
                <a:lnTo>
                  <a:pt x="3674364" y="1652016"/>
                </a:lnTo>
                <a:lnTo>
                  <a:pt x="3674364" y="1449324"/>
                </a:lnTo>
                <a:close/>
              </a:path>
              <a:path w="7486015" h="2273935">
                <a:moveTo>
                  <a:pt x="3674364" y="1242060"/>
                </a:moveTo>
                <a:lnTo>
                  <a:pt x="3040380" y="1242060"/>
                </a:lnTo>
                <a:lnTo>
                  <a:pt x="3040380" y="1446276"/>
                </a:lnTo>
                <a:lnTo>
                  <a:pt x="3674364" y="1446276"/>
                </a:lnTo>
                <a:lnTo>
                  <a:pt x="3674364" y="1242060"/>
                </a:lnTo>
                <a:close/>
              </a:path>
              <a:path w="7486015" h="2273935">
                <a:moveTo>
                  <a:pt x="3674364" y="1034796"/>
                </a:moveTo>
                <a:lnTo>
                  <a:pt x="3040380" y="1034796"/>
                </a:lnTo>
                <a:lnTo>
                  <a:pt x="3040380" y="1239012"/>
                </a:lnTo>
                <a:lnTo>
                  <a:pt x="3674364" y="1239012"/>
                </a:lnTo>
                <a:lnTo>
                  <a:pt x="3674364" y="1034796"/>
                </a:lnTo>
                <a:close/>
              </a:path>
              <a:path w="7486015" h="2273935">
                <a:moveTo>
                  <a:pt x="3674364" y="827532"/>
                </a:moveTo>
                <a:lnTo>
                  <a:pt x="3040380" y="827532"/>
                </a:lnTo>
                <a:lnTo>
                  <a:pt x="3040380" y="1031748"/>
                </a:lnTo>
                <a:lnTo>
                  <a:pt x="3674364" y="1031748"/>
                </a:lnTo>
                <a:lnTo>
                  <a:pt x="3674364" y="827532"/>
                </a:lnTo>
                <a:close/>
              </a:path>
              <a:path w="7486015" h="2273935">
                <a:moveTo>
                  <a:pt x="3674364" y="620268"/>
                </a:moveTo>
                <a:lnTo>
                  <a:pt x="3040380" y="620268"/>
                </a:lnTo>
                <a:lnTo>
                  <a:pt x="3040380" y="824484"/>
                </a:lnTo>
                <a:lnTo>
                  <a:pt x="3674364" y="824484"/>
                </a:lnTo>
                <a:lnTo>
                  <a:pt x="3674364" y="620268"/>
                </a:lnTo>
                <a:close/>
              </a:path>
              <a:path w="7486015" h="2273935">
                <a:moveTo>
                  <a:pt x="3674364" y="414528"/>
                </a:moveTo>
                <a:lnTo>
                  <a:pt x="3040380" y="414528"/>
                </a:lnTo>
                <a:lnTo>
                  <a:pt x="3040380" y="617220"/>
                </a:lnTo>
                <a:lnTo>
                  <a:pt x="3674364" y="617220"/>
                </a:lnTo>
                <a:lnTo>
                  <a:pt x="3674364" y="414528"/>
                </a:lnTo>
                <a:close/>
              </a:path>
              <a:path w="7486015" h="2273935">
                <a:moveTo>
                  <a:pt x="3674364" y="207264"/>
                </a:moveTo>
                <a:lnTo>
                  <a:pt x="3040380" y="207264"/>
                </a:lnTo>
                <a:lnTo>
                  <a:pt x="3040380" y="411480"/>
                </a:lnTo>
                <a:lnTo>
                  <a:pt x="3674364" y="411480"/>
                </a:lnTo>
                <a:lnTo>
                  <a:pt x="3674364" y="207264"/>
                </a:lnTo>
                <a:close/>
              </a:path>
              <a:path w="7486015" h="2273935">
                <a:moveTo>
                  <a:pt x="4437888" y="1862328"/>
                </a:moveTo>
                <a:lnTo>
                  <a:pt x="3677412" y="1862328"/>
                </a:lnTo>
                <a:lnTo>
                  <a:pt x="3677412" y="2066544"/>
                </a:lnTo>
                <a:lnTo>
                  <a:pt x="4437888" y="2066544"/>
                </a:lnTo>
                <a:lnTo>
                  <a:pt x="4437888" y="1862328"/>
                </a:lnTo>
                <a:close/>
              </a:path>
              <a:path w="7486015" h="2273935">
                <a:moveTo>
                  <a:pt x="4437888" y="1655064"/>
                </a:moveTo>
                <a:lnTo>
                  <a:pt x="3677412" y="1655064"/>
                </a:lnTo>
                <a:lnTo>
                  <a:pt x="3677412" y="1859280"/>
                </a:lnTo>
                <a:lnTo>
                  <a:pt x="4437888" y="1859280"/>
                </a:lnTo>
                <a:lnTo>
                  <a:pt x="4437888" y="1655064"/>
                </a:lnTo>
                <a:close/>
              </a:path>
              <a:path w="7486015" h="2273935">
                <a:moveTo>
                  <a:pt x="4437888" y="1449324"/>
                </a:moveTo>
                <a:lnTo>
                  <a:pt x="3677412" y="1449324"/>
                </a:lnTo>
                <a:lnTo>
                  <a:pt x="3677412" y="1652016"/>
                </a:lnTo>
                <a:lnTo>
                  <a:pt x="4437888" y="1652016"/>
                </a:lnTo>
                <a:lnTo>
                  <a:pt x="4437888" y="1449324"/>
                </a:lnTo>
                <a:close/>
              </a:path>
              <a:path w="7486015" h="2273935">
                <a:moveTo>
                  <a:pt x="4437888" y="1242060"/>
                </a:moveTo>
                <a:lnTo>
                  <a:pt x="3677412" y="1242060"/>
                </a:lnTo>
                <a:lnTo>
                  <a:pt x="3677412" y="1446276"/>
                </a:lnTo>
                <a:lnTo>
                  <a:pt x="4437888" y="1446276"/>
                </a:lnTo>
                <a:lnTo>
                  <a:pt x="4437888" y="1242060"/>
                </a:lnTo>
                <a:close/>
              </a:path>
              <a:path w="7486015" h="2273935">
                <a:moveTo>
                  <a:pt x="4437888" y="1034796"/>
                </a:moveTo>
                <a:lnTo>
                  <a:pt x="3677412" y="1034796"/>
                </a:lnTo>
                <a:lnTo>
                  <a:pt x="3677412" y="1239012"/>
                </a:lnTo>
                <a:lnTo>
                  <a:pt x="4437888" y="1239012"/>
                </a:lnTo>
                <a:lnTo>
                  <a:pt x="4437888" y="1034796"/>
                </a:lnTo>
                <a:close/>
              </a:path>
              <a:path w="7486015" h="2273935">
                <a:moveTo>
                  <a:pt x="4437888" y="827532"/>
                </a:moveTo>
                <a:lnTo>
                  <a:pt x="3677412" y="827532"/>
                </a:lnTo>
                <a:lnTo>
                  <a:pt x="3677412" y="1031748"/>
                </a:lnTo>
                <a:lnTo>
                  <a:pt x="4437888" y="1031748"/>
                </a:lnTo>
                <a:lnTo>
                  <a:pt x="4437888" y="827532"/>
                </a:lnTo>
                <a:close/>
              </a:path>
              <a:path w="7486015" h="2273935">
                <a:moveTo>
                  <a:pt x="4437888" y="620268"/>
                </a:moveTo>
                <a:lnTo>
                  <a:pt x="3677412" y="620268"/>
                </a:lnTo>
                <a:lnTo>
                  <a:pt x="3677412" y="824484"/>
                </a:lnTo>
                <a:lnTo>
                  <a:pt x="4437888" y="824484"/>
                </a:lnTo>
                <a:lnTo>
                  <a:pt x="4437888" y="620268"/>
                </a:lnTo>
                <a:close/>
              </a:path>
              <a:path w="7486015" h="2273935">
                <a:moveTo>
                  <a:pt x="4437888" y="414528"/>
                </a:moveTo>
                <a:lnTo>
                  <a:pt x="3677412" y="414528"/>
                </a:lnTo>
                <a:lnTo>
                  <a:pt x="3677412" y="617220"/>
                </a:lnTo>
                <a:lnTo>
                  <a:pt x="4437888" y="617220"/>
                </a:lnTo>
                <a:lnTo>
                  <a:pt x="4437888" y="414528"/>
                </a:lnTo>
                <a:close/>
              </a:path>
              <a:path w="7486015" h="2273935">
                <a:moveTo>
                  <a:pt x="4437888" y="207264"/>
                </a:moveTo>
                <a:lnTo>
                  <a:pt x="3677412" y="207264"/>
                </a:lnTo>
                <a:lnTo>
                  <a:pt x="3677412" y="411480"/>
                </a:lnTo>
                <a:lnTo>
                  <a:pt x="4437888" y="411480"/>
                </a:lnTo>
                <a:lnTo>
                  <a:pt x="4437888" y="207264"/>
                </a:lnTo>
                <a:close/>
              </a:path>
              <a:path w="7486015" h="2273935">
                <a:moveTo>
                  <a:pt x="5199888" y="1862328"/>
                </a:moveTo>
                <a:lnTo>
                  <a:pt x="4440936" y="1862328"/>
                </a:lnTo>
                <a:lnTo>
                  <a:pt x="4440936" y="2066544"/>
                </a:lnTo>
                <a:lnTo>
                  <a:pt x="5199888" y="2066544"/>
                </a:lnTo>
                <a:lnTo>
                  <a:pt x="5199888" y="1862328"/>
                </a:lnTo>
                <a:close/>
              </a:path>
              <a:path w="7486015" h="2273935">
                <a:moveTo>
                  <a:pt x="5199888" y="1655064"/>
                </a:moveTo>
                <a:lnTo>
                  <a:pt x="4440936" y="1655064"/>
                </a:lnTo>
                <a:lnTo>
                  <a:pt x="4440936" y="1859280"/>
                </a:lnTo>
                <a:lnTo>
                  <a:pt x="5199888" y="1859280"/>
                </a:lnTo>
                <a:lnTo>
                  <a:pt x="5199888" y="1655064"/>
                </a:lnTo>
                <a:close/>
              </a:path>
              <a:path w="7486015" h="2273935">
                <a:moveTo>
                  <a:pt x="5199888" y="1449324"/>
                </a:moveTo>
                <a:lnTo>
                  <a:pt x="4440936" y="1449324"/>
                </a:lnTo>
                <a:lnTo>
                  <a:pt x="4440936" y="1652016"/>
                </a:lnTo>
                <a:lnTo>
                  <a:pt x="5199888" y="1652016"/>
                </a:lnTo>
                <a:lnTo>
                  <a:pt x="5199888" y="1449324"/>
                </a:lnTo>
                <a:close/>
              </a:path>
              <a:path w="7486015" h="2273935">
                <a:moveTo>
                  <a:pt x="5199888" y="1242060"/>
                </a:moveTo>
                <a:lnTo>
                  <a:pt x="4440936" y="1242060"/>
                </a:lnTo>
                <a:lnTo>
                  <a:pt x="4440936" y="1446276"/>
                </a:lnTo>
                <a:lnTo>
                  <a:pt x="5199888" y="1446276"/>
                </a:lnTo>
                <a:lnTo>
                  <a:pt x="5199888" y="1242060"/>
                </a:lnTo>
                <a:close/>
              </a:path>
              <a:path w="7486015" h="2273935">
                <a:moveTo>
                  <a:pt x="5199888" y="1034796"/>
                </a:moveTo>
                <a:lnTo>
                  <a:pt x="4440936" y="1034796"/>
                </a:lnTo>
                <a:lnTo>
                  <a:pt x="4440936" y="1239012"/>
                </a:lnTo>
                <a:lnTo>
                  <a:pt x="5199888" y="1239012"/>
                </a:lnTo>
                <a:lnTo>
                  <a:pt x="5199888" y="1034796"/>
                </a:lnTo>
                <a:close/>
              </a:path>
              <a:path w="7486015" h="2273935">
                <a:moveTo>
                  <a:pt x="5199888" y="827532"/>
                </a:moveTo>
                <a:lnTo>
                  <a:pt x="4440936" y="827532"/>
                </a:lnTo>
                <a:lnTo>
                  <a:pt x="4440936" y="1031748"/>
                </a:lnTo>
                <a:lnTo>
                  <a:pt x="5199888" y="1031748"/>
                </a:lnTo>
                <a:lnTo>
                  <a:pt x="5199888" y="827532"/>
                </a:lnTo>
                <a:close/>
              </a:path>
              <a:path w="7486015" h="2273935">
                <a:moveTo>
                  <a:pt x="5199888" y="620268"/>
                </a:moveTo>
                <a:lnTo>
                  <a:pt x="4440936" y="620268"/>
                </a:lnTo>
                <a:lnTo>
                  <a:pt x="4440936" y="824484"/>
                </a:lnTo>
                <a:lnTo>
                  <a:pt x="5199888" y="824484"/>
                </a:lnTo>
                <a:lnTo>
                  <a:pt x="5199888" y="620268"/>
                </a:lnTo>
                <a:close/>
              </a:path>
              <a:path w="7486015" h="2273935">
                <a:moveTo>
                  <a:pt x="5199888" y="414528"/>
                </a:moveTo>
                <a:lnTo>
                  <a:pt x="4440936" y="414528"/>
                </a:lnTo>
                <a:lnTo>
                  <a:pt x="4440936" y="617220"/>
                </a:lnTo>
                <a:lnTo>
                  <a:pt x="5199888" y="617220"/>
                </a:lnTo>
                <a:lnTo>
                  <a:pt x="5199888" y="414528"/>
                </a:lnTo>
                <a:close/>
              </a:path>
              <a:path w="7486015" h="2273935">
                <a:moveTo>
                  <a:pt x="5199888" y="207264"/>
                </a:moveTo>
                <a:lnTo>
                  <a:pt x="4440936" y="207264"/>
                </a:lnTo>
                <a:lnTo>
                  <a:pt x="4440936" y="411480"/>
                </a:lnTo>
                <a:lnTo>
                  <a:pt x="5199888" y="411480"/>
                </a:lnTo>
                <a:lnTo>
                  <a:pt x="5199888" y="207264"/>
                </a:lnTo>
                <a:close/>
              </a:path>
              <a:path w="7486015" h="2273935">
                <a:moveTo>
                  <a:pt x="5961875" y="1862328"/>
                </a:moveTo>
                <a:lnTo>
                  <a:pt x="5202936" y="1862328"/>
                </a:lnTo>
                <a:lnTo>
                  <a:pt x="5202936" y="2066544"/>
                </a:lnTo>
                <a:lnTo>
                  <a:pt x="5961875" y="2066544"/>
                </a:lnTo>
                <a:lnTo>
                  <a:pt x="5961875" y="1862328"/>
                </a:lnTo>
                <a:close/>
              </a:path>
              <a:path w="7486015" h="2273935">
                <a:moveTo>
                  <a:pt x="5961875" y="1655064"/>
                </a:moveTo>
                <a:lnTo>
                  <a:pt x="5202936" y="1655064"/>
                </a:lnTo>
                <a:lnTo>
                  <a:pt x="5202936" y="1859280"/>
                </a:lnTo>
                <a:lnTo>
                  <a:pt x="5961875" y="1859280"/>
                </a:lnTo>
                <a:lnTo>
                  <a:pt x="5961875" y="1655064"/>
                </a:lnTo>
                <a:close/>
              </a:path>
              <a:path w="7486015" h="2273935">
                <a:moveTo>
                  <a:pt x="5961875" y="1449324"/>
                </a:moveTo>
                <a:lnTo>
                  <a:pt x="5202936" y="1449324"/>
                </a:lnTo>
                <a:lnTo>
                  <a:pt x="5202936" y="1652016"/>
                </a:lnTo>
                <a:lnTo>
                  <a:pt x="5961875" y="1652016"/>
                </a:lnTo>
                <a:lnTo>
                  <a:pt x="5961875" y="1449324"/>
                </a:lnTo>
                <a:close/>
              </a:path>
              <a:path w="7486015" h="2273935">
                <a:moveTo>
                  <a:pt x="5961875" y="1242060"/>
                </a:moveTo>
                <a:lnTo>
                  <a:pt x="5202936" y="1242060"/>
                </a:lnTo>
                <a:lnTo>
                  <a:pt x="5202936" y="1446276"/>
                </a:lnTo>
                <a:lnTo>
                  <a:pt x="5961875" y="1446276"/>
                </a:lnTo>
                <a:lnTo>
                  <a:pt x="5961875" y="1242060"/>
                </a:lnTo>
                <a:close/>
              </a:path>
              <a:path w="7486015" h="2273935">
                <a:moveTo>
                  <a:pt x="5961875" y="1034796"/>
                </a:moveTo>
                <a:lnTo>
                  <a:pt x="5202936" y="1034796"/>
                </a:lnTo>
                <a:lnTo>
                  <a:pt x="5202936" y="1239012"/>
                </a:lnTo>
                <a:lnTo>
                  <a:pt x="5961875" y="1239012"/>
                </a:lnTo>
                <a:lnTo>
                  <a:pt x="5961875" y="1034796"/>
                </a:lnTo>
                <a:close/>
              </a:path>
              <a:path w="7486015" h="2273935">
                <a:moveTo>
                  <a:pt x="5961875" y="827532"/>
                </a:moveTo>
                <a:lnTo>
                  <a:pt x="5202936" y="827532"/>
                </a:lnTo>
                <a:lnTo>
                  <a:pt x="5202936" y="1031748"/>
                </a:lnTo>
                <a:lnTo>
                  <a:pt x="5961875" y="1031748"/>
                </a:lnTo>
                <a:lnTo>
                  <a:pt x="5961875" y="827532"/>
                </a:lnTo>
                <a:close/>
              </a:path>
              <a:path w="7486015" h="2273935">
                <a:moveTo>
                  <a:pt x="5961875" y="620268"/>
                </a:moveTo>
                <a:lnTo>
                  <a:pt x="5202936" y="620268"/>
                </a:lnTo>
                <a:lnTo>
                  <a:pt x="5202936" y="824484"/>
                </a:lnTo>
                <a:lnTo>
                  <a:pt x="5961875" y="824484"/>
                </a:lnTo>
                <a:lnTo>
                  <a:pt x="5961875" y="620268"/>
                </a:lnTo>
                <a:close/>
              </a:path>
              <a:path w="7486015" h="2273935">
                <a:moveTo>
                  <a:pt x="5961875" y="414528"/>
                </a:moveTo>
                <a:lnTo>
                  <a:pt x="5202936" y="414528"/>
                </a:lnTo>
                <a:lnTo>
                  <a:pt x="5202936" y="617220"/>
                </a:lnTo>
                <a:lnTo>
                  <a:pt x="5961875" y="617220"/>
                </a:lnTo>
                <a:lnTo>
                  <a:pt x="5961875" y="414528"/>
                </a:lnTo>
                <a:close/>
              </a:path>
              <a:path w="7486015" h="2273935">
                <a:moveTo>
                  <a:pt x="5961875" y="207264"/>
                </a:moveTo>
                <a:lnTo>
                  <a:pt x="5202936" y="207264"/>
                </a:lnTo>
                <a:lnTo>
                  <a:pt x="5202936" y="411480"/>
                </a:lnTo>
                <a:lnTo>
                  <a:pt x="5961875" y="411480"/>
                </a:lnTo>
                <a:lnTo>
                  <a:pt x="5961875" y="207264"/>
                </a:lnTo>
                <a:close/>
              </a:path>
              <a:path w="7486015" h="2273935">
                <a:moveTo>
                  <a:pt x="5961875" y="0"/>
                </a:moveTo>
                <a:lnTo>
                  <a:pt x="5202936" y="0"/>
                </a:lnTo>
                <a:lnTo>
                  <a:pt x="5202936" y="204216"/>
                </a:lnTo>
                <a:lnTo>
                  <a:pt x="5961875" y="204216"/>
                </a:lnTo>
                <a:lnTo>
                  <a:pt x="5961875" y="0"/>
                </a:lnTo>
                <a:close/>
              </a:path>
              <a:path w="7486015" h="2273935">
                <a:moveTo>
                  <a:pt x="6723888" y="1862328"/>
                </a:moveTo>
                <a:lnTo>
                  <a:pt x="5964936" y="1862328"/>
                </a:lnTo>
                <a:lnTo>
                  <a:pt x="5964936" y="2066544"/>
                </a:lnTo>
                <a:lnTo>
                  <a:pt x="6723888" y="2066544"/>
                </a:lnTo>
                <a:lnTo>
                  <a:pt x="6723888" y="1862328"/>
                </a:lnTo>
                <a:close/>
              </a:path>
              <a:path w="7486015" h="2273935">
                <a:moveTo>
                  <a:pt x="6723888" y="1655064"/>
                </a:moveTo>
                <a:lnTo>
                  <a:pt x="5964936" y="1655064"/>
                </a:lnTo>
                <a:lnTo>
                  <a:pt x="5964936" y="1859280"/>
                </a:lnTo>
                <a:lnTo>
                  <a:pt x="6723888" y="1859280"/>
                </a:lnTo>
                <a:lnTo>
                  <a:pt x="6723888" y="1655064"/>
                </a:lnTo>
                <a:close/>
              </a:path>
              <a:path w="7486015" h="2273935">
                <a:moveTo>
                  <a:pt x="6723888" y="1449324"/>
                </a:moveTo>
                <a:lnTo>
                  <a:pt x="5964936" y="1449324"/>
                </a:lnTo>
                <a:lnTo>
                  <a:pt x="5964936" y="1652016"/>
                </a:lnTo>
                <a:lnTo>
                  <a:pt x="6723888" y="1652016"/>
                </a:lnTo>
                <a:lnTo>
                  <a:pt x="6723888" y="1449324"/>
                </a:lnTo>
                <a:close/>
              </a:path>
              <a:path w="7486015" h="2273935">
                <a:moveTo>
                  <a:pt x="6723888" y="1242060"/>
                </a:moveTo>
                <a:lnTo>
                  <a:pt x="5964936" y="1242060"/>
                </a:lnTo>
                <a:lnTo>
                  <a:pt x="5964936" y="1446276"/>
                </a:lnTo>
                <a:lnTo>
                  <a:pt x="6723888" y="1446276"/>
                </a:lnTo>
                <a:lnTo>
                  <a:pt x="6723888" y="1242060"/>
                </a:lnTo>
                <a:close/>
              </a:path>
              <a:path w="7486015" h="2273935">
                <a:moveTo>
                  <a:pt x="6723888" y="1034796"/>
                </a:moveTo>
                <a:lnTo>
                  <a:pt x="5964936" y="1034796"/>
                </a:lnTo>
                <a:lnTo>
                  <a:pt x="5964936" y="1239012"/>
                </a:lnTo>
                <a:lnTo>
                  <a:pt x="6723888" y="1239012"/>
                </a:lnTo>
                <a:lnTo>
                  <a:pt x="6723888" y="1034796"/>
                </a:lnTo>
                <a:close/>
              </a:path>
              <a:path w="7486015" h="2273935">
                <a:moveTo>
                  <a:pt x="6723888" y="827532"/>
                </a:moveTo>
                <a:lnTo>
                  <a:pt x="5964936" y="827532"/>
                </a:lnTo>
                <a:lnTo>
                  <a:pt x="5964936" y="1031748"/>
                </a:lnTo>
                <a:lnTo>
                  <a:pt x="6723888" y="1031748"/>
                </a:lnTo>
                <a:lnTo>
                  <a:pt x="6723888" y="827532"/>
                </a:lnTo>
                <a:close/>
              </a:path>
              <a:path w="7486015" h="2273935">
                <a:moveTo>
                  <a:pt x="6723888" y="620268"/>
                </a:moveTo>
                <a:lnTo>
                  <a:pt x="5964936" y="620268"/>
                </a:lnTo>
                <a:lnTo>
                  <a:pt x="5964936" y="824484"/>
                </a:lnTo>
                <a:lnTo>
                  <a:pt x="6723888" y="824484"/>
                </a:lnTo>
                <a:lnTo>
                  <a:pt x="6723888" y="620268"/>
                </a:lnTo>
                <a:close/>
              </a:path>
              <a:path w="7486015" h="2273935">
                <a:moveTo>
                  <a:pt x="6723888" y="414528"/>
                </a:moveTo>
                <a:lnTo>
                  <a:pt x="5964936" y="414528"/>
                </a:lnTo>
                <a:lnTo>
                  <a:pt x="5964936" y="617220"/>
                </a:lnTo>
                <a:lnTo>
                  <a:pt x="6723888" y="617220"/>
                </a:lnTo>
                <a:lnTo>
                  <a:pt x="6723888" y="414528"/>
                </a:lnTo>
                <a:close/>
              </a:path>
              <a:path w="7486015" h="2273935">
                <a:moveTo>
                  <a:pt x="6723888" y="207264"/>
                </a:moveTo>
                <a:lnTo>
                  <a:pt x="5964936" y="207264"/>
                </a:lnTo>
                <a:lnTo>
                  <a:pt x="5964936" y="411480"/>
                </a:lnTo>
                <a:lnTo>
                  <a:pt x="6723888" y="411480"/>
                </a:lnTo>
                <a:lnTo>
                  <a:pt x="6723888" y="207264"/>
                </a:lnTo>
                <a:close/>
              </a:path>
              <a:path w="7486015" h="2273935">
                <a:moveTo>
                  <a:pt x="6723888" y="0"/>
                </a:moveTo>
                <a:lnTo>
                  <a:pt x="5964936" y="0"/>
                </a:lnTo>
                <a:lnTo>
                  <a:pt x="5964936" y="204216"/>
                </a:lnTo>
                <a:lnTo>
                  <a:pt x="6723888" y="204216"/>
                </a:lnTo>
                <a:lnTo>
                  <a:pt x="6723888" y="0"/>
                </a:lnTo>
                <a:close/>
              </a:path>
              <a:path w="7486015" h="2273935">
                <a:moveTo>
                  <a:pt x="7485888" y="1862328"/>
                </a:moveTo>
                <a:lnTo>
                  <a:pt x="6726936" y="1862328"/>
                </a:lnTo>
                <a:lnTo>
                  <a:pt x="6726936" y="2066544"/>
                </a:lnTo>
                <a:lnTo>
                  <a:pt x="7485888" y="2066544"/>
                </a:lnTo>
                <a:lnTo>
                  <a:pt x="7485888" y="1862328"/>
                </a:lnTo>
                <a:close/>
              </a:path>
              <a:path w="7486015" h="2273935">
                <a:moveTo>
                  <a:pt x="7485888" y="1655064"/>
                </a:moveTo>
                <a:lnTo>
                  <a:pt x="6726936" y="1655064"/>
                </a:lnTo>
                <a:lnTo>
                  <a:pt x="6726936" y="1859280"/>
                </a:lnTo>
                <a:lnTo>
                  <a:pt x="7485888" y="1859280"/>
                </a:lnTo>
                <a:lnTo>
                  <a:pt x="7485888" y="1655064"/>
                </a:lnTo>
                <a:close/>
              </a:path>
              <a:path w="7486015" h="2273935">
                <a:moveTo>
                  <a:pt x="7485888" y="1449324"/>
                </a:moveTo>
                <a:lnTo>
                  <a:pt x="6726936" y="1449324"/>
                </a:lnTo>
                <a:lnTo>
                  <a:pt x="6726936" y="1652016"/>
                </a:lnTo>
                <a:lnTo>
                  <a:pt x="7485888" y="1652016"/>
                </a:lnTo>
                <a:lnTo>
                  <a:pt x="7485888" y="1449324"/>
                </a:lnTo>
                <a:close/>
              </a:path>
              <a:path w="7486015" h="2273935">
                <a:moveTo>
                  <a:pt x="7485888" y="1242060"/>
                </a:moveTo>
                <a:lnTo>
                  <a:pt x="6726936" y="1242060"/>
                </a:lnTo>
                <a:lnTo>
                  <a:pt x="6726936" y="1446276"/>
                </a:lnTo>
                <a:lnTo>
                  <a:pt x="7485888" y="1446276"/>
                </a:lnTo>
                <a:lnTo>
                  <a:pt x="7485888" y="1242060"/>
                </a:lnTo>
                <a:close/>
              </a:path>
              <a:path w="7486015" h="2273935">
                <a:moveTo>
                  <a:pt x="7485888" y="1034796"/>
                </a:moveTo>
                <a:lnTo>
                  <a:pt x="6726936" y="1034796"/>
                </a:lnTo>
                <a:lnTo>
                  <a:pt x="6726936" y="1239012"/>
                </a:lnTo>
                <a:lnTo>
                  <a:pt x="7485888" y="1239012"/>
                </a:lnTo>
                <a:lnTo>
                  <a:pt x="7485888" y="1034796"/>
                </a:lnTo>
                <a:close/>
              </a:path>
              <a:path w="7486015" h="2273935">
                <a:moveTo>
                  <a:pt x="7485888" y="827532"/>
                </a:moveTo>
                <a:lnTo>
                  <a:pt x="6726936" y="827532"/>
                </a:lnTo>
                <a:lnTo>
                  <a:pt x="6726936" y="1031748"/>
                </a:lnTo>
                <a:lnTo>
                  <a:pt x="7485888" y="1031748"/>
                </a:lnTo>
                <a:lnTo>
                  <a:pt x="7485888" y="827532"/>
                </a:lnTo>
                <a:close/>
              </a:path>
              <a:path w="7486015" h="2273935">
                <a:moveTo>
                  <a:pt x="7485888" y="620268"/>
                </a:moveTo>
                <a:lnTo>
                  <a:pt x="6726936" y="620268"/>
                </a:lnTo>
                <a:lnTo>
                  <a:pt x="6726936" y="824484"/>
                </a:lnTo>
                <a:lnTo>
                  <a:pt x="7485888" y="824484"/>
                </a:lnTo>
                <a:lnTo>
                  <a:pt x="7485888" y="620268"/>
                </a:lnTo>
                <a:close/>
              </a:path>
              <a:path w="7486015" h="2273935">
                <a:moveTo>
                  <a:pt x="7485888" y="414528"/>
                </a:moveTo>
                <a:lnTo>
                  <a:pt x="6726936" y="414528"/>
                </a:lnTo>
                <a:lnTo>
                  <a:pt x="6726936" y="617220"/>
                </a:lnTo>
                <a:lnTo>
                  <a:pt x="7485888" y="617220"/>
                </a:lnTo>
                <a:lnTo>
                  <a:pt x="7485888" y="414528"/>
                </a:lnTo>
                <a:close/>
              </a:path>
              <a:path w="7486015" h="2273935">
                <a:moveTo>
                  <a:pt x="7485888" y="207264"/>
                </a:moveTo>
                <a:lnTo>
                  <a:pt x="6726936" y="207264"/>
                </a:lnTo>
                <a:lnTo>
                  <a:pt x="6726936" y="411480"/>
                </a:lnTo>
                <a:lnTo>
                  <a:pt x="7485888" y="411480"/>
                </a:lnTo>
                <a:lnTo>
                  <a:pt x="7485888" y="207264"/>
                </a:lnTo>
                <a:close/>
              </a:path>
              <a:path w="7486015" h="2273935">
                <a:moveTo>
                  <a:pt x="7485888" y="0"/>
                </a:moveTo>
                <a:lnTo>
                  <a:pt x="6726936" y="0"/>
                </a:lnTo>
                <a:lnTo>
                  <a:pt x="6726936" y="204216"/>
                </a:lnTo>
                <a:lnTo>
                  <a:pt x="7485888" y="204216"/>
                </a:lnTo>
                <a:lnTo>
                  <a:pt x="7485888" y="0"/>
                </a:lnTo>
                <a:close/>
              </a:path>
            </a:pathLst>
          </a:custGeom>
          <a:solidFill>
            <a:srgbClr val="FFFFFF"/>
          </a:solidFill>
        </xdr:spPr>
      </xdr:sp>
      <xdr:sp macro="" textlink="">
        <xdr:nvSpPr>
          <xdr:cNvPr id="97" name="Shape 97">
            <a:extLst>
              <a:ext uri="{FF2B5EF4-FFF2-40B4-BE49-F238E27FC236}">
                <a16:creationId xmlns:a16="http://schemas.microsoft.com/office/drawing/2014/main" id="{00000000-0008-0000-0800-000061000000}"/>
              </a:ext>
            </a:extLst>
          </xdr:cNvPr>
          <xdr:cNvSpPr/>
        </xdr:nvSpPr>
        <xdr:spPr>
          <a:xfrm>
            <a:off x="0" y="2897123"/>
            <a:ext cx="7486015" cy="1446530"/>
          </a:xfrm>
          <a:custGeom>
            <a:avLst/>
            <a:gdLst/>
            <a:ahLst/>
            <a:cxnLst/>
            <a:rect l="0" t="0" r="0" b="0"/>
            <a:pathLst>
              <a:path w="7486015" h="1446530">
                <a:moveTo>
                  <a:pt x="312420" y="0"/>
                </a:moveTo>
                <a:lnTo>
                  <a:pt x="0" y="0"/>
                </a:lnTo>
                <a:lnTo>
                  <a:pt x="0" y="1446276"/>
                </a:lnTo>
                <a:lnTo>
                  <a:pt x="312420" y="1446276"/>
                </a:lnTo>
                <a:lnTo>
                  <a:pt x="312420" y="0"/>
                </a:lnTo>
                <a:close/>
              </a:path>
              <a:path w="7486015" h="1446530">
                <a:moveTo>
                  <a:pt x="1264920" y="0"/>
                </a:moveTo>
                <a:lnTo>
                  <a:pt x="315468" y="0"/>
                </a:lnTo>
                <a:lnTo>
                  <a:pt x="315468" y="1446276"/>
                </a:lnTo>
                <a:lnTo>
                  <a:pt x="1264920" y="1446276"/>
                </a:lnTo>
                <a:lnTo>
                  <a:pt x="1264920" y="0"/>
                </a:lnTo>
                <a:close/>
              </a:path>
              <a:path w="7486015" h="1446530">
                <a:moveTo>
                  <a:pt x="2531364" y="0"/>
                </a:moveTo>
                <a:lnTo>
                  <a:pt x="1267968" y="0"/>
                </a:lnTo>
                <a:lnTo>
                  <a:pt x="1267968" y="1446276"/>
                </a:lnTo>
                <a:lnTo>
                  <a:pt x="2531364" y="1446276"/>
                </a:lnTo>
                <a:lnTo>
                  <a:pt x="2531364" y="0"/>
                </a:lnTo>
                <a:close/>
              </a:path>
              <a:path w="7486015" h="1446530">
                <a:moveTo>
                  <a:pt x="3037332" y="1242060"/>
                </a:moveTo>
                <a:lnTo>
                  <a:pt x="2534412" y="1242060"/>
                </a:lnTo>
                <a:lnTo>
                  <a:pt x="2534412" y="1446276"/>
                </a:lnTo>
                <a:lnTo>
                  <a:pt x="3037332" y="1446276"/>
                </a:lnTo>
                <a:lnTo>
                  <a:pt x="3037332" y="1242060"/>
                </a:lnTo>
                <a:close/>
              </a:path>
              <a:path w="7486015" h="1446530">
                <a:moveTo>
                  <a:pt x="3674364" y="1242060"/>
                </a:moveTo>
                <a:lnTo>
                  <a:pt x="3040380" y="1242060"/>
                </a:lnTo>
                <a:lnTo>
                  <a:pt x="3040380" y="1446276"/>
                </a:lnTo>
                <a:lnTo>
                  <a:pt x="3674364" y="1446276"/>
                </a:lnTo>
                <a:lnTo>
                  <a:pt x="3674364" y="1242060"/>
                </a:lnTo>
                <a:close/>
              </a:path>
              <a:path w="7486015" h="1446530">
                <a:moveTo>
                  <a:pt x="3674364" y="1034796"/>
                </a:moveTo>
                <a:lnTo>
                  <a:pt x="3040380" y="1034796"/>
                </a:lnTo>
                <a:lnTo>
                  <a:pt x="3040380" y="1239012"/>
                </a:lnTo>
                <a:lnTo>
                  <a:pt x="3674364" y="1239012"/>
                </a:lnTo>
                <a:lnTo>
                  <a:pt x="3674364" y="1034796"/>
                </a:lnTo>
                <a:close/>
              </a:path>
              <a:path w="7486015" h="1446530">
                <a:moveTo>
                  <a:pt x="4437888" y="1242060"/>
                </a:moveTo>
                <a:lnTo>
                  <a:pt x="3677412" y="1242060"/>
                </a:lnTo>
                <a:lnTo>
                  <a:pt x="3677412" y="1446276"/>
                </a:lnTo>
                <a:lnTo>
                  <a:pt x="4437888" y="1446276"/>
                </a:lnTo>
                <a:lnTo>
                  <a:pt x="4437888" y="1242060"/>
                </a:lnTo>
                <a:close/>
              </a:path>
              <a:path w="7486015" h="1446530">
                <a:moveTo>
                  <a:pt x="4437888" y="1034796"/>
                </a:moveTo>
                <a:lnTo>
                  <a:pt x="3677412" y="1034796"/>
                </a:lnTo>
                <a:lnTo>
                  <a:pt x="3677412" y="1239012"/>
                </a:lnTo>
                <a:lnTo>
                  <a:pt x="4437888" y="1239012"/>
                </a:lnTo>
                <a:lnTo>
                  <a:pt x="4437888" y="1034796"/>
                </a:lnTo>
                <a:close/>
              </a:path>
              <a:path w="7486015" h="1446530">
                <a:moveTo>
                  <a:pt x="5199888" y="1242060"/>
                </a:moveTo>
                <a:lnTo>
                  <a:pt x="4440936" y="1242060"/>
                </a:lnTo>
                <a:lnTo>
                  <a:pt x="4440936" y="1446276"/>
                </a:lnTo>
                <a:lnTo>
                  <a:pt x="5199888" y="1446276"/>
                </a:lnTo>
                <a:lnTo>
                  <a:pt x="5199888" y="1242060"/>
                </a:lnTo>
                <a:close/>
              </a:path>
              <a:path w="7486015" h="1446530">
                <a:moveTo>
                  <a:pt x="5199888" y="1034796"/>
                </a:moveTo>
                <a:lnTo>
                  <a:pt x="4440936" y="1034796"/>
                </a:lnTo>
                <a:lnTo>
                  <a:pt x="4440936" y="1239012"/>
                </a:lnTo>
                <a:lnTo>
                  <a:pt x="5199888" y="1239012"/>
                </a:lnTo>
                <a:lnTo>
                  <a:pt x="5199888" y="1034796"/>
                </a:lnTo>
                <a:close/>
              </a:path>
              <a:path w="7486015" h="1446530">
                <a:moveTo>
                  <a:pt x="5961875" y="1242060"/>
                </a:moveTo>
                <a:lnTo>
                  <a:pt x="5202936" y="1242060"/>
                </a:lnTo>
                <a:lnTo>
                  <a:pt x="5202936" y="1446276"/>
                </a:lnTo>
                <a:lnTo>
                  <a:pt x="5961875" y="1446276"/>
                </a:lnTo>
                <a:lnTo>
                  <a:pt x="5961875" y="1242060"/>
                </a:lnTo>
                <a:close/>
              </a:path>
              <a:path w="7486015" h="1446530">
                <a:moveTo>
                  <a:pt x="5961875" y="1034796"/>
                </a:moveTo>
                <a:lnTo>
                  <a:pt x="5202936" y="1034796"/>
                </a:lnTo>
                <a:lnTo>
                  <a:pt x="5202936" y="1239012"/>
                </a:lnTo>
                <a:lnTo>
                  <a:pt x="5961875" y="1239012"/>
                </a:lnTo>
                <a:lnTo>
                  <a:pt x="5961875" y="1034796"/>
                </a:lnTo>
                <a:close/>
              </a:path>
              <a:path w="7486015" h="1446530">
                <a:moveTo>
                  <a:pt x="6723888" y="1242060"/>
                </a:moveTo>
                <a:lnTo>
                  <a:pt x="5964936" y="1242060"/>
                </a:lnTo>
                <a:lnTo>
                  <a:pt x="5964936" y="1446276"/>
                </a:lnTo>
                <a:lnTo>
                  <a:pt x="6723888" y="1446276"/>
                </a:lnTo>
                <a:lnTo>
                  <a:pt x="6723888" y="1242060"/>
                </a:lnTo>
                <a:close/>
              </a:path>
              <a:path w="7486015" h="1446530">
                <a:moveTo>
                  <a:pt x="6723888" y="1034796"/>
                </a:moveTo>
                <a:lnTo>
                  <a:pt x="5964936" y="1034796"/>
                </a:lnTo>
                <a:lnTo>
                  <a:pt x="5964936" y="1239012"/>
                </a:lnTo>
                <a:lnTo>
                  <a:pt x="6723888" y="1239012"/>
                </a:lnTo>
                <a:lnTo>
                  <a:pt x="6723888" y="1034796"/>
                </a:lnTo>
                <a:close/>
              </a:path>
              <a:path w="7486015" h="1446530">
                <a:moveTo>
                  <a:pt x="7485888" y="1242060"/>
                </a:moveTo>
                <a:lnTo>
                  <a:pt x="6726936" y="1242060"/>
                </a:lnTo>
                <a:lnTo>
                  <a:pt x="6726936" y="1446276"/>
                </a:lnTo>
                <a:lnTo>
                  <a:pt x="7485888" y="1446276"/>
                </a:lnTo>
                <a:lnTo>
                  <a:pt x="7485888" y="1242060"/>
                </a:lnTo>
                <a:close/>
              </a:path>
              <a:path w="7486015" h="1446530">
                <a:moveTo>
                  <a:pt x="7485888" y="1034796"/>
                </a:moveTo>
                <a:lnTo>
                  <a:pt x="6726936" y="1034796"/>
                </a:lnTo>
                <a:lnTo>
                  <a:pt x="6726936" y="1239012"/>
                </a:lnTo>
                <a:lnTo>
                  <a:pt x="7485888" y="1239012"/>
                </a:lnTo>
                <a:lnTo>
                  <a:pt x="7485888" y="1034796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11</xdr:col>
      <xdr:colOff>546481</xdr:colOff>
      <xdr:row>27</xdr:row>
      <xdr:rowOff>0</xdr:rowOff>
    </xdr:from>
    <xdr:ext cx="645160" cy="4343400"/>
    <xdr:sp macro="" textlink="">
      <xdr:nvSpPr>
        <xdr:cNvPr id="98" name="Shape 98">
          <a:extLst>
            <a:ext uri="{FF2B5EF4-FFF2-40B4-BE49-F238E27FC236}">
              <a16:creationId xmlns:a16="http://schemas.microsoft.com/office/drawing/2014/main" id="{00000000-0008-0000-0800-000062000000}"/>
            </a:ext>
          </a:extLst>
        </xdr:cNvPr>
        <xdr:cNvSpPr/>
      </xdr:nvSpPr>
      <xdr:spPr>
        <a:xfrm>
          <a:off x="0" y="0"/>
          <a:ext cx="645160" cy="4343400"/>
        </a:xfrm>
        <a:custGeom>
          <a:avLst/>
          <a:gdLst/>
          <a:ahLst/>
          <a:cxnLst/>
          <a:rect l="0" t="0" r="0" b="0"/>
          <a:pathLst>
            <a:path w="645160" h="4343400">
              <a:moveTo>
                <a:pt x="644652" y="4139184"/>
              </a:moveTo>
              <a:lnTo>
                <a:pt x="0" y="4139184"/>
              </a:lnTo>
              <a:lnTo>
                <a:pt x="0" y="4343400"/>
              </a:lnTo>
              <a:lnTo>
                <a:pt x="644652" y="4343400"/>
              </a:lnTo>
              <a:lnTo>
                <a:pt x="644652" y="4139184"/>
              </a:lnTo>
              <a:close/>
            </a:path>
            <a:path w="645160" h="4343400">
              <a:moveTo>
                <a:pt x="644652" y="3931920"/>
              </a:moveTo>
              <a:lnTo>
                <a:pt x="0" y="3931920"/>
              </a:lnTo>
              <a:lnTo>
                <a:pt x="0" y="4136136"/>
              </a:lnTo>
              <a:lnTo>
                <a:pt x="644652" y="4136136"/>
              </a:lnTo>
              <a:lnTo>
                <a:pt x="644652" y="3931920"/>
              </a:lnTo>
              <a:close/>
            </a:path>
            <a:path w="645160" h="4343400">
              <a:moveTo>
                <a:pt x="644652" y="3724656"/>
              </a:moveTo>
              <a:lnTo>
                <a:pt x="0" y="3724656"/>
              </a:lnTo>
              <a:lnTo>
                <a:pt x="0" y="3928872"/>
              </a:lnTo>
              <a:lnTo>
                <a:pt x="644652" y="3928872"/>
              </a:lnTo>
              <a:lnTo>
                <a:pt x="644652" y="3724656"/>
              </a:lnTo>
              <a:close/>
            </a:path>
            <a:path w="645160" h="4343400">
              <a:moveTo>
                <a:pt x="644652" y="3517392"/>
              </a:moveTo>
              <a:lnTo>
                <a:pt x="0" y="3517392"/>
              </a:lnTo>
              <a:lnTo>
                <a:pt x="0" y="3721608"/>
              </a:lnTo>
              <a:lnTo>
                <a:pt x="644652" y="3721608"/>
              </a:lnTo>
              <a:lnTo>
                <a:pt x="644652" y="3517392"/>
              </a:lnTo>
              <a:close/>
            </a:path>
            <a:path w="645160" h="4343400">
              <a:moveTo>
                <a:pt x="644652" y="3311652"/>
              </a:moveTo>
              <a:lnTo>
                <a:pt x="0" y="3311652"/>
              </a:lnTo>
              <a:lnTo>
                <a:pt x="0" y="3514344"/>
              </a:lnTo>
              <a:lnTo>
                <a:pt x="644652" y="3514344"/>
              </a:lnTo>
              <a:lnTo>
                <a:pt x="644652" y="3311652"/>
              </a:lnTo>
              <a:close/>
            </a:path>
            <a:path w="645160" h="4343400">
              <a:moveTo>
                <a:pt x="644652" y="3104388"/>
              </a:moveTo>
              <a:lnTo>
                <a:pt x="0" y="3104388"/>
              </a:lnTo>
              <a:lnTo>
                <a:pt x="0" y="3308604"/>
              </a:lnTo>
              <a:lnTo>
                <a:pt x="644652" y="3308604"/>
              </a:lnTo>
              <a:lnTo>
                <a:pt x="644652" y="3104388"/>
              </a:lnTo>
              <a:close/>
            </a:path>
            <a:path w="645160" h="4343400">
              <a:moveTo>
                <a:pt x="644652" y="2897124"/>
              </a:moveTo>
              <a:lnTo>
                <a:pt x="0" y="2897124"/>
              </a:lnTo>
              <a:lnTo>
                <a:pt x="0" y="3101340"/>
              </a:lnTo>
              <a:lnTo>
                <a:pt x="644652" y="3101340"/>
              </a:lnTo>
              <a:lnTo>
                <a:pt x="644652" y="2897124"/>
              </a:lnTo>
              <a:close/>
            </a:path>
            <a:path w="645160" h="4343400">
              <a:moveTo>
                <a:pt x="644652" y="2689860"/>
              </a:moveTo>
              <a:lnTo>
                <a:pt x="0" y="2689860"/>
              </a:lnTo>
              <a:lnTo>
                <a:pt x="0" y="2894076"/>
              </a:lnTo>
              <a:lnTo>
                <a:pt x="644652" y="2894076"/>
              </a:lnTo>
              <a:lnTo>
                <a:pt x="644652" y="2689860"/>
              </a:lnTo>
              <a:close/>
            </a:path>
            <a:path w="645160" h="4343400">
              <a:moveTo>
                <a:pt x="644652" y="2482596"/>
              </a:moveTo>
              <a:lnTo>
                <a:pt x="0" y="2482596"/>
              </a:lnTo>
              <a:lnTo>
                <a:pt x="0" y="2686812"/>
              </a:lnTo>
              <a:lnTo>
                <a:pt x="644652" y="2686812"/>
              </a:lnTo>
              <a:lnTo>
                <a:pt x="644652" y="2482596"/>
              </a:lnTo>
              <a:close/>
            </a:path>
            <a:path w="645160" h="4343400">
              <a:moveTo>
                <a:pt x="644652" y="2276856"/>
              </a:moveTo>
              <a:lnTo>
                <a:pt x="0" y="2276856"/>
              </a:lnTo>
              <a:lnTo>
                <a:pt x="0" y="2479548"/>
              </a:lnTo>
              <a:lnTo>
                <a:pt x="644652" y="2479548"/>
              </a:lnTo>
              <a:lnTo>
                <a:pt x="644652" y="2276856"/>
              </a:lnTo>
              <a:close/>
            </a:path>
            <a:path w="645160" h="4343400">
              <a:moveTo>
                <a:pt x="644652" y="2069592"/>
              </a:moveTo>
              <a:lnTo>
                <a:pt x="0" y="2069592"/>
              </a:lnTo>
              <a:lnTo>
                <a:pt x="0" y="2273808"/>
              </a:lnTo>
              <a:lnTo>
                <a:pt x="644652" y="2273808"/>
              </a:lnTo>
              <a:lnTo>
                <a:pt x="644652" y="2069592"/>
              </a:lnTo>
              <a:close/>
            </a:path>
            <a:path w="645160" h="4343400">
              <a:moveTo>
                <a:pt x="644652" y="1862328"/>
              </a:moveTo>
              <a:lnTo>
                <a:pt x="0" y="1862328"/>
              </a:lnTo>
              <a:lnTo>
                <a:pt x="0" y="2066544"/>
              </a:lnTo>
              <a:lnTo>
                <a:pt x="644652" y="2066544"/>
              </a:lnTo>
              <a:lnTo>
                <a:pt x="644652" y="1862328"/>
              </a:lnTo>
              <a:close/>
            </a:path>
            <a:path w="645160" h="4343400">
              <a:moveTo>
                <a:pt x="644652" y="1655064"/>
              </a:moveTo>
              <a:lnTo>
                <a:pt x="0" y="1655064"/>
              </a:lnTo>
              <a:lnTo>
                <a:pt x="0" y="1859280"/>
              </a:lnTo>
              <a:lnTo>
                <a:pt x="644652" y="1859280"/>
              </a:lnTo>
              <a:lnTo>
                <a:pt x="644652" y="1655064"/>
              </a:lnTo>
              <a:close/>
            </a:path>
            <a:path w="645160" h="4343400">
              <a:moveTo>
                <a:pt x="644652" y="1449324"/>
              </a:moveTo>
              <a:lnTo>
                <a:pt x="0" y="1449324"/>
              </a:lnTo>
              <a:lnTo>
                <a:pt x="0" y="1652016"/>
              </a:lnTo>
              <a:lnTo>
                <a:pt x="644652" y="1652016"/>
              </a:lnTo>
              <a:lnTo>
                <a:pt x="644652" y="1449324"/>
              </a:lnTo>
              <a:close/>
            </a:path>
            <a:path w="645160" h="4343400">
              <a:moveTo>
                <a:pt x="644652" y="1242060"/>
              </a:moveTo>
              <a:lnTo>
                <a:pt x="0" y="1242060"/>
              </a:lnTo>
              <a:lnTo>
                <a:pt x="0" y="1446276"/>
              </a:lnTo>
              <a:lnTo>
                <a:pt x="644652" y="1446276"/>
              </a:lnTo>
              <a:lnTo>
                <a:pt x="644652" y="1242060"/>
              </a:lnTo>
              <a:close/>
            </a:path>
            <a:path w="645160" h="4343400">
              <a:moveTo>
                <a:pt x="644652" y="1034796"/>
              </a:moveTo>
              <a:lnTo>
                <a:pt x="0" y="1034796"/>
              </a:lnTo>
              <a:lnTo>
                <a:pt x="0" y="1239012"/>
              </a:lnTo>
              <a:lnTo>
                <a:pt x="644652" y="1239012"/>
              </a:lnTo>
              <a:lnTo>
                <a:pt x="644652" y="1034796"/>
              </a:lnTo>
              <a:close/>
            </a:path>
            <a:path w="645160" h="4343400">
              <a:moveTo>
                <a:pt x="644652" y="827532"/>
              </a:moveTo>
              <a:lnTo>
                <a:pt x="0" y="827532"/>
              </a:lnTo>
              <a:lnTo>
                <a:pt x="0" y="1031748"/>
              </a:lnTo>
              <a:lnTo>
                <a:pt x="644652" y="1031748"/>
              </a:lnTo>
              <a:lnTo>
                <a:pt x="644652" y="827532"/>
              </a:lnTo>
              <a:close/>
            </a:path>
            <a:path w="645160" h="4343400">
              <a:moveTo>
                <a:pt x="644652" y="621792"/>
              </a:moveTo>
              <a:lnTo>
                <a:pt x="0" y="621792"/>
              </a:lnTo>
              <a:lnTo>
                <a:pt x="0" y="824484"/>
              </a:lnTo>
              <a:lnTo>
                <a:pt x="644652" y="824484"/>
              </a:lnTo>
              <a:lnTo>
                <a:pt x="644652" y="621792"/>
              </a:lnTo>
              <a:close/>
            </a:path>
            <a:path w="645160" h="4343400">
              <a:moveTo>
                <a:pt x="644652" y="414528"/>
              </a:moveTo>
              <a:lnTo>
                <a:pt x="0" y="414528"/>
              </a:lnTo>
              <a:lnTo>
                <a:pt x="0" y="618744"/>
              </a:lnTo>
              <a:lnTo>
                <a:pt x="644652" y="618744"/>
              </a:lnTo>
              <a:lnTo>
                <a:pt x="644652" y="414528"/>
              </a:lnTo>
              <a:close/>
            </a:path>
            <a:path w="645160" h="4343400">
              <a:moveTo>
                <a:pt x="644652" y="207264"/>
              </a:moveTo>
              <a:lnTo>
                <a:pt x="0" y="207264"/>
              </a:lnTo>
              <a:lnTo>
                <a:pt x="0" y="411480"/>
              </a:lnTo>
              <a:lnTo>
                <a:pt x="644652" y="411480"/>
              </a:lnTo>
              <a:lnTo>
                <a:pt x="644652" y="207264"/>
              </a:lnTo>
              <a:close/>
            </a:path>
            <a:path w="645160" h="4343400">
              <a:moveTo>
                <a:pt x="644652" y="0"/>
              </a:moveTo>
              <a:lnTo>
                <a:pt x="0" y="0"/>
              </a:lnTo>
              <a:lnTo>
                <a:pt x="0" y="204216"/>
              </a:lnTo>
              <a:lnTo>
                <a:pt x="644652" y="204216"/>
              </a:lnTo>
              <a:lnTo>
                <a:pt x="644652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543687</xdr:colOff>
      <xdr:row>24</xdr:row>
      <xdr:rowOff>206501</xdr:rowOff>
    </xdr:from>
    <xdr:ext cx="3808729" cy="480059"/>
    <xdr:sp macro="" textlink="">
      <xdr:nvSpPr>
        <xdr:cNvPr id="99" name="Shape 99">
          <a:extLst>
            <a:ext uri="{FF2B5EF4-FFF2-40B4-BE49-F238E27FC236}">
              <a16:creationId xmlns:a16="http://schemas.microsoft.com/office/drawing/2014/main" id="{00000000-0008-0000-0900-000063000000}"/>
            </a:ext>
          </a:extLst>
        </xdr:cNvPr>
        <xdr:cNvSpPr/>
      </xdr:nvSpPr>
      <xdr:spPr>
        <a:xfrm>
          <a:off x="0" y="0"/>
          <a:ext cx="3808729" cy="480059"/>
        </a:xfrm>
        <a:custGeom>
          <a:avLst/>
          <a:gdLst/>
          <a:ahLst/>
          <a:cxnLst/>
          <a:rect l="0" t="0" r="0" b="0"/>
          <a:pathLst>
            <a:path w="3808729" h="480059">
              <a:moveTo>
                <a:pt x="760476" y="0"/>
              </a:moveTo>
              <a:lnTo>
                <a:pt x="0" y="0"/>
              </a:lnTo>
              <a:lnTo>
                <a:pt x="0" y="480060"/>
              </a:lnTo>
              <a:lnTo>
                <a:pt x="760476" y="480060"/>
              </a:lnTo>
              <a:lnTo>
                <a:pt x="760476" y="0"/>
              </a:lnTo>
              <a:close/>
            </a:path>
            <a:path w="3808729" h="480059">
              <a:moveTo>
                <a:pt x="1522476" y="0"/>
              </a:moveTo>
              <a:lnTo>
                <a:pt x="763524" y="0"/>
              </a:lnTo>
              <a:lnTo>
                <a:pt x="763524" y="480060"/>
              </a:lnTo>
              <a:lnTo>
                <a:pt x="1522476" y="480060"/>
              </a:lnTo>
              <a:lnTo>
                <a:pt x="1522476" y="0"/>
              </a:lnTo>
              <a:close/>
            </a:path>
            <a:path w="3808729" h="480059">
              <a:moveTo>
                <a:pt x="2284463" y="0"/>
              </a:moveTo>
              <a:lnTo>
                <a:pt x="1525524" y="0"/>
              </a:lnTo>
              <a:lnTo>
                <a:pt x="1525524" y="480060"/>
              </a:lnTo>
              <a:lnTo>
                <a:pt x="2284463" y="480060"/>
              </a:lnTo>
              <a:lnTo>
                <a:pt x="2284463" y="0"/>
              </a:lnTo>
              <a:close/>
            </a:path>
            <a:path w="3808729" h="480059">
              <a:moveTo>
                <a:pt x="3046476" y="0"/>
              </a:moveTo>
              <a:lnTo>
                <a:pt x="2287524" y="0"/>
              </a:lnTo>
              <a:lnTo>
                <a:pt x="2287524" y="480060"/>
              </a:lnTo>
              <a:lnTo>
                <a:pt x="3046476" y="480060"/>
              </a:lnTo>
              <a:lnTo>
                <a:pt x="3046476" y="0"/>
              </a:lnTo>
              <a:close/>
            </a:path>
            <a:path w="3808729" h="480059">
              <a:moveTo>
                <a:pt x="3808476" y="0"/>
              </a:moveTo>
              <a:lnTo>
                <a:pt x="3049524" y="0"/>
              </a:lnTo>
              <a:lnTo>
                <a:pt x="3049524" y="480060"/>
              </a:lnTo>
              <a:lnTo>
                <a:pt x="3808476" y="480060"/>
              </a:lnTo>
              <a:lnTo>
                <a:pt x="3808476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5</xdr:col>
      <xdr:colOff>202691</xdr:colOff>
      <xdr:row>3</xdr:row>
      <xdr:rowOff>49142</xdr:rowOff>
    </xdr:from>
    <xdr:ext cx="381000" cy="290285"/>
    <xdr:pic>
      <xdr:nvPicPr>
        <xdr:cNvPr id="100" name="image1.jpeg">
          <a:extLst>
            <a:ext uri="{FF2B5EF4-FFF2-40B4-BE49-F238E27FC236}">
              <a16:creationId xmlns:a16="http://schemas.microsoft.com/office/drawing/2014/main" id="{00000000-0008-0000-0900-00006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290285"/>
        </a:xfrm>
        <a:prstGeom prst="rect">
          <a:avLst/>
        </a:prstGeom>
      </xdr:spPr>
    </xdr:pic>
    <xdr:clientData/>
  </xdr:oneCellAnchor>
  <xdr:oneCellAnchor>
    <xdr:from>
      <xdr:col>6</xdr:col>
      <xdr:colOff>201929</xdr:colOff>
      <xdr:row>3</xdr:row>
      <xdr:rowOff>761</xdr:rowOff>
    </xdr:from>
    <xdr:ext cx="338666" cy="381000"/>
    <xdr:pic>
      <xdr:nvPicPr>
        <xdr:cNvPr id="101" name="image2.jpeg">
          <a:extLst>
            <a:ext uri="{FF2B5EF4-FFF2-40B4-BE49-F238E27FC236}">
              <a16:creationId xmlns:a16="http://schemas.microsoft.com/office/drawing/2014/main" id="{00000000-0008-0000-0900-00006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38666" cy="381000"/>
        </a:xfrm>
        <a:prstGeom prst="rect">
          <a:avLst/>
        </a:prstGeom>
      </xdr:spPr>
    </xdr:pic>
    <xdr:clientData/>
  </xdr:oneCellAnchor>
  <xdr:oneCellAnchor>
    <xdr:from>
      <xdr:col>7</xdr:col>
      <xdr:colOff>201930</xdr:colOff>
      <xdr:row>3</xdr:row>
      <xdr:rowOff>49142</xdr:rowOff>
    </xdr:from>
    <xdr:ext cx="381000" cy="290285"/>
    <xdr:pic>
      <xdr:nvPicPr>
        <xdr:cNvPr id="102" name="image3.jpeg">
          <a:extLst>
            <a:ext uri="{FF2B5EF4-FFF2-40B4-BE49-F238E27FC236}">
              <a16:creationId xmlns:a16="http://schemas.microsoft.com/office/drawing/2014/main" id="{00000000-0008-0000-0900-00006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290285"/>
        </a:xfrm>
        <a:prstGeom prst="rect">
          <a:avLst/>
        </a:prstGeom>
      </xdr:spPr>
    </xdr:pic>
    <xdr:clientData/>
  </xdr:oneCellAnchor>
  <xdr:oneCellAnchor>
    <xdr:from>
      <xdr:col>8</xdr:col>
      <xdr:colOff>298691</xdr:colOff>
      <xdr:row>3</xdr:row>
      <xdr:rowOff>49142</xdr:rowOff>
    </xdr:from>
    <xdr:ext cx="193523" cy="290285"/>
    <xdr:pic>
      <xdr:nvPicPr>
        <xdr:cNvPr id="103" name="image4.jpeg">
          <a:extLst>
            <a:ext uri="{FF2B5EF4-FFF2-40B4-BE49-F238E27FC236}">
              <a16:creationId xmlns:a16="http://schemas.microsoft.com/office/drawing/2014/main" id="{00000000-0008-0000-0900-00006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3523" cy="290285"/>
        </a:xfrm>
        <a:prstGeom prst="rect">
          <a:avLst/>
        </a:prstGeom>
      </xdr:spPr>
    </xdr:pic>
    <xdr:clientData/>
  </xdr:oneCellAnchor>
  <xdr:oneCellAnchor>
    <xdr:from>
      <xdr:col>9</xdr:col>
      <xdr:colOff>201929</xdr:colOff>
      <xdr:row>3</xdr:row>
      <xdr:rowOff>761</xdr:rowOff>
    </xdr:from>
    <xdr:ext cx="381000" cy="381000"/>
    <xdr:pic>
      <xdr:nvPicPr>
        <xdr:cNvPr id="104" name="image5.jpeg">
          <a:extLst>
            <a:ext uri="{FF2B5EF4-FFF2-40B4-BE49-F238E27FC236}">
              <a16:creationId xmlns:a16="http://schemas.microsoft.com/office/drawing/2014/main" id="{00000000-0008-0000-0900-00006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381000"/>
        </a:xfrm>
        <a:prstGeom prst="rect">
          <a:avLst/>
        </a:prstGeom>
      </xdr:spPr>
    </xdr:pic>
    <xdr:clientData/>
  </xdr:oneCellAnchor>
  <xdr:oneCellAnchor>
    <xdr:from>
      <xdr:col>1</xdr:col>
      <xdr:colOff>226059</xdr:colOff>
      <xdr:row>26</xdr:row>
      <xdr:rowOff>0</xdr:rowOff>
    </xdr:from>
    <xdr:ext cx="7486015" cy="4343400"/>
    <xdr:grpSp>
      <xdr:nvGrpSpPr>
        <xdr:cNvPr id="105" name="Group 105">
          <a:extLst>
            <a:ext uri="{FF2B5EF4-FFF2-40B4-BE49-F238E27FC236}">
              <a16:creationId xmlns:a16="http://schemas.microsoft.com/office/drawing/2014/main" id="{00000000-0008-0000-0900-000069000000}"/>
            </a:ext>
          </a:extLst>
        </xdr:cNvPr>
        <xdr:cNvGrpSpPr/>
      </xdr:nvGrpSpPr>
      <xdr:grpSpPr>
        <a:xfrm>
          <a:off x="607059" y="6469380"/>
          <a:ext cx="7486015" cy="4343400"/>
          <a:chOff x="0" y="0"/>
          <a:chExt cx="7486015" cy="4343400"/>
        </a:xfrm>
      </xdr:grpSpPr>
      <xdr:sp macro="" textlink="">
        <xdr:nvSpPr>
          <xdr:cNvPr id="106" name="Shape 106">
            <a:extLst>
              <a:ext uri="{FF2B5EF4-FFF2-40B4-BE49-F238E27FC236}">
                <a16:creationId xmlns:a16="http://schemas.microsoft.com/office/drawing/2014/main" id="{00000000-0008-0000-0900-00006A000000}"/>
              </a:ext>
            </a:extLst>
          </xdr:cNvPr>
          <xdr:cNvSpPr/>
        </xdr:nvSpPr>
        <xdr:spPr>
          <a:xfrm>
            <a:off x="0" y="0"/>
            <a:ext cx="7486015" cy="2066925"/>
          </a:xfrm>
          <a:custGeom>
            <a:avLst/>
            <a:gdLst/>
            <a:ahLst/>
            <a:cxnLst/>
            <a:rect l="0" t="0" r="0" b="0"/>
            <a:pathLst>
              <a:path w="7486015" h="2066925">
                <a:moveTo>
                  <a:pt x="312420" y="0"/>
                </a:moveTo>
                <a:lnTo>
                  <a:pt x="0" y="0"/>
                </a:lnTo>
                <a:lnTo>
                  <a:pt x="0" y="1652016"/>
                </a:lnTo>
                <a:lnTo>
                  <a:pt x="312420" y="1652016"/>
                </a:lnTo>
                <a:lnTo>
                  <a:pt x="312420" y="0"/>
                </a:lnTo>
                <a:close/>
              </a:path>
              <a:path w="7486015" h="2066925">
                <a:moveTo>
                  <a:pt x="1264920" y="0"/>
                </a:moveTo>
                <a:lnTo>
                  <a:pt x="315468" y="0"/>
                </a:lnTo>
                <a:lnTo>
                  <a:pt x="315468" y="1652016"/>
                </a:lnTo>
                <a:lnTo>
                  <a:pt x="1264920" y="1652016"/>
                </a:lnTo>
                <a:lnTo>
                  <a:pt x="1264920" y="0"/>
                </a:lnTo>
                <a:close/>
              </a:path>
              <a:path w="7486015" h="2066925">
                <a:moveTo>
                  <a:pt x="2531364" y="0"/>
                </a:moveTo>
                <a:lnTo>
                  <a:pt x="1267968" y="0"/>
                </a:lnTo>
                <a:lnTo>
                  <a:pt x="1267968" y="1652016"/>
                </a:lnTo>
                <a:lnTo>
                  <a:pt x="2531364" y="1652016"/>
                </a:lnTo>
                <a:lnTo>
                  <a:pt x="2531364" y="0"/>
                </a:lnTo>
                <a:close/>
              </a:path>
              <a:path w="7486015" h="2066925">
                <a:moveTo>
                  <a:pt x="3037332" y="1862328"/>
                </a:moveTo>
                <a:lnTo>
                  <a:pt x="2534412" y="1862328"/>
                </a:lnTo>
                <a:lnTo>
                  <a:pt x="2534412" y="2066544"/>
                </a:lnTo>
                <a:lnTo>
                  <a:pt x="3037332" y="2066544"/>
                </a:lnTo>
                <a:lnTo>
                  <a:pt x="3037332" y="1862328"/>
                </a:lnTo>
                <a:close/>
              </a:path>
              <a:path w="7486015" h="2066925">
                <a:moveTo>
                  <a:pt x="3037332" y="1655064"/>
                </a:moveTo>
                <a:lnTo>
                  <a:pt x="2534412" y="1655064"/>
                </a:lnTo>
                <a:lnTo>
                  <a:pt x="2534412" y="1859280"/>
                </a:lnTo>
                <a:lnTo>
                  <a:pt x="3037332" y="1859280"/>
                </a:lnTo>
                <a:lnTo>
                  <a:pt x="3037332" y="1655064"/>
                </a:lnTo>
                <a:close/>
              </a:path>
              <a:path w="7486015" h="2066925">
                <a:moveTo>
                  <a:pt x="3037332" y="1449324"/>
                </a:moveTo>
                <a:lnTo>
                  <a:pt x="2534412" y="1449324"/>
                </a:lnTo>
                <a:lnTo>
                  <a:pt x="2534412" y="1652016"/>
                </a:lnTo>
                <a:lnTo>
                  <a:pt x="3037332" y="1652016"/>
                </a:lnTo>
                <a:lnTo>
                  <a:pt x="3037332" y="1449324"/>
                </a:lnTo>
                <a:close/>
              </a:path>
              <a:path w="7486015" h="2066925">
                <a:moveTo>
                  <a:pt x="3037332" y="1242060"/>
                </a:moveTo>
                <a:lnTo>
                  <a:pt x="2534412" y="1242060"/>
                </a:lnTo>
                <a:lnTo>
                  <a:pt x="2534412" y="1446276"/>
                </a:lnTo>
                <a:lnTo>
                  <a:pt x="3037332" y="1446276"/>
                </a:lnTo>
                <a:lnTo>
                  <a:pt x="3037332" y="1242060"/>
                </a:lnTo>
                <a:close/>
              </a:path>
              <a:path w="7486015" h="2066925">
                <a:moveTo>
                  <a:pt x="3037332" y="1034796"/>
                </a:moveTo>
                <a:lnTo>
                  <a:pt x="2534412" y="1034796"/>
                </a:lnTo>
                <a:lnTo>
                  <a:pt x="2534412" y="1239012"/>
                </a:lnTo>
                <a:lnTo>
                  <a:pt x="3037332" y="1239012"/>
                </a:lnTo>
                <a:lnTo>
                  <a:pt x="3037332" y="1034796"/>
                </a:lnTo>
                <a:close/>
              </a:path>
              <a:path w="7486015" h="2066925">
                <a:moveTo>
                  <a:pt x="3037332" y="827532"/>
                </a:moveTo>
                <a:lnTo>
                  <a:pt x="2534412" y="827532"/>
                </a:lnTo>
                <a:lnTo>
                  <a:pt x="2534412" y="1031748"/>
                </a:lnTo>
                <a:lnTo>
                  <a:pt x="3037332" y="1031748"/>
                </a:lnTo>
                <a:lnTo>
                  <a:pt x="3037332" y="827532"/>
                </a:lnTo>
                <a:close/>
              </a:path>
              <a:path w="7486015" h="2066925">
                <a:moveTo>
                  <a:pt x="3037332" y="621792"/>
                </a:moveTo>
                <a:lnTo>
                  <a:pt x="2534412" y="621792"/>
                </a:lnTo>
                <a:lnTo>
                  <a:pt x="2534412" y="824484"/>
                </a:lnTo>
                <a:lnTo>
                  <a:pt x="3037332" y="824484"/>
                </a:lnTo>
                <a:lnTo>
                  <a:pt x="3037332" y="621792"/>
                </a:lnTo>
                <a:close/>
              </a:path>
              <a:path w="7486015" h="2066925">
                <a:moveTo>
                  <a:pt x="3037332" y="414528"/>
                </a:moveTo>
                <a:lnTo>
                  <a:pt x="2534412" y="414528"/>
                </a:lnTo>
                <a:lnTo>
                  <a:pt x="2534412" y="618744"/>
                </a:lnTo>
                <a:lnTo>
                  <a:pt x="3037332" y="618744"/>
                </a:lnTo>
                <a:lnTo>
                  <a:pt x="3037332" y="414528"/>
                </a:lnTo>
                <a:close/>
              </a:path>
              <a:path w="7486015" h="2066925">
                <a:moveTo>
                  <a:pt x="3037332" y="207264"/>
                </a:moveTo>
                <a:lnTo>
                  <a:pt x="2534412" y="207264"/>
                </a:lnTo>
                <a:lnTo>
                  <a:pt x="2534412" y="411480"/>
                </a:lnTo>
                <a:lnTo>
                  <a:pt x="3037332" y="411480"/>
                </a:lnTo>
                <a:lnTo>
                  <a:pt x="3037332" y="207264"/>
                </a:lnTo>
                <a:close/>
              </a:path>
              <a:path w="7486015" h="2066925">
                <a:moveTo>
                  <a:pt x="3037332" y="0"/>
                </a:moveTo>
                <a:lnTo>
                  <a:pt x="2534412" y="0"/>
                </a:lnTo>
                <a:lnTo>
                  <a:pt x="2534412" y="204216"/>
                </a:lnTo>
                <a:lnTo>
                  <a:pt x="3037332" y="204216"/>
                </a:lnTo>
                <a:lnTo>
                  <a:pt x="3037332" y="0"/>
                </a:lnTo>
                <a:close/>
              </a:path>
              <a:path w="7486015" h="2066925">
                <a:moveTo>
                  <a:pt x="3674364" y="1862328"/>
                </a:moveTo>
                <a:lnTo>
                  <a:pt x="3040380" y="1862328"/>
                </a:lnTo>
                <a:lnTo>
                  <a:pt x="3040380" y="2066544"/>
                </a:lnTo>
                <a:lnTo>
                  <a:pt x="3674364" y="2066544"/>
                </a:lnTo>
                <a:lnTo>
                  <a:pt x="3674364" y="1862328"/>
                </a:lnTo>
                <a:close/>
              </a:path>
              <a:path w="7486015" h="2066925">
                <a:moveTo>
                  <a:pt x="3674364" y="1655064"/>
                </a:moveTo>
                <a:lnTo>
                  <a:pt x="3040380" y="1655064"/>
                </a:lnTo>
                <a:lnTo>
                  <a:pt x="3040380" y="1859280"/>
                </a:lnTo>
                <a:lnTo>
                  <a:pt x="3674364" y="1859280"/>
                </a:lnTo>
                <a:lnTo>
                  <a:pt x="3674364" y="1655064"/>
                </a:lnTo>
                <a:close/>
              </a:path>
              <a:path w="7486015" h="2066925">
                <a:moveTo>
                  <a:pt x="3674364" y="1449324"/>
                </a:moveTo>
                <a:lnTo>
                  <a:pt x="3040380" y="1449324"/>
                </a:lnTo>
                <a:lnTo>
                  <a:pt x="3040380" y="1652016"/>
                </a:lnTo>
                <a:lnTo>
                  <a:pt x="3674364" y="1652016"/>
                </a:lnTo>
                <a:lnTo>
                  <a:pt x="3674364" y="1449324"/>
                </a:lnTo>
                <a:close/>
              </a:path>
              <a:path w="7486015" h="2066925">
                <a:moveTo>
                  <a:pt x="3674364" y="1242060"/>
                </a:moveTo>
                <a:lnTo>
                  <a:pt x="3040380" y="1242060"/>
                </a:lnTo>
                <a:lnTo>
                  <a:pt x="3040380" y="1446276"/>
                </a:lnTo>
                <a:lnTo>
                  <a:pt x="3674364" y="1446276"/>
                </a:lnTo>
                <a:lnTo>
                  <a:pt x="3674364" y="1242060"/>
                </a:lnTo>
                <a:close/>
              </a:path>
              <a:path w="7486015" h="2066925">
                <a:moveTo>
                  <a:pt x="3674364" y="1034796"/>
                </a:moveTo>
                <a:lnTo>
                  <a:pt x="3040380" y="1034796"/>
                </a:lnTo>
                <a:lnTo>
                  <a:pt x="3040380" y="1239012"/>
                </a:lnTo>
                <a:lnTo>
                  <a:pt x="3674364" y="1239012"/>
                </a:lnTo>
                <a:lnTo>
                  <a:pt x="3674364" y="1034796"/>
                </a:lnTo>
                <a:close/>
              </a:path>
              <a:path w="7486015" h="2066925">
                <a:moveTo>
                  <a:pt x="3674364" y="827532"/>
                </a:moveTo>
                <a:lnTo>
                  <a:pt x="3040380" y="827532"/>
                </a:lnTo>
                <a:lnTo>
                  <a:pt x="3040380" y="1031748"/>
                </a:lnTo>
                <a:lnTo>
                  <a:pt x="3674364" y="1031748"/>
                </a:lnTo>
                <a:lnTo>
                  <a:pt x="3674364" y="827532"/>
                </a:lnTo>
                <a:close/>
              </a:path>
              <a:path w="7486015" h="2066925">
                <a:moveTo>
                  <a:pt x="3674364" y="621792"/>
                </a:moveTo>
                <a:lnTo>
                  <a:pt x="3040380" y="621792"/>
                </a:lnTo>
                <a:lnTo>
                  <a:pt x="3040380" y="824484"/>
                </a:lnTo>
                <a:lnTo>
                  <a:pt x="3674364" y="824484"/>
                </a:lnTo>
                <a:lnTo>
                  <a:pt x="3674364" y="621792"/>
                </a:lnTo>
                <a:close/>
              </a:path>
              <a:path w="7486015" h="2066925">
                <a:moveTo>
                  <a:pt x="3674364" y="414528"/>
                </a:moveTo>
                <a:lnTo>
                  <a:pt x="3040380" y="414528"/>
                </a:lnTo>
                <a:lnTo>
                  <a:pt x="3040380" y="618744"/>
                </a:lnTo>
                <a:lnTo>
                  <a:pt x="3674364" y="618744"/>
                </a:lnTo>
                <a:lnTo>
                  <a:pt x="3674364" y="414528"/>
                </a:lnTo>
                <a:close/>
              </a:path>
              <a:path w="7486015" h="2066925">
                <a:moveTo>
                  <a:pt x="3674364" y="207264"/>
                </a:moveTo>
                <a:lnTo>
                  <a:pt x="3040380" y="207264"/>
                </a:lnTo>
                <a:lnTo>
                  <a:pt x="3040380" y="411480"/>
                </a:lnTo>
                <a:lnTo>
                  <a:pt x="3674364" y="411480"/>
                </a:lnTo>
                <a:lnTo>
                  <a:pt x="3674364" y="207264"/>
                </a:lnTo>
                <a:close/>
              </a:path>
              <a:path w="7486015" h="2066925">
                <a:moveTo>
                  <a:pt x="3674364" y="0"/>
                </a:moveTo>
                <a:lnTo>
                  <a:pt x="3040380" y="0"/>
                </a:lnTo>
                <a:lnTo>
                  <a:pt x="3040380" y="204216"/>
                </a:lnTo>
                <a:lnTo>
                  <a:pt x="3674364" y="204216"/>
                </a:lnTo>
                <a:lnTo>
                  <a:pt x="3674364" y="0"/>
                </a:lnTo>
                <a:close/>
              </a:path>
              <a:path w="7486015" h="2066925">
                <a:moveTo>
                  <a:pt x="4437888" y="1862328"/>
                </a:moveTo>
                <a:lnTo>
                  <a:pt x="3677412" y="1862328"/>
                </a:lnTo>
                <a:lnTo>
                  <a:pt x="3677412" y="2066544"/>
                </a:lnTo>
                <a:lnTo>
                  <a:pt x="4437888" y="2066544"/>
                </a:lnTo>
                <a:lnTo>
                  <a:pt x="4437888" y="1862328"/>
                </a:lnTo>
                <a:close/>
              </a:path>
              <a:path w="7486015" h="2066925">
                <a:moveTo>
                  <a:pt x="4437888" y="1655064"/>
                </a:moveTo>
                <a:lnTo>
                  <a:pt x="3677412" y="1655064"/>
                </a:lnTo>
                <a:lnTo>
                  <a:pt x="3677412" y="1859280"/>
                </a:lnTo>
                <a:lnTo>
                  <a:pt x="4437888" y="1859280"/>
                </a:lnTo>
                <a:lnTo>
                  <a:pt x="4437888" y="1655064"/>
                </a:lnTo>
                <a:close/>
              </a:path>
              <a:path w="7486015" h="2066925">
                <a:moveTo>
                  <a:pt x="4437888" y="1449324"/>
                </a:moveTo>
                <a:lnTo>
                  <a:pt x="3677412" y="1449324"/>
                </a:lnTo>
                <a:lnTo>
                  <a:pt x="3677412" y="1652016"/>
                </a:lnTo>
                <a:lnTo>
                  <a:pt x="4437888" y="1652016"/>
                </a:lnTo>
                <a:lnTo>
                  <a:pt x="4437888" y="1449324"/>
                </a:lnTo>
                <a:close/>
              </a:path>
              <a:path w="7486015" h="2066925">
                <a:moveTo>
                  <a:pt x="4437888" y="1242060"/>
                </a:moveTo>
                <a:lnTo>
                  <a:pt x="3677412" y="1242060"/>
                </a:lnTo>
                <a:lnTo>
                  <a:pt x="3677412" y="1446276"/>
                </a:lnTo>
                <a:lnTo>
                  <a:pt x="4437888" y="1446276"/>
                </a:lnTo>
                <a:lnTo>
                  <a:pt x="4437888" y="1242060"/>
                </a:lnTo>
                <a:close/>
              </a:path>
              <a:path w="7486015" h="2066925">
                <a:moveTo>
                  <a:pt x="4437888" y="1034796"/>
                </a:moveTo>
                <a:lnTo>
                  <a:pt x="3677412" y="1034796"/>
                </a:lnTo>
                <a:lnTo>
                  <a:pt x="3677412" y="1239012"/>
                </a:lnTo>
                <a:lnTo>
                  <a:pt x="4437888" y="1239012"/>
                </a:lnTo>
                <a:lnTo>
                  <a:pt x="4437888" y="1034796"/>
                </a:lnTo>
                <a:close/>
              </a:path>
              <a:path w="7486015" h="2066925">
                <a:moveTo>
                  <a:pt x="4437888" y="827532"/>
                </a:moveTo>
                <a:lnTo>
                  <a:pt x="3677412" y="827532"/>
                </a:lnTo>
                <a:lnTo>
                  <a:pt x="3677412" y="1031748"/>
                </a:lnTo>
                <a:lnTo>
                  <a:pt x="4437888" y="1031748"/>
                </a:lnTo>
                <a:lnTo>
                  <a:pt x="4437888" y="827532"/>
                </a:lnTo>
                <a:close/>
              </a:path>
              <a:path w="7486015" h="2066925">
                <a:moveTo>
                  <a:pt x="4437888" y="621792"/>
                </a:moveTo>
                <a:lnTo>
                  <a:pt x="3677412" y="621792"/>
                </a:lnTo>
                <a:lnTo>
                  <a:pt x="3677412" y="824484"/>
                </a:lnTo>
                <a:lnTo>
                  <a:pt x="4437888" y="824484"/>
                </a:lnTo>
                <a:lnTo>
                  <a:pt x="4437888" y="621792"/>
                </a:lnTo>
                <a:close/>
              </a:path>
              <a:path w="7486015" h="2066925">
                <a:moveTo>
                  <a:pt x="4437888" y="414528"/>
                </a:moveTo>
                <a:lnTo>
                  <a:pt x="3677412" y="414528"/>
                </a:lnTo>
                <a:lnTo>
                  <a:pt x="3677412" y="618744"/>
                </a:lnTo>
                <a:lnTo>
                  <a:pt x="4437888" y="618744"/>
                </a:lnTo>
                <a:lnTo>
                  <a:pt x="4437888" y="414528"/>
                </a:lnTo>
                <a:close/>
              </a:path>
              <a:path w="7486015" h="2066925">
                <a:moveTo>
                  <a:pt x="4437888" y="207264"/>
                </a:moveTo>
                <a:lnTo>
                  <a:pt x="3677412" y="207264"/>
                </a:lnTo>
                <a:lnTo>
                  <a:pt x="3677412" y="411480"/>
                </a:lnTo>
                <a:lnTo>
                  <a:pt x="4437888" y="411480"/>
                </a:lnTo>
                <a:lnTo>
                  <a:pt x="4437888" y="207264"/>
                </a:lnTo>
                <a:close/>
              </a:path>
              <a:path w="7486015" h="2066925">
                <a:moveTo>
                  <a:pt x="4437888" y="0"/>
                </a:moveTo>
                <a:lnTo>
                  <a:pt x="3677412" y="0"/>
                </a:lnTo>
                <a:lnTo>
                  <a:pt x="3677412" y="204216"/>
                </a:lnTo>
                <a:lnTo>
                  <a:pt x="4437888" y="204216"/>
                </a:lnTo>
                <a:lnTo>
                  <a:pt x="4437888" y="0"/>
                </a:lnTo>
                <a:close/>
              </a:path>
              <a:path w="7486015" h="2066925">
                <a:moveTo>
                  <a:pt x="5199888" y="1862328"/>
                </a:moveTo>
                <a:lnTo>
                  <a:pt x="4440936" y="1862328"/>
                </a:lnTo>
                <a:lnTo>
                  <a:pt x="4440936" y="2066544"/>
                </a:lnTo>
                <a:lnTo>
                  <a:pt x="5199888" y="2066544"/>
                </a:lnTo>
                <a:lnTo>
                  <a:pt x="5199888" y="1862328"/>
                </a:lnTo>
                <a:close/>
              </a:path>
              <a:path w="7486015" h="2066925">
                <a:moveTo>
                  <a:pt x="5199888" y="1655064"/>
                </a:moveTo>
                <a:lnTo>
                  <a:pt x="4440936" y="1655064"/>
                </a:lnTo>
                <a:lnTo>
                  <a:pt x="4440936" y="1859280"/>
                </a:lnTo>
                <a:lnTo>
                  <a:pt x="5199888" y="1859280"/>
                </a:lnTo>
                <a:lnTo>
                  <a:pt x="5199888" y="1655064"/>
                </a:lnTo>
                <a:close/>
              </a:path>
              <a:path w="7486015" h="2066925">
                <a:moveTo>
                  <a:pt x="5199888" y="1449324"/>
                </a:moveTo>
                <a:lnTo>
                  <a:pt x="4440936" y="1449324"/>
                </a:lnTo>
                <a:lnTo>
                  <a:pt x="4440936" y="1652016"/>
                </a:lnTo>
                <a:lnTo>
                  <a:pt x="5199888" y="1652016"/>
                </a:lnTo>
                <a:lnTo>
                  <a:pt x="5199888" y="1449324"/>
                </a:lnTo>
                <a:close/>
              </a:path>
              <a:path w="7486015" h="2066925">
                <a:moveTo>
                  <a:pt x="5199888" y="1242060"/>
                </a:moveTo>
                <a:lnTo>
                  <a:pt x="4440936" y="1242060"/>
                </a:lnTo>
                <a:lnTo>
                  <a:pt x="4440936" y="1446276"/>
                </a:lnTo>
                <a:lnTo>
                  <a:pt x="5199888" y="1446276"/>
                </a:lnTo>
                <a:lnTo>
                  <a:pt x="5199888" y="1242060"/>
                </a:lnTo>
                <a:close/>
              </a:path>
              <a:path w="7486015" h="2066925">
                <a:moveTo>
                  <a:pt x="5199888" y="1034796"/>
                </a:moveTo>
                <a:lnTo>
                  <a:pt x="4440936" y="1034796"/>
                </a:lnTo>
                <a:lnTo>
                  <a:pt x="4440936" y="1239012"/>
                </a:lnTo>
                <a:lnTo>
                  <a:pt x="5199888" y="1239012"/>
                </a:lnTo>
                <a:lnTo>
                  <a:pt x="5199888" y="1034796"/>
                </a:lnTo>
                <a:close/>
              </a:path>
              <a:path w="7486015" h="2066925">
                <a:moveTo>
                  <a:pt x="5199888" y="827532"/>
                </a:moveTo>
                <a:lnTo>
                  <a:pt x="4440936" y="827532"/>
                </a:lnTo>
                <a:lnTo>
                  <a:pt x="4440936" y="1031748"/>
                </a:lnTo>
                <a:lnTo>
                  <a:pt x="5199888" y="1031748"/>
                </a:lnTo>
                <a:lnTo>
                  <a:pt x="5199888" y="827532"/>
                </a:lnTo>
                <a:close/>
              </a:path>
              <a:path w="7486015" h="2066925">
                <a:moveTo>
                  <a:pt x="5199888" y="621792"/>
                </a:moveTo>
                <a:lnTo>
                  <a:pt x="4440936" y="621792"/>
                </a:lnTo>
                <a:lnTo>
                  <a:pt x="4440936" y="824484"/>
                </a:lnTo>
                <a:lnTo>
                  <a:pt x="5199888" y="824484"/>
                </a:lnTo>
                <a:lnTo>
                  <a:pt x="5199888" y="621792"/>
                </a:lnTo>
                <a:close/>
              </a:path>
              <a:path w="7486015" h="2066925">
                <a:moveTo>
                  <a:pt x="5199888" y="414528"/>
                </a:moveTo>
                <a:lnTo>
                  <a:pt x="4440936" y="414528"/>
                </a:lnTo>
                <a:lnTo>
                  <a:pt x="4440936" y="618744"/>
                </a:lnTo>
                <a:lnTo>
                  <a:pt x="5199888" y="618744"/>
                </a:lnTo>
                <a:lnTo>
                  <a:pt x="5199888" y="414528"/>
                </a:lnTo>
                <a:close/>
              </a:path>
              <a:path w="7486015" h="2066925">
                <a:moveTo>
                  <a:pt x="5199888" y="207264"/>
                </a:moveTo>
                <a:lnTo>
                  <a:pt x="4440936" y="207264"/>
                </a:lnTo>
                <a:lnTo>
                  <a:pt x="4440936" y="411480"/>
                </a:lnTo>
                <a:lnTo>
                  <a:pt x="5199888" y="411480"/>
                </a:lnTo>
                <a:lnTo>
                  <a:pt x="5199888" y="207264"/>
                </a:lnTo>
                <a:close/>
              </a:path>
              <a:path w="7486015" h="2066925">
                <a:moveTo>
                  <a:pt x="5199888" y="0"/>
                </a:moveTo>
                <a:lnTo>
                  <a:pt x="4440936" y="0"/>
                </a:lnTo>
                <a:lnTo>
                  <a:pt x="4440936" y="204216"/>
                </a:lnTo>
                <a:lnTo>
                  <a:pt x="5199888" y="204216"/>
                </a:lnTo>
                <a:lnTo>
                  <a:pt x="5199888" y="0"/>
                </a:lnTo>
                <a:close/>
              </a:path>
              <a:path w="7486015" h="2066925">
                <a:moveTo>
                  <a:pt x="5961875" y="1862328"/>
                </a:moveTo>
                <a:lnTo>
                  <a:pt x="5202936" y="1862328"/>
                </a:lnTo>
                <a:lnTo>
                  <a:pt x="5202936" y="2066544"/>
                </a:lnTo>
                <a:lnTo>
                  <a:pt x="5961875" y="2066544"/>
                </a:lnTo>
                <a:lnTo>
                  <a:pt x="5961875" y="1862328"/>
                </a:lnTo>
                <a:close/>
              </a:path>
              <a:path w="7486015" h="2066925">
                <a:moveTo>
                  <a:pt x="5961875" y="1655064"/>
                </a:moveTo>
                <a:lnTo>
                  <a:pt x="5202936" y="1655064"/>
                </a:lnTo>
                <a:lnTo>
                  <a:pt x="5202936" y="1859280"/>
                </a:lnTo>
                <a:lnTo>
                  <a:pt x="5961875" y="1859280"/>
                </a:lnTo>
                <a:lnTo>
                  <a:pt x="5961875" y="1655064"/>
                </a:lnTo>
                <a:close/>
              </a:path>
              <a:path w="7486015" h="2066925">
                <a:moveTo>
                  <a:pt x="5961875" y="1449324"/>
                </a:moveTo>
                <a:lnTo>
                  <a:pt x="5202936" y="1449324"/>
                </a:lnTo>
                <a:lnTo>
                  <a:pt x="5202936" y="1652016"/>
                </a:lnTo>
                <a:lnTo>
                  <a:pt x="5961875" y="1652016"/>
                </a:lnTo>
                <a:lnTo>
                  <a:pt x="5961875" y="1449324"/>
                </a:lnTo>
                <a:close/>
              </a:path>
              <a:path w="7486015" h="2066925">
                <a:moveTo>
                  <a:pt x="5961875" y="1242060"/>
                </a:moveTo>
                <a:lnTo>
                  <a:pt x="5202936" y="1242060"/>
                </a:lnTo>
                <a:lnTo>
                  <a:pt x="5202936" y="1446276"/>
                </a:lnTo>
                <a:lnTo>
                  <a:pt x="5961875" y="1446276"/>
                </a:lnTo>
                <a:lnTo>
                  <a:pt x="5961875" y="1242060"/>
                </a:lnTo>
                <a:close/>
              </a:path>
              <a:path w="7486015" h="2066925">
                <a:moveTo>
                  <a:pt x="5961875" y="1034796"/>
                </a:moveTo>
                <a:lnTo>
                  <a:pt x="5202936" y="1034796"/>
                </a:lnTo>
                <a:lnTo>
                  <a:pt x="5202936" y="1239012"/>
                </a:lnTo>
                <a:lnTo>
                  <a:pt x="5961875" y="1239012"/>
                </a:lnTo>
                <a:lnTo>
                  <a:pt x="5961875" y="1034796"/>
                </a:lnTo>
                <a:close/>
              </a:path>
              <a:path w="7486015" h="2066925">
                <a:moveTo>
                  <a:pt x="5961875" y="827532"/>
                </a:moveTo>
                <a:lnTo>
                  <a:pt x="5202936" y="827532"/>
                </a:lnTo>
                <a:lnTo>
                  <a:pt x="5202936" y="1031748"/>
                </a:lnTo>
                <a:lnTo>
                  <a:pt x="5961875" y="1031748"/>
                </a:lnTo>
                <a:lnTo>
                  <a:pt x="5961875" y="827532"/>
                </a:lnTo>
                <a:close/>
              </a:path>
              <a:path w="7486015" h="2066925">
                <a:moveTo>
                  <a:pt x="5961875" y="621792"/>
                </a:moveTo>
                <a:lnTo>
                  <a:pt x="5202936" y="621792"/>
                </a:lnTo>
                <a:lnTo>
                  <a:pt x="5202936" y="824484"/>
                </a:lnTo>
                <a:lnTo>
                  <a:pt x="5961875" y="824484"/>
                </a:lnTo>
                <a:lnTo>
                  <a:pt x="5961875" y="621792"/>
                </a:lnTo>
                <a:close/>
              </a:path>
              <a:path w="7486015" h="2066925">
                <a:moveTo>
                  <a:pt x="5961875" y="414528"/>
                </a:moveTo>
                <a:lnTo>
                  <a:pt x="5202936" y="414528"/>
                </a:lnTo>
                <a:lnTo>
                  <a:pt x="5202936" y="618744"/>
                </a:lnTo>
                <a:lnTo>
                  <a:pt x="5961875" y="618744"/>
                </a:lnTo>
                <a:lnTo>
                  <a:pt x="5961875" y="414528"/>
                </a:lnTo>
                <a:close/>
              </a:path>
              <a:path w="7486015" h="2066925">
                <a:moveTo>
                  <a:pt x="5961875" y="207264"/>
                </a:moveTo>
                <a:lnTo>
                  <a:pt x="5202936" y="207264"/>
                </a:lnTo>
                <a:lnTo>
                  <a:pt x="5202936" y="411480"/>
                </a:lnTo>
                <a:lnTo>
                  <a:pt x="5961875" y="411480"/>
                </a:lnTo>
                <a:lnTo>
                  <a:pt x="5961875" y="207264"/>
                </a:lnTo>
                <a:close/>
              </a:path>
              <a:path w="7486015" h="2066925">
                <a:moveTo>
                  <a:pt x="5961875" y="0"/>
                </a:moveTo>
                <a:lnTo>
                  <a:pt x="5202936" y="0"/>
                </a:lnTo>
                <a:lnTo>
                  <a:pt x="5202936" y="204216"/>
                </a:lnTo>
                <a:lnTo>
                  <a:pt x="5961875" y="204216"/>
                </a:lnTo>
                <a:lnTo>
                  <a:pt x="5961875" y="0"/>
                </a:lnTo>
                <a:close/>
              </a:path>
              <a:path w="7486015" h="2066925">
                <a:moveTo>
                  <a:pt x="6723888" y="1655064"/>
                </a:moveTo>
                <a:lnTo>
                  <a:pt x="5964936" y="1655064"/>
                </a:lnTo>
                <a:lnTo>
                  <a:pt x="5964936" y="1859280"/>
                </a:lnTo>
                <a:lnTo>
                  <a:pt x="6723888" y="1859280"/>
                </a:lnTo>
                <a:lnTo>
                  <a:pt x="6723888" y="1655064"/>
                </a:lnTo>
                <a:close/>
              </a:path>
              <a:path w="7486015" h="2066925">
                <a:moveTo>
                  <a:pt x="6723888" y="1449324"/>
                </a:moveTo>
                <a:lnTo>
                  <a:pt x="5964936" y="1449324"/>
                </a:lnTo>
                <a:lnTo>
                  <a:pt x="5964936" y="1652016"/>
                </a:lnTo>
                <a:lnTo>
                  <a:pt x="6723888" y="1652016"/>
                </a:lnTo>
                <a:lnTo>
                  <a:pt x="6723888" y="1449324"/>
                </a:lnTo>
                <a:close/>
              </a:path>
              <a:path w="7486015" h="2066925">
                <a:moveTo>
                  <a:pt x="6723888" y="1242060"/>
                </a:moveTo>
                <a:lnTo>
                  <a:pt x="5964936" y="1242060"/>
                </a:lnTo>
                <a:lnTo>
                  <a:pt x="5964936" y="1446276"/>
                </a:lnTo>
                <a:lnTo>
                  <a:pt x="6723888" y="1446276"/>
                </a:lnTo>
                <a:lnTo>
                  <a:pt x="6723888" y="1242060"/>
                </a:lnTo>
                <a:close/>
              </a:path>
              <a:path w="7486015" h="2066925">
                <a:moveTo>
                  <a:pt x="6723888" y="1034796"/>
                </a:moveTo>
                <a:lnTo>
                  <a:pt x="5964936" y="1034796"/>
                </a:lnTo>
                <a:lnTo>
                  <a:pt x="5964936" y="1239012"/>
                </a:lnTo>
                <a:lnTo>
                  <a:pt x="6723888" y="1239012"/>
                </a:lnTo>
                <a:lnTo>
                  <a:pt x="6723888" y="1034796"/>
                </a:lnTo>
                <a:close/>
              </a:path>
              <a:path w="7486015" h="2066925">
                <a:moveTo>
                  <a:pt x="6723888" y="827532"/>
                </a:moveTo>
                <a:lnTo>
                  <a:pt x="5964936" y="827532"/>
                </a:lnTo>
                <a:lnTo>
                  <a:pt x="5964936" y="1031748"/>
                </a:lnTo>
                <a:lnTo>
                  <a:pt x="6723888" y="1031748"/>
                </a:lnTo>
                <a:lnTo>
                  <a:pt x="6723888" y="827532"/>
                </a:lnTo>
                <a:close/>
              </a:path>
              <a:path w="7486015" h="2066925">
                <a:moveTo>
                  <a:pt x="6723888" y="621792"/>
                </a:moveTo>
                <a:lnTo>
                  <a:pt x="5964936" y="621792"/>
                </a:lnTo>
                <a:lnTo>
                  <a:pt x="5964936" y="824484"/>
                </a:lnTo>
                <a:lnTo>
                  <a:pt x="6723888" y="824484"/>
                </a:lnTo>
                <a:lnTo>
                  <a:pt x="6723888" y="621792"/>
                </a:lnTo>
                <a:close/>
              </a:path>
              <a:path w="7486015" h="2066925">
                <a:moveTo>
                  <a:pt x="6723888" y="414528"/>
                </a:moveTo>
                <a:lnTo>
                  <a:pt x="5964936" y="414528"/>
                </a:lnTo>
                <a:lnTo>
                  <a:pt x="5964936" y="618744"/>
                </a:lnTo>
                <a:lnTo>
                  <a:pt x="6723888" y="618744"/>
                </a:lnTo>
                <a:lnTo>
                  <a:pt x="6723888" y="414528"/>
                </a:lnTo>
                <a:close/>
              </a:path>
              <a:path w="7486015" h="2066925">
                <a:moveTo>
                  <a:pt x="6723888" y="207264"/>
                </a:moveTo>
                <a:lnTo>
                  <a:pt x="5964936" y="207264"/>
                </a:lnTo>
                <a:lnTo>
                  <a:pt x="5964936" y="411480"/>
                </a:lnTo>
                <a:lnTo>
                  <a:pt x="6723888" y="411480"/>
                </a:lnTo>
                <a:lnTo>
                  <a:pt x="6723888" y="207264"/>
                </a:lnTo>
                <a:close/>
              </a:path>
              <a:path w="7486015" h="2066925">
                <a:moveTo>
                  <a:pt x="6723888" y="0"/>
                </a:moveTo>
                <a:lnTo>
                  <a:pt x="5964936" y="0"/>
                </a:lnTo>
                <a:lnTo>
                  <a:pt x="5964936" y="204216"/>
                </a:lnTo>
                <a:lnTo>
                  <a:pt x="6723888" y="204216"/>
                </a:lnTo>
                <a:lnTo>
                  <a:pt x="6723888" y="0"/>
                </a:lnTo>
                <a:close/>
              </a:path>
              <a:path w="7486015" h="2066925">
                <a:moveTo>
                  <a:pt x="7485888" y="1655064"/>
                </a:moveTo>
                <a:lnTo>
                  <a:pt x="6726936" y="1655064"/>
                </a:lnTo>
                <a:lnTo>
                  <a:pt x="6726936" y="1859280"/>
                </a:lnTo>
                <a:lnTo>
                  <a:pt x="7485888" y="1859280"/>
                </a:lnTo>
                <a:lnTo>
                  <a:pt x="7485888" y="1655064"/>
                </a:lnTo>
                <a:close/>
              </a:path>
              <a:path w="7486015" h="2066925">
                <a:moveTo>
                  <a:pt x="7485888" y="1449324"/>
                </a:moveTo>
                <a:lnTo>
                  <a:pt x="6726936" y="1449324"/>
                </a:lnTo>
                <a:lnTo>
                  <a:pt x="6726936" y="1652016"/>
                </a:lnTo>
                <a:lnTo>
                  <a:pt x="7485888" y="1652016"/>
                </a:lnTo>
                <a:lnTo>
                  <a:pt x="7485888" y="1449324"/>
                </a:lnTo>
                <a:close/>
              </a:path>
              <a:path w="7486015" h="2066925">
                <a:moveTo>
                  <a:pt x="7485888" y="1242060"/>
                </a:moveTo>
                <a:lnTo>
                  <a:pt x="6726936" y="1242060"/>
                </a:lnTo>
                <a:lnTo>
                  <a:pt x="6726936" y="1446276"/>
                </a:lnTo>
                <a:lnTo>
                  <a:pt x="7485888" y="1446276"/>
                </a:lnTo>
                <a:lnTo>
                  <a:pt x="7485888" y="1242060"/>
                </a:lnTo>
                <a:close/>
              </a:path>
              <a:path w="7486015" h="2066925">
                <a:moveTo>
                  <a:pt x="7485888" y="1034796"/>
                </a:moveTo>
                <a:lnTo>
                  <a:pt x="6726936" y="1034796"/>
                </a:lnTo>
                <a:lnTo>
                  <a:pt x="6726936" y="1239012"/>
                </a:lnTo>
                <a:lnTo>
                  <a:pt x="7485888" y="1239012"/>
                </a:lnTo>
                <a:lnTo>
                  <a:pt x="7485888" y="1034796"/>
                </a:lnTo>
                <a:close/>
              </a:path>
              <a:path w="7486015" h="2066925">
                <a:moveTo>
                  <a:pt x="7485888" y="827532"/>
                </a:moveTo>
                <a:lnTo>
                  <a:pt x="6726936" y="827532"/>
                </a:lnTo>
                <a:lnTo>
                  <a:pt x="6726936" y="1031748"/>
                </a:lnTo>
                <a:lnTo>
                  <a:pt x="7485888" y="1031748"/>
                </a:lnTo>
                <a:lnTo>
                  <a:pt x="7485888" y="827532"/>
                </a:lnTo>
                <a:close/>
              </a:path>
              <a:path w="7486015" h="2066925">
                <a:moveTo>
                  <a:pt x="7485888" y="621792"/>
                </a:moveTo>
                <a:lnTo>
                  <a:pt x="6726936" y="621792"/>
                </a:lnTo>
                <a:lnTo>
                  <a:pt x="6726936" y="824484"/>
                </a:lnTo>
                <a:lnTo>
                  <a:pt x="7485888" y="824484"/>
                </a:lnTo>
                <a:lnTo>
                  <a:pt x="7485888" y="621792"/>
                </a:lnTo>
                <a:close/>
              </a:path>
              <a:path w="7486015" h="2066925">
                <a:moveTo>
                  <a:pt x="7485888" y="414528"/>
                </a:moveTo>
                <a:lnTo>
                  <a:pt x="6726936" y="414528"/>
                </a:lnTo>
                <a:lnTo>
                  <a:pt x="6726936" y="618744"/>
                </a:lnTo>
                <a:lnTo>
                  <a:pt x="7485888" y="618744"/>
                </a:lnTo>
                <a:lnTo>
                  <a:pt x="7485888" y="414528"/>
                </a:lnTo>
                <a:close/>
              </a:path>
              <a:path w="7486015" h="2066925">
                <a:moveTo>
                  <a:pt x="7485888" y="207264"/>
                </a:moveTo>
                <a:lnTo>
                  <a:pt x="6726936" y="207264"/>
                </a:lnTo>
                <a:lnTo>
                  <a:pt x="6726936" y="411480"/>
                </a:lnTo>
                <a:lnTo>
                  <a:pt x="7485888" y="411480"/>
                </a:lnTo>
                <a:lnTo>
                  <a:pt x="7485888" y="207264"/>
                </a:lnTo>
                <a:close/>
              </a:path>
              <a:path w="7486015" h="2066925">
                <a:moveTo>
                  <a:pt x="7485888" y="0"/>
                </a:moveTo>
                <a:lnTo>
                  <a:pt x="6726936" y="0"/>
                </a:lnTo>
                <a:lnTo>
                  <a:pt x="6726936" y="204216"/>
                </a:lnTo>
                <a:lnTo>
                  <a:pt x="7485888" y="204216"/>
                </a:lnTo>
                <a:lnTo>
                  <a:pt x="7485888" y="0"/>
                </a:lnTo>
                <a:close/>
              </a:path>
            </a:pathLst>
          </a:custGeom>
          <a:solidFill>
            <a:srgbClr val="FFFFFF"/>
          </a:solidFill>
        </xdr:spPr>
      </xdr:sp>
      <xdr:sp macro="" textlink="">
        <xdr:nvSpPr>
          <xdr:cNvPr id="107" name="Shape 107">
            <a:extLst>
              <a:ext uri="{FF2B5EF4-FFF2-40B4-BE49-F238E27FC236}">
                <a16:creationId xmlns:a16="http://schemas.microsoft.com/office/drawing/2014/main" id="{00000000-0008-0000-0900-00006B000000}"/>
              </a:ext>
            </a:extLst>
          </xdr:cNvPr>
          <xdr:cNvSpPr/>
        </xdr:nvSpPr>
        <xdr:spPr>
          <a:xfrm>
            <a:off x="0" y="1655063"/>
            <a:ext cx="7486015" cy="2481580"/>
          </a:xfrm>
          <a:custGeom>
            <a:avLst/>
            <a:gdLst/>
            <a:ahLst/>
            <a:cxnLst/>
            <a:rect l="0" t="0" r="0" b="0"/>
            <a:pathLst>
              <a:path w="7486015" h="2481580">
                <a:moveTo>
                  <a:pt x="312420" y="0"/>
                </a:moveTo>
                <a:lnTo>
                  <a:pt x="0" y="0"/>
                </a:lnTo>
                <a:lnTo>
                  <a:pt x="0" y="1446276"/>
                </a:lnTo>
                <a:lnTo>
                  <a:pt x="312420" y="1446276"/>
                </a:lnTo>
                <a:lnTo>
                  <a:pt x="312420" y="0"/>
                </a:lnTo>
                <a:close/>
              </a:path>
              <a:path w="7486015" h="2481580">
                <a:moveTo>
                  <a:pt x="1264920" y="0"/>
                </a:moveTo>
                <a:lnTo>
                  <a:pt x="315468" y="0"/>
                </a:lnTo>
                <a:lnTo>
                  <a:pt x="315468" y="1446276"/>
                </a:lnTo>
                <a:lnTo>
                  <a:pt x="1264920" y="1446276"/>
                </a:lnTo>
                <a:lnTo>
                  <a:pt x="1264920" y="0"/>
                </a:lnTo>
                <a:close/>
              </a:path>
              <a:path w="7486015" h="2481580">
                <a:moveTo>
                  <a:pt x="2531364" y="0"/>
                </a:moveTo>
                <a:lnTo>
                  <a:pt x="1267968" y="0"/>
                </a:lnTo>
                <a:lnTo>
                  <a:pt x="1267968" y="1446276"/>
                </a:lnTo>
                <a:lnTo>
                  <a:pt x="2531364" y="1446276"/>
                </a:lnTo>
                <a:lnTo>
                  <a:pt x="2531364" y="0"/>
                </a:lnTo>
                <a:close/>
              </a:path>
              <a:path w="7486015" h="2481580">
                <a:moveTo>
                  <a:pt x="3037332" y="2276856"/>
                </a:moveTo>
                <a:lnTo>
                  <a:pt x="2534412" y="2276856"/>
                </a:lnTo>
                <a:lnTo>
                  <a:pt x="2534412" y="2481072"/>
                </a:lnTo>
                <a:lnTo>
                  <a:pt x="3037332" y="2481072"/>
                </a:lnTo>
                <a:lnTo>
                  <a:pt x="3037332" y="2276856"/>
                </a:lnTo>
                <a:close/>
              </a:path>
              <a:path w="7486015" h="2481580">
                <a:moveTo>
                  <a:pt x="3037332" y="2069592"/>
                </a:moveTo>
                <a:lnTo>
                  <a:pt x="2534412" y="2069592"/>
                </a:lnTo>
                <a:lnTo>
                  <a:pt x="2534412" y="2273808"/>
                </a:lnTo>
                <a:lnTo>
                  <a:pt x="3037332" y="2273808"/>
                </a:lnTo>
                <a:lnTo>
                  <a:pt x="3037332" y="2069592"/>
                </a:lnTo>
                <a:close/>
              </a:path>
              <a:path w="7486015" h="2481580">
                <a:moveTo>
                  <a:pt x="3037332" y="1862328"/>
                </a:moveTo>
                <a:lnTo>
                  <a:pt x="2534412" y="1862328"/>
                </a:lnTo>
                <a:lnTo>
                  <a:pt x="2534412" y="2066544"/>
                </a:lnTo>
                <a:lnTo>
                  <a:pt x="3037332" y="2066544"/>
                </a:lnTo>
                <a:lnTo>
                  <a:pt x="3037332" y="1862328"/>
                </a:lnTo>
                <a:close/>
              </a:path>
              <a:path w="7486015" h="2481580">
                <a:moveTo>
                  <a:pt x="3037332" y="1656588"/>
                </a:moveTo>
                <a:lnTo>
                  <a:pt x="2534412" y="1656588"/>
                </a:lnTo>
                <a:lnTo>
                  <a:pt x="2534412" y="1859280"/>
                </a:lnTo>
                <a:lnTo>
                  <a:pt x="3037332" y="1859280"/>
                </a:lnTo>
                <a:lnTo>
                  <a:pt x="3037332" y="1656588"/>
                </a:lnTo>
                <a:close/>
              </a:path>
              <a:path w="7486015" h="2481580">
                <a:moveTo>
                  <a:pt x="3037332" y="1449324"/>
                </a:moveTo>
                <a:lnTo>
                  <a:pt x="2534412" y="1449324"/>
                </a:lnTo>
                <a:lnTo>
                  <a:pt x="2534412" y="1653540"/>
                </a:lnTo>
                <a:lnTo>
                  <a:pt x="3037332" y="1653540"/>
                </a:lnTo>
                <a:lnTo>
                  <a:pt x="3037332" y="1449324"/>
                </a:lnTo>
                <a:close/>
              </a:path>
              <a:path w="7486015" h="2481580">
                <a:moveTo>
                  <a:pt x="3037332" y="1242060"/>
                </a:moveTo>
                <a:lnTo>
                  <a:pt x="2534412" y="1242060"/>
                </a:lnTo>
                <a:lnTo>
                  <a:pt x="2534412" y="1446276"/>
                </a:lnTo>
                <a:lnTo>
                  <a:pt x="3037332" y="1446276"/>
                </a:lnTo>
                <a:lnTo>
                  <a:pt x="3037332" y="1242060"/>
                </a:lnTo>
                <a:close/>
              </a:path>
              <a:path w="7486015" h="2481580">
                <a:moveTo>
                  <a:pt x="3037332" y="1034796"/>
                </a:moveTo>
                <a:lnTo>
                  <a:pt x="2534412" y="1034796"/>
                </a:lnTo>
                <a:lnTo>
                  <a:pt x="2534412" y="1239012"/>
                </a:lnTo>
                <a:lnTo>
                  <a:pt x="3037332" y="1239012"/>
                </a:lnTo>
                <a:lnTo>
                  <a:pt x="3037332" y="1034796"/>
                </a:lnTo>
                <a:close/>
              </a:path>
              <a:path w="7486015" h="2481580">
                <a:moveTo>
                  <a:pt x="3037332" y="827532"/>
                </a:moveTo>
                <a:lnTo>
                  <a:pt x="2534412" y="827532"/>
                </a:lnTo>
                <a:lnTo>
                  <a:pt x="2534412" y="1031748"/>
                </a:lnTo>
                <a:lnTo>
                  <a:pt x="3037332" y="1031748"/>
                </a:lnTo>
                <a:lnTo>
                  <a:pt x="3037332" y="827532"/>
                </a:lnTo>
                <a:close/>
              </a:path>
              <a:path w="7486015" h="2481580">
                <a:moveTo>
                  <a:pt x="3037332" y="621792"/>
                </a:moveTo>
                <a:lnTo>
                  <a:pt x="2534412" y="621792"/>
                </a:lnTo>
                <a:lnTo>
                  <a:pt x="2534412" y="824484"/>
                </a:lnTo>
                <a:lnTo>
                  <a:pt x="3037332" y="824484"/>
                </a:lnTo>
                <a:lnTo>
                  <a:pt x="3037332" y="621792"/>
                </a:lnTo>
                <a:close/>
              </a:path>
              <a:path w="7486015" h="2481580">
                <a:moveTo>
                  <a:pt x="3037332" y="414528"/>
                </a:moveTo>
                <a:lnTo>
                  <a:pt x="2534412" y="414528"/>
                </a:lnTo>
                <a:lnTo>
                  <a:pt x="2534412" y="618744"/>
                </a:lnTo>
                <a:lnTo>
                  <a:pt x="3037332" y="618744"/>
                </a:lnTo>
                <a:lnTo>
                  <a:pt x="3037332" y="414528"/>
                </a:lnTo>
                <a:close/>
              </a:path>
              <a:path w="7486015" h="2481580">
                <a:moveTo>
                  <a:pt x="3674364" y="2276856"/>
                </a:moveTo>
                <a:lnTo>
                  <a:pt x="3040380" y="2276856"/>
                </a:lnTo>
                <a:lnTo>
                  <a:pt x="3040380" y="2481072"/>
                </a:lnTo>
                <a:lnTo>
                  <a:pt x="3674364" y="2481072"/>
                </a:lnTo>
                <a:lnTo>
                  <a:pt x="3674364" y="2276856"/>
                </a:lnTo>
                <a:close/>
              </a:path>
              <a:path w="7486015" h="2481580">
                <a:moveTo>
                  <a:pt x="3674364" y="2069592"/>
                </a:moveTo>
                <a:lnTo>
                  <a:pt x="3040380" y="2069592"/>
                </a:lnTo>
                <a:lnTo>
                  <a:pt x="3040380" y="2273808"/>
                </a:lnTo>
                <a:lnTo>
                  <a:pt x="3674364" y="2273808"/>
                </a:lnTo>
                <a:lnTo>
                  <a:pt x="3674364" y="2069592"/>
                </a:lnTo>
                <a:close/>
              </a:path>
              <a:path w="7486015" h="2481580">
                <a:moveTo>
                  <a:pt x="3674364" y="1862328"/>
                </a:moveTo>
                <a:lnTo>
                  <a:pt x="3040380" y="1862328"/>
                </a:lnTo>
                <a:lnTo>
                  <a:pt x="3040380" y="2066544"/>
                </a:lnTo>
                <a:lnTo>
                  <a:pt x="3674364" y="2066544"/>
                </a:lnTo>
                <a:lnTo>
                  <a:pt x="3674364" y="1862328"/>
                </a:lnTo>
                <a:close/>
              </a:path>
              <a:path w="7486015" h="2481580">
                <a:moveTo>
                  <a:pt x="3674364" y="1656588"/>
                </a:moveTo>
                <a:lnTo>
                  <a:pt x="3040380" y="1656588"/>
                </a:lnTo>
                <a:lnTo>
                  <a:pt x="3040380" y="1859280"/>
                </a:lnTo>
                <a:lnTo>
                  <a:pt x="3674364" y="1859280"/>
                </a:lnTo>
                <a:lnTo>
                  <a:pt x="3674364" y="1656588"/>
                </a:lnTo>
                <a:close/>
              </a:path>
              <a:path w="7486015" h="2481580">
                <a:moveTo>
                  <a:pt x="3674364" y="1449324"/>
                </a:moveTo>
                <a:lnTo>
                  <a:pt x="3040380" y="1449324"/>
                </a:lnTo>
                <a:lnTo>
                  <a:pt x="3040380" y="1653540"/>
                </a:lnTo>
                <a:lnTo>
                  <a:pt x="3674364" y="1653540"/>
                </a:lnTo>
                <a:lnTo>
                  <a:pt x="3674364" y="1449324"/>
                </a:lnTo>
                <a:close/>
              </a:path>
              <a:path w="7486015" h="2481580">
                <a:moveTo>
                  <a:pt x="3674364" y="1242060"/>
                </a:moveTo>
                <a:lnTo>
                  <a:pt x="3040380" y="1242060"/>
                </a:lnTo>
                <a:lnTo>
                  <a:pt x="3040380" y="1446276"/>
                </a:lnTo>
                <a:lnTo>
                  <a:pt x="3674364" y="1446276"/>
                </a:lnTo>
                <a:lnTo>
                  <a:pt x="3674364" y="1242060"/>
                </a:lnTo>
                <a:close/>
              </a:path>
              <a:path w="7486015" h="2481580">
                <a:moveTo>
                  <a:pt x="3674364" y="1034796"/>
                </a:moveTo>
                <a:lnTo>
                  <a:pt x="3040380" y="1034796"/>
                </a:lnTo>
                <a:lnTo>
                  <a:pt x="3040380" y="1239012"/>
                </a:lnTo>
                <a:lnTo>
                  <a:pt x="3674364" y="1239012"/>
                </a:lnTo>
                <a:lnTo>
                  <a:pt x="3674364" y="1034796"/>
                </a:lnTo>
                <a:close/>
              </a:path>
              <a:path w="7486015" h="2481580">
                <a:moveTo>
                  <a:pt x="3674364" y="827532"/>
                </a:moveTo>
                <a:lnTo>
                  <a:pt x="3040380" y="827532"/>
                </a:lnTo>
                <a:lnTo>
                  <a:pt x="3040380" y="1031748"/>
                </a:lnTo>
                <a:lnTo>
                  <a:pt x="3674364" y="1031748"/>
                </a:lnTo>
                <a:lnTo>
                  <a:pt x="3674364" y="827532"/>
                </a:lnTo>
                <a:close/>
              </a:path>
              <a:path w="7486015" h="2481580">
                <a:moveTo>
                  <a:pt x="3674364" y="621792"/>
                </a:moveTo>
                <a:lnTo>
                  <a:pt x="3040380" y="621792"/>
                </a:lnTo>
                <a:lnTo>
                  <a:pt x="3040380" y="824484"/>
                </a:lnTo>
                <a:lnTo>
                  <a:pt x="3674364" y="824484"/>
                </a:lnTo>
                <a:lnTo>
                  <a:pt x="3674364" y="621792"/>
                </a:lnTo>
                <a:close/>
              </a:path>
              <a:path w="7486015" h="2481580">
                <a:moveTo>
                  <a:pt x="3674364" y="414528"/>
                </a:moveTo>
                <a:lnTo>
                  <a:pt x="3040380" y="414528"/>
                </a:lnTo>
                <a:lnTo>
                  <a:pt x="3040380" y="618744"/>
                </a:lnTo>
                <a:lnTo>
                  <a:pt x="3674364" y="618744"/>
                </a:lnTo>
                <a:lnTo>
                  <a:pt x="3674364" y="414528"/>
                </a:lnTo>
                <a:close/>
              </a:path>
              <a:path w="7486015" h="2481580">
                <a:moveTo>
                  <a:pt x="4437888" y="2069592"/>
                </a:moveTo>
                <a:lnTo>
                  <a:pt x="3677412" y="2069592"/>
                </a:lnTo>
                <a:lnTo>
                  <a:pt x="3677412" y="2273808"/>
                </a:lnTo>
                <a:lnTo>
                  <a:pt x="4437888" y="2273808"/>
                </a:lnTo>
                <a:lnTo>
                  <a:pt x="4437888" y="2069592"/>
                </a:lnTo>
                <a:close/>
              </a:path>
              <a:path w="7486015" h="2481580">
                <a:moveTo>
                  <a:pt x="4437888" y="1862328"/>
                </a:moveTo>
                <a:lnTo>
                  <a:pt x="3677412" y="1862328"/>
                </a:lnTo>
                <a:lnTo>
                  <a:pt x="3677412" y="2066544"/>
                </a:lnTo>
                <a:lnTo>
                  <a:pt x="4437888" y="2066544"/>
                </a:lnTo>
                <a:lnTo>
                  <a:pt x="4437888" y="1862328"/>
                </a:lnTo>
                <a:close/>
              </a:path>
              <a:path w="7486015" h="2481580">
                <a:moveTo>
                  <a:pt x="4437888" y="1656588"/>
                </a:moveTo>
                <a:lnTo>
                  <a:pt x="3677412" y="1656588"/>
                </a:lnTo>
                <a:lnTo>
                  <a:pt x="3677412" y="1859280"/>
                </a:lnTo>
                <a:lnTo>
                  <a:pt x="4437888" y="1859280"/>
                </a:lnTo>
                <a:lnTo>
                  <a:pt x="4437888" y="1656588"/>
                </a:lnTo>
                <a:close/>
              </a:path>
              <a:path w="7486015" h="2481580">
                <a:moveTo>
                  <a:pt x="4437888" y="1449324"/>
                </a:moveTo>
                <a:lnTo>
                  <a:pt x="3677412" y="1449324"/>
                </a:lnTo>
                <a:lnTo>
                  <a:pt x="3677412" y="1653540"/>
                </a:lnTo>
                <a:lnTo>
                  <a:pt x="4437888" y="1653540"/>
                </a:lnTo>
                <a:lnTo>
                  <a:pt x="4437888" y="1449324"/>
                </a:lnTo>
                <a:close/>
              </a:path>
              <a:path w="7486015" h="2481580">
                <a:moveTo>
                  <a:pt x="4437888" y="1242060"/>
                </a:moveTo>
                <a:lnTo>
                  <a:pt x="3677412" y="1242060"/>
                </a:lnTo>
                <a:lnTo>
                  <a:pt x="3677412" y="1446276"/>
                </a:lnTo>
                <a:lnTo>
                  <a:pt x="4437888" y="1446276"/>
                </a:lnTo>
                <a:lnTo>
                  <a:pt x="4437888" y="1242060"/>
                </a:lnTo>
                <a:close/>
              </a:path>
              <a:path w="7486015" h="2481580">
                <a:moveTo>
                  <a:pt x="4437888" y="1034796"/>
                </a:moveTo>
                <a:lnTo>
                  <a:pt x="3677412" y="1034796"/>
                </a:lnTo>
                <a:lnTo>
                  <a:pt x="3677412" y="1239012"/>
                </a:lnTo>
                <a:lnTo>
                  <a:pt x="4437888" y="1239012"/>
                </a:lnTo>
                <a:lnTo>
                  <a:pt x="4437888" y="1034796"/>
                </a:lnTo>
                <a:close/>
              </a:path>
              <a:path w="7486015" h="2481580">
                <a:moveTo>
                  <a:pt x="4437888" y="827532"/>
                </a:moveTo>
                <a:lnTo>
                  <a:pt x="3677412" y="827532"/>
                </a:lnTo>
                <a:lnTo>
                  <a:pt x="3677412" y="1031748"/>
                </a:lnTo>
                <a:lnTo>
                  <a:pt x="4437888" y="1031748"/>
                </a:lnTo>
                <a:lnTo>
                  <a:pt x="4437888" y="827532"/>
                </a:lnTo>
                <a:close/>
              </a:path>
              <a:path w="7486015" h="2481580">
                <a:moveTo>
                  <a:pt x="4437888" y="621792"/>
                </a:moveTo>
                <a:lnTo>
                  <a:pt x="3677412" y="621792"/>
                </a:lnTo>
                <a:lnTo>
                  <a:pt x="3677412" y="824484"/>
                </a:lnTo>
                <a:lnTo>
                  <a:pt x="4437888" y="824484"/>
                </a:lnTo>
                <a:lnTo>
                  <a:pt x="4437888" y="621792"/>
                </a:lnTo>
                <a:close/>
              </a:path>
              <a:path w="7486015" h="2481580">
                <a:moveTo>
                  <a:pt x="4437888" y="414528"/>
                </a:moveTo>
                <a:lnTo>
                  <a:pt x="3677412" y="414528"/>
                </a:lnTo>
                <a:lnTo>
                  <a:pt x="3677412" y="618744"/>
                </a:lnTo>
                <a:lnTo>
                  <a:pt x="4437888" y="618744"/>
                </a:lnTo>
                <a:lnTo>
                  <a:pt x="4437888" y="414528"/>
                </a:lnTo>
                <a:close/>
              </a:path>
              <a:path w="7486015" h="2481580">
                <a:moveTo>
                  <a:pt x="5199888" y="2069592"/>
                </a:moveTo>
                <a:lnTo>
                  <a:pt x="4440936" y="2069592"/>
                </a:lnTo>
                <a:lnTo>
                  <a:pt x="4440936" y="2273808"/>
                </a:lnTo>
                <a:lnTo>
                  <a:pt x="5199888" y="2273808"/>
                </a:lnTo>
                <a:lnTo>
                  <a:pt x="5199888" y="2069592"/>
                </a:lnTo>
                <a:close/>
              </a:path>
              <a:path w="7486015" h="2481580">
                <a:moveTo>
                  <a:pt x="5199888" y="1862328"/>
                </a:moveTo>
                <a:lnTo>
                  <a:pt x="4440936" y="1862328"/>
                </a:lnTo>
                <a:lnTo>
                  <a:pt x="4440936" y="2066544"/>
                </a:lnTo>
                <a:lnTo>
                  <a:pt x="5199888" y="2066544"/>
                </a:lnTo>
                <a:lnTo>
                  <a:pt x="5199888" y="1862328"/>
                </a:lnTo>
                <a:close/>
              </a:path>
              <a:path w="7486015" h="2481580">
                <a:moveTo>
                  <a:pt x="5199888" y="1656588"/>
                </a:moveTo>
                <a:lnTo>
                  <a:pt x="4440936" y="1656588"/>
                </a:lnTo>
                <a:lnTo>
                  <a:pt x="4440936" y="1859280"/>
                </a:lnTo>
                <a:lnTo>
                  <a:pt x="5199888" y="1859280"/>
                </a:lnTo>
                <a:lnTo>
                  <a:pt x="5199888" y="1656588"/>
                </a:lnTo>
                <a:close/>
              </a:path>
              <a:path w="7486015" h="2481580">
                <a:moveTo>
                  <a:pt x="5199888" y="1449324"/>
                </a:moveTo>
                <a:lnTo>
                  <a:pt x="4440936" y="1449324"/>
                </a:lnTo>
                <a:lnTo>
                  <a:pt x="4440936" y="1653540"/>
                </a:lnTo>
                <a:lnTo>
                  <a:pt x="5199888" y="1653540"/>
                </a:lnTo>
                <a:lnTo>
                  <a:pt x="5199888" y="1449324"/>
                </a:lnTo>
                <a:close/>
              </a:path>
              <a:path w="7486015" h="2481580">
                <a:moveTo>
                  <a:pt x="5199888" y="1242060"/>
                </a:moveTo>
                <a:lnTo>
                  <a:pt x="4440936" y="1242060"/>
                </a:lnTo>
                <a:lnTo>
                  <a:pt x="4440936" y="1446276"/>
                </a:lnTo>
                <a:lnTo>
                  <a:pt x="5199888" y="1446276"/>
                </a:lnTo>
                <a:lnTo>
                  <a:pt x="5199888" y="1242060"/>
                </a:lnTo>
                <a:close/>
              </a:path>
              <a:path w="7486015" h="2481580">
                <a:moveTo>
                  <a:pt x="5199888" y="1034796"/>
                </a:moveTo>
                <a:lnTo>
                  <a:pt x="4440936" y="1034796"/>
                </a:lnTo>
                <a:lnTo>
                  <a:pt x="4440936" y="1239012"/>
                </a:lnTo>
                <a:lnTo>
                  <a:pt x="5199888" y="1239012"/>
                </a:lnTo>
                <a:lnTo>
                  <a:pt x="5199888" y="1034796"/>
                </a:lnTo>
                <a:close/>
              </a:path>
              <a:path w="7486015" h="2481580">
                <a:moveTo>
                  <a:pt x="5199888" y="827532"/>
                </a:moveTo>
                <a:lnTo>
                  <a:pt x="4440936" y="827532"/>
                </a:lnTo>
                <a:lnTo>
                  <a:pt x="4440936" y="1031748"/>
                </a:lnTo>
                <a:lnTo>
                  <a:pt x="5199888" y="1031748"/>
                </a:lnTo>
                <a:lnTo>
                  <a:pt x="5199888" y="827532"/>
                </a:lnTo>
                <a:close/>
              </a:path>
              <a:path w="7486015" h="2481580">
                <a:moveTo>
                  <a:pt x="5199888" y="621792"/>
                </a:moveTo>
                <a:lnTo>
                  <a:pt x="4440936" y="621792"/>
                </a:lnTo>
                <a:lnTo>
                  <a:pt x="4440936" y="824484"/>
                </a:lnTo>
                <a:lnTo>
                  <a:pt x="5199888" y="824484"/>
                </a:lnTo>
                <a:lnTo>
                  <a:pt x="5199888" y="621792"/>
                </a:lnTo>
                <a:close/>
              </a:path>
              <a:path w="7486015" h="2481580">
                <a:moveTo>
                  <a:pt x="5199888" y="414528"/>
                </a:moveTo>
                <a:lnTo>
                  <a:pt x="4440936" y="414528"/>
                </a:lnTo>
                <a:lnTo>
                  <a:pt x="4440936" y="618744"/>
                </a:lnTo>
                <a:lnTo>
                  <a:pt x="5199888" y="618744"/>
                </a:lnTo>
                <a:lnTo>
                  <a:pt x="5199888" y="414528"/>
                </a:lnTo>
                <a:close/>
              </a:path>
              <a:path w="7486015" h="2481580">
                <a:moveTo>
                  <a:pt x="5961875" y="2069592"/>
                </a:moveTo>
                <a:lnTo>
                  <a:pt x="5202936" y="2069592"/>
                </a:lnTo>
                <a:lnTo>
                  <a:pt x="5202936" y="2273808"/>
                </a:lnTo>
                <a:lnTo>
                  <a:pt x="5961875" y="2273808"/>
                </a:lnTo>
                <a:lnTo>
                  <a:pt x="5961875" y="2069592"/>
                </a:lnTo>
                <a:close/>
              </a:path>
              <a:path w="7486015" h="2481580">
                <a:moveTo>
                  <a:pt x="5961875" y="1862328"/>
                </a:moveTo>
                <a:lnTo>
                  <a:pt x="5202936" y="1862328"/>
                </a:lnTo>
                <a:lnTo>
                  <a:pt x="5202936" y="2066544"/>
                </a:lnTo>
                <a:lnTo>
                  <a:pt x="5961875" y="2066544"/>
                </a:lnTo>
                <a:lnTo>
                  <a:pt x="5961875" y="1862328"/>
                </a:lnTo>
                <a:close/>
              </a:path>
              <a:path w="7486015" h="2481580">
                <a:moveTo>
                  <a:pt x="5961875" y="1656588"/>
                </a:moveTo>
                <a:lnTo>
                  <a:pt x="5202936" y="1656588"/>
                </a:lnTo>
                <a:lnTo>
                  <a:pt x="5202936" y="1859280"/>
                </a:lnTo>
                <a:lnTo>
                  <a:pt x="5961875" y="1859280"/>
                </a:lnTo>
                <a:lnTo>
                  <a:pt x="5961875" y="1656588"/>
                </a:lnTo>
                <a:close/>
              </a:path>
              <a:path w="7486015" h="2481580">
                <a:moveTo>
                  <a:pt x="5961875" y="1449324"/>
                </a:moveTo>
                <a:lnTo>
                  <a:pt x="5202936" y="1449324"/>
                </a:lnTo>
                <a:lnTo>
                  <a:pt x="5202936" y="1653540"/>
                </a:lnTo>
                <a:lnTo>
                  <a:pt x="5961875" y="1653540"/>
                </a:lnTo>
                <a:lnTo>
                  <a:pt x="5961875" y="1449324"/>
                </a:lnTo>
                <a:close/>
              </a:path>
              <a:path w="7486015" h="2481580">
                <a:moveTo>
                  <a:pt x="5961875" y="1242060"/>
                </a:moveTo>
                <a:lnTo>
                  <a:pt x="5202936" y="1242060"/>
                </a:lnTo>
                <a:lnTo>
                  <a:pt x="5202936" y="1446276"/>
                </a:lnTo>
                <a:lnTo>
                  <a:pt x="5961875" y="1446276"/>
                </a:lnTo>
                <a:lnTo>
                  <a:pt x="5961875" y="1242060"/>
                </a:lnTo>
                <a:close/>
              </a:path>
              <a:path w="7486015" h="2481580">
                <a:moveTo>
                  <a:pt x="5961875" y="1034796"/>
                </a:moveTo>
                <a:lnTo>
                  <a:pt x="5202936" y="1034796"/>
                </a:lnTo>
                <a:lnTo>
                  <a:pt x="5202936" y="1239012"/>
                </a:lnTo>
                <a:lnTo>
                  <a:pt x="5961875" y="1239012"/>
                </a:lnTo>
                <a:lnTo>
                  <a:pt x="5961875" y="1034796"/>
                </a:lnTo>
                <a:close/>
              </a:path>
              <a:path w="7486015" h="2481580">
                <a:moveTo>
                  <a:pt x="5961875" y="827532"/>
                </a:moveTo>
                <a:lnTo>
                  <a:pt x="5202936" y="827532"/>
                </a:lnTo>
                <a:lnTo>
                  <a:pt x="5202936" y="1031748"/>
                </a:lnTo>
                <a:lnTo>
                  <a:pt x="5961875" y="1031748"/>
                </a:lnTo>
                <a:lnTo>
                  <a:pt x="5961875" y="827532"/>
                </a:lnTo>
                <a:close/>
              </a:path>
              <a:path w="7486015" h="2481580">
                <a:moveTo>
                  <a:pt x="5961875" y="621792"/>
                </a:moveTo>
                <a:lnTo>
                  <a:pt x="5202936" y="621792"/>
                </a:lnTo>
                <a:lnTo>
                  <a:pt x="5202936" y="824484"/>
                </a:lnTo>
                <a:lnTo>
                  <a:pt x="5961875" y="824484"/>
                </a:lnTo>
                <a:lnTo>
                  <a:pt x="5961875" y="621792"/>
                </a:lnTo>
                <a:close/>
              </a:path>
              <a:path w="7486015" h="2481580">
                <a:moveTo>
                  <a:pt x="5961875" y="414528"/>
                </a:moveTo>
                <a:lnTo>
                  <a:pt x="5202936" y="414528"/>
                </a:lnTo>
                <a:lnTo>
                  <a:pt x="5202936" y="618744"/>
                </a:lnTo>
                <a:lnTo>
                  <a:pt x="5961875" y="618744"/>
                </a:lnTo>
                <a:lnTo>
                  <a:pt x="5961875" y="414528"/>
                </a:lnTo>
                <a:close/>
              </a:path>
              <a:path w="7486015" h="2481580">
                <a:moveTo>
                  <a:pt x="5961875" y="207264"/>
                </a:moveTo>
                <a:lnTo>
                  <a:pt x="5202936" y="207264"/>
                </a:lnTo>
                <a:lnTo>
                  <a:pt x="5202936" y="411480"/>
                </a:lnTo>
                <a:lnTo>
                  <a:pt x="5961875" y="411480"/>
                </a:lnTo>
                <a:lnTo>
                  <a:pt x="5961875" y="207264"/>
                </a:lnTo>
                <a:close/>
              </a:path>
              <a:path w="7486015" h="2481580">
                <a:moveTo>
                  <a:pt x="6723888" y="2069592"/>
                </a:moveTo>
                <a:lnTo>
                  <a:pt x="5964936" y="2069592"/>
                </a:lnTo>
                <a:lnTo>
                  <a:pt x="5964936" y="2273808"/>
                </a:lnTo>
                <a:lnTo>
                  <a:pt x="6723888" y="2273808"/>
                </a:lnTo>
                <a:lnTo>
                  <a:pt x="6723888" y="2069592"/>
                </a:lnTo>
                <a:close/>
              </a:path>
              <a:path w="7486015" h="2481580">
                <a:moveTo>
                  <a:pt x="6723888" y="1862328"/>
                </a:moveTo>
                <a:lnTo>
                  <a:pt x="5964936" y="1862328"/>
                </a:lnTo>
                <a:lnTo>
                  <a:pt x="5964936" y="2066544"/>
                </a:lnTo>
                <a:lnTo>
                  <a:pt x="6723888" y="2066544"/>
                </a:lnTo>
                <a:lnTo>
                  <a:pt x="6723888" y="1862328"/>
                </a:lnTo>
                <a:close/>
              </a:path>
              <a:path w="7486015" h="2481580">
                <a:moveTo>
                  <a:pt x="6723888" y="1656588"/>
                </a:moveTo>
                <a:lnTo>
                  <a:pt x="5964936" y="1656588"/>
                </a:lnTo>
                <a:lnTo>
                  <a:pt x="5964936" y="1859280"/>
                </a:lnTo>
                <a:lnTo>
                  <a:pt x="6723888" y="1859280"/>
                </a:lnTo>
                <a:lnTo>
                  <a:pt x="6723888" y="1656588"/>
                </a:lnTo>
                <a:close/>
              </a:path>
              <a:path w="7486015" h="2481580">
                <a:moveTo>
                  <a:pt x="6723888" y="1449324"/>
                </a:moveTo>
                <a:lnTo>
                  <a:pt x="5964936" y="1449324"/>
                </a:lnTo>
                <a:lnTo>
                  <a:pt x="5964936" y="1653540"/>
                </a:lnTo>
                <a:lnTo>
                  <a:pt x="6723888" y="1653540"/>
                </a:lnTo>
                <a:lnTo>
                  <a:pt x="6723888" y="1449324"/>
                </a:lnTo>
                <a:close/>
              </a:path>
              <a:path w="7486015" h="2481580">
                <a:moveTo>
                  <a:pt x="6723888" y="1242060"/>
                </a:moveTo>
                <a:lnTo>
                  <a:pt x="5964936" y="1242060"/>
                </a:lnTo>
                <a:lnTo>
                  <a:pt x="5964936" y="1446276"/>
                </a:lnTo>
                <a:lnTo>
                  <a:pt x="6723888" y="1446276"/>
                </a:lnTo>
                <a:lnTo>
                  <a:pt x="6723888" y="1242060"/>
                </a:lnTo>
                <a:close/>
              </a:path>
              <a:path w="7486015" h="2481580">
                <a:moveTo>
                  <a:pt x="6723888" y="1034796"/>
                </a:moveTo>
                <a:lnTo>
                  <a:pt x="5964936" y="1034796"/>
                </a:lnTo>
                <a:lnTo>
                  <a:pt x="5964936" y="1239012"/>
                </a:lnTo>
                <a:lnTo>
                  <a:pt x="6723888" y="1239012"/>
                </a:lnTo>
                <a:lnTo>
                  <a:pt x="6723888" y="1034796"/>
                </a:lnTo>
                <a:close/>
              </a:path>
              <a:path w="7486015" h="2481580">
                <a:moveTo>
                  <a:pt x="6723888" y="827532"/>
                </a:moveTo>
                <a:lnTo>
                  <a:pt x="5964936" y="827532"/>
                </a:lnTo>
                <a:lnTo>
                  <a:pt x="5964936" y="1031748"/>
                </a:lnTo>
                <a:lnTo>
                  <a:pt x="6723888" y="1031748"/>
                </a:lnTo>
                <a:lnTo>
                  <a:pt x="6723888" y="827532"/>
                </a:lnTo>
                <a:close/>
              </a:path>
              <a:path w="7486015" h="2481580">
                <a:moveTo>
                  <a:pt x="6723888" y="621792"/>
                </a:moveTo>
                <a:lnTo>
                  <a:pt x="5964936" y="621792"/>
                </a:lnTo>
                <a:lnTo>
                  <a:pt x="5964936" y="824484"/>
                </a:lnTo>
                <a:lnTo>
                  <a:pt x="6723888" y="824484"/>
                </a:lnTo>
                <a:lnTo>
                  <a:pt x="6723888" y="621792"/>
                </a:lnTo>
                <a:close/>
              </a:path>
              <a:path w="7486015" h="2481580">
                <a:moveTo>
                  <a:pt x="6723888" y="414528"/>
                </a:moveTo>
                <a:lnTo>
                  <a:pt x="5964936" y="414528"/>
                </a:lnTo>
                <a:lnTo>
                  <a:pt x="5964936" y="618744"/>
                </a:lnTo>
                <a:lnTo>
                  <a:pt x="6723888" y="618744"/>
                </a:lnTo>
                <a:lnTo>
                  <a:pt x="6723888" y="414528"/>
                </a:lnTo>
                <a:close/>
              </a:path>
              <a:path w="7486015" h="2481580">
                <a:moveTo>
                  <a:pt x="6723888" y="207264"/>
                </a:moveTo>
                <a:lnTo>
                  <a:pt x="5964936" y="207264"/>
                </a:lnTo>
                <a:lnTo>
                  <a:pt x="5964936" y="411480"/>
                </a:lnTo>
                <a:lnTo>
                  <a:pt x="6723888" y="411480"/>
                </a:lnTo>
                <a:lnTo>
                  <a:pt x="6723888" y="207264"/>
                </a:lnTo>
                <a:close/>
              </a:path>
              <a:path w="7486015" h="2481580">
                <a:moveTo>
                  <a:pt x="7485888" y="2069592"/>
                </a:moveTo>
                <a:lnTo>
                  <a:pt x="6726936" y="2069592"/>
                </a:lnTo>
                <a:lnTo>
                  <a:pt x="6726936" y="2273808"/>
                </a:lnTo>
                <a:lnTo>
                  <a:pt x="7485888" y="2273808"/>
                </a:lnTo>
                <a:lnTo>
                  <a:pt x="7485888" y="2069592"/>
                </a:lnTo>
                <a:close/>
              </a:path>
              <a:path w="7486015" h="2481580">
                <a:moveTo>
                  <a:pt x="7485888" y="1862328"/>
                </a:moveTo>
                <a:lnTo>
                  <a:pt x="6726936" y="1862328"/>
                </a:lnTo>
                <a:lnTo>
                  <a:pt x="6726936" y="2066544"/>
                </a:lnTo>
                <a:lnTo>
                  <a:pt x="7485888" y="2066544"/>
                </a:lnTo>
                <a:lnTo>
                  <a:pt x="7485888" y="1862328"/>
                </a:lnTo>
                <a:close/>
              </a:path>
              <a:path w="7486015" h="2481580">
                <a:moveTo>
                  <a:pt x="7485888" y="1656588"/>
                </a:moveTo>
                <a:lnTo>
                  <a:pt x="6726936" y="1656588"/>
                </a:lnTo>
                <a:lnTo>
                  <a:pt x="6726936" y="1859280"/>
                </a:lnTo>
                <a:lnTo>
                  <a:pt x="7485888" y="1859280"/>
                </a:lnTo>
                <a:lnTo>
                  <a:pt x="7485888" y="1656588"/>
                </a:lnTo>
                <a:close/>
              </a:path>
              <a:path w="7486015" h="2481580">
                <a:moveTo>
                  <a:pt x="7485888" y="1449324"/>
                </a:moveTo>
                <a:lnTo>
                  <a:pt x="6726936" y="1449324"/>
                </a:lnTo>
                <a:lnTo>
                  <a:pt x="6726936" y="1653540"/>
                </a:lnTo>
                <a:lnTo>
                  <a:pt x="7485888" y="1653540"/>
                </a:lnTo>
                <a:lnTo>
                  <a:pt x="7485888" y="1449324"/>
                </a:lnTo>
                <a:close/>
              </a:path>
              <a:path w="7486015" h="2481580">
                <a:moveTo>
                  <a:pt x="7485888" y="1242060"/>
                </a:moveTo>
                <a:lnTo>
                  <a:pt x="6726936" y="1242060"/>
                </a:lnTo>
                <a:lnTo>
                  <a:pt x="6726936" y="1446276"/>
                </a:lnTo>
                <a:lnTo>
                  <a:pt x="7485888" y="1446276"/>
                </a:lnTo>
                <a:lnTo>
                  <a:pt x="7485888" y="1242060"/>
                </a:lnTo>
                <a:close/>
              </a:path>
              <a:path w="7486015" h="2481580">
                <a:moveTo>
                  <a:pt x="7485888" y="1034796"/>
                </a:moveTo>
                <a:lnTo>
                  <a:pt x="6726936" y="1034796"/>
                </a:lnTo>
                <a:lnTo>
                  <a:pt x="6726936" y="1239012"/>
                </a:lnTo>
                <a:lnTo>
                  <a:pt x="7485888" y="1239012"/>
                </a:lnTo>
                <a:lnTo>
                  <a:pt x="7485888" y="1034796"/>
                </a:lnTo>
                <a:close/>
              </a:path>
              <a:path w="7486015" h="2481580">
                <a:moveTo>
                  <a:pt x="7485888" y="827532"/>
                </a:moveTo>
                <a:lnTo>
                  <a:pt x="6726936" y="827532"/>
                </a:lnTo>
                <a:lnTo>
                  <a:pt x="6726936" y="1031748"/>
                </a:lnTo>
                <a:lnTo>
                  <a:pt x="7485888" y="1031748"/>
                </a:lnTo>
                <a:lnTo>
                  <a:pt x="7485888" y="827532"/>
                </a:lnTo>
                <a:close/>
              </a:path>
              <a:path w="7486015" h="2481580">
                <a:moveTo>
                  <a:pt x="7485888" y="621792"/>
                </a:moveTo>
                <a:lnTo>
                  <a:pt x="6726936" y="621792"/>
                </a:lnTo>
                <a:lnTo>
                  <a:pt x="6726936" y="824484"/>
                </a:lnTo>
                <a:lnTo>
                  <a:pt x="7485888" y="824484"/>
                </a:lnTo>
                <a:lnTo>
                  <a:pt x="7485888" y="621792"/>
                </a:lnTo>
                <a:close/>
              </a:path>
              <a:path w="7486015" h="2481580">
                <a:moveTo>
                  <a:pt x="7485888" y="414528"/>
                </a:moveTo>
                <a:lnTo>
                  <a:pt x="6726936" y="414528"/>
                </a:lnTo>
                <a:lnTo>
                  <a:pt x="6726936" y="618744"/>
                </a:lnTo>
                <a:lnTo>
                  <a:pt x="7485888" y="618744"/>
                </a:lnTo>
                <a:lnTo>
                  <a:pt x="7485888" y="414528"/>
                </a:lnTo>
                <a:close/>
              </a:path>
              <a:path w="7486015" h="2481580">
                <a:moveTo>
                  <a:pt x="7485888" y="207264"/>
                </a:moveTo>
                <a:lnTo>
                  <a:pt x="6726936" y="207264"/>
                </a:lnTo>
                <a:lnTo>
                  <a:pt x="6726936" y="411480"/>
                </a:lnTo>
                <a:lnTo>
                  <a:pt x="7485888" y="411480"/>
                </a:lnTo>
                <a:lnTo>
                  <a:pt x="7485888" y="207264"/>
                </a:lnTo>
                <a:close/>
              </a:path>
            </a:pathLst>
          </a:custGeom>
          <a:solidFill>
            <a:srgbClr val="FFFFFF"/>
          </a:solidFill>
        </xdr:spPr>
      </xdr:sp>
      <xdr:sp macro="" textlink="">
        <xdr:nvSpPr>
          <xdr:cNvPr id="108" name="Shape 108">
            <a:extLst>
              <a:ext uri="{FF2B5EF4-FFF2-40B4-BE49-F238E27FC236}">
                <a16:creationId xmlns:a16="http://schemas.microsoft.com/office/drawing/2014/main" id="{00000000-0008-0000-0900-00006C000000}"/>
              </a:ext>
            </a:extLst>
          </xdr:cNvPr>
          <xdr:cNvSpPr/>
        </xdr:nvSpPr>
        <xdr:spPr>
          <a:xfrm>
            <a:off x="0" y="3104387"/>
            <a:ext cx="7486015" cy="1239520"/>
          </a:xfrm>
          <a:custGeom>
            <a:avLst/>
            <a:gdLst/>
            <a:ahLst/>
            <a:cxnLst/>
            <a:rect l="0" t="0" r="0" b="0"/>
            <a:pathLst>
              <a:path w="7486015" h="1239520">
                <a:moveTo>
                  <a:pt x="312420" y="0"/>
                </a:moveTo>
                <a:lnTo>
                  <a:pt x="0" y="0"/>
                </a:lnTo>
                <a:lnTo>
                  <a:pt x="0" y="1239012"/>
                </a:lnTo>
                <a:lnTo>
                  <a:pt x="312420" y="1239012"/>
                </a:lnTo>
                <a:lnTo>
                  <a:pt x="312420" y="0"/>
                </a:lnTo>
                <a:close/>
              </a:path>
              <a:path w="7486015" h="1239520">
                <a:moveTo>
                  <a:pt x="1264920" y="0"/>
                </a:moveTo>
                <a:lnTo>
                  <a:pt x="315468" y="0"/>
                </a:lnTo>
                <a:lnTo>
                  <a:pt x="315468" y="1239012"/>
                </a:lnTo>
                <a:lnTo>
                  <a:pt x="1264920" y="1239012"/>
                </a:lnTo>
                <a:lnTo>
                  <a:pt x="1264920" y="0"/>
                </a:lnTo>
                <a:close/>
              </a:path>
              <a:path w="7486015" h="1239520">
                <a:moveTo>
                  <a:pt x="2531364" y="0"/>
                </a:moveTo>
                <a:lnTo>
                  <a:pt x="1267968" y="0"/>
                </a:lnTo>
                <a:lnTo>
                  <a:pt x="1267968" y="1239012"/>
                </a:lnTo>
                <a:lnTo>
                  <a:pt x="2531364" y="1239012"/>
                </a:lnTo>
                <a:lnTo>
                  <a:pt x="2531364" y="0"/>
                </a:lnTo>
                <a:close/>
              </a:path>
              <a:path w="7486015" h="1239520">
                <a:moveTo>
                  <a:pt x="3037332" y="1034796"/>
                </a:moveTo>
                <a:lnTo>
                  <a:pt x="2534412" y="1034796"/>
                </a:lnTo>
                <a:lnTo>
                  <a:pt x="2534412" y="1239012"/>
                </a:lnTo>
                <a:lnTo>
                  <a:pt x="3037332" y="1239012"/>
                </a:lnTo>
                <a:lnTo>
                  <a:pt x="3037332" y="1034796"/>
                </a:lnTo>
                <a:close/>
              </a:path>
              <a:path w="7486015" h="1239520">
                <a:moveTo>
                  <a:pt x="3674364" y="1034796"/>
                </a:moveTo>
                <a:lnTo>
                  <a:pt x="3040380" y="1034796"/>
                </a:lnTo>
                <a:lnTo>
                  <a:pt x="3040380" y="1239012"/>
                </a:lnTo>
                <a:lnTo>
                  <a:pt x="3674364" y="1239012"/>
                </a:lnTo>
                <a:lnTo>
                  <a:pt x="3674364" y="1034796"/>
                </a:lnTo>
                <a:close/>
              </a:path>
              <a:path w="7486015" h="1239520">
                <a:moveTo>
                  <a:pt x="3674364" y="827532"/>
                </a:moveTo>
                <a:lnTo>
                  <a:pt x="3040380" y="827532"/>
                </a:lnTo>
                <a:lnTo>
                  <a:pt x="3040380" y="1031748"/>
                </a:lnTo>
                <a:lnTo>
                  <a:pt x="3674364" y="1031748"/>
                </a:lnTo>
                <a:lnTo>
                  <a:pt x="3674364" y="827532"/>
                </a:lnTo>
                <a:close/>
              </a:path>
              <a:path w="7486015" h="1239520">
                <a:moveTo>
                  <a:pt x="4437888" y="1034796"/>
                </a:moveTo>
                <a:lnTo>
                  <a:pt x="3677412" y="1034796"/>
                </a:lnTo>
                <a:lnTo>
                  <a:pt x="3677412" y="1239012"/>
                </a:lnTo>
                <a:lnTo>
                  <a:pt x="4437888" y="1239012"/>
                </a:lnTo>
                <a:lnTo>
                  <a:pt x="4437888" y="1034796"/>
                </a:lnTo>
                <a:close/>
              </a:path>
              <a:path w="7486015" h="1239520">
                <a:moveTo>
                  <a:pt x="4437888" y="827532"/>
                </a:moveTo>
                <a:lnTo>
                  <a:pt x="3677412" y="827532"/>
                </a:lnTo>
                <a:lnTo>
                  <a:pt x="3677412" y="1031748"/>
                </a:lnTo>
                <a:lnTo>
                  <a:pt x="4437888" y="1031748"/>
                </a:lnTo>
                <a:lnTo>
                  <a:pt x="4437888" y="827532"/>
                </a:lnTo>
                <a:close/>
              </a:path>
              <a:path w="7486015" h="1239520">
                <a:moveTo>
                  <a:pt x="5199888" y="1034796"/>
                </a:moveTo>
                <a:lnTo>
                  <a:pt x="4440936" y="1034796"/>
                </a:lnTo>
                <a:lnTo>
                  <a:pt x="4440936" y="1239012"/>
                </a:lnTo>
                <a:lnTo>
                  <a:pt x="5199888" y="1239012"/>
                </a:lnTo>
                <a:lnTo>
                  <a:pt x="5199888" y="1034796"/>
                </a:lnTo>
                <a:close/>
              </a:path>
              <a:path w="7486015" h="1239520">
                <a:moveTo>
                  <a:pt x="5199888" y="827532"/>
                </a:moveTo>
                <a:lnTo>
                  <a:pt x="4440936" y="827532"/>
                </a:lnTo>
                <a:lnTo>
                  <a:pt x="4440936" y="1031748"/>
                </a:lnTo>
                <a:lnTo>
                  <a:pt x="5199888" y="1031748"/>
                </a:lnTo>
                <a:lnTo>
                  <a:pt x="5199888" y="827532"/>
                </a:lnTo>
                <a:close/>
              </a:path>
              <a:path w="7486015" h="1239520">
                <a:moveTo>
                  <a:pt x="5961875" y="1034796"/>
                </a:moveTo>
                <a:lnTo>
                  <a:pt x="5202936" y="1034796"/>
                </a:lnTo>
                <a:lnTo>
                  <a:pt x="5202936" y="1239012"/>
                </a:lnTo>
                <a:lnTo>
                  <a:pt x="5961875" y="1239012"/>
                </a:lnTo>
                <a:lnTo>
                  <a:pt x="5961875" y="1034796"/>
                </a:lnTo>
                <a:close/>
              </a:path>
              <a:path w="7486015" h="1239520">
                <a:moveTo>
                  <a:pt x="5961875" y="827532"/>
                </a:moveTo>
                <a:lnTo>
                  <a:pt x="5202936" y="827532"/>
                </a:lnTo>
                <a:lnTo>
                  <a:pt x="5202936" y="1031748"/>
                </a:lnTo>
                <a:lnTo>
                  <a:pt x="5961875" y="1031748"/>
                </a:lnTo>
                <a:lnTo>
                  <a:pt x="5961875" y="827532"/>
                </a:lnTo>
                <a:close/>
              </a:path>
              <a:path w="7486015" h="1239520">
                <a:moveTo>
                  <a:pt x="6723888" y="1034796"/>
                </a:moveTo>
                <a:lnTo>
                  <a:pt x="5964936" y="1034796"/>
                </a:lnTo>
                <a:lnTo>
                  <a:pt x="5964936" y="1239012"/>
                </a:lnTo>
                <a:lnTo>
                  <a:pt x="6723888" y="1239012"/>
                </a:lnTo>
                <a:lnTo>
                  <a:pt x="6723888" y="1034796"/>
                </a:lnTo>
                <a:close/>
              </a:path>
              <a:path w="7486015" h="1239520">
                <a:moveTo>
                  <a:pt x="6723888" y="827532"/>
                </a:moveTo>
                <a:lnTo>
                  <a:pt x="5964936" y="827532"/>
                </a:lnTo>
                <a:lnTo>
                  <a:pt x="5964936" y="1031748"/>
                </a:lnTo>
                <a:lnTo>
                  <a:pt x="6723888" y="1031748"/>
                </a:lnTo>
                <a:lnTo>
                  <a:pt x="6723888" y="827532"/>
                </a:lnTo>
                <a:close/>
              </a:path>
              <a:path w="7486015" h="1239520">
                <a:moveTo>
                  <a:pt x="7485888" y="1034796"/>
                </a:moveTo>
                <a:lnTo>
                  <a:pt x="6726936" y="1034796"/>
                </a:lnTo>
                <a:lnTo>
                  <a:pt x="6726936" y="1239012"/>
                </a:lnTo>
                <a:lnTo>
                  <a:pt x="7485888" y="1239012"/>
                </a:lnTo>
                <a:lnTo>
                  <a:pt x="7485888" y="1034796"/>
                </a:lnTo>
                <a:close/>
              </a:path>
              <a:path w="7486015" h="1239520">
                <a:moveTo>
                  <a:pt x="7485888" y="827532"/>
                </a:moveTo>
                <a:lnTo>
                  <a:pt x="6726936" y="827532"/>
                </a:lnTo>
                <a:lnTo>
                  <a:pt x="6726936" y="1031748"/>
                </a:lnTo>
                <a:lnTo>
                  <a:pt x="7485888" y="1031748"/>
                </a:lnTo>
                <a:lnTo>
                  <a:pt x="7485888" y="827532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11</xdr:col>
      <xdr:colOff>546481</xdr:colOff>
      <xdr:row>27</xdr:row>
      <xdr:rowOff>0</xdr:rowOff>
    </xdr:from>
    <xdr:ext cx="645160" cy="4343400"/>
    <xdr:sp macro="" textlink="">
      <xdr:nvSpPr>
        <xdr:cNvPr id="109" name="Shape 109">
          <a:extLst>
            <a:ext uri="{FF2B5EF4-FFF2-40B4-BE49-F238E27FC236}">
              <a16:creationId xmlns:a16="http://schemas.microsoft.com/office/drawing/2014/main" id="{00000000-0008-0000-0900-00006D000000}"/>
            </a:ext>
          </a:extLst>
        </xdr:cNvPr>
        <xdr:cNvSpPr/>
      </xdr:nvSpPr>
      <xdr:spPr>
        <a:xfrm>
          <a:off x="0" y="0"/>
          <a:ext cx="645160" cy="4343400"/>
        </a:xfrm>
        <a:custGeom>
          <a:avLst/>
          <a:gdLst/>
          <a:ahLst/>
          <a:cxnLst/>
          <a:rect l="0" t="0" r="0" b="0"/>
          <a:pathLst>
            <a:path w="645160" h="4343400">
              <a:moveTo>
                <a:pt x="644652" y="4139184"/>
              </a:moveTo>
              <a:lnTo>
                <a:pt x="0" y="4139184"/>
              </a:lnTo>
              <a:lnTo>
                <a:pt x="0" y="4343400"/>
              </a:lnTo>
              <a:lnTo>
                <a:pt x="644652" y="4343400"/>
              </a:lnTo>
              <a:lnTo>
                <a:pt x="644652" y="4139184"/>
              </a:lnTo>
              <a:close/>
            </a:path>
            <a:path w="645160" h="4343400">
              <a:moveTo>
                <a:pt x="644652" y="3931920"/>
              </a:moveTo>
              <a:lnTo>
                <a:pt x="0" y="3931920"/>
              </a:lnTo>
              <a:lnTo>
                <a:pt x="0" y="4136136"/>
              </a:lnTo>
              <a:lnTo>
                <a:pt x="644652" y="4136136"/>
              </a:lnTo>
              <a:lnTo>
                <a:pt x="644652" y="3931920"/>
              </a:lnTo>
              <a:close/>
            </a:path>
            <a:path w="645160" h="4343400">
              <a:moveTo>
                <a:pt x="644652" y="3724656"/>
              </a:moveTo>
              <a:lnTo>
                <a:pt x="0" y="3724656"/>
              </a:lnTo>
              <a:lnTo>
                <a:pt x="0" y="3928872"/>
              </a:lnTo>
              <a:lnTo>
                <a:pt x="644652" y="3928872"/>
              </a:lnTo>
              <a:lnTo>
                <a:pt x="644652" y="3724656"/>
              </a:lnTo>
              <a:close/>
            </a:path>
            <a:path w="645160" h="4343400">
              <a:moveTo>
                <a:pt x="644652" y="3517392"/>
              </a:moveTo>
              <a:lnTo>
                <a:pt x="0" y="3517392"/>
              </a:lnTo>
              <a:lnTo>
                <a:pt x="0" y="3721608"/>
              </a:lnTo>
              <a:lnTo>
                <a:pt x="644652" y="3721608"/>
              </a:lnTo>
              <a:lnTo>
                <a:pt x="644652" y="3517392"/>
              </a:lnTo>
              <a:close/>
            </a:path>
            <a:path w="645160" h="4343400">
              <a:moveTo>
                <a:pt x="644652" y="3311652"/>
              </a:moveTo>
              <a:lnTo>
                <a:pt x="0" y="3311652"/>
              </a:lnTo>
              <a:lnTo>
                <a:pt x="0" y="3514344"/>
              </a:lnTo>
              <a:lnTo>
                <a:pt x="644652" y="3514344"/>
              </a:lnTo>
              <a:lnTo>
                <a:pt x="644652" y="3311652"/>
              </a:lnTo>
              <a:close/>
            </a:path>
            <a:path w="645160" h="4343400">
              <a:moveTo>
                <a:pt x="644652" y="3104388"/>
              </a:moveTo>
              <a:lnTo>
                <a:pt x="0" y="3104388"/>
              </a:lnTo>
              <a:lnTo>
                <a:pt x="0" y="3308604"/>
              </a:lnTo>
              <a:lnTo>
                <a:pt x="644652" y="3308604"/>
              </a:lnTo>
              <a:lnTo>
                <a:pt x="644652" y="3104388"/>
              </a:lnTo>
              <a:close/>
            </a:path>
            <a:path w="645160" h="4343400">
              <a:moveTo>
                <a:pt x="644652" y="2897124"/>
              </a:moveTo>
              <a:lnTo>
                <a:pt x="0" y="2897124"/>
              </a:lnTo>
              <a:lnTo>
                <a:pt x="0" y="3101340"/>
              </a:lnTo>
              <a:lnTo>
                <a:pt x="644652" y="3101340"/>
              </a:lnTo>
              <a:lnTo>
                <a:pt x="644652" y="2897124"/>
              </a:lnTo>
              <a:close/>
            </a:path>
            <a:path w="645160" h="4343400">
              <a:moveTo>
                <a:pt x="644652" y="2689860"/>
              </a:moveTo>
              <a:lnTo>
                <a:pt x="0" y="2689860"/>
              </a:lnTo>
              <a:lnTo>
                <a:pt x="0" y="2894076"/>
              </a:lnTo>
              <a:lnTo>
                <a:pt x="644652" y="2894076"/>
              </a:lnTo>
              <a:lnTo>
                <a:pt x="644652" y="2689860"/>
              </a:lnTo>
              <a:close/>
            </a:path>
            <a:path w="645160" h="4343400">
              <a:moveTo>
                <a:pt x="644652" y="2482596"/>
              </a:moveTo>
              <a:lnTo>
                <a:pt x="0" y="2482596"/>
              </a:lnTo>
              <a:lnTo>
                <a:pt x="0" y="2686812"/>
              </a:lnTo>
              <a:lnTo>
                <a:pt x="644652" y="2686812"/>
              </a:lnTo>
              <a:lnTo>
                <a:pt x="644652" y="2482596"/>
              </a:lnTo>
              <a:close/>
            </a:path>
            <a:path w="645160" h="4343400">
              <a:moveTo>
                <a:pt x="644652" y="2276856"/>
              </a:moveTo>
              <a:lnTo>
                <a:pt x="0" y="2276856"/>
              </a:lnTo>
              <a:lnTo>
                <a:pt x="0" y="2479548"/>
              </a:lnTo>
              <a:lnTo>
                <a:pt x="644652" y="2479548"/>
              </a:lnTo>
              <a:lnTo>
                <a:pt x="644652" y="2276856"/>
              </a:lnTo>
              <a:close/>
            </a:path>
            <a:path w="645160" h="4343400">
              <a:moveTo>
                <a:pt x="644652" y="2069592"/>
              </a:moveTo>
              <a:lnTo>
                <a:pt x="0" y="2069592"/>
              </a:lnTo>
              <a:lnTo>
                <a:pt x="0" y="2273808"/>
              </a:lnTo>
              <a:lnTo>
                <a:pt x="644652" y="2273808"/>
              </a:lnTo>
              <a:lnTo>
                <a:pt x="644652" y="2069592"/>
              </a:lnTo>
              <a:close/>
            </a:path>
            <a:path w="645160" h="4343400">
              <a:moveTo>
                <a:pt x="644652" y="1862328"/>
              </a:moveTo>
              <a:lnTo>
                <a:pt x="0" y="1862328"/>
              </a:lnTo>
              <a:lnTo>
                <a:pt x="0" y="2066544"/>
              </a:lnTo>
              <a:lnTo>
                <a:pt x="644652" y="2066544"/>
              </a:lnTo>
              <a:lnTo>
                <a:pt x="644652" y="1862328"/>
              </a:lnTo>
              <a:close/>
            </a:path>
            <a:path w="645160" h="4343400">
              <a:moveTo>
                <a:pt x="644652" y="1655064"/>
              </a:moveTo>
              <a:lnTo>
                <a:pt x="0" y="1655064"/>
              </a:lnTo>
              <a:lnTo>
                <a:pt x="0" y="1859280"/>
              </a:lnTo>
              <a:lnTo>
                <a:pt x="644652" y="1859280"/>
              </a:lnTo>
              <a:lnTo>
                <a:pt x="644652" y="1655064"/>
              </a:lnTo>
              <a:close/>
            </a:path>
            <a:path w="645160" h="4343400">
              <a:moveTo>
                <a:pt x="644652" y="1449324"/>
              </a:moveTo>
              <a:lnTo>
                <a:pt x="0" y="1449324"/>
              </a:lnTo>
              <a:lnTo>
                <a:pt x="0" y="1652016"/>
              </a:lnTo>
              <a:lnTo>
                <a:pt x="644652" y="1652016"/>
              </a:lnTo>
              <a:lnTo>
                <a:pt x="644652" y="1449324"/>
              </a:lnTo>
              <a:close/>
            </a:path>
            <a:path w="645160" h="4343400">
              <a:moveTo>
                <a:pt x="644652" y="1242060"/>
              </a:moveTo>
              <a:lnTo>
                <a:pt x="0" y="1242060"/>
              </a:lnTo>
              <a:lnTo>
                <a:pt x="0" y="1446276"/>
              </a:lnTo>
              <a:lnTo>
                <a:pt x="644652" y="1446276"/>
              </a:lnTo>
              <a:lnTo>
                <a:pt x="644652" y="1242060"/>
              </a:lnTo>
              <a:close/>
            </a:path>
            <a:path w="645160" h="4343400">
              <a:moveTo>
                <a:pt x="644652" y="1034796"/>
              </a:moveTo>
              <a:lnTo>
                <a:pt x="0" y="1034796"/>
              </a:lnTo>
              <a:lnTo>
                <a:pt x="0" y="1239012"/>
              </a:lnTo>
              <a:lnTo>
                <a:pt x="644652" y="1239012"/>
              </a:lnTo>
              <a:lnTo>
                <a:pt x="644652" y="1034796"/>
              </a:lnTo>
              <a:close/>
            </a:path>
            <a:path w="645160" h="4343400">
              <a:moveTo>
                <a:pt x="644652" y="827532"/>
              </a:moveTo>
              <a:lnTo>
                <a:pt x="0" y="827532"/>
              </a:lnTo>
              <a:lnTo>
                <a:pt x="0" y="1031748"/>
              </a:lnTo>
              <a:lnTo>
                <a:pt x="644652" y="1031748"/>
              </a:lnTo>
              <a:lnTo>
                <a:pt x="644652" y="827532"/>
              </a:lnTo>
              <a:close/>
            </a:path>
            <a:path w="645160" h="4343400">
              <a:moveTo>
                <a:pt x="644652" y="621792"/>
              </a:moveTo>
              <a:lnTo>
                <a:pt x="0" y="621792"/>
              </a:lnTo>
              <a:lnTo>
                <a:pt x="0" y="824484"/>
              </a:lnTo>
              <a:lnTo>
                <a:pt x="644652" y="824484"/>
              </a:lnTo>
              <a:lnTo>
                <a:pt x="644652" y="621792"/>
              </a:lnTo>
              <a:close/>
            </a:path>
            <a:path w="645160" h="4343400">
              <a:moveTo>
                <a:pt x="644652" y="414528"/>
              </a:moveTo>
              <a:lnTo>
                <a:pt x="0" y="414528"/>
              </a:lnTo>
              <a:lnTo>
                <a:pt x="0" y="618744"/>
              </a:lnTo>
              <a:lnTo>
                <a:pt x="644652" y="618744"/>
              </a:lnTo>
              <a:lnTo>
                <a:pt x="644652" y="414528"/>
              </a:lnTo>
              <a:close/>
            </a:path>
            <a:path w="645160" h="4343400">
              <a:moveTo>
                <a:pt x="644652" y="207264"/>
              </a:moveTo>
              <a:lnTo>
                <a:pt x="0" y="207264"/>
              </a:lnTo>
              <a:lnTo>
                <a:pt x="0" y="411480"/>
              </a:lnTo>
              <a:lnTo>
                <a:pt x="644652" y="411480"/>
              </a:lnTo>
              <a:lnTo>
                <a:pt x="644652" y="207264"/>
              </a:lnTo>
              <a:close/>
            </a:path>
            <a:path w="645160" h="4343400">
              <a:moveTo>
                <a:pt x="644652" y="0"/>
              </a:moveTo>
              <a:lnTo>
                <a:pt x="0" y="0"/>
              </a:lnTo>
              <a:lnTo>
                <a:pt x="0" y="204216"/>
              </a:lnTo>
              <a:lnTo>
                <a:pt x="644652" y="204216"/>
              </a:lnTo>
              <a:lnTo>
                <a:pt x="644652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543687</xdr:colOff>
      <xdr:row>19</xdr:row>
      <xdr:rowOff>204977</xdr:rowOff>
    </xdr:from>
    <xdr:ext cx="3808729" cy="480059"/>
    <xdr:sp macro="" textlink="">
      <xdr:nvSpPr>
        <xdr:cNvPr id="110" name="Shape 110">
          <a:extLst>
            <a:ext uri="{FF2B5EF4-FFF2-40B4-BE49-F238E27FC236}">
              <a16:creationId xmlns:a16="http://schemas.microsoft.com/office/drawing/2014/main" id="{00000000-0008-0000-0A00-00006E000000}"/>
            </a:ext>
          </a:extLst>
        </xdr:cNvPr>
        <xdr:cNvSpPr/>
      </xdr:nvSpPr>
      <xdr:spPr>
        <a:xfrm>
          <a:off x="0" y="0"/>
          <a:ext cx="3808729" cy="480059"/>
        </a:xfrm>
        <a:custGeom>
          <a:avLst/>
          <a:gdLst/>
          <a:ahLst/>
          <a:cxnLst/>
          <a:rect l="0" t="0" r="0" b="0"/>
          <a:pathLst>
            <a:path w="3808729" h="480059">
              <a:moveTo>
                <a:pt x="760476" y="0"/>
              </a:moveTo>
              <a:lnTo>
                <a:pt x="0" y="0"/>
              </a:lnTo>
              <a:lnTo>
                <a:pt x="0" y="480060"/>
              </a:lnTo>
              <a:lnTo>
                <a:pt x="760476" y="480060"/>
              </a:lnTo>
              <a:lnTo>
                <a:pt x="760476" y="0"/>
              </a:lnTo>
              <a:close/>
            </a:path>
            <a:path w="3808729" h="480059">
              <a:moveTo>
                <a:pt x="1522476" y="0"/>
              </a:moveTo>
              <a:lnTo>
                <a:pt x="763524" y="0"/>
              </a:lnTo>
              <a:lnTo>
                <a:pt x="763524" y="480060"/>
              </a:lnTo>
              <a:lnTo>
                <a:pt x="1522476" y="480060"/>
              </a:lnTo>
              <a:lnTo>
                <a:pt x="1522476" y="0"/>
              </a:lnTo>
              <a:close/>
            </a:path>
            <a:path w="3808729" h="480059">
              <a:moveTo>
                <a:pt x="2284463" y="0"/>
              </a:moveTo>
              <a:lnTo>
                <a:pt x="1525524" y="0"/>
              </a:lnTo>
              <a:lnTo>
                <a:pt x="1525524" y="480060"/>
              </a:lnTo>
              <a:lnTo>
                <a:pt x="2284463" y="480060"/>
              </a:lnTo>
              <a:lnTo>
                <a:pt x="2284463" y="0"/>
              </a:lnTo>
              <a:close/>
            </a:path>
            <a:path w="3808729" h="480059">
              <a:moveTo>
                <a:pt x="3046476" y="0"/>
              </a:moveTo>
              <a:lnTo>
                <a:pt x="2287524" y="0"/>
              </a:lnTo>
              <a:lnTo>
                <a:pt x="2287524" y="480060"/>
              </a:lnTo>
              <a:lnTo>
                <a:pt x="3046476" y="480060"/>
              </a:lnTo>
              <a:lnTo>
                <a:pt x="3046476" y="0"/>
              </a:lnTo>
              <a:close/>
            </a:path>
            <a:path w="3808729" h="480059">
              <a:moveTo>
                <a:pt x="3808476" y="0"/>
              </a:moveTo>
              <a:lnTo>
                <a:pt x="3049524" y="0"/>
              </a:lnTo>
              <a:lnTo>
                <a:pt x="3049524" y="480060"/>
              </a:lnTo>
              <a:lnTo>
                <a:pt x="3808476" y="480060"/>
              </a:lnTo>
              <a:lnTo>
                <a:pt x="3808476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5</xdr:col>
      <xdr:colOff>202691</xdr:colOff>
      <xdr:row>3</xdr:row>
      <xdr:rowOff>49142</xdr:rowOff>
    </xdr:from>
    <xdr:ext cx="381000" cy="290285"/>
    <xdr:pic>
      <xdr:nvPicPr>
        <xdr:cNvPr id="111" name="image1.jpeg">
          <a:extLst>
            <a:ext uri="{FF2B5EF4-FFF2-40B4-BE49-F238E27FC236}">
              <a16:creationId xmlns:a16="http://schemas.microsoft.com/office/drawing/2014/main" id="{00000000-0008-0000-0A00-00006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290285"/>
        </a:xfrm>
        <a:prstGeom prst="rect">
          <a:avLst/>
        </a:prstGeom>
      </xdr:spPr>
    </xdr:pic>
    <xdr:clientData/>
  </xdr:oneCellAnchor>
  <xdr:oneCellAnchor>
    <xdr:from>
      <xdr:col>6</xdr:col>
      <xdr:colOff>201929</xdr:colOff>
      <xdr:row>3</xdr:row>
      <xdr:rowOff>761</xdr:rowOff>
    </xdr:from>
    <xdr:ext cx="338666" cy="381000"/>
    <xdr:pic>
      <xdr:nvPicPr>
        <xdr:cNvPr id="112" name="image2.jpeg">
          <a:extLst>
            <a:ext uri="{FF2B5EF4-FFF2-40B4-BE49-F238E27FC236}">
              <a16:creationId xmlns:a16="http://schemas.microsoft.com/office/drawing/2014/main" id="{00000000-0008-0000-0A00-00007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38666" cy="381000"/>
        </a:xfrm>
        <a:prstGeom prst="rect">
          <a:avLst/>
        </a:prstGeom>
      </xdr:spPr>
    </xdr:pic>
    <xdr:clientData/>
  </xdr:oneCellAnchor>
  <xdr:oneCellAnchor>
    <xdr:from>
      <xdr:col>7</xdr:col>
      <xdr:colOff>201930</xdr:colOff>
      <xdr:row>3</xdr:row>
      <xdr:rowOff>49142</xdr:rowOff>
    </xdr:from>
    <xdr:ext cx="381000" cy="290285"/>
    <xdr:pic>
      <xdr:nvPicPr>
        <xdr:cNvPr id="113" name="image3.jpeg">
          <a:extLst>
            <a:ext uri="{FF2B5EF4-FFF2-40B4-BE49-F238E27FC236}">
              <a16:creationId xmlns:a16="http://schemas.microsoft.com/office/drawing/2014/main" id="{00000000-0008-0000-0A00-00007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290285"/>
        </a:xfrm>
        <a:prstGeom prst="rect">
          <a:avLst/>
        </a:prstGeom>
      </xdr:spPr>
    </xdr:pic>
    <xdr:clientData/>
  </xdr:oneCellAnchor>
  <xdr:oneCellAnchor>
    <xdr:from>
      <xdr:col>8</xdr:col>
      <xdr:colOff>298691</xdr:colOff>
      <xdr:row>3</xdr:row>
      <xdr:rowOff>49142</xdr:rowOff>
    </xdr:from>
    <xdr:ext cx="193523" cy="290285"/>
    <xdr:pic>
      <xdr:nvPicPr>
        <xdr:cNvPr id="114" name="image4.jpeg">
          <a:extLst>
            <a:ext uri="{FF2B5EF4-FFF2-40B4-BE49-F238E27FC236}">
              <a16:creationId xmlns:a16="http://schemas.microsoft.com/office/drawing/2014/main" id="{00000000-0008-0000-0A00-00007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3523" cy="290285"/>
        </a:xfrm>
        <a:prstGeom prst="rect">
          <a:avLst/>
        </a:prstGeom>
      </xdr:spPr>
    </xdr:pic>
    <xdr:clientData/>
  </xdr:oneCellAnchor>
  <xdr:oneCellAnchor>
    <xdr:from>
      <xdr:col>9</xdr:col>
      <xdr:colOff>201929</xdr:colOff>
      <xdr:row>3</xdr:row>
      <xdr:rowOff>761</xdr:rowOff>
    </xdr:from>
    <xdr:ext cx="381000" cy="381000"/>
    <xdr:pic>
      <xdr:nvPicPr>
        <xdr:cNvPr id="115" name="image5.jpeg">
          <a:extLst>
            <a:ext uri="{FF2B5EF4-FFF2-40B4-BE49-F238E27FC236}">
              <a16:creationId xmlns:a16="http://schemas.microsoft.com/office/drawing/2014/main" id="{00000000-0008-0000-0A00-00007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381000"/>
        </a:xfrm>
        <a:prstGeom prst="rect">
          <a:avLst/>
        </a:prstGeom>
      </xdr:spPr>
    </xdr:pic>
    <xdr:clientData/>
  </xdr:oneCellAnchor>
  <xdr:oneCellAnchor>
    <xdr:from>
      <xdr:col>1</xdr:col>
      <xdr:colOff>226059</xdr:colOff>
      <xdr:row>21</xdr:row>
      <xdr:rowOff>0</xdr:rowOff>
    </xdr:from>
    <xdr:ext cx="7486015" cy="3308985"/>
    <xdr:grpSp>
      <xdr:nvGrpSpPr>
        <xdr:cNvPr id="116" name="Group 116">
          <a:extLst>
            <a:ext uri="{FF2B5EF4-FFF2-40B4-BE49-F238E27FC236}">
              <a16:creationId xmlns:a16="http://schemas.microsoft.com/office/drawing/2014/main" id="{00000000-0008-0000-0A00-000074000000}"/>
            </a:ext>
          </a:extLst>
        </xdr:cNvPr>
        <xdr:cNvGrpSpPr/>
      </xdr:nvGrpSpPr>
      <xdr:grpSpPr>
        <a:xfrm>
          <a:off x="607059" y="5402580"/>
          <a:ext cx="7486015" cy="3308985"/>
          <a:chOff x="0" y="0"/>
          <a:chExt cx="7486015" cy="3308985"/>
        </a:xfrm>
      </xdr:grpSpPr>
      <xdr:sp macro="" textlink="">
        <xdr:nvSpPr>
          <xdr:cNvPr id="117" name="Shape 117">
            <a:extLst>
              <a:ext uri="{FF2B5EF4-FFF2-40B4-BE49-F238E27FC236}">
                <a16:creationId xmlns:a16="http://schemas.microsoft.com/office/drawing/2014/main" id="{00000000-0008-0000-0A00-000075000000}"/>
              </a:ext>
            </a:extLst>
          </xdr:cNvPr>
          <xdr:cNvSpPr/>
        </xdr:nvSpPr>
        <xdr:spPr>
          <a:xfrm>
            <a:off x="0" y="0"/>
            <a:ext cx="7486015" cy="2066925"/>
          </a:xfrm>
          <a:custGeom>
            <a:avLst/>
            <a:gdLst/>
            <a:ahLst/>
            <a:cxnLst/>
            <a:rect l="0" t="0" r="0" b="0"/>
            <a:pathLst>
              <a:path w="7486015" h="2066925">
                <a:moveTo>
                  <a:pt x="312420" y="0"/>
                </a:moveTo>
                <a:lnTo>
                  <a:pt x="0" y="0"/>
                </a:lnTo>
                <a:lnTo>
                  <a:pt x="0" y="1652016"/>
                </a:lnTo>
                <a:lnTo>
                  <a:pt x="312420" y="1652016"/>
                </a:lnTo>
                <a:lnTo>
                  <a:pt x="312420" y="0"/>
                </a:lnTo>
                <a:close/>
              </a:path>
              <a:path w="7486015" h="2066925">
                <a:moveTo>
                  <a:pt x="1264920" y="0"/>
                </a:moveTo>
                <a:lnTo>
                  <a:pt x="315468" y="0"/>
                </a:lnTo>
                <a:lnTo>
                  <a:pt x="315468" y="1652016"/>
                </a:lnTo>
                <a:lnTo>
                  <a:pt x="1264920" y="1652016"/>
                </a:lnTo>
                <a:lnTo>
                  <a:pt x="1264920" y="0"/>
                </a:lnTo>
                <a:close/>
              </a:path>
              <a:path w="7486015" h="2066925">
                <a:moveTo>
                  <a:pt x="2531364" y="0"/>
                </a:moveTo>
                <a:lnTo>
                  <a:pt x="1267968" y="0"/>
                </a:lnTo>
                <a:lnTo>
                  <a:pt x="1267968" y="1652016"/>
                </a:lnTo>
                <a:lnTo>
                  <a:pt x="2531364" y="1652016"/>
                </a:lnTo>
                <a:lnTo>
                  <a:pt x="2531364" y="0"/>
                </a:lnTo>
                <a:close/>
              </a:path>
              <a:path w="7486015" h="2066925">
                <a:moveTo>
                  <a:pt x="3037332" y="1862328"/>
                </a:moveTo>
                <a:lnTo>
                  <a:pt x="2534412" y="1862328"/>
                </a:lnTo>
                <a:lnTo>
                  <a:pt x="2534412" y="2066544"/>
                </a:lnTo>
                <a:lnTo>
                  <a:pt x="3037332" y="2066544"/>
                </a:lnTo>
                <a:lnTo>
                  <a:pt x="3037332" y="1862328"/>
                </a:lnTo>
                <a:close/>
              </a:path>
              <a:path w="7486015" h="2066925">
                <a:moveTo>
                  <a:pt x="3037332" y="1655064"/>
                </a:moveTo>
                <a:lnTo>
                  <a:pt x="2534412" y="1655064"/>
                </a:lnTo>
                <a:lnTo>
                  <a:pt x="2534412" y="1859280"/>
                </a:lnTo>
                <a:lnTo>
                  <a:pt x="3037332" y="1859280"/>
                </a:lnTo>
                <a:lnTo>
                  <a:pt x="3037332" y="1655064"/>
                </a:lnTo>
                <a:close/>
              </a:path>
              <a:path w="7486015" h="2066925">
                <a:moveTo>
                  <a:pt x="3037332" y="1449324"/>
                </a:moveTo>
                <a:lnTo>
                  <a:pt x="2534412" y="1449324"/>
                </a:lnTo>
                <a:lnTo>
                  <a:pt x="2534412" y="1652016"/>
                </a:lnTo>
                <a:lnTo>
                  <a:pt x="3037332" y="1652016"/>
                </a:lnTo>
                <a:lnTo>
                  <a:pt x="3037332" y="1449324"/>
                </a:lnTo>
                <a:close/>
              </a:path>
              <a:path w="7486015" h="2066925">
                <a:moveTo>
                  <a:pt x="3037332" y="1242060"/>
                </a:moveTo>
                <a:lnTo>
                  <a:pt x="2534412" y="1242060"/>
                </a:lnTo>
                <a:lnTo>
                  <a:pt x="2534412" y="1446276"/>
                </a:lnTo>
                <a:lnTo>
                  <a:pt x="3037332" y="1446276"/>
                </a:lnTo>
                <a:lnTo>
                  <a:pt x="3037332" y="1242060"/>
                </a:lnTo>
                <a:close/>
              </a:path>
              <a:path w="7486015" h="2066925">
                <a:moveTo>
                  <a:pt x="3037332" y="1034796"/>
                </a:moveTo>
                <a:lnTo>
                  <a:pt x="2534412" y="1034796"/>
                </a:lnTo>
                <a:lnTo>
                  <a:pt x="2534412" y="1239012"/>
                </a:lnTo>
                <a:lnTo>
                  <a:pt x="3037332" y="1239012"/>
                </a:lnTo>
                <a:lnTo>
                  <a:pt x="3037332" y="1034796"/>
                </a:lnTo>
                <a:close/>
              </a:path>
              <a:path w="7486015" h="2066925">
                <a:moveTo>
                  <a:pt x="3037332" y="827532"/>
                </a:moveTo>
                <a:lnTo>
                  <a:pt x="2534412" y="827532"/>
                </a:lnTo>
                <a:lnTo>
                  <a:pt x="2534412" y="1031748"/>
                </a:lnTo>
                <a:lnTo>
                  <a:pt x="3037332" y="1031748"/>
                </a:lnTo>
                <a:lnTo>
                  <a:pt x="3037332" y="827532"/>
                </a:lnTo>
                <a:close/>
              </a:path>
              <a:path w="7486015" h="2066925">
                <a:moveTo>
                  <a:pt x="3037332" y="621792"/>
                </a:moveTo>
                <a:lnTo>
                  <a:pt x="2534412" y="621792"/>
                </a:lnTo>
                <a:lnTo>
                  <a:pt x="2534412" y="824484"/>
                </a:lnTo>
                <a:lnTo>
                  <a:pt x="3037332" y="824484"/>
                </a:lnTo>
                <a:lnTo>
                  <a:pt x="3037332" y="621792"/>
                </a:lnTo>
                <a:close/>
              </a:path>
              <a:path w="7486015" h="2066925">
                <a:moveTo>
                  <a:pt x="3037332" y="414528"/>
                </a:moveTo>
                <a:lnTo>
                  <a:pt x="2534412" y="414528"/>
                </a:lnTo>
                <a:lnTo>
                  <a:pt x="2534412" y="618744"/>
                </a:lnTo>
                <a:lnTo>
                  <a:pt x="3037332" y="618744"/>
                </a:lnTo>
                <a:lnTo>
                  <a:pt x="3037332" y="414528"/>
                </a:lnTo>
                <a:close/>
              </a:path>
              <a:path w="7486015" h="2066925">
                <a:moveTo>
                  <a:pt x="3037332" y="207264"/>
                </a:moveTo>
                <a:lnTo>
                  <a:pt x="2534412" y="207264"/>
                </a:lnTo>
                <a:lnTo>
                  <a:pt x="2534412" y="411480"/>
                </a:lnTo>
                <a:lnTo>
                  <a:pt x="3037332" y="411480"/>
                </a:lnTo>
                <a:lnTo>
                  <a:pt x="3037332" y="207264"/>
                </a:lnTo>
                <a:close/>
              </a:path>
              <a:path w="7486015" h="2066925">
                <a:moveTo>
                  <a:pt x="3037332" y="0"/>
                </a:moveTo>
                <a:lnTo>
                  <a:pt x="2534412" y="0"/>
                </a:lnTo>
                <a:lnTo>
                  <a:pt x="2534412" y="204216"/>
                </a:lnTo>
                <a:lnTo>
                  <a:pt x="3037332" y="204216"/>
                </a:lnTo>
                <a:lnTo>
                  <a:pt x="3037332" y="0"/>
                </a:lnTo>
                <a:close/>
              </a:path>
              <a:path w="7486015" h="2066925">
                <a:moveTo>
                  <a:pt x="3674364" y="1862328"/>
                </a:moveTo>
                <a:lnTo>
                  <a:pt x="3040380" y="1862328"/>
                </a:lnTo>
                <a:lnTo>
                  <a:pt x="3040380" y="2066544"/>
                </a:lnTo>
                <a:lnTo>
                  <a:pt x="3674364" y="2066544"/>
                </a:lnTo>
                <a:lnTo>
                  <a:pt x="3674364" y="1862328"/>
                </a:lnTo>
                <a:close/>
              </a:path>
              <a:path w="7486015" h="2066925">
                <a:moveTo>
                  <a:pt x="3674364" y="1655064"/>
                </a:moveTo>
                <a:lnTo>
                  <a:pt x="3040380" y="1655064"/>
                </a:lnTo>
                <a:lnTo>
                  <a:pt x="3040380" y="1859280"/>
                </a:lnTo>
                <a:lnTo>
                  <a:pt x="3674364" y="1859280"/>
                </a:lnTo>
                <a:lnTo>
                  <a:pt x="3674364" y="1655064"/>
                </a:lnTo>
                <a:close/>
              </a:path>
              <a:path w="7486015" h="2066925">
                <a:moveTo>
                  <a:pt x="3674364" y="1449324"/>
                </a:moveTo>
                <a:lnTo>
                  <a:pt x="3040380" y="1449324"/>
                </a:lnTo>
                <a:lnTo>
                  <a:pt x="3040380" y="1652016"/>
                </a:lnTo>
                <a:lnTo>
                  <a:pt x="3674364" y="1652016"/>
                </a:lnTo>
                <a:lnTo>
                  <a:pt x="3674364" y="1449324"/>
                </a:lnTo>
                <a:close/>
              </a:path>
              <a:path w="7486015" h="2066925">
                <a:moveTo>
                  <a:pt x="3674364" y="1242060"/>
                </a:moveTo>
                <a:lnTo>
                  <a:pt x="3040380" y="1242060"/>
                </a:lnTo>
                <a:lnTo>
                  <a:pt x="3040380" y="1446276"/>
                </a:lnTo>
                <a:lnTo>
                  <a:pt x="3674364" y="1446276"/>
                </a:lnTo>
                <a:lnTo>
                  <a:pt x="3674364" y="1242060"/>
                </a:lnTo>
                <a:close/>
              </a:path>
              <a:path w="7486015" h="2066925">
                <a:moveTo>
                  <a:pt x="3674364" y="1034796"/>
                </a:moveTo>
                <a:lnTo>
                  <a:pt x="3040380" y="1034796"/>
                </a:lnTo>
                <a:lnTo>
                  <a:pt x="3040380" y="1239012"/>
                </a:lnTo>
                <a:lnTo>
                  <a:pt x="3674364" y="1239012"/>
                </a:lnTo>
                <a:lnTo>
                  <a:pt x="3674364" y="1034796"/>
                </a:lnTo>
                <a:close/>
              </a:path>
              <a:path w="7486015" h="2066925">
                <a:moveTo>
                  <a:pt x="3674364" y="827532"/>
                </a:moveTo>
                <a:lnTo>
                  <a:pt x="3040380" y="827532"/>
                </a:lnTo>
                <a:lnTo>
                  <a:pt x="3040380" y="1031748"/>
                </a:lnTo>
                <a:lnTo>
                  <a:pt x="3674364" y="1031748"/>
                </a:lnTo>
                <a:lnTo>
                  <a:pt x="3674364" y="827532"/>
                </a:lnTo>
                <a:close/>
              </a:path>
              <a:path w="7486015" h="2066925">
                <a:moveTo>
                  <a:pt x="3674364" y="621792"/>
                </a:moveTo>
                <a:lnTo>
                  <a:pt x="3040380" y="621792"/>
                </a:lnTo>
                <a:lnTo>
                  <a:pt x="3040380" y="824484"/>
                </a:lnTo>
                <a:lnTo>
                  <a:pt x="3674364" y="824484"/>
                </a:lnTo>
                <a:lnTo>
                  <a:pt x="3674364" y="621792"/>
                </a:lnTo>
                <a:close/>
              </a:path>
              <a:path w="7486015" h="2066925">
                <a:moveTo>
                  <a:pt x="3674364" y="414528"/>
                </a:moveTo>
                <a:lnTo>
                  <a:pt x="3040380" y="414528"/>
                </a:lnTo>
                <a:lnTo>
                  <a:pt x="3040380" y="618744"/>
                </a:lnTo>
                <a:lnTo>
                  <a:pt x="3674364" y="618744"/>
                </a:lnTo>
                <a:lnTo>
                  <a:pt x="3674364" y="414528"/>
                </a:lnTo>
                <a:close/>
              </a:path>
              <a:path w="7486015" h="2066925">
                <a:moveTo>
                  <a:pt x="3674364" y="207264"/>
                </a:moveTo>
                <a:lnTo>
                  <a:pt x="3040380" y="207264"/>
                </a:lnTo>
                <a:lnTo>
                  <a:pt x="3040380" y="411480"/>
                </a:lnTo>
                <a:lnTo>
                  <a:pt x="3674364" y="411480"/>
                </a:lnTo>
                <a:lnTo>
                  <a:pt x="3674364" y="207264"/>
                </a:lnTo>
                <a:close/>
              </a:path>
              <a:path w="7486015" h="2066925">
                <a:moveTo>
                  <a:pt x="3674364" y="0"/>
                </a:moveTo>
                <a:lnTo>
                  <a:pt x="3040380" y="0"/>
                </a:lnTo>
                <a:lnTo>
                  <a:pt x="3040380" y="204216"/>
                </a:lnTo>
                <a:lnTo>
                  <a:pt x="3674364" y="204216"/>
                </a:lnTo>
                <a:lnTo>
                  <a:pt x="3674364" y="0"/>
                </a:lnTo>
                <a:close/>
              </a:path>
              <a:path w="7486015" h="2066925">
                <a:moveTo>
                  <a:pt x="4437888" y="1862328"/>
                </a:moveTo>
                <a:lnTo>
                  <a:pt x="3677412" y="1862328"/>
                </a:lnTo>
                <a:lnTo>
                  <a:pt x="3677412" y="2066544"/>
                </a:lnTo>
                <a:lnTo>
                  <a:pt x="4437888" y="2066544"/>
                </a:lnTo>
                <a:lnTo>
                  <a:pt x="4437888" y="1862328"/>
                </a:lnTo>
                <a:close/>
              </a:path>
              <a:path w="7486015" h="2066925">
                <a:moveTo>
                  <a:pt x="4437888" y="1655064"/>
                </a:moveTo>
                <a:lnTo>
                  <a:pt x="3677412" y="1655064"/>
                </a:lnTo>
                <a:lnTo>
                  <a:pt x="3677412" y="1859280"/>
                </a:lnTo>
                <a:lnTo>
                  <a:pt x="4437888" y="1859280"/>
                </a:lnTo>
                <a:lnTo>
                  <a:pt x="4437888" y="1655064"/>
                </a:lnTo>
                <a:close/>
              </a:path>
              <a:path w="7486015" h="2066925">
                <a:moveTo>
                  <a:pt x="4437888" y="1449324"/>
                </a:moveTo>
                <a:lnTo>
                  <a:pt x="3677412" y="1449324"/>
                </a:lnTo>
                <a:lnTo>
                  <a:pt x="3677412" y="1652016"/>
                </a:lnTo>
                <a:lnTo>
                  <a:pt x="4437888" y="1652016"/>
                </a:lnTo>
                <a:lnTo>
                  <a:pt x="4437888" y="1449324"/>
                </a:lnTo>
                <a:close/>
              </a:path>
              <a:path w="7486015" h="2066925">
                <a:moveTo>
                  <a:pt x="4437888" y="1242060"/>
                </a:moveTo>
                <a:lnTo>
                  <a:pt x="3677412" y="1242060"/>
                </a:lnTo>
                <a:lnTo>
                  <a:pt x="3677412" y="1446276"/>
                </a:lnTo>
                <a:lnTo>
                  <a:pt x="4437888" y="1446276"/>
                </a:lnTo>
                <a:lnTo>
                  <a:pt x="4437888" y="1242060"/>
                </a:lnTo>
                <a:close/>
              </a:path>
              <a:path w="7486015" h="2066925">
                <a:moveTo>
                  <a:pt x="4437888" y="1034796"/>
                </a:moveTo>
                <a:lnTo>
                  <a:pt x="3677412" y="1034796"/>
                </a:lnTo>
                <a:lnTo>
                  <a:pt x="3677412" y="1239012"/>
                </a:lnTo>
                <a:lnTo>
                  <a:pt x="4437888" y="1239012"/>
                </a:lnTo>
                <a:lnTo>
                  <a:pt x="4437888" y="1034796"/>
                </a:lnTo>
                <a:close/>
              </a:path>
              <a:path w="7486015" h="2066925">
                <a:moveTo>
                  <a:pt x="4437888" y="827532"/>
                </a:moveTo>
                <a:lnTo>
                  <a:pt x="3677412" y="827532"/>
                </a:lnTo>
                <a:lnTo>
                  <a:pt x="3677412" y="1031748"/>
                </a:lnTo>
                <a:lnTo>
                  <a:pt x="4437888" y="1031748"/>
                </a:lnTo>
                <a:lnTo>
                  <a:pt x="4437888" y="827532"/>
                </a:lnTo>
                <a:close/>
              </a:path>
              <a:path w="7486015" h="2066925">
                <a:moveTo>
                  <a:pt x="4437888" y="621792"/>
                </a:moveTo>
                <a:lnTo>
                  <a:pt x="3677412" y="621792"/>
                </a:lnTo>
                <a:lnTo>
                  <a:pt x="3677412" y="824484"/>
                </a:lnTo>
                <a:lnTo>
                  <a:pt x="4437888" y="824484"/>
                </a:lnTo>
                <a:lnTo>
                  <a:pt x="4437888" y="621792"/>
                </a:lnTo>
                <a:close/>
              </a:path>
              <a:path w="7486015" h="2066925">
                <a:moveTo>
                  <a:pt x="4437888" y="414528"/>
                </a:moveTo>
                <a:lnTo>
                  <a:pt x="3677412" y="414528"/>
                </a:lnTo>
                <a:lnTo>
                  <a:pt x="3677412" y="618744"/>
                </a:lnTo>
                <a:lnTo>
                  <a:pt x="4437888" y="618744"/>
                </a:lnTo>
                <a:lnTo>
                  <a:pt x="4437888" y="414528"/>
                </a:lnTo>
                <a:close/>
              </a:path>
              <a:path w="7486015" h="2066925">
                <a:moveTo>
                  <a:pt x="4437888" y="207264"/>
                </a:moveTo>
                <a:lnTo>
                  <a:pt x="3677412" y="207264"/>
                </a:lnTo>
                <a:lnTo>
                  <a:pt x="3677412" y="411480"/>
                </a:lnTo>
                <a:lnTo>
                  <a:pt x="4437888" y="411480"/>
                </a:lnTo>
                <a:lnTo>
                  <a:pt x="4437888" y="207264"/>
                </a:lnTo>
                <a:close/>
              </a:path>
              <a:path w="7486015" h="2066925">
                <a:moveTo>
                  <a:pt x="4437888" y="0"/>
                </a:moveTo>
                <a:lnTo>
                  <a:pt x="3677412" y="0"/>
                </a:lnTo>
                <a:lnTo>
                  <a:pt x="3677412" y="204216"/>
                </a:lnTo>
                <a:lnTo>
                  <a:pt x="4437888" y="204216"/>
                </a:lnTo>
                <a:lnTo>
                  <a:pt x="4437888" y="0"/>
                </a:lnTo>
                <a:close/>
              </a:path>
              <a:path w="7486015" h="2066925">
                <a:moveTo>
                  <a:pt x="5199888" y="1862328"/>
                </a:moveTo>
                <a:lnTo>
                  <a:pt x="4440936" y="1862328"/>
                </a:lnTo>
                <a:lnTo>
                  <a:pt x="4440936" y="2066544"/>
                </a:lnTo>
                <a:lnTo>
                  <a:pt x="5199888" y="2066544"/>
                </a:lnTo>
                <a:lnTo>
                  <a:pt x="5199888" y="1862328"/>
                </a:lnTo>
                <a:close/>
              </a:path>
              <a:path w="7486015" h="2066925">
                <a:moveTo>
                  <a:pt x="5199888" y="1655064"/>
                </a:moveTo>
                <a:lnTo>
                  <a:pt x="4440936" y="1655064"/>
                </a:lnTo>
                <a:lnTo>
                  <a:pt x="4440936" y="1859280"/>
                </a:lnTo>
                <a:lnTo>
                  <a:pt x="5199888" y="1859280"/>
                </a:lnTo>
                <a:lnTo>
                  <a:pt x="5199888" y="1655064"/>
                </a:lnTo>
                <a:close/>
              </a:path>
              <a:path w="7486015" h="2066925">
                <a:moveTo>
                  <a:pt x="5199888" y="1449324"/>
                </a:moveTo>
                <a:lnTo>
                  <a:pt x="4440936" y="1449324"/>
                </a:lnTo>
                <a:lnTo>
                  <a:pt x="4440936" y="1652016"/>
                </a:lnTo>
                <a:lnTo>
                  <a:pt x="5199888" y="1652016"/>
                </a:lnTo>
                <a:lnTo>
                  <a:pt x="5199888" y="1449324"/>
                </a:lnTo>
                <a:close/>
              </a:path>
              <a:path w="7486015" h="2066925">
                <a:moveTo>
                  <a:pt x="5199888" y="1242060"/>
                </a:moveTo>
                <a:lnTo>
                  <a:pt x="4440936" y="1242060"/>
                </a:lnTo>
                <a:lnTo>
                  <a:pt x="4440936" y="1446276"/>
                </a:lnTo>
                <a:lnTo>
                  <a:pt x="5199888" y="1446276"/>
                </a:lnTo>
                <a:lnTo>
                  <a:pt x="5199888" y="1242060"/>
                </a:lnTo>
                <a:close/>
              </a:path>
              <a:path w="7486015" h="2066925">
                <a:moveTo>
                  <a:pt x="5199888" y="1034796"/>
                </a:moveTo>
                <a:lnTo>
                  <a:pt x="4440936" y="1034796"/>
                </a:lnTo>
                <a:lnTo>
                  <a:pt x="4440936" y="1239012"/>
                </a:lnTo>
                <a:lnTo>
                  <a:pt x="5199888" y="1239012"/>
                </a:lnTo>
                <a:lnTo>
                  <a:pt x="5199888" y="1034796"/>
                </a:lnTo>
                <a:close/>
              </a:path>
              <a:path w="7486015" h="2066925">
                <a:moveTo>
                  <a:pt x="5199888" y="827532"/>
                </a:moveTo>
                <a:lnTo>
                  <a:pt x="4440936" y="827532"/>
                </a:lnTo>
                <a:lnTo>
                  <a:pt x="4440936" y="1031748"/>
                </a:lnTo>
                <a:lnTo>
                  <a:pt x="5199888" y="1031748"/>
                </a:lnTo>
                <a:lnTo>
                  <a:pt x="5199888" y="827532"/>
                </a:lnTo>
                <a:close/>
              </a:path>
              <a:path w="7486015" h="2066925">
                <a:moveTo>
                  <a:pt x="5199888" y="621792"/>
                </a:moveTo>
                <a:lnTo>
                  <a:pt x="4440936" y="621792"/>
                </a:lnTo>
                <a:lnTo>
                  <a:pt x="4440936" y="824484"/>
                </a:lnTo>
                <a:lnTo>
                  <a:pt x="5199888" y="824484"/>
                </a:lnTo>
                <a:lnTo>
                  <a:pt x="5199888" y="621792"/>
                </a:lnTo>
                <a:close/>
              </a:path>
              <a:path w="7486015" h="2066925">
                <a:moveTo>
                  <a:pt x="5199888" y="414528"/>
                </a:moveTo>
                <a:lnTo>
                  <a:pt x="4440936" y="414528"/>
                </a:lnTo>
                <a:lnTo>
                  <a:pt x="4440936" y="618744"/>
                </a:lnTo>
                <a:lnTo>
                  <a:pt x="5199888" y="618744"/>
                </a:lnTo>
                <a:lnTo>
                  <a:pt x="5199888" y="414528"/>
                </a:lnTo>
                <a:close/>
              </a:path>
              <a:path w="7486015" h="2066925">
                <a:moveTo>
                  <a:pt x="5199888" y="207264"/>
                </a:moveTo>
                <a:lnTo>
                  <a:pt x="4440936" y="207264"/>
                </a:lnTo>
                <a:lnTo>
                  <a:pt x="4440936" y="411480"/>
                </a:lnTo>
                <a:lnTo>
                  <a:pt x="5199888" y="411480"/>
                </a:lnTo>
                <a:lnTo>
                  <a:pt x="5199888" y="207264"/>
                </a:lnTo>
                <a:close/>
              </a:path>
              <a:path w="7486015" h="2066925">
                <a:moveTo>
                  <a:pt x="5199888" y="0"/>
                </a:moveTo>
                <a:lnTo>
                  <a:pt x="4440936" y="0"/>
                </a:lnTo>
                <a:lnTo>
                  <a:pt x="4440936" y="204216"/>
                </a:lnTo>
                <a:lnTo>
                  <a:pt x="5199888" y="204216"/>
                </a:lnTo>
                <a:lnTo>
                  <a:pt x="5199888" y="0"/>
                </a:lnTo>
                <a:close/>
              </a:path>
              <a:path w="7486015" h="2066925">
                <a:moveTo>
                  <a:pt x="5961875" y="1862328"/>
                </a:moveTo>
                <a:lnTo>
                  <a:pt x="5202936" y="1862328"/>
                </a:lnTo>
                <a:lnTo>
                  <a:pt x="5202936" y="2066544"/>
                </a:lnTo>
                <a:lnTo>
                  <a:pt x="5961875" y="2066544"/>
                </a:lnTo>
                <a:lnTo>
                  <a:pt x="5961875" y="1862328"/>
                </a:lnTo>
                <a:close/>
              </a:path>
              <a:path w="7486015" h="2066925">
                <a:moveTo>
                  <a:pt x="5961875" y="1655064"/>
                </a:moveTo>
                <a:lnTo>
                  <a:pt x="5202936" y="1655064"/>
                </a:lnTo>
                <a:lnTo>
                  <a:pt x="5202936" y="1859280"/>
                </a:lnTo>
                <a:lnTo>
                  <a:pt x="5961875" y="1859280"/>
                </a:lnTo>
                <a:lnTo>
                  <a:pt x="5961875" y="1655064"/>
                </a:lnTo>
                <a:close/>
              </a:path>
              <a:path w="7486015" h="2066925">
                <a:moveTo>
                  <a:pt x="5961875" y="1449324"/>
                </a:moveTo>
                <a:lnTo>
                  <a:pt x="5202936" y="1449324"/>
                </a:lnTo>
                <a:lnTo>
                  <a:pt x="5202936" y="1652016"/>
                </a:lnTo>
                <a:lnTo>
                  <a:pt x="5961875" y="1652016"/>
                </a:lnTo>
                <a:lnTo>
                  <a:pt x="5961875" y="1449324"/>
                </a:lnTo>
                <a:close/>
              </a:path>
              <a:path w="7486015" h="2066925">
                <a:moveTo>
                  <a:pt x="5961875" y="1242060"/>
                </a:moveTo>
                <a:lnTo>
                  <a:pt x="5202936" y="1242060"/>
                </a:lnTo>
                <a:lnTo>
                  <a:pt x="5202936" y="1446276"/>
                </a:lnTo>
                <a:lnTo>
                  <a:pt x="5961875" y="1446276"/>
                </a:lnTo>
                <a:lnTo>
                  <a:pt x="5961875" y="1242060"/>
                </a:lnTo>
                <a:close/>
              </a:path>
              <a:path w="7486015" h="2066925">
                <a:moveTo>
                  <a:pt x="5961875" y="1034796"/>
                </a:moveTo>
                <a:lnTo>
                  <a:pt x="5202936" y="1034796"/>
                </a:lnTo>
                <a:lnTo>
                  <a:pt x="5202936" y="1239012"/>
                </a:lnTo>
                <a:lnTo>
                  <a:pt x="5961875" y="1239012"/>
                </a:lnTo>
                <a:lnTo>
                  <a:pt x="5961875" y="1034796"/>
                </a:lnTo>
                <a:close/>
              </a:path>
              <a:path w="7486015" h="2066925">
                <a:moveTo>
                  <a:pt x="5961875" y="827532"/>
                </a:moveTo>
                <a:lnTo>
                  <a:pt x="5202936" y="827532"/>
                </a:lnTo>
                <a:lnTo>
                  <a:pt x="5202936" y="1031748"/>
                </a:lnTo>
                <a:lnTo>
                  <a:pt x="5961875" y="1031748"/>
                </a:lnTo>
                <a:lnTo>
                  <a:pt x="5961875" y="827532"/>
                </a:lnTo>
                <a:close/>
              </a:path>
              <a:path w="7486015" h="2066925">
                <a:moveTo>
                  <a:pt x="5961875" y="621792"/>
                </a:moveTo>
                <a:lnTo>
                  <a:pt x="5202936" y="621792"/>
                </a:lnTo>
                <a:lnTo>
                  <a:pt x="5202936" y="824484"/>
                </a:lnTo>
                <a:lnTo>
                  <a:pt x="5961875" y="824484"/>
                </a:lnTo>
                <a:lnTo>
                  <a:pt x="5961875" y="621792"/>
                </a:lnTo>
                <a:close/>
              </a:path>
              <a:path w="7486015" h="2066925">
                <a:moveTo>
                  <a:pt x="5961875" y="414528"/>
                </a:moveTo>
                <a:lnTo>
                  <a:pt x="5202936" y="414528"/>
                </a:lnTo>
                <a:lnTo>
                  <a:pt x="5202936" y="618744"/>
                </a:lnTo>
                <a:lnTo>
                  <a:pt x="5961875" y="618744"/>
                </a:lnTo>
                <a:lnTo>
                  <a:pt x="5961875" y="414528"/>
                </a:lnTo>
                <a:close/>
              </a:path>
              <a:path w="7486015" h="2066925">
                <a:moveTo>
                  <a:pt x="5961875" y="207264"/>
                </a:moveTo>
                <a:lnTo>
                  <a:pt x="5202936" y="207264"/>
                </a:lnTo>
                <a:lnTo>
                  <a:pt x="5202936" y="411480"/>
                </a:lnTo>
                <a:lnTo>
                  <a:pt x="5961875" y="411480"/>
                </a:lnTo>
                <a:lnTo>
                  <a:pt x="5961875" y="207264"/>
                </a:lnTo>
                <a:close/>
              </a:path>
              <a:path w="7486015" h="2066925">
                <a:moveTo>
                  <a:pt x="5961875" y="0"/>
                </a:moveTo>
                <a:lnTo>
                  <a:pt x="5202936" y="0"/>
                </a:lnTo>
                <a:lnTo>
                  <a:pt x="5202936" y="204216"/>
                </a:lnTo>
                <a:lnTo>
                  <a:pt x="5961875" y="204216"/>
                </a:lnTo>
                <a:lnTo>
                  <a:pt x="5961875" y="0"/>
                </a:lnTo>
                <a:close/>
              </a:path>
              <a:path w="7486015" h="2066925">
                <a:moveTo>
                  <a:pt x="6723888" y="1655064"/>
                </a:moveTo>
                <a:lnTo>
                  <a:pt x="5964936" y="1655064"/>
                </a:lnTo>
                <a:lnTo>
                  <a:pt x="5964936" y="1859280"/>
                </a:lnTo>
                <a:lnTo>
                  <a:pt x="6723888" y="1859280"/>
                </a:lnTo>
                <a:lnTo>
                  <a:pt x="6723888" y="1655064"/>
                </a:lnTo>
                <a:close/>
              </a:path>
              <a:path w="7486015" h="2066925">
                <a:moveTo>
                  <a:pt x="6723888" y="1449324"/>
                </a:moveTo>
                <a:lnTo>
                  <a:pt x="5964936" y="1449324"/>
                </a:lnTo>
                <a:lnTo>
                  <a:pt x="5964936" y="1652016"/>
                </a:lnTo>
                <a:lnTo>
                  <a:pt x="6723888" y="1652016"/>
                </a:lnTo>
                <a:lnTo>
                  <a:pt x="6723888" y="1449324"/>
                </a:lnTo>
                <a:close/>
              </a:path>
              <a:path w="7486015" h="2066925">
                <a:moveTo>
                  <a:pt x="6723888" y="1242060"/>
                </a:moveTo>
                <a:lnTo>
                  <a:pt x="5964936" y="1242060"/>
                </a:lnTo>
                <a:lnTo>
                  <a:pt x="5964936" y="1446276"/>
                </a:lnTo>
                <a:lnTo>
                  <a:pt x="6723888" y="1446276"/>
                </a:lnTo>
                <a:lnTo>
                  <a:pt x="6723888" y="1242060"/>
                </a:lnTo>
                <a:close/>
              </a:path>
              <a:path w="7486015" h="2066925">
                <a:moveTo>
                  <a:pt x="6723888" y="1034796"/>
                </a:moveTo>
                <a:lnTo>
                  <a:pt x="5964936" y="1034796"/>
                </a:lnTo>
                <a:lnTo>
                  <a:pt x="5964936" y="1239012"/>
                </a:lnTo>
                <a:lnTo>
                  <a:pt x="6723888" y="1239012"/>
                </a:lnTo>
                <a:lnTo>
                  <a:pt x="6723888" y="1034796"/>
                </a:lnTo>
                <a:close/>
              </a:path>
              <a:path w="7486015" h="2066925">
                <a:moveTo>
                  <a:pt x="6723888" y="827532"/>
                </a:moveTo>
                <a:lnTo>
                  <a:pt x="5964936" y="827532"/>
                </a:lnTo>
                <a:lnTo>
                  <a:pt x="5964936" y="1031748"/>
                </a:lnTo>
                <a:lnTo>
                  <a:pt x="6723888" y="1031748"/>
                </a:lnTo>
                <a:lnTo>
                  <a:pt x="6723888" y="827532"/>
                </a:lnTo>
                <a:close/>
              </a:path>
              <a:path w="7486015" h="2066925">
                <a:moveTo>
                  <a:pt x="6723888" y="621792"/>
                </a:moveTo>
                <a:lnTo>
                  <a:pt x="5964936" y="621792"/>
                </a:lnTo>
                <a:lnTo>
                  <a:pt x="5964936" y="824484"/>
                </a:lnTo>
                <a:lnTo>
                  <a:pt x="6723888" y="824484"/>
                </a:lnTo>
                <a:lnTo>
                  <a:pt x="6723888" y="621792"/>
                </a:lnTo>
                <a:close/>
              </a:path>
              <a:path w="7486015" h="2066925">
                <a:moveTo>
                  <a:pt x="6723888" y="414528"/>
                </a:moveTo>
                <a:lnTo>
                  <a:pt x="5964936" y="414528"/>
                </a:lnTo>
                <a:lnTo>
                  <a:pt x="5964936" y="618744"/>
                </a:lnTo>
                <a:lnTo>
                  <a:pt x="6723888" y="618744"/>
                </a:lnTo>
                <a:lnTo>
                  <a:pt x="6723888" y="414528"/>
                </a:lnTo>
                <a:close/>
              </a:path>
              <a:path w="7486015" h="2066925">
                <a:moveTo>
                  <a:pt x="6723888" y="207264"/>
                </a:moveTo>
                <a:lnTo>
                  <a:pt x="5964936" y="207264"/>
                </a:lnTo>
                <a:lnTo>
                  <a:pt x="5964936" y="411480"/>
                </a:lnTo>
                <a:lnTo>
                  <a:pt x="6723888" y="411480"/>
                </a:lnTo>
                <a:lnTo>
                  <a:pt x="6723888" y="207264"/>
                </a:lnTo>
                <a:close/>
              </a:path>
              <a:path w="7486015" h="2066925">
                <a:moveTo>
                  <a:pt x="6723888" y="0"/>
                </a:moveTo>
                <a:lnTo>
                  <a:pt x="5964936" y="0"/>
                </a:lnTo>
                <a:lnTo>
                  <a:pt x="5964936" y="204216"/>
                </a:lnTo>
                <a:lnTo>
                  <a:pt x="6723888" y="204216"/>
                </a:lnTo>
                <a:lnTo>
                  <a:pt x="6723888" y="0"/>
                </a:lnTo>
                <a:close/>
              </a:path>
              <a:path w="7486015" h="2066925">
                <a:moveTo>
                  <a:pt x="7485888" y="1655064"/>
                </a:moveTo>
                <a:lnTo>
                  <a:pt x="6726936" y="1655064"/>
                </a:lnTo>
                <a:lnTo>
                  <a:pt x="6726936" y="1859280"/>
                </a:lnTo>
                <a:lnTo>
                  <a:pt x="7485888" y="1859280"/>
                </a:lnTo>
                <a:lnTo>
                  <a:pt x="7485888" y="1655064"/>
                </a:lnTo>
                <a:close/>
              </a:path>
              <a:path w="7486015" h="2066925">
                <a:moveTo>
                  <a:pt x="7485888" y="1449324"/>
                </a:moveTo>
                <a:lnTo>
                  <a:pt x="6726936" y="1449324"/>
                </a:lnTo>
                <a:lnTo>
                  <a:pt x="6726936" y="1652016"/>
                </a:lnTo>
                <a:lnTo>
                  <a:pt x="7485888" y="1652016"/>
                </a:lnTo>
                <a:lnTo>
                  <a:pt x="7485888" y="1449324"/>
                </a:lnTo>
                <a:close/>
              </a:path>
              <a:path w="7486015" h="2066925">
                <a:moveTo>
                  <a:pt x="7485888" y="1242060"/>
                </a:moveTo>
                <a:lnTo>
                  <a:pt x="6726936" y="1242060"/>
                </a:lnTo>
                <a:lnTo>
                  <a:pt x="6726936" y="1446276"/>
                </a:lnTo>
                <a:lnTo>
                  <a:pt x="7485888" y="1446276"/>
                </a:lnTo>
                <a:lnTo>
                  <a:pt x="7485888" y="1242060"/>
                </a:lnTo>
                <a:close/>
              </a:path>
              <a:path w="7486015" h="2066925">
                <a:moveTo>
                  <a:pt x="7485888" y="1034796"/>
                </a:moveTo>
                <a:lnTo>
                  <a:pt x="6726936" y="1034796"/>
                </a:lnTo>
                <a:lnTo>
                  <a:pt x="6726936" y="1239012"/>
                </a:lnTo>
                <a:lnTo>
                  <a:pt x="7485888" y="1239012"/>
                </a:lnTo>
                <a:lnTo>
                  <a:pt x="7485888" y="1034796"/>
                </a:lnTo>
                <a:close/>
              </a:path>
              <a:path w="7486015" h="2066925">
                <a:moveTo>
                  <a:pt x="7485888" y="827532"/>
                </a:moveTo>
                <a:lnTo>
                  <a:pt x="6726936" y="827532"/>
                </a:lnTo>
                <a:lnTo>
                  <a:pt x="6726936" y="1031748"/>
                </a:lnTo>
                <a:lnTo>
                  <a:pt x="7485888" y="1031748"/>
                </a:lnTo>
                <a:lnTo>
                  <a:pt x="7485888" y="827532"/>
                </a:lnTo>
                <a:close/>
              </a:path>
              <a:path w="7486015" h="2066925">
                <a:moveTo>
                  <a:pt x="7485888" y="621792"/>
                </a:moveTo>
                <a:lnTo>
                  <a:pt x="6726936" y="621792"/>
                </a:lnTo>
                <a:lnTo>
                  <a:pt x="6726936" y="824484"/>
                </a:lnTo>
                <a:lnTo>
                  <a:pt x="7485888" y="824484"/>
                </a:lnTo>
                <a:lnTo>
                  <a:pt x="7485888" y="621792"/>
                </a:lnTo>
                <a:close/>
              </a:path>
              <a:path w="7486015" h="2066925">
                <a:moveTo>
                  <a:pt x="7485888" y="414528"/>
                </a:moveTo>
                <a:lnTo>
                  <a:pt x="6726936" y="414528"/>
                </a:lnTo>
                <a:lnTo>
                  <a:pt x="6726936" y="618744"/>
                </a:lnTo>
                <a:lnTo>
                  <a:pt x="7485888" y="618744"/>
                </a:lnTo>
                <a:lnTo>
                  <a:pt x="7485888" y="414528"/>
                </a:lnTo>
                <a:close/>
              </a:path>
              <a:path w="7486015" h="2066925">
                <a:moveTo>
                  <a:pt x="7485888" y="207264"/>
                </a:moveTo>
                <a:lnTo>
                  <a:pt x="6726936" y="207264"/>
                </a:lnTo>
                <a:lnTo>
                  <a:pt x="6726936" y="411480"/>
                </a:lnTo>
                <a:lnTo>
                  <a:pt x="7485888" y="411480"/>
                </a:lnTo>
                <a:lnTo>
                  <a:pt x="7485888" y="207264"/>
                </a:lnTo>
                <a:close/>
              </a:path>
              <a:path w="7486015" h="2066925">
                <a:moveTo>
                  <a:pt x="7485888" y="0"/>
                </a:moveTo>
                <a:lnTo>
                  <a:pt x="6726936" y="0"/>
                </a:lnTo>
                <a:lnTo>
                  <a:pt x="6726936" y="204216"/>
                </a:lnTo>
                <a:lnTo>
                  <a:pt x="7485888" y="204216"/>
                </a:lnTo>
                <a:lnTo>
                  <a:pt x="7485888" y="0"/>
                </a:lnTo>
                <a:close/>
              </a:path>
            </a:pathLst>
          </a:custGeom>
          <a:solidFill>
            <a:srgbClr val="FFFFFF"/>
          </a:solidFill>
        </xdr:spPr>
      </xdr:sp>
      <xdr:sp macro="" textlink="">
        <xdr:nvSpPr>
          <xdr:cNvPr id="118" name="Shape 118">
            <a:extLst>
              <a:ext uri="{FF2B5EF4-FFF2-40B4-BE49-F238E27FC236}">
                <a16:creationId xmlns:a16="http://schemas.microsoft.com/office/drawing/2014/main" id="{00000000-0008-0000-0A00-000076000000}"/>
              </a:ext>
            </a:extLst>
          </xdr:cNvPr>
          <xdr:cNvSpPr/>
        </xdr:nvSpPr>
        <xdr:spPr>
          <a:xfrm>
            <a:off x="0" y="1655063"/>
            <a:ext cx="7486015" cy="1653539"/>
          </a:xfrm>
          <a:custGeom>
            <a:avLst/>
            <a:gdLst/>
            <a:ahLst/>
            <a:cxnLst/>
            <a:rect l="0" t="0" r="0" b="0"/>
            <a:pathLst>
              <a:path w="7486015" h="1653539">
                <a:moveTo>
                  <a:pt x="312420" y="1036320"/>
                </a:moveTo>
                <a:lnTo>
                  <a:pt x="0" y="1036320"/>
                </a:lnTo>
                <a:lnTo>
                  <a:pt x="0" y="1653540"/>
                </a:lnTo>
                <a:lnTo>
                  <a:pt x="312420" y="1653540"/>
                </a:lnTo>
                <a:lnTo>
                  <a:pt x="312420" y="1036320"/>
                </a:lnTo>
                <a:close/>
              </a:path>
              <a:path w="7486015" h="1653539">
                <a:moveTo>
                  <a:pt x="312420" y="621792"/>
                </a:moveTo>
                <a:lnTo>
                  <a:pt x="0" y="621792"/>
                </a:lnTo>
                <a:lnTo>
                  <a:pt x="0" y="1033272"/>
                </a:lnTo>
                <a:lnTo>
                  <a:pt x="312420" y="1033272"/>
                </a:lnTo>
                <a:lnTo>
                  <a:pt x="312420" y="621792"/>
                </a:lnTo>
                <a:close/>
              </a:path>
              <a:path w="7486015" h="1653539">
                <a:moveTo>
                  <a:pt x="312420" y="0"/>
                </a:moveTo>
                <a:lnTo>
                  <a:pt x="0" y="0"/>
                </a:lnTo>
                <a:lnTo>
                  <a:pt x="0" y="618744"/>
                </a:lnTo>
                <a:lnTo>
                  <a:pt x="312420" y="618744"/>
                </a:lnTo>
                <a:lnTo>
                  <a:pt x="312420" y="0"/>
                </a:lnTo>
                <a:close/>
              </a:path>
              <a:path w="7486015" h="1653539">
                <a:moveTo>
                  <a:pt x="1264920" y="1036320"/>
                </a:moveTo>
                <a:lnTo>
                  <a:pt x="315468" y="1036320"/>
                </a:lnTo>
                <a:lnTo>
                  <a:pt x="315468" y="1653540"/>
                </a:lnTo>
                <a:lnTo>
                  <a:pt x="1264920" y="1653540"/>
                </a:lnTo>
                <a:lnTo>
                  <a:pt x="1264920" y="1036320"/>
                </a:lnTo>
                <a:close/>
              </a:path>
              <a:path w="7486015" h="1653539">
                <a:moveTo>
                  <a:pt x="1264920" y="621792"/>
                </a:moveTo>
                <a:lnTo>
                  <a:pt x="315468" y="621792"/>
                </a:lnTo>
                <a:lnTo>
                  <a:pt x="315468" y="1033272"/>
                </a:lnTo>
                <a:lnTo>
                  <a:pt x="1264920" y="1033272"/>
                </a:lnTo>
                <a:lnTo>
                  <a:pt x="1264920" y="621792"/>
                </a:lnTo>
                <a:close/>
              </a:path>
              <a:path w="7486015" h="1653539">
                <a:moveTo>
                  <a:pt x="1264920" y="0"/>
                </a:moveTo>
                <a:lnTo>
                  <a:pt x="315468" y="0"/>
                </a:lnTo>
                <a:lnTo>
                  <a:pt x="315468" y="618744"/>
                </a:lnTo>
                <a:lnTo>
                  <a:pt x="1264920" y="618744"/>
                </a:lnTo>
                <a:lnTo>
                  <a:pt x="1264920" y="0"/>
                </a:lnTo>
                <a:close/>
              </a:path>
              <a:path w="7486015" h="1653539">
                <a:moveTo>
                  <a:pt x="2531364" y="1036320"/>
                </a:moveTo>
                <a:lnTo>
                  <a:pt x="1267968" y="1036320"/>
                </a:lnTo>
                <a:lnTo>
                  <a:pt x="1267968" y="1653540"/>
                </a:lnTo>
                <a:lnTo>
                  <a:pt x="2531364" y="1653540"/>
                </a:lnTo>
                <a:lnTo>
                  <a:pt x="2531364" y="1036320"/>
                </a:lnTo>
                <a:close/>
              </a:path>
              <a:path w="7486015" h="1653539">
                <a:moveTo>
                  <a:pt x="2531364" y="621792"/>
                </a:moveTo>
                <a:lnTo>
                  <a:pt x="1267968" y="621792"/>
                </a:lnTo>
                <a:lnTo>
                  <a:pt x="1267968" y="1033272"/>
                </a:lnTo>
                <a:lnTo>
                  <a:pt x="2531364" y="1033272"/>
                </a:lnTo>
                <a:lnTo>
                  <a:pt x="2531364" y="621792"/>
                </a:lnTo>
                <a:close/>
              </a:path>
              <a:path w="7486015" h="1653539">
                <a:moveTo>
                  <a:pt x="2531364" y="0"/>
                </a:moveTo>
                <a:lnTo>
                  <a:pt x="1267968" y="0"/>
                </a:lnTo>
                <a:lnTo>
                  <a:pt x="1267968" y="618744"/>
                </a:lnTo>
                <a:lnTo>
                  <a:pt x="2531364" y="618744"/>
                </a:lnTo>
                <a:lnTo>
                  <a:pt x="2531364" y="0"/>
                </a:lnTo>
                <a:close/>
              </a:path>
              <a:path w="7486015" h="1653539">
                <a:moveTo>
                  <a:pt x="3037332" y="1450848"/>
                </a:moveTo>
                <a:lnTo>
                  <a:pt x="2534412" y="1450848"/>
                </a:lnTo>
                <a:lnTo>
                  <a:pt x="2534412" y="1653540"/>
                </a:lnTo>
                <a:lnTo>
                  <a:pt x="3037332" y="1653540"/>
                </a:lnTo>
                <a:lnTo>
                  <a:pt x="3037332" y="1450848"/>
                </a:lnTo>
                <a:close/>
              </a:path>
              <a:path w="7486015" h="1653539">
                <a:moveTo>
                  <a:pt x="3037332" y="1243584"/>
                </a:moveTo>
                <a:lnTo>
                  <a:pt x="2534412" y="1243584"/>
                </a:lnTo>
                <a:lnTo>
                  <a:pt x="2534412" y="1447800"/>
                </a:lnTo>
                <a:lnTo>
                  <a:pt x="3037332" y="1447800"/>
                </a:lnTo>
                <a:lnTo>
                  <a:pt x="3037332" y="1243584"/>
                </a:lnTo>
                <a:close/>
              </a:path>
              <a:path w="7486015" h="1653539">
                <a:moveTo>
                  <a:pt x="3037332" y="1036320"/>
                </a:moveTo>
                <a:lnTo>
                  <a:pt x="2534412" y="1036320"/>
                </a:lnTo>
                <a:lnTo>
                  <a:pt x="2534412" y="1240536"/>
                </a:lnTo>
                <a:lnTo>
                  <a:pt x="3037332" y="1240536"/>
                </a:lnTo>
                <a:lnTo>
                  <a:pt x="3037332" y="1036320"/>
                </a:lnTo>
                <a:close/>
              </a:path>
              <a:path w="7486015" h="1653539">
                <a:moveTo>
                  <a:pt x="3037332" y="827532"/>
                </a:moveTo>
                <a:lnTo>
                  <a:pt x="2534412" y="827532"/>
                </a:lnTo>
                <a:lnTo>
                  <a:pt x="2534412" y="1033272"/>
                </a:lnTo>
                <a:lnTo>
                  <a:pt x="3037332" y="1033272"/>
                </a:lnTo>
                <a:lnTo>
                  <a:pt x="3037332" y="827532"/>
                </a:lnTo>
                <a:close/>
              </a:path>
              <a:path w="7486015" h="1653539">
                <a:moveTo>
                  <a:pt x="3037332" y="621792"/>
                </a:moveTo>
                <a:lnTo>
                  <a:pt x="2534412" y="621792"/>
                </a:lnTo>
                <a:lnTo>
                  <a:pt x="2534412" y="824484"/>
                </a:lnTo>
                <a:lnTo>
                  <a:pt x="3037332" y="824484"/>
                </a:lnTo>
                <a:lnTo>
                  <a:pt x="3037332" y="621792"/>
                </a:lnTo>
                <a:close/>
              </a:path>
              <a:path w="7486015" h="1653539">
                <a:moveTo>
                  <a:pt x="3037332" y="414528"/>
                </a:moveTo>
                <a:lnTo>
                  <a:pt x="2534412" y="414528"/>
                </a:lnTo>
                <a:lnTo>
                  <a:pt x="2534412" y="618744"/>
                </a:lnTo>
                <a:lnTo>
                  <a:pt x="3037332" y="618744"/>
                </a:lnTo>
                <a:lnTo>
                  <a:pt x="3037332" y="414528"/>
                </a:lnTo>
                <a:close/>
              </a:path>
              <a:path w="7486015" h="1653539">
                <a:moveTo>
                  <a:pt x="3674364" y="1450848"/>
                </a:moveTo>
                <a:lnTo>
                  <a:pt x="3040380" y="1450848"/>
                </a:lnTo>
                <a:lnTo>
                  <a:pt x="3040380" y="1653540"/>
                </a:lnTo>
                <a:lnTo>
                  <a:pt x="3674364" y="1653540"/>
                </a:lnTo>
                <a:lnTo>
                  <a:pt x="3674364" y="1450848"/>
                </a:lnTo>
                <a:close/>
              </a:path>
              <a:path w="7486015" h="1653539">
                <a:moveTo>
                  <a:pt x="3674364" y="1243584"/>
                </a:moveTo>
                <a:lnTo>
                  <a:pt x="3040380" y="1243584"/>
                </a:lnTo>
                <a:lnTo>
                  <a:pt x="3040380" y="1447800"/>
                </a:lnTo>
                <a:lnTo>
                  <a:pt x="3674364" y="1447800"/>
                </a:lnTo>
                <a:lnTo>
                  <a:pt x="3674364" y="1243584"/>
                </a:lnTo>
                <a:close/>
              </a:path>
              <a:path w="7486015" h="1653539">
                <a:moveTo>
                  <a:pt x="3674364" y="1036320"/>
                </a:moveTo>
                <a:lnTo>
                  <a:pt x="3040380" y="1036320"/>
                </a:lnTo>
                <a:lnTo>
                  <a:pt x="3040380" y="1240536"/>
                </a:lnTo>
                <a:lnTo>
                  <a:pt x="3674364" y="1240536"/>
                </a:lnTo>
                <a:lnTo>
                  <a:pt x="3674364" y="1036320"/>
                </a:lnTo>
                <a:close/>
              </a:path>
              <a:path w="7486015" h="1653539">
                <a:moveTo>
                  <a:pt x="3674364" y="827532"/>
                </a:moveTo>
                <a:lnTo>
                  <a:pt x="3040380" y="827532"/>
                </a:lnTo>
                <a:lnTo>
                  <a:pt x="3040380" y="1033272"/>
                </a:lnTo>
                <a:lnTo>
                  <a:pt x="3674364" y="1033272"/>
                </a:lnTo>
                <a:lnTo>
                  <a:pt x="3674364" y="827532"/>
                </a:lnTo>
                <a:close/>
              </a:path>
              <a:path w="7486015" h="1653539">
                <a:moveTo>
                  <a:pt x="3674364" y="621792"/>
                </a:moveTo>
                <a:lnTo>
                  <a:pt x="3040380" y="621792"/>
                </a:lnTo>
                <a:lnTo>
                  <a:pt x="3040380" y="824484"/>
                </a:lnTo>
                <a:lnTo>
                  <a:pt x="3674364" y="824484"/>
                </a:lnTo>
                <a:lnTo>
                  <a:pt x="3674364" y="621792"/>
                </a:lnTo>
                <a:close/>
              </a:path>
              <a:path w="7486015" h="1653539">
                <a:moveTo>
                  <a:pt x="3674364" y="414528"/>
                </a:moveTo>
                <a:lnTo>
                  <a:pt x="3040380" y="414528"/>
                </a:lnTo>
                <a:lnTo>
                  <a:pt x="3040380" y="618744"/>
                </a:lnTo>
                <a:lnTo>
                  <a:pt x="3674364" y="618744"/>
                </a:lnTo>
                <a:lnTo>
                  <a:pt x="3674364" y="414528"/>
                </a:lnTo>
                <a:close/>
              </a:path>
              <a:path w="7486015" h="1653539">
                <a:moveTo>
                  <a:pt x="4437888" y="1450848"/>
                </a:moveTo>
                <a:lnTo>
                  <a:pt x="3677412" y="1450848"/>
                </a:lnTo>
                <a:lnTo>
                  <a:pt x="3677412" y="1653540"/>
                </a:lnTo>
                <a:lnTo>
                  <a:pt x="4437888" y="1653540"/>
                </a:lnTo>
                <a:lnTo>
                  <a:pt x="4437888" y="1450848"/>
                </a:lnTo>
                <a:close/>
              </a:path>
              <a:path w="7486015" h="1653539">
                <a:moveTo>
                  <a:pt x="4437888" y="1243584"/>
                </a:moveTo>
                <a:lnTo>
                  <a:pt x="3677412" y="1243584"/>
                </a:lnTo>
                <a:lnTo>
                  <a:pt x="3677412" y="1447800"/>
                </a:lnTo>
                <a:lnTo>
                  <a:pt x="4437888" y="1447800"/>
                </a:lnTo>
                <a:lnTo>
                  <a:pt x="4437888" y="1243584"/>
                </a:lnTo>
                <a:close/>
              </a:path>
              <a:path w="7486015" h="1653539">
                <a:moveTo>
                  <a:pt x="4437888" y="1036320"/>
                </a:moveTo>
                <a:lnTo>
                  <a:pt x="3677412" y="1036320"/>
                </a:lnTo>
                <a:lnTo>
                  <a:pt x="3677412" y="1240536"/>
                </a:lnTo>
                <a:lnTo>
                  <a:pt x="4437888" y="1240536"/>
                </a:lnTo>
                <a:lnTo>
                  <a:pt x="4437888" y="1036320"/>
                </a:lnTo>
                <a:close/>
              </a:path>
              <a:path w="7486015" h="1653539">
                <a:moveTo>
                  <a:pt x="4437888" y="827532"/>
                </a:moveTo>
                <a:lnTo>
                  <a:pt x="3677412" y="827532"/>
                </a:lnTo>
                <a:lnTo>
                  <a:pt x="3677412" y="1033272"/>
                </a:lnTo>
                <a:lnTo>
                  <a:pt x="4437888" y="1033272"/>
                </a:lnTo>
                <a:lnTo>
                  <a:pt x="4437888" y="827532"/>
                </a:lnTo>
                <a:close/>
              </a:path>
              <a:path w="7486015" h="1653539">
                <a:moveTo>
                  <a:pt x="4437888" y="621792"/>
                </a:moveTo>
                <a:lnTo>
                  <a:pt x="3677412" y="621792"/>
                </a:lnTo>
                <a:lnTo>
                  <a:pt x="3677412" y="824484"/>
                </a:lnTo>
                <a:lnTo>
                  <a:pt x="4437888" y="824484"/>
                </a:lnTo>
                <a:lnTo>
                  <a:pt x="4437888" y="621792"/>
                </a:lnTo>
                <a:close/>
              </a:path>
              <a:path w="7486015" h="1653539">
                <a:moveTo>
                  <a:pt x="4437888" y="414528"/>
                </a:moveTo>
                <a:lnTo>
                  <a:pt x="3677412" y="414528"/>
                </a:lnTo>
                <a:lnTo>
                  <a:pt x="3677412" y="618744"/>
                </a:lnTo>
                <a:lnTo>
                  <a:pt x="4437888" y="618744"/>
                </a:lnTo>
                <a:lnTo>
                  <a:pt x="4437888" y="414528"/>
                </a:lnTo>
                <a:close/>
              </a:path>
              <a:path w="7486015" h="1653539">
                <a:moveTo>
                  <a:pt x="5199888" y="1450848"/>
                </a:moveTo>
                <a:lnTo>
                  <a:pt x="4440936" y="1450848"/>
                </a:lnTo>
                <a:lnTo>
                  <a:pt x="4440936" y="1653540"/>
                </a:lnTo>
                <a:lnTo>
                  <a:pt x="5199888" y="1653540"/>
                </a:lnTo>
                <a:lnTo>
                  <a:pt x="5199888" y="1450848"/>
                </a:lnTo>
                <a:close/>
              </a:path>
              <a:path w="7486015" h="1653539">
                <a:moveTo>
                  <a:pt x="5199888" y="1243584"/>
                </a:moveTo>
                <a:lnTo>
                  <a:pt x="4440936" y="1243584"/>
                </a:lnTo>
                <a:lnTo>
                  <a:pt x="4440936" y="1447800"/>
                </a:lnTo>
                <a:lnTo>
                  <a:pt x="5199888" y="1447800"/>
                </a:lnTo>
                <a:lnTo>
                  <a:pt x="5199888" y="1243584"/>
                </a:lnTo>
                <a:close/>
              </a:path>
              <a:path w="7486015" h="1653539">
                <a:moveTo>
                  <a:pt x="5199888" y="1036320"/>
                </a:moveTo>
                <a:lnTo>
                  <a:pt x="4440936" y="1036320"/>
                </a:lnTo>
                <a:lnTo>
                  <a:pt x="4440936" y="1240536"/>
                </a:lnTo>
                <a:lnTo>
                  <a:pt x="5199888" y="1240536"/>
                </a:lnTo>
                <a:lnTo>
                  <a:pt x="5199888" y="1036320"/>
                </a:lnTo>
                <a:close/>
              </a:path>
              <a:path w="7486015" h="1653539">
                <a:moveTo>
                  <a:pt x="5199888" y="827532"/>
                </a:moveTo>
                <a:lnTo>
                  <a:pt x="4440936" y="827532"/>
                </a:lnTo>
                <a:lnTo>
                  <a:pt x="4440936" y="1033272"/>
                </a:lnTo>
                <a:lnTo>
                  <a:pt x="5199888" y="1033272"/>
                </a:lnTo>
                <a:lnTo>
                  <a:pt x="5199888" y="827532"/>
                </a:lnTo>
                <a:close/>
              </a:path>
              <a:path w="7486015" h="1653539">
                <a:moveTo>
                  <a:pt x="5199888" y="621792"/>
                </a:moveTo>
                <a:lnTo>
                  <a:pt x="4440936" y="621792"/>
                </a:lnTo>
                <a:lnTo>
                  <a:pt x="4440936" y="824484"/>
                </a:lnTo>
                <a:lnTo>
                  <a:pt x="5199888" y="824484"/>
                </a:lnTo>
                <a:lnTo>
                  <a:pt x="5199888" y="621792"/>
                </a:lnTo>
                <a:close/>
              </a:path>
              <a:path w="7486015" h="1653539">
                <a:moveTo>
                  <a:pt x="5199888" y="414528"/>
                </a:moveTo>
                <a:lnTo>
                  <a:pt x="4440936" y="414528"/>
                </a:lnTo>
                <a:lnTo>
                  <a:pt x="4440936" y="618744"/>
                </a:lnTo>
                <a:lnTo>
                  <a:pt x="5199888" y="618744"/>
                </a:lnTo>
                <a:lnTo>
                  <a:pt x="5199888" y="414528"/>
                </a:lnTo>
                <a:close/>
              </a:path>
              <a:path w="7486015" h="1653539">
                <a:moveTo>
                  <a:pt x="5961875" y="1450848"/>
                </a:moveTo>
                <a:lnTo>
                  <a:pt x="5202936" y="1450848"/>
                </a:lnTo>
                <a:lnTo>
                  <a:pt x="5202936" y="1653540"/>
                </a:lnTo>
                <a:lnTo>
                  <a:pt x="5961875" y="1653540"/>
                </a:lnTo>
                <a:lnTo>
                  <a:pt x="5961875" y="1450848"/>
                </a:lnTo>
                <a:close/>
              </a:path>
              <a:path w="7486015" h="1653539">
                <a:moveTo>
                  <a:pt x="5961875" y="1243584"/>
                </a:moveTo>
                <a:lnTo>
                  <a:pt x="5202936" y="1243584"/>
                </a:lnTo>
                <a:lnTo>
                  <a:pt x="5202936" y="1447800"/>
                </a:lnTo>
                <a:lnTo>
                  <a:pt x="5961875" y="1447800"/>
                </a:lnTo>
                <a:lnTo>
                  <a:pt x="5961875" y="1243584"/>
                </a:lnTo>
                <a:close/>
              </a:path>
              <a:path w="7486015" h="1653539">
                <a:moveTo>
                  <a:pt x="5961875" y="1036320"/>
                </a:moveTo>
                <a:lnTo>
                  <a:pt x="5202936" y="1036320"/>
                </a:lnTo>
                <a:lnTo>
                  <a:pt x="5202936" y="1240536"/>
                </a:lnTo>
                <a:lnTo>
                  <a:pt x="5961875" y="1240536"/>
                </a:lnTo>
                <a:lnTo>
                  <a:pt x="5961875" y="1036320"/>
                </a:lnTo>
                <a:close/>
              </a:path>
              <a:path w="7486015" h="1653539">
                <a:moveTo>
                  <a:pt x="5961875" y="827532"/>
                </a:moveTo>
                <a:lnTo>
                  <a:pt x="5202936" y="827532"/>
                </a:lnTo>
                <a:lnTo>
                  <a:pt x="5202936" y="1033272"/>
                </a:lnTo>
                <a:lnTo>
                  <a:pt x="5961875" y="1033272"/>
                </a:lnTo>
                <a:lnTo>
                  <a:pt x="5961875" y="827532"/>
                </a:lnTo>
                <a:close/>
              </a:path>
              <a:path w="7486015" h="1653539">
                <a:moveTo>
                  <a:pt x="5961875" y="621792"/>
                </a:moveTo>
                <a:lnTo>
                  <a:pt x="5202936" y="621792"/>
                </a:lnTo>
                <a:lnTo>
                  <a:pt x="5202936" y="824484"/>
                </a:lnTo>
                <a:lnTo>
                  <a:pt x="5961875" y="824484"/>
                </a:lnTo>
                <a:lnTo>
                  <a:pt x="5961875" y="621792"/>
                </a:lnTo>
                <a:close/>
              </a:path>
              <a:path w="7486015" h="1653539">
                <a:moveTo>
                  <a:pt x="5961875" y="414528"/>
                </a:moveTo>
                <a:lnTo>
                  <a:pt x="5202936" y="414528"/>
                </a:lnTo>
                <a:lnTo>
                  <a:pt x="5202936" y="618744"/>
                </a:lnTo>
                <a:lnTo>
                  <a:pt x="5961875" y="618744"/>
                </a:lnTo>
                <a:lnTo>
                  <a:pt x="5961875" y="414528"/>
                </a:lnTo>
                <a:close/>
              </a:path>
              <a:path w="7486015" h="1653539">
                <a:moveTo>
                  <a:pt x="5961875" y="207264"/>
                </a:moveTo>
                <a:lnTo>
                  <a:pt x="5202936" y="207264"/>
                </a:lnTo>
                <a:lnTo>
                  <a:pt x="5202936" y="411480"/>
                </a:lnTo>
                <a:lnTo>
                  <a:pt x="5961875" y="411480"/>
                </a:lnTo>
                <a:lnTo>
                  <a:pt x="5961875" y="207264"/>
                </a:lnTo>
                <a:close/>
              </a:path>
              <a:path w="7486015" h="1653539">
                <a:moveTo>
                  <a:pt x="6723888" y="1450848"/>
                </a:moveTo>
                <a:lnTo>
                  <a:pt x="5964936" y="1450848"/>
                </a:lnTo>
                <a:lnTo>
                  <a:pt x="5964936" y="1653540"/>
                </a:lnTo>
                <a:lnTo>
                  <a:pt x="6723888" y="1653540"/>
                </a:lnTo>
                <a:lnTo>
                  <a:pt x="6723888" y="1450848"/>
                </a:lnTo>
                <a:close/>
              </a:path>
              <a:path w="7486015" h="1653539">
                <a:moveTo>
                  <a:pt x="6723888" y="1243584"/>
                </a:moveTo>
                <a:lnTo>
                  <a:pt x="5964936" y="1243584"/>
                </a:lnTo>
                <a:lnTo>
                  <a:pt x="5964936" y="1447800"/>
                </a:lnTo>
                <a:lnTo>
                  <a:pt x="6723888" y="1447800"/>
                </a:lnTo>
                <a:lnTo>
                  <a:pt x="6723888" y="1243584"/>
                </a:lnTo>
                <a:close/>
              </a:path>
              <a:path w="7486015" h="1653539">
                <a:moveTo>
                  <a:pt x="6723888" y="1036320"/>
                </a:moveTo>
                <a:lnTo>
                  <a:pt x="5964936" y="1036320"/>
                </a:lnTo>
                <a:lnTo>
                  <a:pt x="5964936" y="1240536"/>
                </a:lnTo>
                <a:lnTo>
                  <a:pt x="6723888" y="1240536"/>
                </a:lnTo>
                <a:lnTo>
                  <a:pt x="6723888" y="1036320"/>
                </a:lnTo>
                <a:close/>
              </a:path>
              <a:path w="7486015" h="1653539">
                <a:moveTo>
                  <a:pt x="6723888" y="827532"/>
                </a:moveTo>
                <a:lnTo>
                  <a:pt x="5964936" y="827532"/>
                </a:lnTo>
                <a:lnTo>
                  <a:pt x="5964936" y="1033272"/>
                </a:lnTo>
                <a:lnTo>
                  <a:pt x="6723888" y="1033272"/>
                </a:lnTo>
                <a:lnTo>
                  <a:pt x="6723888" y="827532"/>
                </a:lnTo>
                <a:close/>
              </a:path>
              <a:path w="7486015" h="1653539">
                <a:moveTo>
                  <a:pt x="6723888" y="621792"/>
                </a:moveTo>
                <a:lnTo>
                  <a:pt x="5964936" y="621792"/>
                </a:lnTo>
                <a:lnTo>
                  <a:pt x="5964936" y="824484"/>
                </a:lnTo>
                <a:lnTo>
                  <a:pt x="6723888" y="824484"/>
                </a:lnTo>
                <a:lnTo>
                  <a:pt x="6723888" y="621792"/>
                </a:lnTo>
                <a:close/>
              </a:path>
              <a:path w="7486015" h="1653539">
                <a:moveTo>
                  <a:pt x="6723888" y="414528"/>
                </a:moveTo>
                <a:lnTo>
                  <a:pt x="5964936" y="414528"/>
                </a:lnTo>
                <a:lnTo>
                  <a:pt x="5964936" y="618744"/>
                </a:lnTo>
                <a:lnTo>
                  <a:pt x="6723888" y="618744"/>
                </a:lnTo>
                <a:lnTo>
                  <a:pt x="6723888" y="414528"/>
                </a:lnTo>
                <a:close/>
              </a:path>
              <a:path w="7486015" h="1653539">
                <a:moveTo>
                  <a:pt x="6723888" y="207264"/>
                </a:moveTo>
                <a:lnTo>
                  <a:pt x="5964936" y="207264"/>
                </a:lnTo>
                <a:lnTo>
                  <a:pt x="5964936" y="411480"/>
                </a:lnTo>
                <a:lnTo>
                  <a:pt x="6723888" y="411480"/>
                </a:lnTo>
                <a:lnTo>
                  <a:pt x="6723888" y="207264"/>
                </a:lnTo>
                <a:close/>
              </a:path>
              <a:path w="7486015" h="1653539">
                <a:moveTo>
                  <a:pt x="7485888" y="1450848"/>
                </a:moveTo>
                <a:lnTo>
                  <a:pt x="6726936" y="1450848"/>
                </a:lnTo>
                <a:lnTo>
                  <a:pt x="6726936" y="1653540"/>
                </a:lnTo>
                <a:lnTo>
                  <a:pt x="7485888" y="1653540"/>
                </a:lnTo>
                <a:lnTo>
                  <a:pt x="7485888" y="1450848"/>
                </a:lnTo>
                <a:close/>
              </a:path>
              <a:path w="7486015" h="1653539">
                <a:moveTo>
                  <a:pt x="7485888" y="1243584"/>
                </a:moveTo>
                <a:lnTo>
                  <a:pt x="6726936" y="1243584"/>
                </a:lnTo>
                <a:lnTo>
                  <a:pt x="6726936" y="1447800"/>
                </a:lnTo>
                <a:lnTo>
                  <a:pt x="7485888" y="1447800"/>
                </a:lnTo>
                <a:lnTo>
                  <a:pt x="7485888" y="1243584"/>
                </a:lnTo>
                <a:close/>
              </a:path>
              <a:path w="7486015" h="1653539">
                <a:moveTo>
                  <a:pt x="7485888" y="1036320"/>
                </a:moveTo>
                <a:lnTo>
                  <a:pt x="6726936" y="1036320"/>
                </a:lnTo>
                <a:lnTo>
                  <a:pt x="6726936" y="1240536"/>
                </a:lnTo>
                <a:lnTo>
                  <a:pt x="7485888" y="1240536"/>
                </a:lnTo>
                <a:lnTo>
                  <a:pt x="7485888" y="1036320"/>
                </a:lnTo>
                <a:close/>
              </a:path>
              <a:path w="7486015" h="1653539">
                <a:moveTo>
                  <a:pt x="7485888" y="827532"/>
                </a:moveTo>
                <a:lnTo>
                  <a:pt x="6726936" y="827532"/>
                </a:lnTo>
                <a:lnTo>
                  <a:pt x="6726936" y="1033272"/>
                </a:lnTo>
                <a:lnTo>
                  <a:pt x="7485888" y="1033272"/>
                </a:lnTo>
                <a:lnTo>
                  <a:pt x="7485888" y="827532"/>
                </a:lnTo>
                <a:close/>
              </a:path>
              <a:path w="7486015" h="1653539">
                <a:moveTo>
                  <a:pt x="7485888" y="621792"/>
                </a:moveTo>
                <a:lnTo>
                  <a:pt x="6726936" y="621792"/>
                </a:lnTo>
                <a:lnTo>
                  <a:pt x="6726936" y="824484"/>
                </a:lnTo>
                <a:lnTo>
                  <a:pt x="7485888" y="824484"/>
                </a:lnTo>
                <a:lnTo>
                  <a:pt x="7485888" y="621792"/>
                </a:lnTo>
                <a:close/>
              </a:path>
              <a:path w="7486015" h="1653539">
                <a:moveTo>
                  <a:pt x="7485888" y="414528"/>
                </a:moveTo>
                <a:lnTo>
                  <a:pt x="6726936" y="414528"/>
                </a:lnTo>
                <a:lnTo>
                  <a:pt x="6726936" y="618744"/>
                </a:lnTo>
                <a:lnTo>
                  <a:pt x="7485888" y="618744"/>
                </a:lnTo>
                <a:lnTo>
                  <a:pt x="7485888" y="414528"/>
                </a:lnTo>
                <a:close/>
              </a:path>
              <a:path w="7486015" h="1653539">
                <a:moveTo>
                  <a:pt x="7485888" y="207264"/>
                </a:moveTo>
                <a:lnTo>
                  <a:pt x="6726936" y="207264"/>
                </a:lnTo>
                <a:lnTo>
                  <a:pt x="6726936" y="411480"/>
                </a:lnTo>
                <a:lnTo>
                  <a:pt x="7485888" y="411480"/>
                </a:lnTo>
                <a:lnTo>
                  <a:pt x="7485888" y="207264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11</xdr:col>
      <xdr:colOff>546481</xdr:colOff>
      <xdr:row>22</xdr:row>
      <xdr:rowOff>0</xdr:rowOff>
    </xdr:from>
    <xdr:ext cx="645160" cy="3308985"/>
    <xdr:sp macro="" textlink="">
      <xdr:nvSpPr>
        <xdr:cNvPr id="119" name="Shape 119">
          <a:extLst>
            <a:ext uri="{FF2B5EF4-FFF2-40B4-BE49-F238E27FC236}">
              <a16:creationId xmlns:a16="http://schemas.microsoft.com/office/drawing/2014/main" id="{00000000-0008-0000-0A00-000077000000}"/>
            </a:ext>
          </a:extLst>
        </xdr:cNvPr>
        <xdr:cNvSpPr/>
      </xdr:nvSpPr>
      <xdr:spPr>
        <a:xfrm>
          <a:off x="0" y="0"/>
          <a:ext cx="645160" cy="3308985"/>
        </a:xfrm>
        <a:custGeom>
          <a:avLst/>
          <a:gdLst/>
          <a:ahLst/>
          <a:cxnLst/>
          <a:rect l="0" t="0" r="0" b="0"/>
          <a:pathLst>
            <a:path w="645160" h="3308985">
              <a:moveTo>
                <a:pt x="644652" y="3105912"/>
              </a:moveTo>
              <a:lnTo>
                <a:pt x="0" y="3105912"/>
              </a:lnTo>
              <a:lnTo>
                <a:pt x="0" y="3308604"/>
              </a:lnTo>
              <a:lnTo>
                <a:pt x="644652" y="3308604"/>
              </a:lnTo>
              <a:lnTo>
                <a:pt x="644652" y="3105912"/>
              </a:lnTo>
              <a:close/>
            </a:path>
            <a:path w="645160" h="3308985">
              <a:moveTo>
                <a:pt x="644652" y="2898648"/>
              </a:moveTo>
              <a:lnTo>
                <a:pt x="0" y="2898648"/>
              </a:lnTo>
              <a:lnTo>
                <a:pt x="0" y="3102864"/>
              </a:lnTo>
              <a:lnTo>
                <a:pt x="644652" y="3102864"/>
              </a:lnTo>
              <a:lnTo>
                <a:pt x="644652" y="2898648"/>
              </a:lnTo>
              <a:close/>
            </a:path>
            <a:path w="645160" h="3308985">
              <a:moveTo>
                <a:pt x="644652" y="2691384"/>
              </a:moveTo>
              <a:lnTo>
                <a:pt x="0" y="2691384"/>
              </a:lnTo>
              <a:lnTo>
                <a:pt x="0" y="2895600"/>
              </a:lnTo>
              <a:lnTo>
                <a:pt x="644652" y="2895600"/>
              </a:lnTo>
              <a:lnTo>
                <a:pt x="644652" y="2691384"/>
              </a:lnTo>
              <a:close/>
            </a:path>
            <a:path w="645160" h="3308985">
              <a:moveTo>
                <a:pt x="644652" y="2482596"/>
              </a:moveTo>
              <a:lnTo>
                <a:pt x="0" y="2482596"/>
              </a:lnTo>
              <a:lnTo>
                <a:pt x="0" y="2688336"/>
              </a:lnTo>
              <a:lnTo>
                <a:pt x="644652" y="2688336"/>
              </a:lnTo>
              <a:lnTo>
                <a:pt x="644652" y="2482596"/>
              </a:lnTo>
              <a:close/>
            </a:path>
            <a:path w="645160" h="3308985">
              <a:moveTo>
                <a:pt x="644652" y="2276856"/>
              </a:moveTo>
              <a:lnTo>
                <a:pt x="0" y="2276856"/>
              </a:lnTo>
              <a:lnTo>
                <a:pt x="0" y="2479548"/>
              </a:lnTo>
              <a:lnTo>
                <a:pt x="644652" y="2479548"/>
              </a:lnTo>
              <a:lnTo>
                <a:pt x="644652" y="2276856"/>
              </a:lnTo>
              <a:close/>
            </a:path>
            <a:path w="645160" h="3308985">
              <a:moveTo>
                <a:pt x="644652" y="2069592"/>
              </a:moveTo>
              <a:lnTo>
                <a:pt x="0" y="2069592"/>
              </a:lnTo>
              <a:lnTo>
                <a:pt x="0" y="2273808"/>
              </a:lnTo>
              <a:lnTo>
                <a:pt x="644652" y="2273808"/>
              </a:lnTo>
              <a:lnTo>
                <a:pt x="644652" y="2069592"/>
              </a:lnTo>
              <a:close/>
            </a:path>
            <a:path w="645160" h="3308985">
              <a:moveTo>
                <a:pt x="644652" y="1862328"/>
              </a:moveTo>
              <a:lnTo>
                <a:pt x="0" y="1862328"/>
              </a:lnTo>
              <a:lnTo>
                <a:pt x="0" y="2066544"/>
              </a:lnTo>
              <a:lnTo>
                <a:pt x="644652" y="2066544"/>
              </a:lnTo>
              <a:lnTo>
                <a:pt x="644652" y="1862328"/>
              </a:lnTo>
              <a:close/>
            </a:path>
            <a:path w="645160" h="3308985">
              <a:moveTo>
                <a:pt x="644652" y="1655064"/>
              </a:moveTo>
              <a:lnTo>
                <a:pt x="0" y="1655064"/>
              </a:lnTo>
              <a:lnTo>
                <a:pt x="0" y="1859280"/>
              </a:lnTo>
              <a:lnTo>
                <a:pt x="644652" y="1859280"/>
              </a:lnTo>
              <a:lnTo>
                <a:pt x="644652" y="1655064"/>
              </a:lnTo>
              <a:close/>
            </a:path>
            <a:path w="645160" h="3308985">
              <a:moveTo>
                <a:pt x="644652" y="1449324"/>
              </a:moveTo>
              <a:lnTo>
                <a:pt x="0" y="1449324"/>
              </a:lnTo>
              <a:lnTo>
                <a:pt x="0" y="1652016"/>
              </a:lnTo>
              <a:lnTo>
                <a:pt x="644652" y="1652016"/>
              </a:lnTo>
              <a:lnTo>
                <a:pt x="644652" y="1449324"/>
              </a:lnTo>
              <a:close/>
            </a:path>
            <a:path w="645160" h="3308985">
              <a:moveTo>
                <a:pt x="644652" y="1242060"/>
              </a:moveTo>
              <a:lnTo>
                <a:pt x="0" y="1242060"/>
              </a:lnTo>
              <a:lnTo>
                <a:pt x="0" y="1446276"/>
              </a:lnTo>
              <a:lnTo>
                <a:pt x="644652" y="1446276"/>
              </a:lnTo>
              <a:lnTo>
                <a:pt x="644652" y="1242060"/>
              </a:lnTo>
              <a:close/>
            </a:path>
            <a:path w="645160" h="3308985">
              <a:moveTo>
                <a:pt x="644652" y="1034796"/>
              </a:moveTo>
              <a:lnTo>
                <a:pt x="0" y="1034796"/>
              </a:lnTo>
              <a:lnTo>
                <a:pt x="0" y="1239012"/>
              </a:lnTo>
              <a:lnTo>
                <a:pt x="644652" y="1239012"/>
              </a:lnTo>
              <a:lnTo>
                <a:pt x="644652" y="1034796"/>
              </a:lnTo>
              <a:close/>
            </a:path>
            <a:path w="645160" h="3308985">
              <a:moveTo>
                <a:pt x="644652" y="827532"/>
              </a:moveTo>
              <a:lnTo>
                <a:pt x="0" y="827532"/>
              </a:lnTo>
              <a:lnTo>
                <a:pt x="0" y="1031748"/>
              </a:lnTo>
              <a:lnTo>
                <a:pt x="644652" y="1031748"/>
              </a:lnTo>
              <a:lnTo>
                <a:pt x="644652" y="827532"/>
              </a:lnTo>
              <a:close/>
            </a:path>
            <a:path w="645160" h="3308985">
              <a:moveTo>
                <a:pt x="644652" y="621792"/>
              </a:moveTo>
              <a:lnTo>
                <a:pt x="0" y="621792"/>
              </a:lnTo>
              <a:lnTo>
                <a:pt x="0" y="824484"/>
              </a:lnTo>
              <a:lnTo>
                <a:pt x="644652" y="824484"/>
              </a:lnTo>
              <a:lnTo>
                <a:pt x="644652" y="621792"/>
              </a:lnTo>
              <a:close/>
            </a:path>
            <a:path w="645160" h="3308985">
              <a:moveTo>
                <a:pt x="644652" y="414528"/>
              </a:moveTo>
              <a:lnTo>
                <a:pt x="0" y="414528"/>
              </a:lnTo>
              <a:lnTo>
                <a:pt x="0" y="618744"/>
              </a:lnTo>
              <a:lnTo>
                <a:pt x="644652" y="618744"/>
              </a:lnTo>
              <a:lnTo>
                <a:pt x="644652" y="414528"/>
              </a:lnTo>
              <a:close/>
            </a:path>
            <a:path w="645160" h="3308985">
              <a:moveTo>
                <a:pt x="644652" y="207264"/>
              </a:moveTo>
              <a:lnTo>
                <a:pt x="0" y="207264"/>
              </a:lnTo>
              <a:lnTo>
                <a:pt x="0" y="411480"/>
              </a:lnTo>
              <a:lnTo>
                <a:pt x="644652" y="411480"/>
              </a:lnTo>
              <a:lnTo>
                <a:pt x="644652" y="207264"/>
              </a:lnTo>
              <a:close/>
            </a:path>
            <a:path w="645160" h="3308985">
              <a:moveTo>
                <a:pt x="644652" y="0"/>
              </a:moveTo>
              <a:lnTo>
                <a:pt x="0" y="0"/>
              </a:lnTo>
              <a:lnTo>
                <a:pt x="0" y="204216"/>
              </a:lnTo>
              <a:lnTo>
                <a:pt x="644652" y="204216"/>
              </a:lnTo>
              <a:lnTo>
                <a:pt x="644652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543687</xdr:colOff>
      <xdr:row>20</xdr:row>
      <xdr:rowOff>204977</xdr:rowOff>
    </xdr:from>
    <xdr:ext cx="3808729" cy="480059"/>
    <xdr:sp macro="" textlink="">
      <xdr:nvSpPr>
        <xdr:cNvPr id="120" name="Shape 120">
          <a:extLst>
            <a:ext uri="{FF2B5EF4-FFF2-40B4-BE49-F238E27FC236}">
              <a16:creationId xmlns:a16="http://schemas.microsoft.com/office/drawing/2014/main" id="{00000000-0008-0000-0B00-000078000000}"/>
            </a:ext>
          </a:extLst>
        </xdr:cNvPr>
        <xdr:cNvSpPr/>
      </xdr:nvSpPr>
      <xdr:spPr>
        <a:xfrm>
          <a:off x="0" y="0"/>
          <a:ext cx="3808729" cy="480059"/>
        </a:xfrm>
        <a:custGeom>
          <a:avLst/>
          <a:gdLst/>
          <a:ahLst/>
          <a:cxnLst/>
          <a:rect l="0" t="0" r="0" b="0"/>
          <a:pathLst>
            <a:path w="3808729" h="480059">
              <a:moveTo>
                <a:pt x="760476" y="0"/>
              </a:moveTo>
              <a:lnTo>
                <a:pt x="0" y="0"/>
              </a:lnTo>
              <a:lnTo>
                <a:pt x="0" y="480060"/>
              </a:lnTo>
              <a:lnTo>
                <a:pt x="760476" y="480060"/>
              </a:lnTo>
              <a:lnTo>
                <a:pt x="760476" y="0"/>
              </a:lnTo>
              <a:close/>
            </a:path>
            <a:path w="3808729" h="480059">
              <a:moveTo>
                <a:pt x="1522476" y="0"/>
              </a:moveTo>
              <a:lnTo>
                <a:pt x="763524" y="0"/>
              </a:lnTo>
              <a:lnTo>
                <a:pt x="763524" y="480060"/>
              </a:lnTo>
              <a:lnTo>
                <a:pt x="1522476" y="480060"/>
              </a:lnTo>
              <a:lnTo>
                <a:pt x="1522476" y="0"/>
              </a:lnTo>
              <a:close/>
            </a:path>
            <a:path w="3808729" h="480059">
              <a:moveTo>
                <a:pt x="2284463" y="0"/>
              </a:moveTo>
              <a:lnTo>
                <a:pt x="1525524" y="0"/>
              </a:lnTo>
              <a:lnTo>
                <a:pt x="1525524" y="480060"/>
              </a:lnTo>
              <a:lnTo>
                <a:pt x="2284463" y="480060"/>
              </a:lnTo>
              <a:lnTo>
                <a:pt x="2284463" y="0"/>
              </a:lnTo>
              <a:close/>
            </a:path>
            <a:path w="3808729" h="480059">
              <a:moveTo>
                <a:pt x="3046476" y="0"/>
              </a:moveTo>
              <a:lnTo>
                <a:pt x="2287524" y="0"/>
              </a:lnTo>
              <a:lnTo>
                <a:pt x="2287524" y="480060"/>
              </a:lnTo>
              <a:lnTo>
                <a:pt x="3046476" y="480060"/>
              </a:lnTo>
              <a:lnTo>
                <a:pt x="3046476" y="0"/>
              </a:lnTo>
              <a:close/>
            </a:path>
            <a:path w="3808729" h="480059">
              <a:moveTo>
                <a:pt x="3808476" y="0"/>
              </a:moveTo>
              <a:lnTo>
                <a:pt x="3049524" y="0"/>
              </a:lnTo>
              <a:lnTo>
                <a:pt x="3049524" y="480060"/>
              </a:lnTo>
              <a:lnTo>
                <a:pt x="3808476" y="480060"/>
              </a:lnTo>
              <a:lnTo>
                <a:pt x="3808476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5</xdr:col>
      <xdr:colOff>202691</xdr:colOff>
      <xdr:row>3</xdr:row>
      <xdr:rowOff>49142</xdr:rowOff>
    </xdr:from>
    <xdr:ext cx="381000" cy="290285"/>
    <xdr:pic>
      <xdr:nvPicPr>
        <xdr:cNvPr id="121" name="image1.jpeg">
          <a:extLst>
            <a:ext uri="{FF2B5EF4-FFF2-40B4-BE49-F238E27FC236}">
              <a16:creationId xmlns:a16="http://schemas.microsoft.com/office/drawing/2014/main" id="{00000000-0008-0000-0B00-00007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290285"/>
        </a:xfrm>
        <a:prstGeom prst="rect">
          <a:avLst/>
        </a:prstGeom>
      </xdr:spPr>
    </xdr:pic>
    <xdr:clientData/>
  </xdr:oneCellAnchor>
  <xdr:oneCellAnchor>
    <xdr:from>
      <xdr:col>6</xdr:col>
      <xdr:colOff>201929</xdr:colOff>
      <xdr:row>3</xdr:row>
      <xdr:rowOff>761</xdr:rowOff>
    </xdr:from>
    <xdr:ext cx="338666" cy="381000"/>
    <xdr:pic>
      <xdr:nvPicPr>
        <xdr:cNvPr id="122" name="image2.jpeg">
          <a:extLst>
            <a:ext uri="{FF2B5EF4-FFF2-40B4-BE49-F238E27FC236}">
              <a16:creationId xmlns:a16="http://schemas.microsoft.com/office/drawing/2014/main" id="{00000000-0008-0000-0B00-00007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38666" cy="381000"/>
        </a:xfrm>
        <a:prstGeom prst="rect">
          <a:avLst/>
        </a:prstGeom>
      </xdr:spPr>
    </xdr:pic>
    <xdr:clientData/>
  </xdr:oneCellAnchor>
  <xdr:oneCellAnchor>
    <xdr:from>
      <xdr:col>7</xdr:col>
      <xdr:colOff>201930</xdr:colOff>
      <xdr:row>3</xdr:row>
      <xdr:rowOff>49142</xdr:rowOff>
    </xdr:from>
    <xdr:ext cx="381000" cy="290285"/>
    <xdr:pic>
      <xdr:nvPicPr>
        <xdr:cNvPr id="123" name="image3.jpeg">
          <a:extLst>
            <a:ext uri="{FF2B5EF4-FFF2-40B4-BE49-F238E27FC236}">
              <a16:creationId xmlns:a16="http://schemas.microsoft.com/office/drawing/2014/main" id="{00000000-0008-0000-0B00-00007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290285"/>
        </a:xfrm>
        <a:prstGeom prst="rect">
          <a:avLst/>
        </a:prstGeom>
      </xdr:spPr>
    </xdr:pic>
    <xdr:clientData/>
  </xdr:oneCellAnchor>
  <xdr:oneCellAnchor>
    <xdr:from>
      <xdr:col>8</xdr:col>
      <xdr:colOff>298691</xdr:colOff>
      <xdr:row>3</xdr:row>
      <xdr:rowOff>49142</xdr:rowOff>
    </xdr:from>
    <xdr:ext cx="193523" cy="290285"/>
    <xdr:pic>
      <xdr:nvPicPr>
        <xdr:cNvPr id="124" name="image4.jpeg">
          <a:extLst>
            <a:ext uri="{FF2B5EF4-FFF2-40B4-BE49-F238E27FC236}">
              <a16:creationId xmlns:a16="http://schemas.microsoft.com/office/drawing/2014/main" id="{00000000-0008-0000-0B00-00007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3523" cy="290285"/>
        </a:xfrm>
        <a:prstGeom prst="rect">
          <a:avLst/>
        </a:prstGeom>
      </xdr:spPr>
    </xdr:pic>
    <xdr:clientData/>
  </xdr:oneCellAnchor>
  <xdr:oneCellAnchor>
    <xdr:from>
      <xdr:col>9</xdr:col>
      <xdr:colOff>201929</xdr:colOff>
      <xdr:row>3</xdr:row>
      <xdr:rowOff>761</xdr:rowOff>
    </xdr:from>
    <xdr:ext cx="381000" cy="381000"/>
    <xdr:pic>
      <xdr:nvPicPr>
        <xdr:cNvPr id="125" name="image5.jpeg">
          <a:extLst>
            <a:ext uri="{FF2B5EF4-FFF2-40B4-BE49-F238E27FC236}">
              <a16:creationId xmlns:a16="http://schemas.microsoft.com/office/drawing/2014/main" id="{00000000-0008-0000-0B00-00007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381000"/>
        </a:xfrm>
        <a:prstGeom prst="rect">
          <a:avLst/>
        </a:prstGeom>
      </xdr:spPr>
    </xdr:pic>
    <xdr:clientData/>
  </xdr:oneCellAnchor>
  <xdr:oneCellAnchor>
    <xdr:from>
      <xdr:col>1</xdr:col>
      <xdr:colOff>226059</xdr:colOff>
      <xdr:row>22</xdr:row>
      <xdr:rowOff>0</xdr:rowOff>
    </xdr:from>
    <xdr:ext cx="7486015" cy="3514725"/>
    <xdr:grpSp>
      <xdr:nvGrpSpPr>
        <xdr:cNvPr id="126" name="Group 126">
          <a:extLst>
            <a:ext uri="{FF2B5EF4-FFF2-40B4-BE49-F238E27FC236}">
              <a16:creationId xmlns:a16="http://schemas.microsoft.com/office/drawing/2014/main" id="{00000000-0008-0000-0B00-00007E000000}"/>
            </a:ext>
          </a:extLst>
        </xdr:cNvPr>
        <xdr:cNvGrpSpPr/>
      </xdr:nvGrpSpPr>
      <xdr:grpSpPr>
        <a:xfrm>
          <a:off x="607059" y="5615940"/>
          <a:ext cx="7486015" cy="3514725"/>
          <a:chOff x="0" y="0"/>
          <a:chExt cx="7486015" cy="3514725"/>
        </a:xfrm>
      </xdr:grpSpPr>
      <xdr:sp macro="" textlink="">
        <xdr:nvSpPr>
          <xdr:cNvPr id="127" name="Shape 127">
            <a:extLst>
              <a:ext uri="{FF2B5EF4-FFF2-40B4-BE49-F238E27FC236}">
                <a16:creationId xmlns:a16="http://schemas.microsoft.com/office/drawing/2014/main" id="{00000000-0008-0000-0B00-00007F000000}"/>
              </a:ext>
            </a:extLst>
          </xdr:cNvPr>
          <xdr:cNvSpPr/>
        </xdr:nvSpPr>
        <xdr:spPr>
          <a:xfrm>
            <a:off x="1267968" y="0"/>
            <a:ext cx="6217920" cy="2066925"/>
          </a:xfrm>
          <a:custGeom>
            <a:avLst/>
            <a:gdLst/>
            <a:ahLst/>
            <a:cxnLst/>
            <a:rect l="0" t="0" r="0" b="0"/>
            <a:pathLst>
              <a:path w="6217920" h="2066925">
                <a:moveTo>
                  <a:pt x="1263396" y="0"/>
                </a:moveTo>
                <a:lnTo>
                  <a:pt x="0" y="0"/>
                </a:lnTo>
                <a:lnTo>
                  <a:pt x="0" y="1652016"/>
                </a:lnTo>
                <a:lnTo>
                  <a:pt x="1263396" y="1652016"/>
                </a:lnTo>
                <a:lnTo>
                  <a:pt x="1263396" y="0"/>
                </a:lnTo>
                <a:close/>
              </a:path>
              <a:path w="6217920" h="2066925">
                <a:moveTo>
                  <a:pt x="1769364" y="1862328"/>
                </a:moveTo>
                <a:lnTo>
                  <a:pt x="1266444" y="1862328"/>
                </a:lnTo>
                <a:lnTo>
                  <a:pt x="1266444" y="2066544"/>
                </a:lnTo>
                <a:lnTo>
                  <a:pt x="1769364" y="2066544"/>
                </a:lnTo>
                <a:lnTo>
                  <a:pt x="1769364" y="1862328"/>
                </a:lnTo>
                <a:close/>
              </a:path>
              <a:path w="6217920" h="2066925">
                <a:moveTo>
                  <a:pt x="1769364" y="1655064"/>
                </a:moveTo>
                <a:lnTo>
                  <a:pt x="1266444" y="1655064"/>
                </a:lnTo>
                <a:lnTo>
                  <a:pt x="1266444" y="1859280"/>
                </a:lnTo>
                <a:lnTo>
                  <a:pt x="1769364" y="1859280"/>
                </a:lnTo>
                <a:lnTo>
                  <a:pt x="1769364" y="1655064"/>
                </a:lnTo>
                <a:close/>
              </a:path>
              <a:path w="6217920" h="2066925">
                <a:moveTo>
                  <a:pt x="1769364" y="1449324"/>
                </a:moveTo>
                <a:lnTo>
                  <a:pt x="1266444" y="1449324"/>
                </a:lnTo>
                <a:lnTo>
                  <a:pt x="1266444" y="1652016"/>
                </a:lnTo>
                <a:lnTo>
                  <a:pt x="1769364" y="1652016"/>
                </a:lnTo>
                <a:lnTo>
                  <a:pt x="1769364" y="1449324"/>
                </a:lnTo>
                <a:close/>
              </a:path>
              <a:path w="6217920" h="2066925">
                <a:moveTo>
                  <a:pt x="1769364" y="1242060"/>
                </a:moveTo>
                <a:lnTo>
                  <a:pt x="1266444" y="1242060"/>
                </a:lnTo>
                <a:lnTo>
                  <a:pt x="1266444" y="1446276"/>
                </a:lnTo>
                <a:lnTo>
                  <a:pt x="1769364" y="1446276"/>
                </a:lnTo>
                <a:lnTo>
                  <a:pt x="1769364" y="1242060"/>
                </a:lnTo>
                <a:close/>
              </a:path>
              <a:path w="6217920" h="2066925">
                <a:moveTo>
                  <a:pt x="1769364" y="1034796"/>
                </a:moveTo>
                <a:lnTo>
                  <a:pt x="1266444" y="1034796"/>
                </a:lnTo>
                <a:lnTo>
                  <a:pt x="1266444" y="1239012"/>
                </a:lnTo>
                <a:lnTo>
                  <a:pt x="1769364" y="1239012"/>
                </a:lnTo>
                <a:lnTo>
                  <a:pt x="1769364" y="1034796"/>
                </a:lnTo>
                <a:close/>
              </a:path>
              <a:path w="6217920" h="2066925">
                <a:moveTo>
                  <a:pt x="1769364" y="827532"/>
                </a:moveTo>
                <a:lnTo>
                  <a:pt x="1266444" y="827532"/>
                </a:lnTo>
                <a:lnTo>
                  <a:pt x="1266444" y="1031748"/>
                </a:lnTo>
                <a:lnTo>
                  <a:pt x="1769364" y="1031748"/>
                </a:lnTo>
                <a:lnTo>
                  <a:pt x="1769364" y="827532"/>
                </a:lnTo>
                <a:close/>
              </a:path>
              <a:path w="6217920" h="2066925">
                <a:moveTo>
                  <a:pt x="1769364" y="621792"/>
                </a:moveTo>
                <a:lnTo>
                  <a:pt x="1266444" y="621792"/>
                </a:lnTo>
                <a:lnTo>
                  <a:pt x="1266444" y="824484"/>
                </a:lnTo>
                <a:lnTo>
                  <a:pt x="1769364" y="824484"/>
                </a:lnTo>
                <a:lnTo>
                  <a:pt x="1769364" y="621792"/>
                </a:lnTo>
                <a:close/>
              </a:path>
              <a:path w="6217920" h="2066925">
                <a:moveTo>
                  <a:pt x="1769364" y="414528"/>
                </a:moveTo>
                <a:lnTo>
                  <a:pt x="1266444" y="414528"/>
                </a:lnTo>
                <a:lnTo>
                  <a:pt x="1266444" y="618744"/>
                </a:lnTo>
                <a:lnTo>
                  <a:pt x="1769364" y="618744"/>
                </a:lnTo>
                <a:lnTo>
                  <a:pt x="1769364" y="414528"/>
                </a:lnTo>
                <a:close/>
              </a:path>
              <a:path w="6217920" h="2066925">
                <a:moveTo>
                  <a:pt x="1769364" y="207264"/>
                </a:moveTo>
                <a:lnTo>
                  <a:pt x="1266444" y="207264"/>
                </a:lnTo>
                <a:lnTo>
                  <a:pt x="1266444" y="411480"/>
                </a:lnTo>
                <a:lnTo>
                  <a:pt x="1769364" y="411480"/>
                </a:lnTo>
                <a:lnTo>
                  <a:pt x="1769364" y="207264"/>
                </a:lnTo>
                <a:close/>
              </a:path>
              <a:path w="6217920" h="2066925">
                <a:moveTo>
                  <a:pt x="1769364" y="0"/>
                </a:moveTo>
                <a:lnTo>
                  <a:pt x="1266444" y="0"/>
                </a:lnTo>
                <a:lnTo>
                  <a:pt x="1266444" y="204216"/>
                </a:lnTo>
                <a:lnTo>
                  <a:pt x="1769364" y="204216"/>
                </a:lnTo>
                <a:lnTo>
                  <a:pt x="1769364" y="0"/>
                </a:lnTo>
                <a:close/>
              </a:path>
              <a:path w="6217920" h="2066925">
                <a:moveTo>
                  <a:pt x="2406396" y="1862328"/>
                </a:moveTo>
                <a:lnTo>
                  <a:pt x="1772412" y="1862328"/>
                </a:lnTo>
                <a:lnTo>
                  <a:pt x="1772412" y="2066544"/>
                </a:lnTo>
                <a:lnTo>
                  <a:pt x="2406396" y="2066544"/>
                </a:lnTo>
                <a:lnTo>
                  <a:pt x="2406396" y="1862328"/>
                </a:lnTo>
                <a:close/>
              </a:path>
              <a:path w="6217920" h="2066925">
                <a:moveTo>
                  <a:pt x="2406396" y="1655064"/>
                </a:moveTo>
                <a:lnTo>
                  <a:pt x="1772412" y="1655064"/>
                </a:lnTo>
                <a:lnTo>
                  <a:pt x="1772412" y="1859280"/>
                </a:lnTo>
                <a:lnTo>
                  <a:pt x="2406396" y="1859280"/>
                </a:lnTo>
                <a:lnTo>
                  <a:pt x="2406396" y="1655064"/>
                </a:lnTo>
                <a:close/>
              </a:path>
              <a:path w="6217920" h="2066925">
                <a:moveTo>
                  <a:pt x="2406396" y="1449324"/>
                </a:moveTo>
                <a:lnTo>
                  <a:pt x="1772412" y="1449324"/>
                </a:lnTo>
                <a:lnTo>
                  <a:pt x="1772412" y="1652016"/>
                </a:lnTo>
                <a:lnTo>
                  <a:pt x="2406396" y="1652016"/>
                </a:lnTo>
                <a:lnTo>
                  <a:pt x="2406396" y="1449324"/>
                </a:lnTo>
                <a:close/>
              </a:path>
              <a:path w="6217920" h="2066925">
                <a:moveTo>
                  <a:pt x="2406396" y="1242060"/>
                </a:moveTo>
                <a:lnTo>
                  <a:pt x="1772412" y="1242060"/>
                </a:lnTo>
                <a:lnTo>
                  <a:pt x="1772412" y="1446276"/>
                </a:lnTo>
                <a:lnTo>
                  <a:pt x="2406396" y="1446276"/>
                </a:lnTo>
                <a:lnTo>
                  <a:pt x="2406396" y="1242060"/>
                </a:lnTo>
                <a:close/>
              </a:path>
              <a:path w="6217920" h="2066925">
                <a:moveTo>
                  <a:pt x="2406396" y="1034796"/>
                </a:moveTo>
                <a:lnTo>
                  <a:pt x="1772412" y="1034796"/>
                </a:lnTo>
                <a:lnTo>
                  <a:pt x="1772412" y="1239012"/>
                </a:lnTo>
                <a:lnTo>
                  <a:pt x="2406396" y="1239012"/>
                </a:lnTo>
                <a:lnTo>
                  <a:pt x="2406396" y="1034796"/>
                </a:lnTo>
                <a:close/>
              </a:path>
              <a:path w="6217920" h="2066925">
                <a:moveTo>
                  <a:pt x="2406396" y="827532"/>
                </a:moveTo>
                <a:lnTo>
                  <a:pt x="1772412" y="827532"/>
                </a:lnTo>
                <a:lnTo>
                  <a:pt x="1772412" y="1031748"/>
                </a:lnTo>
                <a:lnTo>
                  <a:pt x="2406396" y="1031748"/>
                </a:lnTo>
                <a:lnTo>
                  <a:pt x="2406396" y="827532"/>
                </a:lnTo>
                <a:close/>
              </a:path>
              <a:path w="6217920" h="2066925">
                <a:moveTo>
                  <a:pt x="2406396" y="621792"/>
                </a:moveTo>
                <a:lnTo>
                  <a:pt x="1772412" y="621792"/>
                </a:lnTo>
                <a:lnTo>
                  <a:pt x="1772412" y="824484"/>
                </a:lnTo>
                <a:lnTo>
                  <a:pt x="2406396" y="824484"/>
                </a:lnTo>
                <a:lnTo>
                  <a:pt x="2406396" y="621792"/>
                </a:lnTo>
                <a:close/>
              </a:path>
              <a:path w="6217920" h="2066925">
                <a:moveTo>
                  <a:pt x="2406396" y="414528"/>
                </a:moveTo>
                <a:lnTo>
                  <a:pt x="1772412" y="414528"/>
                </a:lnTo>
                <a:lnTo>
                  <a:pt x="1772412" y="618744"/>
                </a:lnTo>
                <a:lnTo>
                  <a:pt x="2406396" y="618744"/>
                </a:lnTo>
                <a:lnTo>
                  <a:pt x="2406396" y="414528"/>
                </a:lnTo>
                <a:close/>
              </a:path>
              <a:path w="6217920" h="2066925">
                <a:moveTo>
                  <a:pt x="2406396" y="207264"/>
                </a:moveTo>
                <a:lnTo>
                  <a:pt x="1772412" y="207264"/>
                </a:lnTo>
                <a:lnTo>
                  <a:pt x="1772412" y="411480"/>
                </a:lnTo>
                <a:lnTo>
                  <a:pt x="2406396" y="411480"/>
                </a:lnTo>
                <a:lnTo>
                  <a:pt x="2406396" y="207264"/>
                </a:lnTo>
                <a:close/>
              </a:path>
              <a:path w="6217920" h="2066925">
                <a:moveTo>
                  <a:pt x="2406396" y="0"/>
                </a:moveTo>
                <a:lnTo>
                  <a:pt x="1772412" y="0"/>
                </a:lnTo>
                <a:lnTo>
                  <a:pt x="1772412" y="204216"/>
                </a:lnTo>
                <a:lnTo>
                  <a:pt x="2406396" y="204216"/>
                </a:lnTo>
                <a:lnTo>
                  <a:pt x="2406396" y="0"/>
                </a:lnTo>
                <a:close/>
              </a:path>
              <a:path w="6217920" h="2066925">
                <a:moveTo>
                  <a:pt x="3169920" y="1862328"/>
                </a:moveTo>
                <a:lnTo>
                  <a:pt x="2409444" y="1862328"/>
                </a:lnTo>
                <a:lnTo>
                  <a:pt x="2409444" y="2066544"/>
                </a:lnTo>
                <a:lnTo>
                  <a:pt x="3169920" y="2066544"/>
                </a:lnTo>
                <a:lnTo>
                  <a:pt x="3169920" y="1862328"/>
                </a:lnTo>
                <a:close/>
              </a:path>
              <a:path w="6217920" h="2066925">
                <a:moveTo>
                  <a:pt x="3169920" y="1655064"/>
                </a:moveTo>
                <a:lnTo>
                  <a:pt x="2409444" y="1655064"/>
                </a:lnTo>
                <a:lnTo>
                  <a:pt x="2409444" y="1859280"/>
                </a:lnTo>
                <a:lnTo>
                  <a:pt x="3169920" y="1859280"/>
                </a:lnTo>
                <a:lnTo>
                  <a:pt x="3169920" y="1655064"/>
                </a:lnTo>
                <a:close/>
              </a:path>
              <a:path w="6217920" h="2066925">
                <a:moveTo>
                  <a:pt x="3169920" y="1449324"/>
                </a:moveTo>
                <a:lnTo>
                  <a:pt x="2409444" y="1449324"/>
                </a:lnTo>
                <a:lnTo>
                  <a:pt x="2409444" y="1652016"/>
                </a:lnTo>
                <a:lnTo>
                  <a:pt x="3169920" y="1652016"/>
                </a:lnTo>
                <a:lnTo>
                  <a:pt x="3169920" y="1449324"/>
                </a:lnTo>
                <a:close/>
              </a:path>
              <a:path w="6217920" h="2066925">
                <a:moveTo>
                  <a:pt x="3169920" y="1242060"/>
                </a:moveTo>
                <a:lnTo>
                  <a:pt x="2409444" y="1242060"/>
                </a:lnTo>
                <a:lnTo>
                  <a:pt x="2409444" y="1446276"/>
                </a:lnTo>
                <a:lnTo>
                  <a:pt x="3169920" y="1446276"/>
                </a:lnTo>
                <a:lnTo>
                  <a:pt x="3169920" y="1242060"/>
                </a:lnTo>
                <a:close/>
              </a:path>
              <a:path w="6217920" h="2066925">
                <a:moveTo>
                  <a:pt x="3169920" y="1034796"/>
                </a:moveTo>
                <a:lnTo>
                  <a:pt x="2409444" y="1034796"/>
                </a:lnTo>
                <a:lnTo>
                  <a:pt x="2409444" y="1239012"/>
                </a:lnTo>
                <a:lnTo>
                  <a:pt x="3169920" y="1239012"/>
                </a:lnTo>
                <a:lnTo>
                  <a:pt x="3169920" y="1034796"/>
                </a:lnTo>
                <a:close/>
              </a:path>
              <a:path w="6217920" h="2066925">
                <a:moveTo>
                  <a:pt x="3169920" y="827532"/>
                </a:moveTo>
                <a:lnTo>
                  <a:pt x="2409444" y="827532"/>
                </a:lnTo>
                <a:lnTo>
                  <a:pt x="2409444" y="1031748"/>
                </a:lnTo>
                <a:lnTo>
                  <a:pt x="3169920" y="1031748"/>
                </a:lnTo>
                <a:lnTo>
                  <a:pt x="3169920" y="827532"/>
                </a:lnTo>
                <a:close/>
              </a:path>
              <a:path w="6217920" h="2066925">
                <a:moveTo>
                  <a:pt x="3169920" y="621792"/>
                </a:moveTo>
                <a:lnTo>
                  <a:pt x="2409444" y="621792"/>
                </a:lnTo>
                <a:lnTo>
                  <a:pt x="2409444" y="824484"/>
                </a:lnTo>
                <a:lnTo>
                  <a:pt x="3169920" y="824484"/>
                </a:lnTo>
                <a:lnTo>
                  <a:pt x="3169920" y="621792"/>
                </a:lnTo>
                <a:close/>
              </a:path>
              <a:path w="6217920" h="2066925">
                <a:moveTo>
                  <a:pt x="3169920" y="414528"/>
                </a:moveTo>
                <a:lnTo>
                  <a:pt x="2409444" y="414528"/>
                </a:lnTo>
                <a:lnTo>
                  <a:pt x="2409444" y="618744"/>
                </a:lnTo>
                <a:lnTo>
                  <a:pt x="3169920" y="618744"/>
                </a:lnTo>
                <a:lnTo>
                  <a:pt x="3169920" y="414528"/>
                </a:lnTo>
                <a:close/>
              </a:path>
              <a:path w="6217920" h="2066925">
                <a:moveTo>
                  <a:pt x="3169920" y="207264"/>
                </a:moveTo>
                <a:lnTo>
                  <a:pt x="2409444" y="207264"/>
                </a:lnTo>
                <a:lnTo>
                  <a:pt x="2409444" y="411480"/>
                </a:lnTo>
                <a:lnTo>
                  <a:pt x="3169920" y="411480"/>
                </a:lnTo>
                <a:lnTo>
                  <a:pt x="3169920" y="207264"/>
                </a:lnTo>
                <a:close/>
              </a:path>
              <a:path w="6217920" h="2066925">
                <a:moveTo>
                  <a:pt x="3169920" y="0"/>
                </a:moveTo>
                <a:lnTo>
                  <a:pt x="2409444" y="0"/>
                </a:lnTo>
                <a:lnTo>
                  <a:pt x="2409444" y="204216"/>
                </a:lnTo>
                <a:lnTo>
                  <a:pt x="3169920" y="204216"/>
                </a:lnTo>
                <a:lnTo>
                  <a:pt x="3169920" y="0"/>
                </a:lnTo>
                <a:close/>
              </a:path>
              <a:path w="6217920" h="2066925">
                <a:moveTo>
                  <a:pt x="3931920" y="1862328"/>
                </a:moveTo>
                <a:lnTo>
                  <a:pt x="3172968" y="1862328"/>
                </a:lnTo>
                <a:lnTo>
                  <a:pt x="3172968" y="2066544"/>
                </a:lnTo>
                <a:lnTo>
                  <a:pt x="3931920" y="2066544"/>
                </a:lnTo>
                <a:lnTo>
                  <a:pt x="3931920" y="1862328"/>
                </a:lnTo>
                <a:close/>
              </a:path>
              <a:path w="6217920" h="2066925">
                <a:moveTo>
                  <a:pt x="3931920" y="1655064"/>
                </a:moveTo>
                <a:lnTo>
                  <a:pt x="3172968" y="1655064"/>
                </a:lnTo>
                <a:lnTo>
                  <a:pt x="3172968" y="1859280"/>
                </a:lnTo>
                <a:lnTo>
                  <a:pt x="3931920" y="1859280"/>
                </a:lnTo>
                <a:lnTo>
                  <a:pt x="3931920" y="1655064"/>
                </a:lnTo>
                <a:close/>
              </a:path>
              <a:path w="6217920" h="2066925">
                <a:moveTo>
                  <a:pt x="3931920" y="1449324"/>
                </a:moveTo>
                <a:lnTo>
                  <a:pt x="3172968" y="1449324"/>
                </a:lnTo>
                <a:lnTo>
                  <a:pt x="3172968" y="1652016"/>
                </a:lnTo>
                <a:lnTo>
                  <a:pt x="3931920" y="1652016"/>
                </a:lnTo>
                <a:lnTo>
                  <a:pt x="3931920" y="1449324"/>
                </a:lnTo>
                <a:close/>
              </a:path>
              <a:path w="6217920" h="2066925">
                <a:moveTo>
                  <a:pt x="3931920" y="1242060"/>
                </a:moveTo>
                <a:lnTo>
                  <a:pt x="3172968" y="1242060"/>
                </a:lnTo>
                <a:lnTo>
                  <a:pt x="3172968" y="1446276"/>
                </a:lnTo>
                <a:lnTo>
                  <a:pt x="3931920" y="1446276"/>
                </a:lnTo>
                <a:lnTo>
                  <a:pt x="3931920" y="1242060"/>
                </a:lnTo>
                <a:close/>
              </a:path>
              <a:path w="6217920" h="2066925">
                <a:moveTo>
                  <a:pt x="3931920" y="1034796"/>
                </a:moveTo>
                <a:lnTo>
                  <a:pt x="3172968" y="1034796"/>
                </a:lnTo>
                <a:lnTo>
                  <a:pt x="3172968" y="1239012"/>
                </a:lnTo>
                <a:lnTo>
                  <a:pt x="3931920" y="1239012"/>
                </a:lnTo>
                <a:lnTo>
                  <a:pt x="3931920" y="1034796"/>
                </a:lnTo>
                <a:close/>
              </a:path>
              <a:path w="6217920" h="2066925">
                <a:moveTo>
                  <a:pt x="3931920" y="827532"/>
                </a:moveTo>
                <a:lnTo>
                  <a:pt x="3172968" y="827532"/>
                </a:lnTo>
                <a:lnTo>
                  <a:pt x="3172968" y="1031748"/>
                </a:lnTo>
                <a:lnTo>
                  <a:pt x="3931920" y="1031748"/>
                </a:lnTo>
                <a:lnTo>
                  <a:pt x="3931920" y="827532"/>
                </a:lnTo>
                <a:close/>
              </a:path>
              <a:path w="6217920" h="2066925">
                <a:moveTo>
                  <a:pt x="3931920" y="621792"/>
                </a:moveTo>
                <a:lnTo>
                  <a:pt x="3172968" y="621792"/>
                </a:lnTo>
                <a:lnTo>
                  <a:pt x="3172968" y="824484"/>
                </a:lnTo>
                <a:lnTo>
                  <a:pt x="3931920" y="824484"/>
                </a:lnTo>
                <a:lnTo>
                  <a:pt x="3931920" y="621792"/>
                </a:lnTo>
                <a:close/>
              </a:path>
              <a:path w="6217920" h="2066925">
                <a:moveTo>
                  <a:pt x="3931920" y="414528"/>
                </a:moveTo>
                <a:lnTo>
                  <a:pt x="3172968" y="414528"/>
                </a:lnTo>
                <a:lnTo>
                  <a:pt x="3172968" y="618744"/>
                </a:lnTo>
                <a:lnTo>
                  <a:pt x="3931920" y="618744"/>
                </a:lnTo>
                <a:lnTo>
                  <a:pt x="3931920" y="414528"/>
                </a:lnTo>
                <a:close/>
              </a:path>
              <a:path w="6217920" h="2066925">
                <a:moveTo>
                  <a:pt x="3931920" y="207264"/>
                </a:moveTo>
                <a:lnTo>
                  <a:pt x="3172968" y="207264"/>
                </a:lnTo>
                <a:lnTo>
                  <a:pt x="3172968" y="411480"/>
                </a:lnTo>
                <a:lnTo>
                  <a:pt x="3931920" y="411480"/>
                </a:lnTo>
                <a:lnTo>
                  <a:pt x="3931920" y="207264"/>
                </a:lnTo>
                <a:close/>
              </a:path>
              <a:path w="6217920" h="2066925">
                <a:moveTo>
                  <a:pt x="3931920" y="0"/>
                </a:moveTo>
                <a:lnTo>
                  <a:pt x="3172968" y="0"/>
                </a:lnTo>
                <a:lnTo>
                  <a:pt x="3172968" y="204216"/>
                </a:lnTo>
                <a:lnTo>
                  <a:pt x="3931920" y="204216"/>
                </a:lnTo>
                <a:lnTo>
                  <a:pt x="3931920" y="0"/>
                </a:lnTo>
                <a:close/>
              </a:path>
              <a:path w="6217920" h="2066925">
                <a:moveTo>
                  <a:pt x="4693907" y="1862328"/>
                </a:moveTo>
                <a:lnTo>
                  <a:pt x="3934968" y="1862328"/>
                </a:lnTo>
                <a:lnTo>
                  <a:pt x="3934968" y="2066544"/>
                </a:lnTo>
                <a:lnTo>
                  <a:pt x="4693907" y="2066544"/>
                </a:lnTo>
                <a:lnTo>
                  <a:pt x="4693907" y="1862328"/>
                </a:lnTo>
                <a:close/>
              </a:path>
              <a:path w="6217920" h="2066925">
                <a:moveTo>
                  <a:pt x="4693907" y="1655064"/>
                </a:moveTo>
                <a:lnTo>
                  <a:pt x="3934968" y="1655064"/>
                </a:lnTo>
                <a:lnTo>
                  <a:pt x="3934968" y="1859280"/>
                </a:lnTo>
                <a:lnTo>
                  <a:pt x="4693907" y="1859280"/>
                </a:lnTo>
                <a:lnTo>
                  <a:pt x="4693907" y="1655064"/>
                </a:lnTo>
                <a:close/>
              </a:path>
              <a:path w="6217920" h="2066925">
                <a:moveTo>
                  <a:pt x="4693907" y="1449324"/>
                </a:moveTo>
                <a:lnTo>
                  <a:pt x="3934968" y="1449324"/>
                </a:lnTo>
                <a:lnTo>
                  <a:pt x="3934968" y="1652016"/>
                </a:lnTo>
                <a:lnTo>
                  <a:pt x="4693907" y="1652016"/>
                </a:lnTo>
                <a:lnTo>
                  <a:pt x="4693907" y="1449324"/>
                </a:lnTo>
                <a:close/>
              </a:path>
              <a:path w="6217920" h="2066925">
                <a:moveTo>
                  <a:pt x="4693907" y="1242060"/>
                </a:moveTo>
                <a:lnTo>
                  <a:pt x="3934968" y="1242060"/>
                </a:lnTo>
                <a:lnTo>
                  <a:pt x="3934968" y="1446276"/>
                </a:lnTo>
                <a:lnTo>
                  <a:pt x="4693907" y="1446276"/>
                </a:lnTo>
                <a:lnTo>
                  <a:pt x="4693907" y="1242060"/>
                </a:lnTo>
                <a:close/>
              </a:path>
              <a:path w="6217920" h="2066925">
                <a:moveTo>
                  <a:pt x="4693907" y="1034796"/>
                </a:moveTo>
                <a:lnTo>
                  <a:pt x="3934968" y="1034796"/>
                </a:lnTo>
                <a:lnTo>
                  <a:pt x="3934968" y="1239012"/>
                </a:lnTo>
                <a:lnTo>
                  <a:pt x="4693907" y="1239012"/>
                </a:lnTo>
                <a:lnTo>
                  <a:pt x="4693907" y="1034796"/>
                </a:lnTo>
                <a:close/>
              </a:path>
              <a:path w="6217920" h="2066925">
                <a:moveTo>
                  <a:pt x="4693907" y="827532"/>
                </a:moveTo>
                <a:lnTo>
                  <a:pt x="3934968" y="827532"/>
                </a:lnTo>
                <a:lnTo>
                  <a:pt x="3934968" y="1031748"/>
                </a:lnTo>
                <a:lnTo>
                  <a:pt x="4693907" y="1031748"/>
                </a:lnTo>
                <a:lnTo>
                  <a:pt x="4693907" y="827532"/>
                </a:lnTo>
                <a:close/>
              </a:path>
              <a:path w="6217920" h="2066925">
                <a:moveTo>
                  <a:pt x="4693907" y="621792"/>
                </a:moveTo>
                <a:lnTo>
                  <a:pt x="3934968" y="621792"/>
                </a:lnTo>
                <a:lnTo>
                  <a:pt x="3934968" y="824484"/>
                </a:lnTo>
                <a:lnTo>
                  <a:pt x="4693907" y="824484"/>
                </a:lnTo>
                <a:lnTo>
                  <a:pt x="4693907" y="621792"/>
                </a:lnTo>
                <a:close/>
              </a:path>
              <a:path w="6217920" h="2066925">
                <a:moveTo>
                  <a:pt x="4693907" y="414528"/>
                </a:moveTo>
                <a:lnTo>
                  <a:pt x="3934968" y="414528"/>
                </a:lnTo>
                <a:lnTo>
                  <a:pt x="3934968" y="618744"/>
                </a:lnTo>
                <a:lnTo>
                  <a:pt x="4693907" y="618744"/>
                </a:lnTo>
                <a:lnTo>
                  <a:pt x="4693907" y="414528"/>
                </a:lnTo>
                <a:close/>
              </a:path>
              <a:path w="6217920" h="2066925">
                <a:moveTo>
                  <a:pt x="4693907" y="207264"/>
                </a:moveTo>
                <a:lnTo>
                  <a:pt x="3934968" y="207264"/>
                </a:lnTo>
                <a:lnTo>
                  <a:pt x="3934968" y="411480"/>
                </a:lnTo>
                <a:lnTo>
                  <a:pt x="4693907" y="411480"/>
                </a:lnTo>
                <a:lnTo>
                  <a:pt x="4693907" y="207264"/>
                </a:lnTo>
                <a:close/>
              </a:path>
              <a:path w="6217920" h="2066925">
                <a:moveTo>
                  <a:pt x="4693907" y="0"/>
                </a:moveTo>
                <a:lnTo>
                  <a:pt x="3934968" y="0"/>
                </a:lnTo>
                <a:lnTo>
                  <a:pt x="3934968" y="204216"/>
                </a:lnTo>
                <a:lnTo>
                  <a:pt x="4693907" y="204216"/>
                </a:lnTo>
                <a:lnTo>
                  <a:pt x="4693907" y="0"/>
                </a:lnTo>
                <a:close/>
              </a:path>
              <a:path w="6217920" h="2066925">
                <a:moveTo>
                  <a:pt x="5455920" y="1862328"/>
                </a:moveTo>
                <a:lnTo>
                  <a:pt x="4696968" y="1862328"/>
                </a:lnTo>
                <a:lnTo>
                  <a:pt x="4696968" y="2066544"/>
                </a:lnTo>
                <a:lnTo>
                  <a:pt x="5455920" y="2066544"/>
                </a:lnTo>
                <a:lnTo>
                  <a:pt x="5455920" y="1862328"/>
                </a:lnTo>
                <a:close/>
              </a:path>
              <a:path w="6217920" h="2066925">
                <a:moveTo>
                  <a:pt x="5455920" y="1655064"/>
                </a:moveTo>
                <a:lnTo>
                  <a:pt x="4696968" y="1655064"/>
                </a:lnTo>
                <a:lnTo>
                  <a:pt x="4696968" y="1859280"/>
                </a:lnTo>
                <a:lnTo>
                  <a:pt x="5455920" y="1859280"/>
                </a:lnTo>
                <a:lnTo>
                  <a:pt x="5455920" y="1655064"/>
                </a:lnTo>
                <a:close/>
              </a:path>
              <a:path w="6217920" h="2066925">
                <a:moveTo>
                  <a:pt x="5455920" y="1449324"/>
                </a:moveTo>
                <a:lnTo>
                  <a:pt x="4696968" y="1449324"/>
                </a:lnTo>
                <a:lnTo>
                  <a:pt x="4696968" y="1652016"/>
                </a:lnTo>
                <a:lnTo>
                  <a:pt x="5455920" y="1652016"/>
                </a:lnTo>
                <a:lnTo>
                  <a:pt x="5455920" y="1449324"/>
                </a:lnTo>
                <a:close/>
              </a:path>
              <a:path w="6217920" h="2066925">
                <a:moveTo>
                  <a:pt x="5455920" y="1242060"/>
                </a:moveTo>
                <a:lnTo>
                  <a:pt x="4696968" y="1242060"/>
                </a:lnTo>
                <a:lnTo>
                  <a:pt x="4696968" y="1446276"/>
                </a:lnTo>
                <a:lnTo>
                  <a:pt x="5455920" y="1446276"/>
                </a:lnTo>
                <a:lnTo>
                  <a:pt x="5455920" y="1242060"/>
                </a:lnTo>
                <a:close/>
              </a:path>
              <a:path w="6217920" h="2066925">
                <a:moveTo>
                  <a:pt x="5455920" y="1034796"/>
                </a:moveTo>
                <a:lnTo>
                  <a:pt x="4696968" y="1034796"/>
                </a:lnTo>
                <a:lnTo>
                  <a:pt x="4696968" y="1239012"/>
                </a:lnTo>
                <a:lnTo>
                  <a:pt x="5455920" y="1239012"/>
                </a:lnTo>
                <a:lnTo>
                  <a:pt x="5455920" y="1034796"/>
                </a:lnTo>
                <a:close/>
              </a:path>
              <a:path w="6217920" h="2066925">
                <a:moveTo>
                  <a:pt x="5455920" y="827532"/>
                </a:moveTo>
                <a:lnTo>
                  <a:pt x="4696968" y="827532"/>
                </a:lnTo>
                <a:lnTo>
                  <a:pt x="4696968" y="1031748"/>
                </a:lnTo>
                <a:lnTo>
                  <a:pt x="5455920" y="1031748"/>
                </a:lnTo>
                <a:lnTo>
                  <a:pt x="5455920" y="827532"/>
                </a:lnTo>
                <a:close/>
              </a:path>
              <a:path w="6217920" h="2066925">
                <a:moveTo>
                  <a:pt x="5455920" y="621792"/>
                </a:moveTo>
                <a:lnTo>
                  <a:pt x="4696968" y="621792"/>
                </a:lnTo>
                <a:lnTo>
                  <a:pt x="4696968" y="824484"/>
                </a:lnTo>
                <a:lnTo>
                  <a:pt x="5455920" y="824484"/>
                </a:lnTo>
                <a:lnTo>
                  <a:pt x="5455920" y="621792"/>
                </a:lnTo>
                <a:close/>
              </a:path>
              <a:path w="6217920" h="2066925">
                <a:moveTo>
                  <a:pt x="5455920" y="414528"/>
                </a:moveTo>
                <a:lnTo>
                  <a:pt x="4696968" y="414528"/>
                </a:lnTo>
                <a:lnTo>
                  <a:pt x="4696968" y="618744"/>
                </a:lnTo>
                <a:lnTo>
                  <a:pt x="5455920" y="618744"/>
                </a:lnTo>
                <a:lnTo>
                  <a:pt x="5455920" y="414528"/>
                </a:lnTo>
                <a:close/>
              </a:path>
              <a:path w="6217920" h="2066925">
                <a:moveTo>
                  <a:pt x="5455920" y="207264"/>
                </a:moveTo>
                <a:lnTo>
                  <a:pt x="4696968" y="207264"/>
                </a:lnTo>
                <a:lnTo>
                  <a:pt x="4696968" y="411480"/>
                </a:lnTo>
                <a:lnTo>
                  <a:pt x="5455920" y="411480"/>
                </a:lnTo>
                <a:lnTo>
                  <a:pt x="5455920" y="207264"/>
                </a:lnTo>
                <a:close/>
              </a:path>
              <a:path w="6217920" h="2066925">
                <a:moveTo>
                  <a:pt x="5455920" y="0"/>
                </a:moveTo>
                <a:lnTo>
                  <a:pt x="4696968" y="0"/>
                </a:lnTo>
                <a:lnTo>
                  <a:pt x="4696968" y="204216"/>
                </a:lnTo>
                <a:lnTo>
                  <a:pt x="5455920" y="204216"/>
                </a:lnTo>
                <a:lnTo>
                  <a:pt x="5455920" y="0"/>
                </a:lnTo>
                <a:close/>
              </a:path>
              <a:path w="6217920" h="2066925">
                <a:moveTo>
                  <a:pt x="6217920" y="1862328"/>
                </a:moveTo>
                <a:lnTo>
                  <a:pt x="5458968" y="1862328"/>
                </a:lnTo>
                <a:lnTo>
                  <a:pt x="5458968" y="2066544"/>
                </a:lnTo>
                <a:lnTo>
                  <a:pt x="6217920" y="2066544"/>
                </a:lnTo>
                <a:lnTo>
                  <a:pt x="6217920" y="1862328"/>
                </a:lnTo>
                <a:close/>
              </a:path>
              <a:path w="6217920" h="2066925">
                <a:moveTo>
                  <a:pt x="6217920" y="1655064"/>
                </a:moveTo>
                <a:lnTo>
                  <a:pt x="5458968" y="1655064"/>
                </a:lnTo>
                <a:lnTo>
                  <a:pt x="5458968" y="1859280"/>
                </a:lnTo>
                <a:lnTo>
                  <a:pt x="6217920" y="1859280"/>
                </a:lnTo>
                <a:lnTo>
                  <a:pt x="6217920" y="1655064"/>
                </a:lnTo>
                <a:close/>
              </a:path>
              <a:path w="6217920" h="2066925">
                <a:moveTo>
                  <a:pt x="6217920" y="1449324"/>
                </a:moveTo>
                <a:lnTo>
                  <a:pt x="5458968" y="1449324"/>
                </a:lnTo>
                <a:lnTo>
                  <a:pt x="5458968" y="1652016"/>
                </a:lnTo>
                <a:lnTo>
                  <a:pt x="6217920" y="1652016"/>
                </a:lnTo>
                <a:lnTo>
                  <a:pt x="6217920" y="1449324"/>
                </a:lnTo>
                <a:close/>
              </a:path>
              <a:path w="6217920" h="2066925">
                <a:moveTo>
                  <a:pt x="6217920" y="1242060"/>
                </a:moveTo>
                <a:lnTo>
                  <a:pt x="5458968" y="1242060"/>
                </a:lnTo>
                <a:lnTo>
                  <a:pt x="5458968" y="1446276"/>
                </a:lnTo>
                <a:lnTo>
                  <a:pt x="6217920" y="1446276"/>
                </a:lnTo>
                <a:lnTo>
                  <a:pt x="6217920" y="1242060"/>
                </a:lnTo>
                <a:close/>
              </a:path>
              <a:path w="6217920" h="2066925">
                <a:moveTo>
                  <a:pt x="6217920" y="1034796"/>
                </a:moveTo>
                <a:lnTo>
                  <a:pt x="5458968" y="1034796"/>
                </a:lnTo>
                <a:lnTo>
                  <a:pt x="5458968" y="1239012"/>
                </a:lnTo>
                <a:lnTo>
                  <a:pt x="6217920" y="1239012"/>
                </a:lnTo>
                <a:lnTo>
                  <a:pt x="6217920" y="1034796"/>
                </a:lnTo>
                <a:close/>
              </a:path>
              <a:path w="6217920" h="2066925">
                <a:moveTo>
                  <a:pt x="6217920" y="827532"/>
                </a:moveTo>
                <a:lnTo>
                  <a:pt x="5458968" y="827532"/>
                </a:lnTo>
                <a:lnTo>
                  <a:pt x="5458968" y="1031748"/>
                </a:lnTo>
                <a:lnTo>
                  <a:pt x="6217920" y="1031748"/>
                </a:lnTo>
                <a:lnTo>
                  <a:pt x="6217920" y="827532"/>
                </a:lnTo>
                <a:close/>
              </a:path>
              <a:path w="6217920" h="2066925">
                <a:moveTo>
                  <a:pt x="6217920" y="621792"/>
                </a:moveTo>
                <a:lnTo>
                  <a:pt x="5458968" y="621792"/>
                </a:lnTo>
                <a:lnTo>
                  <a:pt x="5458968" y="824484"/>
                </a:lnTo>
                <a:lnTo>
                  <a:pt x="6217920" y="824484"/>
                </a:lnTo>
                <a:lnTo>
                  <a:pt x="6217920" y="621792"/>
                </a:lnTo>
                <a:close/>
              </a:path>
              <a:path w="6217920" h="2066925">
                <a:moveTo>
                  <a:pt x="6217920" y="414528"/>
                </a:moveTo>
                <a:lnTo>
                  <a:pt x="5458968" y="414528"/>
                </a:lnTo>
                <a:lnTo>
                  <a:pt x="5458968" y="618744"/>
                </a:lnTo>
                <a:lnTo>
                  <a:pt x="6217920" y="618744"/>
                </a:lnTo>
                <a:lnTo>
                  <a:pt x="6217920" y="414528"/>
                </a:lnTo>
                <a:close/>
              </a:path>
              <a:path w="6217920" h="2066925">
                <a:moveTo>
                  <a:pt x="6217920" y="207264"/>
                </a:moveTo>
                <a:lnTo>
                  <a:pt x="5458968" y="207264"/>
                </a:lnTo>
                <a:lnTo>
                  <a:pt x="5458968" y="411480"/>
                </a:lnTo>
                <a:lnTo>
                  <a:pt x="6217920" y="411480"/>
                </a:lnTo>
                <a:lnTo>
                  <a:pt x="6217920" y="207264"/>
                </a:lnTo>
                <a:close/>
              </a:path>
              <a:path w="6217920" h="2066925">
                <a:moveTo>
                  <a:pt x="6217920" y="0"/>
                </a:moveTo>
                <a:lnTo>
                  <a:pt x="5458968" y="0"/>
                </a:lnTo>
                <a:lnTo>
                  <a:pt x="5458968" y="204216"/>
                </a:lnTo>
                <a:lnTo>
                  <a:pt x="6217920" y="204216"/>
                </a:lnTo>
                <a:lnTo>
                  <a:pt x="6217920" y="0"/>
                </a:lnTo>
                <a:close/>
              </a:path>
            </a:pathLst>
          </a:custGeom>
          <a:solidFill>
            <a:srgbClr val="FFFFFF"/>
          </a:solidFill>
        </xdr:spPr>
      </xdr:sp>
      <xdr:sp macro="" textlink="">
        <xdr:nvSpPr>
          <xdr:cNvPr id="128" name="Shape 128">
            <a:extLst>
              <a:ext uri="{FF2B5EF4-FFF2-40B4-BE49-F238E27FC236}">
                <a16:creationId xmlns:a16="http://schemas.microsoft.com/office/drawing/2014/main" id="{00000000-0008-0000-0B00-000080000000}"/>
              </a:ext>
            </a:extLst>
          </xdr:cNvPr>
          <xdr:cNvSpPr/>
        </xdr:nvSpPr>
        <xdr:spPr>
          <a:xfrm>
            <a:off x="0" y="0"/>
            <a:ext cx="7486015" cy="3514725"/>
          </a:xfrm>
          <a:custGeom>
            <a:avLst/>
            <a:gdLst/>
            <a:ahLst/>
            <a:cxnLst/>
            <a:rect l="0" t="0" r="0" b="0"/>
            <a:pathLst>
              <a:path w="7486015" h="3514725">
                <a:moveTo>
                  <a:pt x="312420" y="0"/>
                </a:moveTo>
                <a:lnTo>
                  <a:pt x="0" y="0"/>
                </a:lnTo>
                <a:lnTo>
                  <a:pt x="0" y="2479548"/>
                </a:lnTo>
                <a:lnTo>
                  <a:pt x="312420" y="2479548"/>
                </a:lnTo>
                <a:lnTo>
                  <a:pt x="312420" y="0"/>
                </a:lnTo>
                <a:close/>
              </a:path>
              <a:path w="7486015" h="3514725">
                <a:moveTo>
                  <a:pt x="1264920" y="0"/>
                </a:moveTo>
                <a:lnTo>
                  <a:pt x="315468" y="0"/>
                </a:lnTo>
                <a:lnTo>
                  <a:pt x="315468" y="2479548"/>
                </a:lnTo>
                <a:lnTo>
                  <a:pt x="1264920" y="2479548"/>
                </a:lnTo>
                <a:lnTo>
                  <a:pt x="1264920" y="0"/>
                </a:lnTo>
                <a:close/>
              </a:path>
              <a:path w="7486015" h="3514725">
                <a:moveTo>
                  <a:pt x="2531364" y="2482596"/>
                </a:moveTo>
                <a:lnTo>
                  <a:pt x="1267968" y="2482596"/>
                </a:lnTo>
                <a:lnTo>
                  <a:pt x="1267968" y="3514344"/>
                </a:lnTo>
                <a:lnTo>
                  <a:pt x="2531364" y="3514344"/>
                </a:lnTo>
                <a:lnTo>
                  <a:pt x="2531364" y="2482596"/>
                </a:lnTo>
                <a:close/>
              </a:path>
              <a:path w="7486015" h="3514725">
                <a:moveTo>
                  <a:pt x="2531364" y="1655064"/>
                </a:moveTo>
                <a:lnTo>
                  <a:pt x="1267968" y="1655064"/>
                </a:lnTo>
                <a:lnTo>
                  <a:pt x="1267968" y="2479548"/>
                </a:lnTo>
                <a:lnTo>
                  <a:pt x="2531364" y="2479548"/>
                </a:lnTo>
                <a:lnTo>
                  <a:pt x="2531364" y="1655064"/>
                </a:lnTo>
                <a:close/>
              </a:path>
              <a:path w="7486015" h="3514725">
                <a:moveTo>
                  <a:pt x="3037332" y="3311652"/>
                </a:moveTo>
                <a:lnTo>
                  <a:pt x="2534412" y="3311652"/>
                </a:lnTo>
                <a:lnTo>
                  <a:pt x="2534412" y="3514344"/>
                </a:lnTo>
                <a:lnTo>
                  <a:pt x="3037332" y="3514344"/>
                </a:lnTo>
                <a:lnTo>
                  <a:pt x="3037332" y="3311652"/>
                </a:lnTo>
                <a:close/>
              </a:path>
              <a:path w="7486015" h="3514725">
                <a:moveTo>
                  <a:pt x="3037332" y="3104388"/>
                </a:moveTo>
                <a:lnTo>
                  <a:pt x="2534412" y="3104388"/>
                </a:lnTo>
                <a:lnTo>
                  <a:pt x="2534412" y="3308604"/>
                </a:lnTo>
                <a:lnTo>
                  <a:pt x="3037332" y="3308604"/>
                </a:lnTo>
                <a:lnTo>
                  <a:pt x="3037332" y="3104388"/>
                </a:lnTo>
                <a:close/>
              </a:path>
              <a:path w="7486015" h="3514725">
                <a:moveTo>
                  <a:pt x="3037332" y="2897124"/>
                </a:moveTo>
                <a:lnTo>
                  <a:pt x="2534412" y="2897124"/>
                </a:lnTo>
                <a:lnTo>
                  <a:pt x="2534412" y="3101340"/>
                </a:lnTo>
                <a:lnTo>
                  <a:pt x="3037332" y="3101340"/>
                </a:lnTo>
                <a:lnTo>
                  <a:pt x="3037332" y="2897124"/>
                </a:lnTo>
                <a:close/>
              </a:path>
              <a:path w="7486015" h="3514725">
                <a:moveTo>
                  <a:pt x="3037332" y="2689860"/>
                </a:moveTo>
                <a:lnTo>
                  <a:pt x="2534412" y="2689860"/>
                </a:lnTo>
                <a:lnTo>
                  <a:pt x="2534412" y="2894076"/>
                </a:lnTo>
                <a:lnTo>
                  <a:pt x="3037332" y="2894076"/>
                </a:lnTo>
                <a:lnTo>
                  <a:pt x="3037332" y="2689860"/>
                </a:lnTo>
                <a:close/>
              </a:path>
              <a:path w="7486015" h="3514725">
                <a:moveTo>
                  <a:pt x="3037332" y="2482596"/>
                </a:moveTo>
                <a:lnTo>
                  <a:pt x="2534412" y="2482596"/>
                </a:lnTo>
                <a:lnTo>
                  <a:pt x="2534412" y="2686812"/>
                </a:lnTo>
                <a:lnTo>
                  <a:pt x="3037332" y="2686812"/>
                </a:lnTo>
                <a:lnTo>
                  <a:pt x="3037332" y="2482596"/>
                </a:lnTo>
                <a:close/>
              </a:path>
              <a:path w="7486015" h="3514725">
                <a:moveTo>
                  <a:pt x="3037332" y="2276856"/>
                </a:moveTo>
                <a:lnTo>
                  <a:pt x="2534412" y="2276856"/>
                </a:lnTo>
                <a:lnTo>
                  <a:pt x="2534412" y="2479548"/>
                </a:lnTo>
                <a:lnTo>
                  <a:pt x="3037332" y="2479548"/>
                </a:lnTo>
                <a:lnTo>
                  <a:pt x="3037332" y="2276856"/>
                </a:lnTo>
                <a:close/>
              </a:path>
              <a:path w="7486015" h="3514725">
                <a:moveTo>
                  <a:pt x="3037332" y="2069592"/>
                </a:moveTo>
                <a:lnTo>
                  <a:pt x="2534412" y="2069592"/>
                </a:lnTo>
                <a:lnTo>
                  <a:pt x="2534412" y="2273808"/>
                </a:lnTo>
                <a:lnTo>
                  <a:pt x="3037332" y="2273808"/>
                </a:lnTo>
                <a:lnTo>
                  <a:pt x="3037332" y="2069592"/>
                </a:lnTo>
                <a:close/>
              </a:path>
              <a:path w="7486015" h="3514725">
                <a:moveTo>
                  <a:pt x="3674364" y="3311652"/>
                </a:moveTo>
                <a:lnTo>
                  <a:pt x="3040380" y="3311652"/>
                </a:lnTo>
                <a:lnTo>
                  <a:pt x="3040380" y="3514344"/>
                </a:lnTo>
                <a:lnTo>
                  <a:pt x="3674364" y="3514344"/>
                </a:lnTo>
                <a:lnTo>
                  <a:pt x="3674364" y="3311652"/>
                </a:lnTo>
                <a:close/>
              </a:path>
              <a:path w="7486015" h="3514725">
                <a:moveTo>
                  <a:pt x="3674364" y="3104388"/>
                </a:moveTo>
                <a:lnTo>
                  <a:pt x="3040380" y="3104388"/>
                </a:lnTo>
                <a:lnTo>
                  <a:pt x="3040380" y="3308604"/>
                </a:lnTo>
                <a:lnTo>
                  <a:pt x="3674364" y="3308604"/>
                </a:lnTo>
                <a:lnTo>
                  <a:pt x="3674364" y="3104388"/>
                </a:lnTo>
                <a:close/>
              </a:path>
              <a:path w="7486015" h="3514725">
                <a:moveTo>
                  <a:pt x="3674364" y="2897124"/>
                </a:moveTo>
                <a:lnTo>
                  <a:pt x="3040380" y="2897124"/>
                </a:lnTo>
                <a:lnTo>
                  <a:pt x="3040380" y="3101340"/>
                </a:lnTo>
                <a:lnTo>
                  <a:pt x="3674364" y="3101340"/>
                </a:lnTo>
                <a:lnTo>
                  <a:pt x="3674364" y="2897124"/>
                </a:lnTo>
                <a:close/>
              </a:path>
              <a:path w="7486015" h="3514725">
                <a:moveTo>
                  <a:pt x="3674364" y="2689860"/>
                </a:moveTo>
                <a:lnTo>
                  <a:pt x="3040380" y="2689860"/>
                </a:lnTo>
                <a:lnTo>
                  <a:pt x="3040380" y="2894076"/>
                </a:lnTo>
                <a:lnTo>
                  <a:pt x="3674364" y="2894076"/>
                </a:lnTo>
                <a:lnTo>
                  <a:pt x="3674364" y="2689860"/>
                </a:lnTo>
                <a:close/>
              </a:path>
              <a:path w="7486015" h="3514725">
                <a:moveTo>
                  <a:pt x="3674364" y="2482596"/>
                </a:moveTo>
                <a:lnTo>
                  <a:pt x="3040380" y="2482596"/>
                </a:lnTo>
                <a:lnTo>
                  <a:pt x="3040380" y="2686812"/>
                </a:lnTo>
                <a:lnTo>
                  <a:pt x="3674364" y="2686812"/>
                </a:lnTo>
                <a:lnTo>
                  <a:pt x="3674364" y="2482596"/>
                </a:lnTo>
                <a:close/>
              </a:path>
              <a:path w="7486015" h="3514725">
                <a:moveTo>
                  <a:pt x="3674364" y="2276856"/>
                </a:moveTo>
                <a:lnTo>
                  <a:pt x="3040380" y="2276856"/>
                </a:lnTo>
                <a:lnTo>
                  <a:pt x="3040380" y="2479548"/>
                </a:lnTo>
                <a:lnTo>
                  <a:pt x="3674364" y="2479548"/>
                </a:lnTo>
                <a:lnTo>
                  <a:pt x="3674364" y="2276856"/>
                </a:lnTo>
                <a:close/>
              </a:path>
              <a:path w="7486015" h="3514725">
                <a:moveTo>
                  <a:pt x="3674364" y="2069592"/>
                </a:moveTo>
                <a:lnTo>
                  <a:pt x="3040380" y="2069592"/>
                </a:lnTo>
                <a:lnTo>
                  <a:pt x="3040380" y="2273808"/>
                </a:lnTo>
                <a:lnTo>
                  <a:pt x="3674364" y="2273808"/>
                </a:lnTo>
                <a:lnTo>
                  <a:pt x="3674364" y="2069592"/>
                </a:lnTo>
                <a:close/>
              </a:path>
              <a:path w="7486015" h="3514725">
                <a:moveTo>
                  <a:pt x="4437888" y="3311652"/>
                </a:moveTo>
                <a:lnTo>
                  <a:pt x="3677412" y="3311652"/>
                </a:lnTo>
                <a:lnTo>
                  <a:pt x="3677412" y="3514344"/>
                </a:lnTo>
                <a:lnTo>
                  <a:pt x="4437888" y="3514344"/>
                </a:lnTo>
                <a:lnTo>
                  <a:pt x="4437888" y="3311652"/>
                </a:lnTo>
                <a:close/>
              </a:path>
              <a:path w="7486015" h="3514725">
                <a:moveTo>
                  <a:pt x="4437888" y="3104388"/>
                </a:moveTo>
                <a:lnTo>
                  <a:pt x="3677412" y="3104388"/>
                </a:lnTo>
                <a:lnTo>
                  <a:pt x="3677412" y="3308604"/>
                </a:lnTo>
                <a:lnTo>
                  <a:pt x="4437888" y="3308604"/>
                </a:lnTo>
                <a:lnTo>
                  <a:pt x="4437888" y="3104388"/>
                </a:lnTo>
                <a:close/>
              </a:path>
              <a:path w="7486015" h="3514725">
                <a:moveTo>
                  <a:pt x="4437888" y="2897124"/>
                </a:moveTo>
                <a:lnTo>
                  <a:pt x="3677412" y="2897124"/>
                </a:lnTo>
                <a:lnTo>
                  <a:pt x="3677412" y="3101340"/>
                </a:lnTo>
                <a:lnTo>
                  <a:pt x="4437888" y="3101340"/>
                </a:lnTo>
                <a:lnTo>
                  <a:pt x="4437888" y="2897124"/>
                </a:lnTo>
                <a:close/>
              </a:path>
              <a:path w="7486015" h="3514725">
                <a:moveTo>
                  <a:pt x="4437888" y="2689860"/>
                </a:moveTo>
                <a:lnTo>
                  <a:pt x="3677412" y="2689860"/>
                </a:lnTo>
                <a:lnTo>
                  <a:pt x="3677412" y="2894076"/>
                </a:lnTo>
                <a:lnTo>
                  <a:pt x="4437888" y="2894076"/>
                </a:lnTo>
                <a:lnTo>
                  <a:pt x="4437888" y="2689860"/>
                </a:lnTo>
                <a:close/>
              </a:path>
              <a:path w="7486015" h="3514725">
                <a:moveTo>
                  <a:pt x="4437888" y="2482596"/>
                </a:moveTo>
                <a:lnTo>
                  <a:pt x="3677412" y="2482596"/>
                </a:lnTo>
                <a:lnTo>
                  <a:pt x="3677412" y="2686812"/>
                </a:lnTo>
                <a:lnTo>
                  <a:pt x="4437888" y="2686812"/>
                </a:lnTo>
                <a:lnTo>
                  <a:pt x="4437888" y="2482596"/>
                </a:lnTo>
                <a:close/>
              </a:path>
              <a:path w="7486015" h="3514725">
                <a:moveTo>
                  <a:pt x="4437888" y="2276856"/>
                </a:moveTo>
                <a:lnTo>
                  <a:pt x="3677412" y="2276856"/>
                </a:lnTo>
                <a:lnTo>
                  <a:pt x="3677412" y="2479548"/>
                </a:lnTo>
                <a:lnTo>
                  <a:pt x="4437888" y="2479548"/>
                </a:lnTo>
                <a:lnTo>
                  <a:pt x="4437888" y="2276856"/>
                </a:lnTo>
                <a:close/>
              </a:path>
              <a:path w="7486015" h="3514725">
                <a:moveTo>
                  <a:pt x="4437888" y="2069592"/>
                </a:moveTo>
                <a:lnTo>
                  <a:pt x="3677412" y="2069592"/>
                </a:lnTo>
                <a:lnTo>
                  <a:pt x="3677412" y="2273808"/>
                </a:lnTo>
                <a:lnTo>
                  <a:pt x="4437888" y="2273808"/>
                </a:lnTo>
                <a:lnTo>
                  <a:pt x="4437888" y="2069592"/>
                </a:lnTo>
                <a:close/>
              </a:path>
              <a:path w="7486015" h="3514725">
                <a:moveTo>
                  <a:pt x="5199888" y="3311652"/>
                </a:moveTo>
                <a:lnTo>
                  <a:pt x="4440936" y="3311652"/>
                </a:lnTo>
                <a:lnTo>
                  <a:pt x="4440936" y="3514344"/>
                </a:lnTo>
                <a:lnTo>
                  <a:pt x="5199888" y="3514344"/>
                </a:lnTo>
                <a:lnTo>
                  <a:pt x="5199888" y="3311652"/>
                </a:lnTo>
                <a:close/>
              </a:path>
              <a:path w="7486015" h="3514725">
                <a:moveTo>
                  <a:pt x="5199888" y="3104388"/>
                </a:moveTo>
                <a:lnTo>
                  <a:pt x="4440936" y="3104388"/>
                </a:lnTo>
                <a:lnTo>
                  <a:pt x="4440936" y="3308604"/>
                </a:lnTo>
                <a:lnTo>
                  <a:pt x="5199888" y="3308604"/>
                </a:lnTo>
                <a:lnTo>
                  <a:pt x="5199888" y="3104388"/>
                </a:lnTo>
                <a:close/>
              </a:path>
              <a:path w="7486015" h="3514725">
                <a:moveTo>
                  <a:pt x="5199888" y="2897124"/>
                </a:moveTo>
                <a:lnTo>
                  <a:pt x="4440936" y="2897124"/>
                </a:lnTo>
                <a:lnTo>
                  <a:pt x="4440936" y="3101340"/>
                </a:lnTo>
                <a:lnTo>
                  <a:pt x="5199888" y="3101340"/>
                </a:lnTo>
                <a:lnTo>
                  <a:pt x="5199888" y="2897124"/>
                </a:lnTo>
                <a:close/>
              </a:path>
              <a:path w="7486015" h="3514725">
                <a:moveTo>
                  <a:pt x="5199888" y="2689860"/>
                </a:moveTo>
                <a:lnTo>
                  <a:pt x="4440936" y="2689860"/>
                </a:lnTo>
                <a:lnTo>
                  <a:pt x="4440936" y="2894076"/>
                </a:lnTo>
                <a:lnTo>
                  <a:pt x="5199888" y="2894076"/>
                </a:lnTo>
                <a:lnTo>
                  <a:pt x="5199888" y="2689860"/>
                </a:lnTo>
                <a:close/>
              </a:path>
              <a:path w="7486015" h="3514725">
                <a:moveTo>
                  <a:pt x="5199888" y="2482596"/>
                </a:moveTo>
                <a:lnTo>
                  <a:pt x="4440936" y="2482596"/>
                </a:lnTo>
                <a:lnTo>
                  <a:pt x="4440936" y="2686812"/>
                </a:lnTo>
                <a:lnTo>
                  <a:pt x="5199888" y="2686812"/>
                </a:lnTo>
                <a:lnTo>
                  <a:pt x="5199888" y="2482596"/>
                </a:lnTo>
                <a:close/>
              </a:path>
              <a:path w="7486015" h="3514725">
                <a:moveTo>
                  <a:pt x="5199888" y="2276856"/>
                </a:moveTo>
                <a:lnTo>
                  <a:pt x="4440936" y="2276856"/>
                </a:lnTo>
                <a:lnTo>
                  <a:pt x="4440936" y="2479548"/>
                </a:lnTo>
                <a:lnTo>
                  <a:pt x="5199888" y="2479548"/>
                </a:lnTo>
                <a:lnTo>
                  <a:pt x="5199888" y="2276856"/>
                </a:lnTo>
                <a:close/>
              </a:path>
              <a:path w="7486015" h="3514725">
                <a:moveTo>
                  <a:pt x="5199888" y="2069592"/>
                </a:moveTo>
                <a:lnTo>
                  <a:pt x="4440936" y="2069592"/>
                </a:lnTo>
                <a:lnTo>
                  <a:pt x="4440936" y="2273808"/>
                </a:lnTo>
                <a:lnTo>
                  <a:pt x="5199888" y="2273808"/>
                </a:lnTo>
                <a:lnTo>
                  <a:pt x="5199888" y="2069592"/>
                </a:lnTo>
                <a:close/>
              </a:path>
              <a:path w="7486015" h="3514725">
                <a:moveTo>
                  <a:pt x="5961875" y="3311652"/>
                </a:moveTo>
                <a:lnTo>
                  <a:pt x="5202936" y="3311652"/>
                </a:lnTo>
                <a:lnTo>
                  <a:pt x="5202936" y="3514344"/>
                </a:lnTo>
                <a:lnTo>
                  <a:pt x="5961875" y="3514344"/>
                </a:lnTo>
                <a:lnTo>
                  <a:pt x="5961875" y="3311652"/>
                </a:lnTo>
                <a:close/>
              </a:path>
              <a:path w="7486015" h="3514725">
                <a:moveTo>
                  <a:pt x="5961875" y="3104388"/>
                </a:moveTo>
                <a:lnTo>
                  <a:pt x="5202936" y="3104388"/>
                </a:lnTo>
                <a:lnTo>
                  <a:pt x="5202936" y="3308604"/>
                </a:lnTo>
                <a:lnTo>
                  <a:pt x="5961875" y="3308604"/>
                </a:lnTo>
                <a:lnTo>
                  <a:pt x="5961875" y="3104388"/>
                </a:lnTo>
                <a:close/>
              </a:path>
              <a:path w="7486015" h="3514725">
                <a:moveTo>
                  <a:pt x="5961875" y="2897124"/>
                </a:moveTo>
                <a:lnTo>
                  <a:pt x="5202936" y="2897124"/>
                </a:lnTo>
                <a:lnTo>
                  <a:pt x="5202936" y="3101340"/>
                </a:lnTo>
                <a:lnTo>
                  <a:pt x="5961875" y="3101340"/>
                </a:lnTo>
                <a:lnTo>
                  <a:pt x="5961875" y="2897124"/>
                </a:lnTo>
                <a:close/>
              </a:path>
              <a:path w="7486015" h="3514725">
                <a:moveTo>
                  <a:pt x="5961875" y="2689860"/>
                </a:moveTo>
                <a:lnTo>
                  <a:pt x="5202936" y="2689860"/>
                </a:lnTo>
                <a:lnTo>
                  <a:pt x="5202936" y="2894076"/>
                </a:lnTo>
                <a:lnTo>
                  <a:pt x="5961875" y="2894076"/>
                </a:lnTo>
                <a:lnTo>
                  <a:pt x="5961875" y="2689860"/>
                </a:lnTo>
                <a:close/>
              </a:path>
              <a:path w="7486015" h="3514725">
                <a:moveTo>
                  <a:pt x="5961875" y="2482596"/>
                </a:moveTo>
                <a:lnTo>
                  <a:pt x="5202936" y="2482596"/>
                </a:lnTo>
                <a:lnTo>
                  <a:pt x="5202936" y="2686812"/>
                </a:lnTo>
                <a:lnTo>
                  <a:pt x="5961875" y="2686812"/>
                </a:lnTo>
                <a:lnTo>
                  <a:pt x="5961875" y="2482596"/>
                </a:lnTo>
                <a:close/>
              </a:path>
              <a:path w="7486015" h="3514725">
                <a:moveTo>
                  <a:pt x="5961875" y="2276856"/>
                </a:moveTo>
                <a:lnTo>
                  <a:pt x="5202936" y="2276856"/>
                </a:lnTo>
                <a:lnTo>
                  <a:pt x="5202936" y="2479548"/>
                </a:lnTo>
                <a:lnTo>
                  <a:pt x="5961875" y="2479548"/>
                </a:lnTo>
                <a:lnTo>
                  <a:pt x="5961875" y="2276856"/>
                </a:lnTo>
                <a:close/>
              </a:path>
              <a:path w="7486015" h="3514725">
                <a:moveTo>
                  <a:pt x="5961875" y="2069592"/>
                </a:moveTo>
                <a:lnTo>
                  <a:pt x="5202936" y="2069592"/>
                </a:lnTo>
                <a:lnTo>
                  <a:pt x="5202936" y="2273808"/>
                </a:lnTo>
                <a:lnTo>
                  <a:pt x="5961875" y="2273808"/>
                </a:lnTo>
                <a:lnTo>
                  <a:pt x="5961875" y="2069592"/>
                </a:lnTo>
                <a:close/>
              </a:path>
              <a:path w="7486015" h="3514725">
                <a:moveTo>
                  <a:pt x="6723888" y="3311652"/>
                </a:moveTo>
                <a:lnTo>
                  <a:pt x="5964936" y="3311652"/>
                </a:lnTo>
                <a:lnTo>
                  <a:pt x="5964936" y="3514344"/>
                </a:lnTo>
                <a:lnTo>
                  <a:pt x="6723888" y="3514344"/>
                </a:lnTo>
                <a:lnTo>
                  <a:pt x="6723888" y="3311652"/>
                </a:lnTo>
                <a:close/>
              </a:path>
              <a:path w="7486015" h="3514725">
                <a:moveTo>
                  <a:pt x="6723888" y="3104388"/>
                </a:moveTo>
                <a:lnTo>
                  <a:pt x="5964936" y="3104388"/>
                </a:lnTo>
                <a:lnTo>
                  <a:pt x="5964936" y="3308604"/>
                </a:lnTo>
                <a:lnTo>
                  <a:pt x="6723888" y="3308604"/>
                </a:lnTo>
                <a:lnTo>
                  <a:pt x="6723888" y="3104388"/>
                </a:lnTo>
                <a:close/>
              </a:path>
              <a:path w="7486015" h="3514725">
                <a:moveTo>
                  <a:pt x="6723888" y="2897124"/>
                </a:moveTo>
                <a:lnTo>
                  <a:pt x="5964936" y="2897124"/>
                </a:lnTo>
                <a:lnTo>
                  <a:pt x="5964936" y="3101340"/>
                </a:lnTo>
                <a:lnTo>
                  <a:pt x="6723888" y="3101340"/>
                </a:lnTo>
                <a:lnTo>
                  <a:pt x="6723888" y="2897124"/>
                </a:lnTo>
                <a:close/>
              </a:path>
              <a:path w="7486015" h="3514725">
                <a:moveTo>
                  <a:pt x="6723888" y="2689860"/>
                </a:moveTo>
                <a:lnTo>
                  <a:pt x="5964936" y="2689860"/>
                </a:lnTo>
                <a:lnTo>
                  <a:pt x="5964936" y="2894076"/>
                </a:lnTo>
                <a:lnTo>
                  <a:pt x="6723888" y="2894076"/>
                </a:lnTo>
                <a:lnTo>
                  <a:pt x="6723888" y="2689860"/>
                </a:lnTo>
                <a:close/>
              </a:path>
              <a:path w="7486015" h="3514725">
                <a:moveTo>
                  <a:pt x="6723888" y="2482596"/>
                </a:moveTo>
                <a:lnTo>
                  <a:pt x="5964936" y="2482596"/>
                </a:lnTo>
                <a:lnTo>
                  <a:pt x="5964936" y="2686812"/>
                </a:lnTo>
                <a:lnTo>
                  <a:pt x="6723888" y="2686812"/>
                </a:lnTo>
                <a:lnTo>
                  <a:pt x="6723888" y="2482596"/>
                </a:lnTo>
                <a:close/>
              </a:path>
              <a:path w="7486015" h="3514725">
                <a:moveTo>
                  <a:pt x="6723888" y="2276856"/>
                </a:moveTo>
                <a:lnTo>
                  <a:pt x="5964936" y="2276856"/>
                </a:lnTo>
                <a:lnTo>
                  <a:pt x="5964936" y="2479548"/>
                </a:lnTo>
                <a:lnTo>
                  <a:pt x="6723888" y="2479548"/>
                </a:lnTo>
                <a:lnTo>
                  <a:pt x="6723888" y="2276856"/>
                </a:lnTo>
                <a:close/>
              </a:path>
              <a:path w="7486015" h="3514725">
                <a:moveTo>
                  <a:pt x="6723888" y="2069592"/>
                </a:moveTo>
                <a:lnTo>
                  <a:pt x="5964936" y="2069592"/>
                </a:lnTo>
                <a:lnTo>
                  <a:pt x="5964936" y="2273808"/>
                </a:lnTo>
                <a:lnTo>
                  <a:pt x="6723888" y="2273808"/>
                </a:lnTo>
                <a:lnTo>
                  <a:pt x="6723888" y="2069592"/>
                </a:lnTo>
                <a:close/>
              </a:path>
              <a:path w="7486015" h="3514725">
                <a:moveTo>
                  <a:pt x="7485888" y="3311652"/>
                </a:moveTo>
                <a:lnTo>
                  <a:pt x="6726936" y="3311652"/>
                </a:lnTo>
                <a:lnTo>
                  <a:pt x="6726936" y="3514344"/>
                </a:lnTo>
                <a:lnTo>
                  <a:pt x="7485888" y="3514344"/>
                </a:lnTo>
                <a:lnTo>
                  <a:pt x="7485888" y="3311652"/>
                </a:lnTo>
                <a:close/>
              </a:path>
              <a:path w="7486015" h="3514725">
                <a:moveTo>
                  <a:pt x="7485888" y="3104388"/>
                </a:moveTo>
                <a:lnTo>
                  <a:pt x="6726936" y="3104388"/>
                </a:lnTo>
                <a:lnTo>
                  <a:pt x="6726936" y="3308604"/>
                </a:lnTo>
                <a:lnTo>
                  <a:pt x="7485888" y="3308604"/>
                </a:lnTo>
                <a:lnTo>
                  <a:pt x="7485888" y="3104388"/>
                </a:lnTo>
                <a:close/>
              </a:path>
              <a:path w="7486015" h="3514725">
                <a:moveTo>
                  <a:pt x="7485888" y="2897124"/>
                </a:moveTo>
                <a:lnTo>
                  <a:pt x="6726936" y="2897124"/>
                </a:lnTo>
                <a:lnTo>
                  <a:pt x="6726936" y="3101340"/>
                </a:lnTo>
                <a:lnTo>
                  <a:pt x="7485888" y="3101340"/>
                </a:lnTo>
                <a:lnTo>
                  <a:pt x="7485888" y="2897124"/>
                </a:lnTo>
                <a:close/>
              </a:path>
              <a:path w="7486015" h="3514725">
                <a:moveTo>
                  <a:pt x="7485888" y="2689860"/>
                </a:moveTo>
                <a:lnTo>
                  <a:pt x="6726936" y="2689860"/>
                </a:lnTo>
                <a:lnTo>
                  <a:pt x="6726936" y="2894076"/>
                </a:lnTo>
                <a:lnTo>
                  <a:pt x="7485888" y="2894076"/>
                </a:lnTo>
                <a:lnTo>
                  <a:pt x="7485888" y="2689860"/>
                </a:lnTo>
                <a:close/>
              </a:path>
              <a:path w="7486015" h="3514725">
                <a:moveTo>
                  <a:pt x="7485888" y="2482596"/>
                </a:moveTo>
                <a:lnTo>
                  <a:pt x="6726936" y="2482596"/>
                </a:lnTo>
                <a:lnTo>
                  <a:pt x="6726936" y="2686812"/>
                </a:lnTo>
                <a:lnTo>
                  <a:pt x="7485888" y="2686812"/>
                </a:lnTo>
                <a:lnTo>
                  <a:pt x="7485888" y="2482596"/>
                </a:lnTo>
                <a:close/>
              </a:path>
              <a:path w="7486015" h="3514725">
                <a:moveTo>
                  <a:pt x="7485888" y="2276856"/>
                </a:moveTo>
                <a:lnTo>
                  <a:pt x="6726936" y="2276856"/>
                </a:lnTo>
                <a:lnTo>
                  <a:pt x="6726936" y="2479548"/>
                </a:lnTo>
                <a:lnTo>
                  <a:pt x="7485888" y="2479548"/>
                </a:lnTo>
                <a:lnTo>
                  <a:pt x="7485888" y="2276856"/>
                </a:lnTo>
                <a:close/>
              </a:path>
              <a:path w="7486015" h="3514725">
                <a:moveTo>
                  <a:pt x="7485888" y="2069592"/>
                </a:moveTo>
                <a:lnTo>
                  <a:pt x="6726936" y="2069592"/>
                </a:lnTo>
                <a:lnTo>
                  <a:pt x="6726936" y="2273808"/>
                </a:lnTo>
                <a:lnTo>
                  <a:pt x="7485888" y="2273808"/>
                </a:lnTo>
                <a:lnTo>
                  <a:pt x="7485888" y="2069592"/>
                </a:lnTo>
                <a:close/>
              </a:path>
              <a:path w="7486015" h="3514725">
                <a:moveTo>
                  <a:pt x="7485888" y="1862328"/>
                </a:moveTo>
                <a:lnTo>
                  <a:pt x="6726936" y="1862328"/>
                </a:lnTo>
                <a:lnTo>
                  <a:pt x="6726936" y="2066544"/>
                </a:lnTo>
                <a:lnTo>
                  <a:pt x="7485888" y="2066544"/>
                </a:lnTo>
                <a:lnTo>
                  <a:pt x="7485888" y="1862328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11</xdr:col>
      <xdr:colOff>546481</xdr:colOff>
      <xdr:row>23</xdr:row>
      <xdr:rowOff>0</xdr:rowOff>
    </xdr:from>
    <xdr:ext cx="645160" cy="3514725"/>
    <xdr:sp macro="" textlink="">
      <xdr:nvSpPr>
        <xdr:cNvPr id="129" name="Shape 129">
          <a:extLst>
            <a:ext uri="{FF2B5EF4-FFF2-40B4-BE49-F238E27FC236}">
              <a16:creationId xmlns:a16="http://schemas.microsoft.com/office/drawing/2014/main" id="{00000000-0008-0000-0B00-000081000000}"/>
            </a:ext>
          </a:extLst>
        </xdr:cNvPr>
        <xdr:cNvSpPr/>
      </xdr:nvSpPr>
      <xdr:spPr>
        <a:xfrm>
          <a:off x="0" y="0"/>
          <a:ext cx="645160" cy="3514725"/>
        </a:xfrm>
        <a:custGeom>
          <a:avLst/>
          <a:gdLst/>
          <a:ahLst/>
          <a:cxnLst/>
          <a:rect l="0" t="0" r="0" b="0"/>
          <a:pathLst>
            <a:path w="645160" h="3514725">
              <a:moveTo>
                <a:pt x="644652" y="3311652"/>
              </a:moveTo>
              <a:lnTo>
                <a:pt x="0" y="3311652"/>
              </a:lnTo>
              <a:lnTo>
                <a:pt x="0" y="3514344"/>
              </a:lnTo>
              <a:lnTo>
                <a:pt x="644652" y="3514344"/>
              </a:lnTo>
              <a:lnTo>
                <a:pt x="644652" y="3311652"/>
              </a:lnTo>
              <a:close/>
            </a:path>
            <a:path w="645160" h="3514725">
              <a:moveTo>
                <a:pt x="644652" y="3104388"/>
              </a:moveTo>
              <a:lnTo>
                <a:pt x="0" y="3104388"/>
              </a:lnTo>
              <a:lnTo>
                <a:pt x="0" y="3308604"/>
              </a:lnTo>
              <a:lnTo>
                <a:pt x="644652" y="3308604"/>
              </a:lnTo>
              <a:lnTo>
                <a:pt x="644652" y="3104388"/>
              </a:lnTo>
              <a:close/>
            </a:path>
            <a:path w="645160" h="3514725">
              <a:moveTo>
                <a:pt x="644652" y="2897124"/>
              </a:moveTo>
              <a:lnTo>
                <a:pt x="0" y="2897124"/>
              </a:lnTo>
              <a:lnTo>
                <a:pt x="0" y="3101340"/>
              </a:lnTo>
              <a:lnTo>
                <a:pt x="644652" y="3101340"/>
              </a:lnTo>
              <a:lnTo>
                <a:pt x="644652" y="2897124"/>
              </a:lnTo>
              <a:close/>
            </a:path>
            <a:path w="645160" h="3514725">
              <a:moveTo>
                <a:pt x="644652" y="2689860"/>
              </a:moveTo>
              <a:lnTo>
                <a:pt x="0" y="2689860"/>
              </a:lnTo>
              <a:lnTo>
                <a:pt x="0" y="2894076"/>
              </a:lnTo>
              <a:lnTo>
                <a:pt x="644652" y="2894076"/>
              </a:lnTo>
              <a:lnTo>
                <a:pt x="644652" y="2689860"/>
              </a:lnTo>
              <a:close/>
            </a:path>
            <a:path w="645160" h="3514725">
              <a:moveTo>
                <a:pt x="644652" y="2482596"/>
              </a:moveTo>
              <a:lnTo>
                <a:pt x="0" y="2482596"/>
              </a:lnTo>
              <a:lnTo>
                <a:pt x="0" y="2686812"/>
              </a:lnTo>
              <a:lnTo>
                <a:pt x="644652" y="2686812"/>
              </a:lnTo>
              <a:lnTo>
                <a:pt x="644652" y="2482596"/>
              </a:lnTo>
              <a:close/>
            </a:path>
            <a:path w="645160" h="3514725">
              <a:moveTo>
                <a:pt x="644652" y="2276856"/>
              </a:moveTo>
              <a:lnTo>
                <a:pt x="0" y="2276856"/>
              </a:lnTo>
              <a:lnTo>
                <a:pt x="0" y="2479548"/>
              </a:lnTo>
              <a:lnTo>
                <a:pt x="644652" y="2479548"/>
              </a:lnTo>
              <a:lnTo>
                <a:pt x="644652" y="2276856"/>
              </a:lnTo>
              <a:close/>
            </a:path>
            <a:path w="645160" h="3514725">
              <a:moveTo>
                <a:pt x="644652" y="2069592"/>
              </a:moveTo>
              <a:lnTo>
                <a:pt x="0" y="2069592"/>
              </a:lnTo>
              <a:lnTo>
                <a:pt x="0" y="2273808"/>
              </a:lnTo>
              <a:lnTo>
                <a:pt x="644652" y="2273808"/>
              </a:lnTo>
              <a:lnTo>
                <a:pt x="644652" y="2069592"/>
              </a:lnTo>
              <a:close/>
            </a:path>
            <a:path w="645160" h="3514725">
              <a:moveTo>
                <a:pt x="644652" y="1862328"/>
              </a:moveTo>
              <a:lnTo>
                <a:pt x="0" y="1862328"/>
              </a:lnTo>
              <a:lnTo>
                <a:pt x="0" y="2066544"/>
              </a:lnTo>
              <a:lnTo>
                <a:pt x="644652" y="2066544"/>
              </a:lnTo>
              <a:lnTo>
                <a:pt x="644652" y="1862328"/>
              </a:lnTo>
              <a:close/>
            </a:path>
            <a:path w="645160" h="3514725">
              <a:moveTo>
                <a:pt x="644652" y="1655064"/>
              </a:moveTo>
              <a:lnTo>
                <a:pt x="0" y="1655064"/>
              </a:lnTo>
              <a:lnTo>
                <a:pt x="0" y="1859280"/>
              </a:lnTo>
              <a:lnTo>
                <a:pt x="644652" y="1859280"/>
              </a:lnTo>
              <a:lnTo>
                <a:pt x="644652" y="1655064"/>
              </a:lnTo>
              <a:close/>
            </a:path>
            <a:path w="645160" h="3514725">
              <a:moveTo>
                <a:pt x="644652" y="1449324"/>
              </a:moveTo>
              <a:lnTo>
                <a:pt x="0" y="1449324"/>
              </a:lnTo>
              <a:lnTo>
                <a:pt x="0" y="1652016"/>
              </a:lnTo>
              <a:lnTo>
                <a:pt x="644652" y="1652016"/>
              </a:lnTo>
              <a:lnTo>
                <a:pt x="644652" y="1449324"/>
              </a:lnTo>
              <a:close/>
            </a:path>
            <a:path w="645160" h="3514725">
              <a:moveTo>
                <a:pt x="644652" y="1242060"/>
              </a:moveTo>
              <a:lnTo>
                <a:pt x="0" y="1242060"/>
              </a:lnTo>
              <a:lnTo>
                <a:pt x="0" y="1446276"/>
              </a:lnTo>
              <a:lnTo>
                <a:pt x="644652" y="1446276"/>
              </a:lnTo>
              <a:lnTo>
                <a:pt x="644652" y="1242060"/>
              </a:lnTo>
              <a:close/>
            </a:path>
            <a:path w="645160" h="3514725">
              <a:moveTo>
                <a:pt x="644652" y="1034796"/>
              </a:moveTo>
              <a:lnTo>
                <a:pt x="0" y="1034796"/>
              </a:lnTo>
              <a:lnTo>
                <a:pt x="0" y="1239012"/>
              </a:lnTo>
              <a:lnTo>
                <a:pt x="644652" y="1239012"/>
              </a:lnTo>
              <a:lnTo>
                <a:pt x="644652" y="1034796"/>
              </a:lnTo>
              <a:close/>
            </a:path>
            <a:path w="645160" h="3514725">
              <a:moveTo>
                <a:pt x="644652" y="827532"/>
              </a:moveTo>
              <a:lnTo>
                <a:pt x="0" y="827532"/>
              </a:lnTo>
              <a:lnTo>
                <a:pt x="0" y="1031748"/>
              </a:lnTo>
              <a:lnTo>
                <a:pt x="644652" y="1031748"/>
              </a:lnTo>
              <a:lnTo>
                <a:pt x="644652" y="827532"/>
              </a:lnTo>
              <a:close/>
            </a:path>
            <a:path w="645160" h="3514725">
              <a:moveTo>
                <a:pt x="644652" y="621792"/>
              </a:moveTo>
              <a:lnTo>
                <a:pt x="0" y="621792"/>
              </a:lnTo>
              <a:lnTo>
                <a:pt x="0" y="824484"/>
              </a:lnTo>
              <a:lnTo>
                <a:pt x="644652" y="824484"/>
              </a:lnTo>
              <a:lnTo>
                <a:pt x="644652" y="621792"/>
              </a:lnTo>
              <a:close/>
            </a:path>
            <a:path w="645160" h="3514725">
              <a:moveTo>
                <a:pt x="644652" y="414528"/>
              </a:moveTo>
              <a:lnTo>
                <a:pt x="0" y="414528"/>
              </a:lnTo>
              <a:lnTo>
                <a:pt x="0" y="618744"/>
              </a:lnTo>
              <a:lnTo>
                <a:pt x="644652" y="618744"/>
              </a:lnTo>
              <a:lnTo>
                <a:pt x="644652" y="414528"/>
              </a:lnTo>
              <a:close/>
            </a:path>
            <a:path w="645160" h="3514725">
              <a:moveTo>
                <a:pt x="644652" y="207264"/>
              </a:moveTo>
              <a:lnTo>
                <a:pt x="0" y="207264"/>
              </a:lnTo>
              <a:lnTo>
                <a:pt x="0" y="411480"/>
              </a:lnTo>
              <a:lnTo>
                <a:pt x="644652" y="411480"/>
              </a:lnTo>
              <a:lnTo>
                <a:pt x="644652" y="207264"/>
              </a:lnTo>
              <a:close/>
            </a:path>
            <a:path w="645160" h="3514725">
              <a:moveTo>
                <a:pt x="644652" y="0"/>
              </a:moveTo>
              <a:lnTo>
                <a:pt x="0" y="0"/>
              </a:lnTo>
              <a:lnTo>
                <a:pt x="0" y="204216"/>
              </a:lnTo>
              <a:lnTo>
                <a:pt x="644652" y="204216"/>
              </a:lnTo>
              <a:lnTo>
                <a:pt x="644652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543687</xdr:colOff>
      <xdr:row>19</xdr:row>
      <xdr:rowOff>206501</xdr:rowOff>
    </xdr:from>
    <xdr:ext cx="3808729" cy="480059"/>
    <xdr:sp macro="" textlink="">
      <xdr:nvSpPr>
        <xdr:cNvPr id="130" name="Shape 130">
          <a:extLst>
            <a:ext uri="{FF2B5EF4-FFF2-40B4-BE49-F238E27FC236}">
              <a16:creationId xmlns:a16="http://schemas.microsoft.com/office/drawing/2014/main" id="{00000000-0008-0000-0C00-000082000000}"/>
            </a:ext>
          </a:extLst>
        </xdr:cNvPr>
        <xdr:cNvSpPr/>
      </xdr:nvSpPr>
      <xdr:spPr>
        <a:xfrm>
          <a:off x="0" y="0"/>
          <a:ext cx="3808729" cy="480059"/>
        </a:xfrm>
        <a:custGeom>
          <a:avLst/>
          <a:gdLst/>
          <a:ahLst/>
          <a:cxnLst/>
          <a:rect l="0" t="0" r="0" b="0"/>
          <a:pathLst>
            <a:path w="3808729" h="480059">
              <a:moveTo>
                <a:pt x="760476" y="0"/>
              </a:moveTo>
              <a:lnTo>
                <a:pt x="0" y="0"/>
              </a:lnTo>
              <a:lnTo>
                <a:pt x="0" y="480060"/>
              </a:lnTo>
              <a:lnTo>
                <a:pt x="760476" y="480060"/>
              </a:lnTo>
              <a:lnTo>
                <a:pt x="760476" y="0"/>
              </a:lnTo>
              <a:close/>
            </a:path>
            <a:path w="3808729" h="480059">
              <a:moveTo>
                <a:pt x="1522476" y="0"/>
              </a:moveTo>
              <a:lnTo>
                <a:pt x="763524" y="0"/>
              </a:lnTo>
              <a:lnTo>
                <a:pt x="763524" y="480060"/>
              </a:lnTo>
              <a:lnTo>
                <a:pt x="1522476" y="480060"/>
              </a:lnTo>
              <a:lnTo>
                <a:pt x="1522476" y="0"/>
              </a:lnTo>
              <a:close/>
            </a:path>
            <a:path w="3808729" h="480059">
              <a:moveTo>
                <a:pt x="2284463" y="0"/>
              </a:moveTo>
              <a:lnTo>
                <a:pt x="1525524" y="0"/>
              </a:lnTo>
              <a:lnTo>
                <a:pt x="1525524" y="480060"/>
              </a:lnTo>
              <a:lnTo>
                <a:pt x="2284463" y="480060"/>
              </a:lnTo>
              <a:lnTo>
                <a:pt x="2284463" y="0"/>
              </a:lnTo>
              <a:close/>
            </a:path>
            <a:path w="3808729" h="480059">
              <a:moveTo>
                <a:pt x="3046476" y="0"/>
              </a:moveTo>
              <a:lnTo>
                <a:pt x="2287524" y="0"/>
              </a:lnTo>
              <a:lnTo>
                <a:pt x="2287524" y="480060"/>
              </a:lnTo>
              <a:lnTo>
                <a:pt x="3046476" y="480060"/>
              </a:lnTo>
              <a:lnTo>
                <a:pt x="3046476" y="0"/>
              </a:lnTo>
              <a:close/>
            </a:path>
            <a:path w="3808729" h="480059">
              <a:moveTo>
                <a:pt x="3808476" y="0"/>
              </a:moveTo>
              <a:lnTo>
                <a:pt x="3049524" y="0"/>
              </a:lnTo>
              <a:lnTo>
                <a:pt x="3049524" y="480060"/>
              </a:lnTo>
              <a:lnTo>
                <a:pt x="3808476" y="480060"/>
              </a:lnTo>
              <a:lnTo>
                <a:pt x="3808476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5</xdr:col>
      <xdr:colOff>202691</xdr:colOff>
      <xdr:row>3</xdr:row>
      <xdr:rowOff>49142</xdr:rowOff>
    </xdr:from>
    <xdr:ext cx="381000" cy="290285"/>
    <xdr:pic>
      <xdr:nvPicPr>
        <xdr:cNvPr id="131" name="image1.jpeg">
          <a:extLst>
            <a:ext uri="{FF2B5EF4-FFF2-40B4-BE49-F238E27FC236}">
              <a16:creationId xmlns:a16="http://schemas.microsoft.com/office/drawing/2014/main" id="{00000000-0008-0000-0C00-00008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290285"/>
        </a:xfrm>
        <a:prstGeom prst="rect">
          <a:avLst/>
        </a:prstGeom>
      </xdr:spPr>
    </xdr:pic>
    <xdr:clientData/>
  </xdr:oneCellAnchor>
  <xdr:oneCellAnchor>
    <xdr:from>
      <xdr:col>6</xdr:col>
      <xdr:colOff>201929</xdr:colOff>
      <xdr:row>3</xdr:row>
      <xdr:rowOff>761</xdr:rowOff>
    </xdr:from>
    <xdr:ext cx="338666" cy="381000"/>
    <xdr:pic>
      <xdr:nvPicPr>
        <xdr:cNvPr id="132" name="image2.jpeg">
          <a:extLst>
            <a:ext uri="{FF2B5EF4-FFF2-40B4-BE49-F238E27FC236}">
              <a16:creationId xmlns:a16="http://schemas.microsoft.com/office/drawing/2014/main" id="{00000000-0008-0000-0C00-00008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38666" cy="381000"/>
        </a:xfrm>
        <a:prstGeom prst="rect">
          <a:avLst/>
        </a:prstGeom>
      </xdr:spPr>
    </xdr:pic>
    <xdr:clientData/>
  </xdr:oneCellAnchor>
  <xdr:oneCellAnchor>
    <xdr:from>
      <xdr:col>7</xdr:col>
      <xdr:colOff>201930</xdr:colOff>
      <xdr:row>3</xdr:row>
      <xdr:rowOff>49142</xdr:rowOff>
    </xdr:from>
    <xdr:ext cx="381000" cy="290285"/>
    <xdr:pic>
      <xdr:nvPicPr>
        <xdr:cNvPr id="133" name="image3.jpeg">
          <a:extLst>
            <a:ext uri="{FF2B5EF4-FFF2-40B4-BE49-F238E27FC236}">
              <a16:creationId xmlns:a16="http://schemas.microsoft.com/office/drawing/2014/main" id="{00000000-0008-0000-0C00-00008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290285"/>
        </a:xfrm>
        <a:prstGeom prst="rect">
          <a:avLst/>
        </a:prstGeom>
      </xdr:spPr>
    </xdr:pic>
    <xdr:clientData/>
  </xdr:oneCellAnchor>
  <xdr:oneCellAnchor>
    <xdr:from>
      <xdr:col>8</xdr:col>
      <xdr:colOff>298691</xdr:colOff>
      <xdr:row>3</xdr:row>
      <xdr:rowOff>49142</xdr:rowOff>
    </xdr:from>
    <xdr:ext cx="193523" cy="290285"/>
    <xdr:pic>
      <xdr:nvPicPr>
        <xdr:cNvPr id="134" name="image4.jpeg">
          <a:extLst>
            <a:ext uri="{FF2B5EF4-FFF2-40B4-BE49-F238E27FC236}">
              <a16:creationId xmlns:a16="http://schemas.microsoft.com/office/drawing/2014/main" id="{00000000-0008-0000-0C00-00008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3523" cy="290285"/>
        </a:xfrm>
        <a:prstGeom prst="rect">
          <a:avLst/>
        </a:prstGeom>
      </xdr:spPr>
    </xdr:pic>
    <xdr:clientData/>
  </xdr:oneCellAnchor>
  <xdr:oneCellAnchor>
    <xdr:from>
      <xdr:col>9</xdr:col>
      <xdr:colOff>201929</xdr:colOff>
      <xdr:row>3</xdr:row>
      <xdr:rowOff>761</xdr:rowOff>
    </xdr:from>
    <xdr:ext cx="381000" cy="381000"/>
    <xdr:pic>
      <xdr:nvPicPr>
        <xdr:cNvPr id="135" name="image5.jpeg">
          <a:extLst>
            <a:ext uri="{FF2B5EF4-FFF2-40B4-BE49-F238E27FC236}">
              <a16:creationId xmlns:a16="http://schemas.microsoft.com/office/drawing/2014/main" id="{00000000-0008-0000-0C00-00008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381000"/>
        </a:xfrm>
        <a:prstGeom prst="rect">
          <a:avLst/>
        </a:prstGeom>
      </xdr:spPr>
    </xdr:pic>
    <xdr:clientData/>
  </xdr:oneCellAnchor>
  <xdr:oneCellAnchor>
    <xdr:from>
      <xdr:col>1</xdr:col>
      <xdr:colOff>226059</xdr:colOff>
      <xdr:row>21</xdr:row>
      <xdr:rowOff>0</xdr:rowOff>
    </xdr:from>
    <xdr:ext cx="7486015" cy="3308985"/>
    <xdr:grpSp>
      <xdr:nvGrpSpPr>
        <xdr:cNvPr id="136" name="Group 136">
          <a:extLst>
            <a:ext uri="{FF2B5EF4-FFF2-40B4-BE49-F238E27FC236}">
              <a16:creationId xmlns:a16="http://schemas.microsoft.com/office/drawing/2014/main" id="{00000000-0008-0000-0C00-000088000000}"/>
            </a:ext>
          </a:extLst>
        </xdr:cNvPr>
        <xdr:cNvGrpSpPr/>
      </xdr:nvGrpSpPr>
      <xdr:grpSpPr>
        <a:xfrm>
          <a:off x="607059" y="5402580"/>
          <a:ext cx="7486015" cy="3308985"/>
          <a:chOff x="0" y="0"/>
          <a:chExt cx="7486015" cy="3308985"/>
        </a:xfrm>
      </xdr:grpSpPr>
      <xdr:sp macro="" textlink="">
        <xdr:nvSpPr>
          <xdr:cNvPr id="137" name="Shape 137">
            <a:extLst>
              <a:ext uri="{FF2B5EF4-FFF2-40B4-BE49-F238E27FC236}">
                <a16:creationId xmlns:a16="http://schemas.microsoft.com/office/drawing/2014/main" id="{00000000-0008-0000-0C00-000089000000}"/>
              </a:ext>
            </a:extLst>
          </xdr:cNvPr>
          <xdr:cNvSpPr/>
        </xdr:nvSpPr>
        <xdr:spPr>
          <a:xfrm>
            <a:off x="0" y="0"/>
            <a:ext cx="7486015" cy="2066925"/>
          </a:xfrm>
          <a:custGeom>
            <a:avLst/>
            <a:gdLst/>
            <a:ahLst/>
            <a:cxnLst/>
            <a:rect l="0" t="0" r="0" b="0"/>
            <a:pathLst>
              <a:path w="7486015" h="2066925">
                <a:moveTo>
                  <a:pt x="312420" y="0"/>
                </a:moveTo>
                <a:lnTo>
                  <a:pt x="0" y="0"/>
                </a:lnTo>
                <a:lnTo>
                  <a:pt x="0" y="1446276"/>
                </a:lnTo>
                <a:lnTo>
                  <a:pt x="312420" y="1446276"/>
                </a:lnTo>
                <a:lnTo>
                  <a:pt x="312420" y="0"/>
                </a:lnTo>
                <a:close/>
              </a:path>
              <a:path w="7486015" h="2066925">
                <a:moveTo>
                  <a:pt x="1264920" y="0"/>
                </a:moveTo>
                <a:lnTo>
                  <a:pt x="315468" y="0"/>
                </a:lnTo>
                <a:lnTo>
                  <a:pt x="315468" y="1446276"/>
                </a:lnTo>
                <a:lnTo>
                  <a:pt x="1264920" y="1446276"/>
                </a:lnTo>
                <a:lnTo>
                  <a:pt x="1264920" y="0"/>
                </a:lnTo>
                <a:close/>
              </a:path>
              <a:path w="7486015" h="2066925">
                <a:moveTo>
                  <a:pt x="2531364" y="0"/>
                </a:moveTo>
                <a:lnTo>
                  <a:pt x="1267968" y="0"/>
                </a:lnTo>
                <a:lnTo>
                  <a:pt x="1267968" y="1446276"/>
                </a:lnTo>
                <a:lnTo>
                  <a:pt x="2531364" y="1446276"/>
                </a:lnTo>
                <a:lnTo>
                  <a:pt x="2531364" y="0"/>
                </a:lnTo>
                <a:close/>
              </a:path>
              <a:path w="7486015" h="2066925">
                <a:moveTo>
                  <a:pt x="3037332" y="1862328"/>
                </a:moveTo>
                <a:lnTo>
                  <a:pt x="2534412" y="1862328"/>
                </a:lnTo>
                <a:lnTo>
                  <a:pt x="2534412" y="2066544"/>
                </a:lnTo>
                <a:lnTo>
                  <a:pt x="3037332" y="2066544"/>
                </a:lnTo>
                <a:lnTo>
                  <a:pt x="3037332" y="1862328"/>
                </a:lnTo>
                <a:close/>
              </a:path>
              <a:path w="7486015" h="2066925">
                <a:moveTo>
                  <a:pt x="3037332" y="1655064"/>
                </a:moveTo>
                <a:lnTo>
                  <a:pt x="2534412" y="1655064"/>
                </a:lnTo>
                <a:lnTo>
                  <a:pt x="2534412" y="1859280"/>
                </a:lnTo>
                <a:lnTo>
                  <a:pt x="3037332" y="1859280"/>
                </a:lnTo>
                <a:lnTo>
                  <a:pt x="3037332" y="1655064"/>
                </a:lnTo>
                <a:close/>
              </a:path>
              <a:path w="7486015" h="2066925">
                <a:moveTo>
                  <a:pt x="3037332" y="1449324"/>
                </a:moveTo>
                <a:lnTo>
                  <a:pt x="2534412" y="1449324"/>
                </a:lnTo>
                <a:lnTo>
                  <a:pt x="2534412" y="1652016"/>
                </a:lnTo>
                <a:lnTo>
                  <a:pt x="3037332" y="1652016"/>
                </a:lnTo>
                <a:lnTo>
                  <a:pt x="3037332" y="1449324"/>
                </a:lnTo>
                <a:close/>
              </a:path>
              <a:path w="7486015" h="2066925">
                <a:moveTo>
                  <a:pt x="3037332" y="1242060"/>
                </a:moveTo>
                <a:lnTo>
                  <a:pt x="2534412" y="1242060"/>
                </a:lnTo>
                <a:lnTo>
                  <a:pt x="2534412" y="1446276"/>
                </a:lnTo>
                <a:lnTo>
                  <a:pt x="3037332" y="1446276"/>
                </a:lnTo>
                <a:lnTo>
                  <a:pt x="3037332" y="1242060"/>
                </a:lnTo>
                <a:close/>
              </a:path>
              <a:path w="7486015" h="2066925">
                <a:moveTo>
                  <a:pt x="3037332" y="1034796"/>
                </a:moveTo>
                <a:lnTo>
                  <a:pt x="2534412" y="1034796"/>
                </a:lnTo>
                <a:lnTo>
                  <a:pt x="2534412" y="1239012"/>
                </a:lnTo>
                <a:lnTo>
                  <a:pt x="3037332" y="1239012"/>
                </a:lnTo>
                <a:lnTo>
                  <a:pt x="3037332" y="1034796"/>
                </a:lnTo>
                <a:close/>
              </a:path>
              <a:path w="7486015" h="2066925">
                <a:moveTo>
                  <a:pt x="3037332" y="827532"/>
                </a:moveTo>
                <a:lnTo>
                  <a:pt x="2534412" y="827532"/>
                </a:lnTo>
                <a:lnTo>
                  <a:pt x="2534412" y="1031748"/>
                </a:lnTo>
                <a:lnTo>
                  <a:pt x="3037332" y="1031748"/>
                </a:lnTo>
                <a:lnTo>
                  <a:pt x="3037332" y="827532"/>
                </a:lnTo>
                <a:close/>
              </a:path>
              <a:path w="7486015" h="2066925">
                <a:moveTo>
                  <a:pt x="3037332" y="621792"/>
                </a:moveTo>
                <a:lnTo>
                  <a:pt x="2534412" y="621792"/>
                </a:lnTo>
                <a:lnTo>
                  <a:pt x="2534412" y="824484"/>
                </a:lnTo>
                <a:lnTo>
                  <a:pt x="3037332" y="824484"/>
                </a:lnTo>
                <a:lnTo>
                  <a:pt x="3037332" y="621792"/>
                </a:lnTo>
                <a:close/>
              </a:path>
              <a:path w="7486015" h="2066925">
                <a:moveTo>
                  <a:pt x="3037332" y="414528"/>
                </a:moveTo>
                <a:lnTo>
                  <a:pt x="2534412" y="414528"/>
                </a:lnTo>
                <a:lnTo>
                  <a:pt x="2534412" y="618744"/>
                </a:lnTo>
                <a:lnTo>
                  <a:pt x="3037332" y="618744"/>
                </a:lnTo>
                <a:lnTo>
                  <a:pt x="3037332" y="414528"/>
                </a:lnTo>
                <a:close/>
              </a:path>
              <a:path w="7486015" h="2066925">
                <a:moveTo>
                  <a:pt x="3037332" y="207264"/>
                </a:moveTo>
                <a:lnTo>
                  <a:pt x="2534412" y="207264"/>
                </a:lnTo>
                <a:lnTo>
                  <a:pt x="2534412" y="411480"/>
                </a:lnTo>
                <a:lnTo>
                  <a:pt x="3037332" y="411480"/>
                </a:lnTo>
                <a:lnTo>
                  <a:pt x="3037332" y="207264"/>
                </a:lnTo>
                <a:close/>
              </a:path>
              <a:path w="7486015" h="2066925">
                <a:moveTo>
                  <a:pt x="3037332" y="0"/>
                </a:moveTo>
                <a:lnTo>
                  <a:pt x="2534412" y="0"/>
                </a:lnTo>
                <a:lnTo>
                  <a:pt x="2534412" y="204216"/>
                </a:lnTo>
                <a:lnTo>
                  <a:pt x="3037332" y="204216"/>
                </a:lnTo>
                <a:lnTo>
                  <a:pt x="3037332" y="0"/>
                </a:lnTo>
                <a:close/>
              </a:path>
              <a:path w="7486015" h="2066925">
                <a:moveTo>
                  <a:pt x="3674364" y="1862328"/>
                </a:moveTo>
                <a:lnTo>
                  <a:pt x="3040380" y="1862328"/>
                </a:lnTo>
                <a:lnTo>
                  <a:pt x="3040380" y="2066544"/>
                </a:lnTo>
                <a:lnTo>
                  <a:pt x="3674364" y="2066544"/>
                </a:lnTo>
                <a:lnTo>
                  <a:pt x="3674364" y="1862328"/>
                </a:lnTo>
                <a:close/>
              </a:path>
              <a:path w="7486015" h="2066925">
                <a:moveTo>
                  <a:pt x="3674364" y="1655064"/>
                </a:moveTo>
                <a:lnTo>
                  <a:pt x="3040380" y="1655064"/>
                </a:lnTo>
                <a:lnTo>
                  <a:pt x="3040380" y="1859280"/>
                </a:lnTo>
                <a:lnTo>
                  <a:pt x="3674364" y="1859280"/>
                </a:lnTo>
                <a:lnTo>
                  <a:pt x="3674364" y="1655064"/>
                </a:lnTo>
                <a:close/>
              </a:path>
              <a:path w="7486015" h="2066925">
                <a:moveTo>
                  <a:pt x="3674364" y="1449324"/>
                </a:moveTo>
                <a:lnTo>
                  <a:pt x="3040380" y="1449324"/>
                </a:lnTo>
                <a:lnTo>
                  <a:pt x="3040380" y="1652016"/>
                </a:lnTo>
                <a:lnTo>
                  <a:pt x="3674364" y="1652016"/>
                </a:lnTo>
                <a:lnTo>
                  <a:pt x="3674364" y="1449324"/>
                </a:lnTo>
                <a:close/>
              </a:path>
              <a:path w="7486015" h="2066925">
                <a:moveTo>
                  <a:pt x="3674364" y="1242060"/>
                </a:moveTo>
                <a:lnTo>
                  <a:pt x="3040380" y="1242060"/>
                </a:lnTo>
                <a:lnTo>
                  <a:pt x="3040380" y="1446276"/>
                </a:lnTo>
                <a:lnTo>
                  <a:pt x="3674364" y="1446276"/>
                </a:lnTo>
                <a:lnTo>
                  <a:pt x="3674364" y="1242060"/>
                </a:lnTo>
                <a:close/>
              </a:path>
              <a:path w="7486015" h="2066925">
                <a:moveTo>
                  <a:pt x="3674364" y="1034796"/>
                </a:moveTo>
                <a:lnTo>
                  <a:pt x="3040380" y="1034796"/>
                </a:lnTo>
                <a:lnTo>
                  <a:pt x="3040380" y="1239012"/>
                </a:lnTo>
                <a:lnTo>
                  <a:pt x="3674364" y="1239012"/>
                </a:lnTo>
                <a:lnTo>
                  <a:pt x="3674364" y="1034796"/>
                </a:lnTo>
                <a:close/>
              </a:path>
              <a:path w="7486015" h="2066925">
                <a:moveTo>
                  <a:pt x="3674364" y="827532"/>
                </a:moveTo>
                <a:lnTo>
                  <a:pt x="3040380" y="827532"/>
                </a:lnTo>
                <a:lnTo>
                  <a:pt x="3040380" y="1031748"/>
                </a:lnTo>
                <a:lnTo>
                  <a:pt x="3674364" y="1031748"/>
                </a:lnTo>
                <a:lnTo>
                  <a:pt x="3674364" y="827532"/>
                </a:lnTo>
                <a:close/>
              </a:path>
              <a:path w="7486015" h="2066925">
                <a:moveTo>
                  <a:pt x="3674364" y="621792"/>
                </a:moveTo>
                <a:lnTo>
                  <a:pt x="3040380" y="621792"/>
                </a:lnTo>
                <a:lnTo>
                  <a:pt x="3040380" y="824484"/>
                </a:lnTo>
                <a:lnTo>
                  <a:pt x="3674364" y="824484"/>
                </a:lnTo>
                <a:lnTo>
                  <a:pt x="3674364" y="621792"/>
                </a:lnTo>
                <a:close/>
              </a:path>
              <a:path w="7486015" h="2066925">
                <a:moveTo>
                  <a:pt x="3674364" y="414528"/>
                </a:moveTo>
                <a:lnTo>
                  <a:pt x="3040380" y="414528"/>
                </a:lnTo>
                <a:lnTo>
                  <a:pt x="3040380" y="618744"/>
                </a:lnTo>
                <a:lnTo>
                  <a:pt x="3674364" y="618744"/>
                </a:lnTo>
                <a:lnTo>
                  <a:pt x="3674364" y="414528"/>
                </a:lnTo>
                <a:close/>
              </a:path>
              <a:path w="7486015" h="2066925">
                <a:moveTo>
                  <a:pt x="3674364" y="207264"/>
                </a:moveTo>
                <a:lnTo>
                  <a:pt x="3040380" y="207264"/>
                </a:lnTo>
                <a:lnTo>
                  <a:pt x="3040380" y="411480"/>
                </a:lnTo>
                <a:lnTo>
                  <a:pt x="3674364" y="411480"/>
                </a:lnTo>
                <a:lnTo>
                  <a:pt x="3674364" y="207264"/>
                </a:lnTo>
                <a:close/>
              </a:path>
              <a:path w="7486015" h="2066925">
                <a:moveTo>
                  <a:pt x="3674364" y="0"/>
                </a:moveTo>
                <a:lnTo>
                  <a:pt x="3040380" y="0"/>
                </a:lnTo>
                <a:lnTo>
                  <a:pt x="3040380" y="204216"/>
                </a:lnTo>
                <a:lnTo>
                  <a:pt x="3674364" y="204216"/>
                </a:lnTo>
                <a:lnTo>
                  <a:pt x="3674364" y="0"/>
                </a:lnTo>
                <a:close/>
              </a:path>
              <a:path w="7486015" h="2066925">
                <a:moveTo>
                  <a:pt x="4437888" y="1862328"/>
                </a:moveTo>
                <a:lnTo>
                  <a:pt x="3677412" y="1862328"/>
                </a:lnTo>
                <a:lnTo>
                  <a:pt x="3677412" y="2066544"/>
                </a:lnTo>
                <a:lnTo>
                  <a:pt x="4437888" y="2066544"/>
                </a:lnTo>
                <a:lnTo>
                  <a:pt x="4437888" y="1862328"/>
                </a:lnTo>
                <a:close/>
              </a:path>
              <a:path w="7486015" h="2066925">
                <a:moveTo>
                  <a:pt x="4437888" y="1655064"/>
                </a:moveTo>
                <a:lnTo>
                  <a:pt x="3677412" y="1655064"/>
                </a:lnTo>
                <a:lnTo>
                  <a:pt x="3677412" y="1859280"/>
                </a:lnTo>
                <a:lnTo>
                  <a:pt x="4437888" y="1859280"/>
                </a:lnTo>
                <a:lnTo>
                  <a:pt x="4437888" y="1655064"/>
                </a:lnTo>
                <a:close/>
              </a:path>
              <a:path w="7486015" h="2066925">
                <a:moveTo>
                  <a:pt x="4437888" y="1449324"/>
                </a:moveTo>
                <a:lnTo>
                  <a:pt x="3677412" y="1449324"/>
                </a:lnTo>
                <a:lnTo>
                  <a:pt x="3677412" y="1652016"/>
                </a:lnTo>
                <a:lnTo>
                  <a:pt x="4437888" y="1652016"/>
                </a:lnTo>
                <a:lnTo>
                  <a:pt x="4437888" y="1449324"/>
                </a:lnTo>
                <a:close/>
              </a:path>
              <a:path w="7486015" h="2066925">
                <a:moveTo>
                  <a:pt x="4437888" y="1242060"/>
                </a:moveTo>
                <a:lnTo>
                  <a:pt x="3677412" y="1242060"/>
                </a:lnTo>
                <a:lnTo>
                  <a:pt x="3677412" y="1446276"/>
                </a:lnTo>
                <a:lnTo>
                  <a:pt x="4437888" y="1446276"/>
                </a:lnTo>
                <a:lnTo>
                  <a:pt x="4437888" y="1242060"/>
                </a:lnTo>
                <a:close/>
              </a:path>
              <a:path w="7486015" h="2066925">
                <a:moveTo>
                  <a:pt x="4437888" y="1034796"/>
                </a:moveTo>
                <a:lnTo>
                  <a:pt x="3677412" y="1034796"/>
                </a:lnTo>
                <a:lnTo>
                  <a:pt x="3677412" y="1239012"/>
                </a:lnTo>
                <a:lnTo>
                  <a:pt x="4437888" y="1239012"/>
                </a:lnTo>
                <a:lnTo>
                  <a:pt x="4437888" y="1034796"/>
                </a:lnTo>
                <a:close/>
              </a:path>
              <a:path w="7486015" h="2066925">
                <a:moveTo>
                  <a:pt x="4437888" y="827532"/>
                </a:moveTo>
                <a:lnTo>
                  <a:pt x="3677412" y="827532"/>
                </a:lnTo>
                <a:lnTo>
                  <a:pt x="3677412" y="1031748"/>
                </a:lnTo>
                <a:lnTo>
                  <a:pt x="4437888" y="1031748"/>
                </a:lnTo>
                <a:lnTo>
                  <a:pt x="4437888" y="827532"/>
                </a:lnTo>
                <a:close/>
              </a:path>
              <a:path w="7486015" h="2066925">
                <a:moveTo>
                  <a:pt x="4437888" y="621792"/>
                </a:moveTo>
                <a:lnTo>
                  <a:pt x="3677412" y="621792"/>
                </a:lnTo>
                <a:lnTo>
                  <a:pt x="3677412" y="824484"/>
                </a:lnTo>
                <a:lnTo>
                  <a:pt x="4437888" y="824484"/>
                </a:lnTo>
                <a:lnTo>
                  <a:pt x="4437888" y="621792"/>
                </a:lnTo>
                <a:close/>
              </a:path>
              <a:path w="7486015" h="2066925">
                <a:moveTo>
                  <a:pt x="4437888" y="414528"/>
                </a:moveTo>
                <a:lnTo>
                  <a:pt x="3677412" y="414528"/>
                </a:lnTo>
                <a:lnTo>
                  <a:pt x="3677412" y="618744"/>
                </a:lnTo>
                <a:lnTo>
                  <a:pt x="4437888" y="618744"/>
                </a:lnTo>
                <a:lnTo>
                  <a:pt x="4437888" y="414528"/>
                </a:lnTo>
                <a:close/>
              </a:path>
              <a:path w="7486015" h="2066925">
                <a:moveTo>
                  <a:pt x="4437888" y="207264"/>
                </a:moveTo>
                <a:lnTo>
                  <a:pt x="3677412" y="207264"/>
                </a:lnTo>
                <a:lnTo>
                  <a:pt x="3677412" y="411480"/>
                </a:lnTo>
                <a:lnTo>
                  <a:pt x="4437888" y="411480"/>
                </a:lnTo>
                <a:lnTo>
                  <a:pt x="4437888" y="207264"/>
                </a:lnTo>
                <a:close/>
              </a:path>
              <a:path w="7486015" h="2066925">
                <a:moveTo>
                  <a:pt x="4437888" y="0"/>
                </a:moveTo>
                <a:lnTo>
                  <a:pt x="3677412" y="0"/>
                </a:lnTo>
                <a:lnTo>
                  <a:pt x="3677412" y="204216"/>
                </a:lnTo>
                <a:lnTo>
                  <a:pt x="4437888" y="204216"/>
                </a:lnTo>
                <a:lnTo>
                  <a:pt x="4437888" y="0"/>
                </a:lnTo>
                <a:close/>
              </a:path>
              <a:path w="7486015" h="2066925">
                <a:moveTo>
                  <a:pt x="5199888" y="1862328"/>
                </a:moveTo>
                <a:lnTo>
                  <a:pt x="4440936" y="1862328"/>
                </a:lnTo>
                <a:lnTo>
                  <a:pt x="4440936" y="2066544"/>
                </a:lnTo>
                <a:lnTo>
                  <a:pt x="5199888" y="2066544"/>
                </a:lnTo>
                <a:lnTo>
                  <a:pt x="5199888" y="1862328"/>
                </a:lnTo>
                <a:close/>
              </a:path>
              <a:path w="7486015" h="2066925">
                <a:moveTo>
                  <a:pt x="5199888" y="1655064"/>
                </a:moveTo>
                <a:lnTo>
                  <a:pt x="4440936" y="1655064"/>
                </a:lnTo>
                <a:lnTo>
                  <a:pt x="4440936" y="1859280"/>
                </a:lnTo>
                <a:lnTo>
                  <a:pt x="5199888" y="1859280"/>
                </a:lnTo>
                <a:lnTo>
                  <a:pt x="5199888" y="1655064"/>
                </a:lnTo>
                <a:close/>
              </a:path>
              <a:path w="7486015" h="2066925">
                <a:moveTo>
                  <a:pt x="5199888" y="1449324"/>
                </a:moveTo>
                <a:lnTo>
                  <a:pt x="4440936" y="1449324"/>
                </a:lnTo>
                <a:lnTo>
                  <a:pt x="4440936" y="1652016"/>
                </a:lnTo>
                <a:lnTo>
                  <a:pt x="5199888" y="1652016"/>
                </a:lnTo>
                <a:lnTo>
                  <a:pt x="5199888" y="1449324"/>
                </a:lnTo>
                <a:close/>
              </a:path>
              <a:path w="7486015" h="2066925">
                <a:moveTo>
                  <a:pt x="5199888" y="1242060"/>
                </a:moveTo>
                <a:lnTo>
                  <a:pt x="4440936" y="1242060"/>
                </a:lnTo>
                <a:lnTo>
                  <a:pt x="4440936" y="1446276"/>
                </a:lnTo>
                <a:lnTo>
                  <a:pt x="5199888" y="1446276"/>
                </a:lnTo>
                <a:lnTo>
                  <a:pt x="5199888" y="1242060"/>
                </a:lnTo>
                <a:close/>
              </a:path>
              <a:path w="7486015" h="2066925">
                <a:moveTo>
                  <a:pt x="5199888" y="1034796"/>
                </a:moveTo>
                <a:lnTo>
                  <a:pt x="4440936" y="1034796"/>
                </a:lnTo>
                <a:lnTo>
                  <a:pt x="4440936" y="1239012"/>
                </a:lnTo>
                <a:lnTo>
                  <a:pt x="5199888" y="1239012"/>
                </a:lnTo>
                <a:lnTo>
                  <a:pt x="5199888" y="1034796"/>
                </a:lnTo>
                <a:close/>
              </a:path>
              <a:path w="7486015" h="2066925">
                <a:moveTo>
                  <a:pt x="5199888" y="827532"/>
                </a:moveTo>
                <a:lnTo>
                  <a:pt x="4440936" y="827532"/>
                </a:lnTo>
                <a:lnTo>
                  <a:pt x="4440936" y="1031748"/>
                </a:lnTo>
                <a:lnTo>
                  <a:pt x="5199888" y="1031748"/>
                </a:lnTo>
                <a:lnTo>
                  <a:pt x="5199888" y="827532"/>
                </a:lnTo>
                <a:close/>
              </a:path>
              <a:path w="7486015" h="2066925">
                <a:moveTo>
                  <a:pt x="5199888" y="621792"/>
                </a:moveTo>
                <a:lnTo>
                  <a:pt x="4440936" y="621792"/>
                </a:lnTo>
                <a:lnTo>
                  <a:pt x="4440936" y="824484"/>
                </a:lnTo>
                <a:lnTo>
                  <a:pt x="5199888" y="824484"/>
                </a:lnTo>
                <a:lnTo>
                  <a:pt x="5199888" y="621792"/>
                </a:lnTo>
                <a:close/>
              </a:path>
              <a:path w="7486015" h="2066925">
                <a:moveTo>
                  <a:pt x="5199888" y="414528"/>
                </a:moveTo>
                <a:lnTo>
                  <a:pt x="4440936" y="414528"/>
                </a:lnTo>
                <a:lnTo>
                  <a:pt x="4440936" y="618744"/>
                </a:lnTo>
                <a:lnTo>
                  <a:pt x="5199888" y="618744"/>
                </a:lnTo>
                <a:lnTo>
                  <a:pt x="5199888" y="414528"/>
                </a:lnTo>
                <a:close/>
              </a:path>
              <a:path w="7486015" h="2066925">
                <a:moveTo>
                  <a:pt x="5199888" y="207264"/>
                </a:moveTo>
                <a:lnTo>
                  <a:pt x="4440936" y="207264"/>
                </a:lnTo>
                <a:lnTo>
                  <a:pt x="4440936" y="411480"/>
                </a:lnTo>
                <a:lnTo>
                  <a:pt x="5199888" y="411480"/>
                </a:lnTo>
                <a:lnTo>
                  <a:pt x="5199888" y="207264"/>
                </a:lnTo>
                <a:close/>
              </a:path>
              <a:path w="7486015" h="2066925">
                <a:moveTo>
                  <a:pt x="5199888" y="0"/>
                </a:moveTo>
                <a:lnTo>
                  <a:pt x="4440936" y="0"/>
                </a:lnTo>
                <a:lnTo>
                  <a:pt x="4440936" y="204216"/>
                </a:lnTo>
                <a:lnTo>
                  <a:pt x="5199888" y="204216"/>
                </a:lnTo>
                <a:lnTo>
                  <a:pt x="5199888" y="0"/>
                </a:lnTo>
                <a:close/>
              </a:path>
              <a:path w="7486015" h="2066925">
                <a:moveTo>
                  <a:pt x="5961875" y="1862328"/>
                </a:moveTo>
                <a:lnTo>
                  <a:pt x="5202936" y="1862328"/>
                </a:lnTo>
                <a:lnTo>
                  <a:pt x="5202936" y="2066544"/>
                </a:lnTo>
                <a:lnTo>
                  <a:pt x="5961875" y="2066544"/>
                </a:lnTo>
                <a:lnTo>
                  <a:pt x="5961875" y="1862328"/>
                </a:lnTo>
                <a:close/>
              </a:path>
              <a:path w="7486015" h="2066925">
                <a:moveTo>
                  <a:pt x="5961875" y="1655064"/>
                </a:moveTo>
                <a:lnTo>
                  <a:pt x="5202936" y="1655064"/>
                </a:lnTo>
                <a:lnTo>
                  <a:pt x="5202936" y="1859280"/>
                </a:lnTo>
                <a:lnTo>
                  <a:pt x="5961875" y="1859280"/>
                </a:lnTo>
                <a:lnTo>
                  <a:pt x="5961875" y="1655064"/>
                </a:lnTo>
                <a:close/>
              </a:path>
              <a:path w="7486015" h="2066925">
                <a:moveTo>
                  <a:pt x="5961875" y="1449324"/>
                </a:moveTo>
                <a:lnTo>
                  <a:pt x="5202936" y="1449324"/>
                </a:lnTo>
                <a:lnTo>
                  <a:pt x="5202936" y="1652016"/>
                </a:lnTo>
                <a:lnTo>
                  <a:pt x="5961875" y="1652016"/>
                </a:lnTo>
                <a:lnTo>
                  <a:pt x="5961875" y="1449324"/>
                </a:lnTo>
                <a:close/>
              </a:path>
              <a:path w="7486015" h="2066925">
                <a:moveTo>
                  <a:pt x="5961875" y="1242060"/>
                </a:moveTo>
                <a:lnTo>
                  <a:pt x="5202936" y="1242060"/>
                </a:lnTo>
                <a:lnTo>
                  <a:pt x="5202936" y="1446276"/>
                </a:lnTo>
                <a:lnTo>
                  <a:pt x="5961875" y="1446276"/>
                </a:lnTo>
                <a:lnTo>
                  <a:pt x="5961875" y="1242060"/>
                </a:lnTo>
                <a:close/>
              </a:path>
              <a:path w="7486015" h="2066925">
                <a:moveTo>
                  <a:pt x="5961875" y="1034796"/>
                </a:moveTo>
                <a:lnTo>
                  <a:pt x="5202936" y="1034796"/>
                </a:lnTo>
                <a:lnTo>
                  <a:pt x="5202936" y="1239012"/>
                </a:lnTo>
                <a:lnTo>
                  <a:pt x="5961875" y="1239012"/>
                </a:lnTo>
                <a:lnTo>
                  <a:pt x="5961875" y="1034796"/>
                </a:lnTo>
                <a:close/>
              </a:path>
              <a:path w="7486015" h="2066925">
                <a:moveTo>
                  <a:pt x="5961875" y="827532"/>
                </a:moveTo>
                <a:lnTo>
                  <a:pt x="5202936" y="827532"/>
                </a:lnTo>
                <a:lnTo>
                  <a:pt x="5202936" y="1031748"/>
                </a:lnTo>
                <a:lnTo>
                  <a:pt x="5961875" y="1031748"/>
                </a:lnTo>
                <a:lnTo>
                  <a:pt x="5961875" y="827532"/>
                </a:lnTo>
                <a:close/>
              </a:path>
              <a:path w="7486015" h="2066925">
                <a:moveTo>
                  <a:pt x="5961875" y="621792"/>
                </a:moveTo>
                <a:lnTo>
                  <a:pt x="5202936" y="621792"/>
                </a:lnTo>
                <a:lnTo>
                  <a:pt x="5202936" y="824484"/>
                </a:lnTo>
                <a:lnTo>
                  <a:pt x="5961875" y="824484"/>
                </a:lnTo>
                <a:lnTo>
                  <a:pt x="5961875" y="621792"/>
                </a:lnTo>
                <a:close/>
              </a:path>
              <a:path w="7486015" h="2066925">
                <a:moveTo>
                  <a:pt x="5961875" y="414528"/>
                </a:moveTo>
                <a:lnTo>
                  <a:pt x="5202936" y="414528"/>
                </a:lnTo>
                <a:lnTo>
                  <a:pt x="5202936" y="618744"/>
                </a:lnTo>
                <a:lnTo>
                  <a:pt x="5961875" y="618744"/>
                </a:lnTo>
                <a:lnTo>
                  <a:pt x="5961875" y="414528"/>
                </a:lnTo>
                <a:close/>
              </a:path>
              <a:path w="7486015" h="2066925">
                <a:moveTo>
                  <a:pt x="5961875" y="207264"/>
                </a:moveTo>
                <a:lnTo>
                  <a:pt x="5202936" y="207264"/>
                </a:lnTo>
                <a:lnTo>
                  <a:pt x="5202936" y="411480"/>
                </a:lnTo>
                <a:lnTo>
                  <a:pt x="5961875" y="411480"/>
                </a:lnTo>
                <a:lnTo>
                  <a:pt x="5961875" y="207264"/>
                </a:lnTo>
                <a:close/>
              </a:path>
              <a:path w="7486015" h="2066925">
                <a:moveTo>
                  <a:pt x="5961875" y="0"/>
                </a:moveTo>
                <a:lnTo>
                  <a:pt x="5202936" y="0"/>
                </a:lnTo>
                <a:lnTo>
                  <a:pt x="5202936" y="204216"/>
                </a:lnTo>
                <a:lnTo>
                  <a:pt x="5961875" y="204216"/>
                </a:lnTo>
                <a:lnTo>
                  <a:pt x="5961875" y="0"/>
                </a:lnTo>
                <a:close/>
              </a:path>
              <a:path w="7486015" h="2066925">
                <a:moveTo>
                  <a:pt x="6723888" y="1655064"/>
                </a:moveTo>
                <a:lnTo>
                  <a:pt x="5964936" y="1655064"/>
                </a:lnTo>
                <a:lnTo>
                  <a:pt x="5964936" y="1859280"/>
                </a:lnTo>
                <a:lnTo>
                  <a:pt x="6723888" y="1859280"/>
                </a:lnTo>
                <a:lnTo>
                  <a:pt x="6723888" y="1655064"/>
                </a:lnTo>
                <a:close/>
              </a:path>
              <a:path w="7486015" h="2066925">
                <a:moveTo>
                  <a:pt x="6723888" y="1449324"/>
                </a:moveTo>
                <a:lnTo>
                  <a:pt x="5964936" y="1449324"/>
                </a:lnTo>
                <a:lnTo>
                  <a:pt x="5964936" y="1652016"/>
                </a:lnTo>
                <a:lnTo>
                  <a:pt x="6723888" y="1652016"/>
                </a:lnTo>
                <a:lnTo>
                  <a:pt x="6723888" y="1449324"/>
                </a:lnTo>
                <a:close/>
              </a:path>
              <a:path w="7486015" h="2066925">
                <a:moveTo>
                  <a:pt x="6723888" y="1242060"/>
                </a:moveTo>
                <a:lnTo>
                  <a:pt x="5964936" y="1242060"/>
                </a:lnTo>
                <a:lnTo>
                  <a:pt x="5964936" y="1446276"/>
                </a:lnTo>
                <a:lnTo>
                  <a:pt x="6723888" y="1446276"/>
                </a:lnTo>
                <a:lnTo>
                  <a:pt x="6723888" y="1242060"/>
                </a:lnTo>
                <a:close/>
              </a:path>
              <a:path w="7486015" h="2066925">
                <a:moveTo>
                  <a:pt x="6723888" y="1034796"/>
                </a:moveTo>
                <a:lnTo>
                  <a:pt x="5964936" y="1034796"/>
                </a:lnTo>
                <a:lnTo>
                  <a:pt x="5964936" y="1239012"/>
                </a:lnTo>
                <a:lnTo>
                  <a:pt x="6723888" y="1239012"/>
                </a:lnTo>
                <a:lnTo>
                  <a:pt x="6723888" y="1034796"/>
                </a:lnTo>
                <a:close/>
              </a:path>
              <a:path w="7486015" h="2066925">
                <a:moveTo>
                  <a:pt x="6723888" y="827532"/>
                </a:moveTo>
                <a:lnTo>
                  <a:pt x="5964936" y="827532"/>
                </a:lnTo>
                <a:lnTo>
                  <a:pt x="5964936" y="1031748"/>
                </a:lnTo>
                <a:lnTo>
                  <a:pt x="6723888" y="1031748"/>
                </a:lnTo>
                <a:lnTo>
                  <a:pt x="6723888" y="827532"/>
                </a:lnTo>
                <a:close/>
              </a:path>
              <a:path w="7486015" h="2066925">
                <a:moveTo>
                  <a:pt x="6723888" y="621792"/>
                </a:moveTo>
                <a:lnTo>
                  <a:pt x="5964936" y="621792"/>
                </a:lnTo>
                <a:lnTo>
                  <a:pt x="5964936" y="824484"/>
                </a:lnTo>
                <a:lnTo>
                  <a:pt x="6723888" y="824484"/>
                </a:lnTo>
                <a:lnTo>
                  <a:pt x="6723888" y="621792"/>
                </a:lnTo>
                <a:close/>
              </a:path>
              <a:path w="7486015" h="2066925">
                <a:moveTo>
                  <a:pt x="6723888" y="414528"/>
                </a:moveTo>
                <a:lnTo>
                  <a:pt x="5964936" y="414528"/>
                </a:lnTo>
                <a:lnTo>
                  <a:pt x="5964936" y="618744"/>
                </a:lnTo>
                <a:lnTo>
                  <a:pt x="6723888" y="618744"/>
                </a:lnTo>
                <a:lnTo>
                  <a:pt x="6723888" y="414528"/>
                </a:lnTo>
                <a:close/>
              </a:path>
              <a:path w="7486015" h="2066925">
                <a:moveTo>
                  <a:pt x="6723888" y="207264"/>
                </a:moveTo>
                <a:lnTo>
                  <a:pt x="5964936" y="207264"/>
                </a:lnTo>
                <a:lnTo>
                  <a:pt x="5964936" y="411480"/>
                </a:lnTo>
                <a:lnTo>
                  <a:pt x="6723888" y="411480"/>
                </a:lnTo>
                <a:lnTo>
                  <a:pt x="6723888" y="207264"/>
                </a:lnTo>
                <a:close/>
              </a:path>
              <a:path w="7486015" h="2066925">
                <a:moveTo>
                  <a:pt x="6723888" y="0"/>
                </a:moveTo>
                <a:lnTo>
                  <a:pt x="5964936" y="0"/>
                </a:lnTo>
                <a:lnTo>
                  <a:pt x="5964936" y="204216"/>
                </a:lnTo>
                <a:lnTo>
                  <a:pt x="6723888" y="204216"/>
                </a:lnTo>
                <a:lnTo>
                  <a:pt x="6723888" y="0"/>
                </a:lnTo>
                <a:close/>
              </a:path>
              <a:path w="7486015" h="2066925">
                <a:moveTo>
                  <a:pt x="7485888" y="1655064"/>
                </a:moveTo>
                <a:lnTo>
                  <a:pt x="6726936" y="1655064"/>
                </a:lnTo>
                <a:lnTo>
                  <a:pt x="6726936" y="1859280"/>
                </a:lnTo>
                <a:lnTo>
                  <a:pt x="7485888" y="1859280"/>
                </a:lnTo>
                <a:lnTo>
                  <a:pt x="7485888" y="1655064"/>
                </a:lnTo>
                <a:close/>
              </a:path>
              <a:path w="7486015" h="2066925">
                <a:moveTo>
                  <a:pt x="7485888" y="1449324"/>
                </a:moveTo>
                <a:lnTo>
                  <a:pt x="6726936" y="1449324"/>
                </a:lnTo>
                <a:lnTo>
                  <a:pt x="6726936" y="1652016"/>
                </a:lnTo>
                <a:lnTo>
                  <a:pt x="7485888" y="1652016"/>
                </a:lnTo>
                <a:lnTo>
                  <a:pt x="7485888" y="1449324"/>
                </a:lnTo>
                <a:close/>
              </a:path>
              <a:path w="7486015" h="2066925">
                <a:moveTo>
                  <a:pt x="7485888" y="1242060"/>
                </a:moveTo>
                <a:lnTo>
                  <a:pt x="6726936" y="1242060"/>
                </a:lnTo>
                <a:lnTo>
                  <a:pt x="6726936" y="1446276"/>
                </a:lnTo>
                <a:lnTo>
                  <a:pt x="7485888" y="1446276"/>
                </a:lnTo>
                <a:lnTo>
                  <a:pt x="7485888" y="1242060"/>
                </a:lnTo>
                <a:close/>
              </a:path>
              <a:path w="7486015" h="2066925">
                <a:moveTo>
                  <a:pt x="7485888" y="1034796"/>
                </a:moveTo>
                <a:lnTo>
                  <a:pt x="6726936" y="1034796"/>
                </a:lnTo>
                <a:lnTo>
                  <a:pt x="6726936" y="1239012"/>
                </a:lnTo>
                <a:lnTo>
                  <a:pt x="7485888" y="1239012"/>
                </a:lnTo>
                <a:lnTo>
                  <a:pt x="7485888" y="1034796"/>
                </a:lnTo>
                <a:close/>
              </a:path>
              <a:path w="7486015" h="2066925">
                <a:moveTo>
                  <a:pt x="7485888" y="827532"/>
                </a:moveTo>
                <a:lnTo>
                  <a:pt x="6726936" y="827532"/>
                </a:lnTo>
                <a:lnTo>
                  <a:pt x="6726936" y="1031748"/>
                </a:lnTo>
                <a:lnTo>
                  <a:pt x="7485888" y="1031748"/>
                </a:lnTo>
                <a:lnTo>
                  <a:pt x="7485888" y="827532"/>
                </a:lnTo>
                <a:close/>
              </a:path>
              <a:path w="7486015" h="2066925">
                <a:moveTo>
                  <a:pt x="7485888" y="621792"/>
                </a:moveTo>
                <a:lnTo>
                  <a:pt x="6726936" y="621792"/>
                </a:lnTo>
                <a:lnTo>
                  <a:pt x="6726936" y="824484"/>
                </a:lnTo>
                <a:lnTo>
                  <a:pt x="7485888" y="824484"/>
                </a:lnTo>
                <a:lnTo>
                  <a:pt x="7485888" y="621792"/>
                </a:lnTo>
                <a:close/>
              </a:path>
              <a:path w="7486015" h="2066925">
                <a:moveTo>
                  <a:pt x="7485888" y="414528"/>
                </a:moveTo>
                <a:lnTo>
                  <a:pt x="6726936" y="414528"/>
                </a:lnTo>
                <a:lnTo>
                  <a:pt x="6726936" y="618744"/>
                </a:lnTo>
                <a:lnTo>
                  <a:pt x="7485888" y="618744"/>
                </a:lnTo>
                <a:lnTo>
                  <a:pt x="7485888" y="414528"/>
                </a:lnTo>
                <a:close/>
              </a:path>
              <a:path w="7486015" h="2066925">
                <a:moveTo>
                  <a:pt x="7485888" y="207264"/>
                </a:moveTo>
                <a:lnTo>
                  <a:pt x="6726936" y="207264"/>
                </a:lnTo>
                <a:lnTo>
                  <a:pt x="6726936" y="411480"/>
                </a:lnTo>
                <a:lnTo>
                  <a:pt x="7485888" y="411480"/>
                </a:lnTo>
                <a:lnTo>
                  <a:pt x="7485888" y="207264"/>
                </a:lnTo>
                <a:close/>
              </a:path>
              <a:path w="7486015" h="2066925">
                <a:moveTo>
                  <a:pt x="7485888" y="0"/>
                </a:moveTo>
                <a:lnTo>
                  <a:pt x="6726936" y="0"/>
                </a:lnTo>
                <a:lnTo>
                  <a:pt x="6726936" y="204216"/>
                </a:lnTo>
                <a:lnTo>
                  <a:pt x="7485888" y="204216"/>
                </a:lnTo>
                <a:lnTo>
                  <a:pt x="7485888" y="0"/>
                </a:lnTo>
                <a:close/>
              </a:path>
            </a:pathLst>
          </a:custGeom>
          <a:solidFill>
            <a:srgbClr val="FFFFFF"/>
          </a:solidFill>
        </xdr:spPr>
      </xdr:sp>
      <xdr:sp macro="" textlink="">
        <xdr:nvSpPr>
          <xdr:cNvPr id="138" name="Shape 138">
            <a:extLst>
              <a:ext uri="{FF2B5EF4-FFF2-40B4-BE49-F238E27FC236}">
                <a16:creationId xmlns:a16="http://schemas.microsoft.com/office/drawing/2014/main" id="{00000000-0008-0000-0C00-00008A000000}"/>
              </a:ext>
            </a:extLst>
          </xdr:cNvPr>
          <xdr:cNvSpPr/>
        </xdr:nvSpPr>
        <xdr:spPr>
          <a:xfrm>
            <a:off x="0" y="1449323"/>
            <a:ext cx="7486015" cy="1859280"/>
          </a:xfrm>
          <a:custGeom>
            <a:avLst/>
            <a:gdLst/>
            <a:ahLst/>
            <a:cxnLst/>
            <a:rect l="0" t="0" r="0" b="0"/>
            <a:pathLst>
              <a:path w="7486015" h="1859280">
                <a:moveTo>
                  <a:pt x="312420" y="0"/>
                </a:moveTo>
                <a:lnTo>
                  <a:pt x="0" y="0"/>
                </a:lnTo>
                <a:lnTo>
                  <a:pt x="0" y="1859280"/>
                </a:lnTo>
                <a:lnTo>
                  <a:pt x="312420" y="1859280"/>
                </a:lnTo>
                <a:lnTo>
                  <a:pt x="312420" y="0"/>
                </a:lnTo>
                <a:close/>
              </a:path>
              <a:path w="7486015" h="1859280">
                <a:moveTo>
                  <a:pt x="1264920" y="0"/>
                </a:moveTo>
                <a:lnTo>
                  <a:pt x="315468" y="0"/>
                </a:lnTo>
                <a:lnTo>
                  <a:pt x="315468" y="1859280"/>
                </a:lnTo>
                <a:lnTo>
                  <a:pt x="1264920" y="1859280"/>
                </a:lnTo>
                <a:lnTo>
                  <a:pt x="1264920" y="0"/>
                </a:lnTo>
                <a:close/>
              </a:path>
              <a:path w="7486015" h="1859280">
                <a:moveTo>
                  <a:pt x="2531364" y="0"/>
                </a:moveTo>
                <a:lnTo>
                  <a:pt x="1267968" y="0"/>
                </a:lnTo>
                <a:lnTo>
                  <a:pt x="1267968" y="1859280"/>
                </a:lnTo>
                <a:lnTo>
                  <a:pt x="2531364" y="1859280"/>
                </a:lnTo>
                <a:lnTo>
                  <a:pt x="2531364" y="0"/>
                </a:lnTo>
                <a:close/>
              </a:path>
              <a:path w="7486015" h="1859280">
                <a:moveTo>
                  <a:pt x="3037332" y="1655064"/>
                </a:moveTo>
                <a:lnTo>
                  <a:pt x="2534412" y="1655064"/>
                </a:lnTo>
                <a:lnTo>
                  <a:pt x="2534412" y="1859280"/>
                </a:lnTo>
                <a:lnTo>
                  <a:pt x="3037332" y="1859280"/>
                </a:lnTo>
                <a:lnTo>
                  <a:pt x="3037332" y="1655064"/>
                </a:lnTo>
                <a:close/>
              </a:path>
              <a:path w="7486015" h="1859280">
                <a:moveTo>
                  <a:pt x="3037332" y="1447800"/>
                </a:moveTo>
                <a:lnTo>
                  <a:pt x="2534412" y="1447800"/>
                </a:lnTo>
                <a:lnTo>
                  <a:pt x="2534412" y="1652016"/>
                </a:lnTo>
                <a:lnTo>
                  <a:pt x="3037332" y="1652016"/>
                </a:lnTo>
                <a:lnTo>
                  <a:pt x="3037332" y="1447800"/>
                </a:lnTo>
                <a:close/>
              </a:path>
              <a:path w="7486015" h="1859280">
                <a:moveTo>
                  <a:pt x="3037332" y="1240536"/>
                </a:moveTo>
                <a:lnTo>
                  <a:pt x="2534412" y="1240536"/>
                </a:lnTo>
                <a:lnTo>
                  <a:pt x="2534412" y="1444752"/>
                </a:lnTo>
                <a:lnTo>
                  <a:pt x="3037332" y="1444752"/>
                </a:lnTo>
                <a:lnTo>
                  <a:pt x="3037332" y="1240536"/>
                </a:lnTo>
                <a:close/>
              </a:path>
              <a:path w="7486015" h="1859280">
                <a:moveTo>
                  <a:pt x="3037332" y="1033272"/>
                </a:moveTo>
                <a:lnTo>
                  <a:pt x="2534412" y="1033272"/>
                </a:lnTo>
                <a:lnTo>
                  <a:pt x="2534412" y="1237488"/>
                </a:lnTo>
                <a:lnTo>
                  <a:pt x="3037332" y="1237488"/>
                </a:lnTo>
                <a:lnTo>
                  <a:pt x="3037332" y="1033272"/>
                </a:lnTo>
                <a:close/>
              </a:path>
              <a:path w="7486015" h="1859280">
                <a:moveTo>
                  <a:pt x="3037332" y="827532"/>
                </a:moveTo>
                <a:lnTo>
                  <a:pt x="2534412" y="827532"/>
                </a:lnTo>
                <a:lnTo>
                  <a:pt x="2534412" y="1030224"/>
                </a:lnTo>
                <a:lnTo>
                  <a:pt x="3037332" y="1030224"/>
                </a:lnTo>
                <a:lnTo>
                  <a:pt x="3037332" y="827532"/>
                </a:lnTo>
                <a:close/>
              </a:path>
              <a:path w="7486015" h="1859280">
                <a:moveTo>
                  <a:pt x="3037332" y="620268"/>
                </a:moveTo>
                <a:lnTo>
                  <a:pt x="2534412" y="620268"/>
                </a:lnTo>
                <a:lnTo>
                  <a:pt x="2534412" y="824484"/>
                </a:lnTo>
                <a:lnTo>
                  <a:pt x="3037332" y="824484"/>
                </a:lnTo>
                <a:lnTo>
                  <a:pt x="3037332" y="620268"/>
                </a:lnTo>
                <a:close/>
              </a:path>
              <a:path w="7486015" h="1859280">
                <a:moveTo>
                  <a:pt x="3674364" y="1655064"/>
                </a:moveTo>
                <a:lnTo>
                  <a:pt x="3040380" y="1655064"/>
                </a:lnTo>
                <a:lnTo>
                  <a:pt x="3040380" y="1859280"/>
                </a:lnTo>
                <a:lnTo>
                  <a:pt x="3674364" y="1859280"/>
                </a:lnTo>
                <a:lnTo>
                  <a:pt x="3674364" y="1655064"/>
                </a:lnTo>
                <a:close/>
              </a:path>
              <a:path w="7486015" h="1859280">
                <a:moveTo>
                  <a:pt x="3674364" y="1447800"/>
                </a:moveTo>
                <a:lnTo>
                  <a:pt x="3040380" y="1447800"/>
                </a:lnTo>
                <a:lnTo>
                  <a:pt x="3040380" y="1652016"/>
                </a:lnTo>
                <a:lnTo>
                  <a:pt x="3674364" y="1652016"/>
                </a:lnTo>
                <a:lnTo>
                  <a:pt x="3674364" y="1447800"/>
                </a:lnTo>
                <a:close/>
              </a:path>
              <a:path w="7486015" h="1859280">
                <a:moveTo>
                  <a:pt x="3674364" y="1240536"/>
                </a:moveTo>
                <a:lnTo>
                  <a:pt x="3040380" y="1240536"/>
                </a:lnTo>
                <a:lnTo>
                  <a:pt x="3040380" y="1444752"/>
                </a:lnTo>
                <a:lnTo>
                  <a:pt x="3674364" y="1444752"/>
                </a:lnTo>
                <a:lnTo>
                  <a:pt x="3674364" y="1240536"/>
                </a:lnTo>
                <a:close/>
              </a:path>
              <a:path w="7486015" h="1859280">
                <a:moveTo>
                  <a:pt x="3674364" y="1033272"/>
                </a:moveTo>
                <a:lnTo>
                  <a:pt x="3040380" y="1033272"/>
                </a:lnTo>
                <a:lnTo>
                  <a:pt x="3040380" y="1237488"/>
                </a:lnTo>
                <a:lnTo>
                  <a:pt x="3674364" y="1237488"/>
                </a:lnTo>
                <a:lnTo>
                  <a:pt x="3674364" y="1033272"/>
                </a:lnTo>
                <a:close/>
              </a:path>
              <a:path w="7486015" h="1859280">
                <a:moveTo>
                  <a:pt x="3674364" y="827532"/>
                </a:moveTo>
                <a:lnTo>
                  <a:pt x="3040380" y="827532"/>
                </a:lnTo>
                <a:lnTo>
                  <a:pt x="3040380" y="1030224"/>
                </a:lnTo>
                <a:lnTo>
                  <a:pt x="3674364" y="1030224"/>
                </a:lnTo>
                <a:lnTo>
                  <a:pt x="3674364" y="827532"/>
                </a:lnTo>
                <a:close/>
              </a:path>
              <a:path w="7486015" h="1859280">
                <a:moveTo>
                  <a:pt x="3674364" y="620268"/>
                </a:moveTo>
                <a:lnTo>
                  <a:pt x="3040380" y="620268"/>
                </a:lnTo>
                <a:lnTo>
                  <a:pt x="3040380" y="824484"/>
                </a:lnTo>
                <a:lnTo>
                  <a:pt x="3674364" y="824484"/>
                </a:lnTo>
                <a:lnTo>
                  <a:pt x="3674364" y="620268"/>
                </a:lnTo>
                <a:close/>
              </a:path>
              <a:path w="7486015" h="1859280">
                <a:moveTo>
                  <a:pt x="4437888" y="1655064"/>
                </a:moveTo>
                <a:lnTo>
                  <a:pt x="3677412" y="1655064"/>
                </a:lnTo>
                <a:lnTo>
                  <a:pt x="3677412" y="1859280"/>
                </a:lnTo>
                <a:lnTo>
                  <a:pt x="4437888" y="1859280"/>
                </a:lnTo>
                <a:lnTo>
                  <a:pt x="4437888" y="1655064"/>
                </a:lnTo>
                <a:close/>
              </a:path>
              <a:path w="7486015" h="1859280">
                <a:moveTo>
                  <a:pt x="4437888" y="1447800"/>
                </a:moveTo>
                <a:lnTo>
                  <a:pt x="3677412" y="1447800"/>
                </a:lnTo>
                <a:lnTo>
                  <a:pt x="3677412" y="1652016"/>
                </a:lnTo>
                <a:lnTo>
                  <a:pt x="4437888" y="1652016"/>
                </a:lnTo>
                <a:lnTo>
                  <a:pt x="4437888" y="1447800"/>
                </a:lnTo>
                <a:close/>
              </a:path>
              <a:path w="7486015" h="1859280">
                <a:moveTo>
                  <a:pt x="4437888" y="1240536"/>
                </a:moveTo>
                <a:lnTo>
                  <a:pt x="3677412" y="1240536"/>
                </a:lnTo>
                <a:lnTo>
                  <a:pt x="3677412" y="1444752"/>
                </a:lnTo>
                <a:lnTo>
                  <a:pt x="4437888" y="1444752"/>
                </a:lnTo>
                <a:lnTo>
                  <a:pt x="4437888" y="1240536"/>
                </a:lnTo>
                <a:close/>
              </a:path>
              <a:path w="7486015" h="1859280">
                <a:moveTo>
                  <a:pt x="4437888" y="1033272"/>
                </a:moveTo>
                <a:lnTo>
                  <a:pt x="3677412" y="1033272"/>
                </a:lnTo>
                <a:lnTo>
                  <a:pt x="3677412" y="1237488"/>
                </a:lnTo>
                <a:lnTo>
                  <a:pt x="4437888" y="1237488"/>
                </a:lnTo>
                <a:lnTo>
                  <a:pt x="4437888" y="1033272"/>
                </a:lnTo>
                <a:close/>
              </a:path>
              <a:path w="7486015" h="1859280">
                <a:moveTo>
                  <a:pt x="4437888" y="827532"/>
                </a:moveTo>
                <a:lnTo>
                  <a:pt x="3677412" y="827532"/>
                </a:lnTo>
                <a:lnTo>
                  <a:pt x="3677412" y="1030224"/>
                </a:lnTo>
                <a:lnTo>
                  <a:pt x="4437888" y="1030224"/>
                </a:lnTo>
                <a:lnTo>
                  <a:pt x="4437888" y="827532"/>
                </a:lnTo>
                <a:close/>
              </a:path>
              <a:path w="7486015" h="1859280">
                <a:moveTo>
                  <a:pt x="4437888" y="620268"/>
                </a:moveTo>
                <a:lnTo>
                  <a:pt x="3677412" y="620268"/>
                </a:lnTo>
                <a:lnTo>
                  <a:pt x="3677412" y="824484"/>
                </a:lnTo>
                <a:lnTo>
                  <a:pt x="4437888" y="824484"/>
                </a:lnTo>
                <a:lnTo>
                  <a:pt x="4437888" y="620268"/>
                </a:lnTo>
                <a:close/>
              </a:path>
              <a:path w="7486015" h="1859280">
                <a:moveTo>
                  <a:pt x="5199888" y="1655064"/>
                </a:moveTo>
                <a:lnTo>
                  <a:pt x="4440936" y="1655064"/>
                </a:lnTo>
                <a:lnTo>
                  <a:pt x="4440936" y="1859280"/>
                </a:lnTo>
                <a:lnTo>
                  <a:pt x="5199888" y="1859280"/>
                </a:lnTo>
                <a:lnTo>
                  <a:pt x="5199888" y="1655064"/>
                </a:lnTo>
                <a:close/>
              </a:path>
              <a:path w="7486015" h="1859280">
                <a:moveTo>
                  <a:pt x="5199888" y="1447800"/>
                </a:moveTo>
                <a:lnTo>
                  <a:pt x="4440936" y="1447800"/>
                </a:lnTo>
                <a:lnTo>
                  <a:pt x="4440936" y="1652016"/>
                </a:lnTo>
                <a:lnTo>
                  <a:pt x="5199888" y="1652016"/>
                </a:lnTo>
                <a:lnTo>
                  <a:pt x="5199888" y="1447800"/>
                </a:lnTo>
                <a:close/>
              </a:path>
              <a:path w="7486015" h="1859280">
                <a:moveTo>
                  <a:pt x="5199888" y="1240536"/>
                </a:moveTo>
                <a:lnTo>
                  <a:pt x="4440936" y="1240536"/>
                </a:lnTo>
                <a:lnTo>
                  <a:pt x="4440936" y="1444752"/>
                </a:lnTo>
                <a:lnTo>
                  <a:pt x="5199888" y="1444752"/>
                </a:lnTo>
                <a:lnTo>
                  <a:pt x="5199888" y="1240536"/>
                </a:lnTo>
                <a:close/>
              </a:path>
              <a:path w="7486015" h="1859280">
                <a:moveTo>
                  <a:pt x="5199888" y="1033272"/>
                </a:moveTo>
                <a:lnTo>
                  <a:pt x="4440936" y="1033272"/>
                </a:lnTo>
                <a:lnTo>
                  <a:pt x="4440936" y="1237488"/>
                </a:lnTo>
                <a:lnTo>
                  <a:pt x="5199888" y="1237488"/>
                </a:lnTo>
                <a:lnTo>
                  <a:pt x="5199888" y="1033272"/>
                </a:lnTo>
                <a:close/>
              </a:path>
              <a:path w="7486015" h="1859280">
                <a:moveTo>
                  <a:pt x="5199888" y="827532"/>
                </a:moveTo>
                <a:lnTo>
                  <a:pt x="4440936" y="827532"/>
                </a:lnTo>
                <a:lnTo>
                  <a:pt x="4440936" y="1030224"/>
                </a:lnTo>
                <a:lnTo>
                  <a:pt x="5199888" y="1030224"/>
                </a:lnTo>
                <a:lnTo>
                  <a:pt x="5199888" y="827532"/>
                </a:lnTo>
                <a:close/>
              </a:path>
              <a:path w="7486015" h="1859280">
                <a:moveTo>
                  <a:pt x="5199888" y="620268"/>
                </a:moveTo>
                <a:lnTo>
                  <a:pt x="4440936" y="620268"/>
                </a:lnTo>
                <a:lnTo>
                  <a:pt x="4440936" y="824484"/>
                </a:lnTo>
                <a:lnTo>
                  <a:pt x="5199888" y="824484"/>
                </a:lnTo>
                <a:lnTo>
                  <a:pt x="5199888" y="620268"/>
                </a:lnTo>
                <a:close/>
              </a:path>
              <a:path w="7486015" h="1859280">
                <a:moveTo>
                  <a:pt x="5961875" y="1655064"/>
                </a:moveTo>
                <a:lnTo>
                  <a:pt x="5202936" y="1655064"/>
                </a:lnTo>
                <a:lnTo>
                  <a:pt x="5202936" y="1859280"/>
                </a:lnTo>
                <a:lnTo>
                  <a:pt x="5961875" y="1859280"/>
                </a:lnTo>
                <a:lnTo>
                  <a:pt x="5961875" y="1655064"/>
                </a:lnTo>
                <a:close/>
              </a:path>
              <a:path w="7486015" h="1859280">
                <a:moveTo>
                  <a:pt x="5961875" y="1447800"/>
                </a:moveTo>
                <a:lnTo>
                  <a:pt x="5202936" y="1447800"/>
                </a:lnTo>
                <a:lnTo>
                  <a:pt x="5202936" y="1652016"/>
                </a:lnTo>
                <a:lnTo>
                  <a:pt x="5961875" y="1652016"/>
                </a:lnTo>
                <a:lnTo>
                  <a:pt x="5961875" y="1447800"/>
                </a:lnTo>
                <a:close/>
              </a:path>
              <a:path w="7486015" h="1859280">
                <a:moveTo>
                  <a:pt x="5961875" y="1240536"/>
                </a:moveTo>
                <a:lnTo>
                  <a:pt x="5202936" y="1240536"/>
                </a:lnTo>
                <a:lnTo>
                  <a:pt x="5202936" y="1444752"/>
                </a:lnTo>
                <a:lnTo>
                  <a:pt x="5961875" y="1444752"/>
                </a:lnTo>
                <a:lnTo>
                  <a:pt x="5961875" y="1240536"/>
                </a:lnTo>
                <a:close/>
              </a:path>
              <a:path w="7486015" h="1859280">
                <a:moveTo>
                  <a:pt x="5961875" y="1033272"/>
                </a:moveTo>
                <a:lnTo>
                  <a:pt x="5202936" y="1033272"/>
                </a:lnTo>
                <a:lnTo>
                  <a:pt x="5202936" y="1237488"/>
                </a:lnTo>
                <a:lnTo>
                  <a:pt x="5961875" y="1237488"/>
                </a:lnTo>
                <a:lnTo>
                  <a:pt x="5961875" y="1033272"/>
                </a:lnTo>
                <a:close/>
              </a:path>
              <a:path w="7486015" h="1859280">
                <a:moveTo>
                  <a:pt x="5961875" y="827532"/>
                </a:moveTo>
                <a:lnTo>
                  <a:pt x="5202936" y="827532"/>
                </a:lnTo>
                <a:lnTo>
                  <a:pt x="5202936" y="1030224"/>
                </a:lnTo>
                <a:lnTo>
                  <a:pt x="5961875" y="1030224"/>
                </a:lnTo>
                <a:lnTo>
                  <a:pt x="5961875" y="827532"/>
                </a:lnTo>
                <a:close/>
              </a:path>
              <a:path w="7486015" h="1859280">
                <a:moveTo>
                  <a:pt x="5961875" y="620268"/>
                </a:moveTo>
                <a:lnTo>
                  <a:pt x="5202936" y="620268"/>
                </a:lnTo>
                <a:lnTo>
                  <a:pt x="5202936" y="824484"/>
                </a:lnTo>
                <a:lnTo>
                  <a:pt x="5961875" y="824484"/>
                </a:lnTo>
                <a:lnTo>
                  <a:pt x="5961875" y="620268"/>
                </a:lnTo>
                <a:close/>
              </a:path>
              <a:path w="7486015" h="1859280">
                <a:moveTo>
                  <a:pt x="5961875" y="413004"/>
                </a:moveTo>
                <a:lnTo>
                  <a:pt x="5202936" y="413004"/>
                </a:lnTo>
                <a:lnTo>
                  <a:pt x="5202936" y="617220"/>
                </a:lnTo>
                <a:lnTo>
                  <a:pt x="5961875" y="617220"/>
                </a:lnTo>
                <a:lnTo>
                  <a:pt x="5961875" y="413004"/>
                </a:lnTo>
                <a:close/>
              </a:path>
              <a:path w="7486015" h="1859280">
                <a:moveTo>
                  <a:pt x="6723888" y="1655064"/>
                </a:moveTo>
                <a:lnTo>
                  <a:pt x="5964936" y="1655064"/>
                </a:lnTo>
                <a:lnTo>
                  <a:pt x="5964936" y="1859280"/>
                </a:lnTo>
                <a:lnTo>
                  <a:pt x="6723888" y="1859280"/>
                </a:lnTo>
                <a:lnTo>
                  <a:pt x="6723888" y="1655064"/>
                </a:lnTo>
                <a:close/>
              </a:path>
              <a:path w="7486015" h="1859280">
                <a:moveTo>
                  <a:pt x="6723888" y="1447800"/>
                </a:moveTo>
                <a:lnTo>
                  <a:pt x="5964936" y="1447800"/>
                </a:lnTo>
                <a:lnTo>
                  <a:pt x="5964936" y="1652016"/>
                </a:lnTo>
                <a:lnTo>
                  <a:pt x="6723888" y="1652016"/>
                </a:lnTo>
                <a:lnTo>
                  <a:pt x="6723888" y="1447800"/>
                </a:lnTo>
                <a:close/>
              </a:path>
              <a:path w="7486015" h="1859280">
                <a:moveTo>
                  <a:pt x="6723888" y="1240536"/>
                </a:moveTo>
                <a:lnTo>
                  <a:pt x="5964936" y="1240536"/>
                </a:lnTo>
                <a:lnTo>
                  <a:pt x="5964936" y="1444752"/>
                </a:lnTo>
                <a:lnTo>
                  <a:pt x="6723888" y="1444752"/>
                </a:lnTo>
                <a:lnTo>
                  <a:pt x="6723888" y="1240536"/>
                </a:lnTo>
                <a:close/>
              </a:path>
              <a:path w="7486015" h="1859280">
                <a:moveTo>
                  <a:pt x="6723888" y="1033272"/>
                </a:moveTo>
                <a:lnTo>
                  <a:pt x="5964936" y="1033272"/>
                </a:lnTo>
                <a:lnTo>
                  <a:pt x="5964936" y="1237488"/>
                </a:lnTo>
                <a:lnTo>
                  <a:pt x="6723888" y="1237488"/>
                </a:lnTo>
                <a:lnTo>
                  <a:pt x="6723888" y="1033272"/>
                </a:lnTo>
                <a:close/>
              </a:path>
              <a:path w="7486015" h="1859280">
                <a:moveTo>
                  <a:pt x="6723888" y="827532"/>
                </a:moveTo>
                <a:lnTo>
                  <a:pt x="5964936" y="827532"/>
                </a:lnTo>
                <a:lnTo>
                  <a:pt x="5964936" y="1030224"/>
                </a:lnTo>
                <a:lnTo>
                  <a:pt x="6723888" y="1030224"/>
                </a:lnTo>
                <a:lnTo>
                  <a:pt x="6723888" y="827532"/>
                </a:lnTo>
                <a:close/>
              </a:path>
              <a:path w="7486015" h="1859280">
                <a:moveTo>
                  <a:pt x="6723888" y="620268"/>
                </a:moveTo>
                <a:lnTo>
                  <a:pt x="5964936" y="620268"/>
                </a:lnTo>
                <a:lnTo>
                  <a:pt x="5964936" y="824484"/>
                </a:lnTo>
                <a:lnTo>
                  <a:pt x="6723888" y="824484"/>
                </a:lnTo>
                <a:lnTo>
                  <a:pt x="6723888" y="620268"/>
                </a:lnTo>
                <a:close/>
              </a:path>
              <a:path w="7486015" h="1859280">
                <a:moveTo>
                  <a:pt x="6723888" y="413004"/>
                </a:moveTo>
                <a:lnTo>
                  <a:pt x="5964936" y="413004"/>
                </a:lnTo>
                <a:lnTo>
                  <a:pt x="5964936" y="617220"/>
                </a:lnTo>
                <a:lnTo>
                  <a:pt x="6723888" y="617220"/>
                </a:lnTo>
                <a:lnTo>
                  <a:pt x="6723888" y="413004"/>
                </a:lnTo>
                <a:close/>
              </a:path>
              <a:path w="7486015" h="1859280">
                <a:moveTo>
                  <a:pt x="7485888" y="1655064"/>
                </a:moveTo>
                <a:lnTo>
                  <a:pt x="6726936" y="1655064"/>
                </a:lnTo>
                <a:lnTo>
                  <a:pt x="6726936" y="1859280"/>
                </a:lnTo>
                <a:lnTo>
                  <a:pt x="7485888" y="1859280"/>
                </a:lnTo>
                <a:lnTo>
                  <a:pt x="7485888" y="1655064"/>
                </a:lnTo>
                <a:close/>
              </a:path>
              <a:path w="7486015" h="1859280">
                <a:moveTo>
                  <a:pt x="7485888" y="1447800"/>
                </a:moveTo>
                <a:lnTo>
                  <a:pt x="6726936" y="1447800"/>
                </a:lnTo>
                <a:lnTo>
                  <a:pt x="6726936" y="1652016"/>
                </a:lnTo>
                <a:lnTo>
                  <a:pt x="7485888" y="1652016"/>
                </a:lnTo>
                <a:lnTo>
                  <a:pt x="7485888" y="1447800"/>
                </a:lnTo>
                <a:close/>
              </a:path>
              <a:path w="7486015" h="1859280">
                <a:moveTo>
                  <a:pt x="7485888" y="1240536"/>
                </a:moveTo>
                <a:lnTo>
                  <a:pt x="6726936" y="1240536"/>
                </a:lnTo>
                <a:lnTo>
                  <a:pt x="6726936" y="1444752"/>
                </a:lnTo>
                <a:lnTo>
                  <a:pt x="7485888" y="1444752"/>
                </a:lnTo>
                <a:lnTo>
                  <a:pt x="7485888" y="1240536"/>
                </a:lnTo>
                <a:close/>
              </a:path>
              <a:path w="7486015" h="1859280">
                <a:moveTo>
                  <a:pt x="7485888" y="1033272"/>
                </a:moveTo>
                <a:lnTo>
                  <a:pt x="6726936" y="1033272"/>
                </a:lnTo>
                <a:lnTo>
                  <a:pt x="6726936" y="1237488"/>
                </a:lnTo>
                <a:lnTo>
                  <a:pt x="7485888" y="1237488"/>
                </a:lnTo>
                <a:lnTo>
                  <a:pt x="7485888" y="1033272"/>
                </a:lnTo>
                <a:close/>
              </a:path>
              <a:path w="7486015" h="1859280">
                <a:moveTo>
                  <a:pt x="7485888" y="827532"/>
                </a:moveTo>
                <a:lnTo>
                  <a:pt x="6726936" y="827532"/>
                </a:lnTo>
                <a:lnTo>
                  <a:pt x="6726936" y="1030224"/>
                </a:lnTo>
                <a:lnTo>
                  <a:pt x="7485888" y="1030224"/>
                </a:lnTo>
                <a:lnTo>
                  <a:pt x="7485888" y="827532"/>
                </a:lnTo>
                <a:close/>
              </a:path>
              <a:path w="7486015" h="1859280">
                <a:moveTo>
                  <a:pt x="7485888" y="620268"/>
                </a:moveTo>
                <a:lnTo>
                  <a:pt x="6726936" y="620268"/>
                </a:lnTo>
                <a:lnTo>
                  <a:pt x="6726936" y="824484"/>
                </a:lnTo>
                <a:lnTo>
                  <a:pt x="7485888" y="824484"/>
                </a:lnTo>
                <a:lnTo>
                  <a:pt x="7485888" y="620268"/>
                </a:lnTo>
                <a:close/>
              </a:path>
              <a:path w="7486015" h="1859280">
                <a:moveTo>
                  <a:pt x="7485888" y="413004"/>
                </a:moveTo>
                <a:lnTo>
                  <a:pt x="6726936" y="413004"/>
                </a:lnTo>
                <a:lnTo>
                  <a:pt x="6726936" y="617220"/>
                </a:lnTo>
                <a:lnTo>
                  <a:pt x="7485888" y="617220"/>
                </a:lnTo>
                <a:lnTo>
                  <a:pt x="7485888" y="413004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11</xdr:col>
      <xdr:colOff>546481</xdr:colOff>
      <xdr:row>22</xdr:row>
      <xdr:rowOff>0</xdr:rowOff>
    </xdr:from>
    <xdr:ext cx="645160" cy="3308985"/>
    <xdr:sp macro="" textlink="">
      <xdr:nvSpPr>
        <xdr:cNvPr id="139" name="Shape 139">
          <a:extLst>
            <a:ext uri="{FF2B5EF4-FFF2-40B4-BE49-F238E27FC236}">
              <a16:creationId xmlns:a16="http://schemas.microsoft.com/office/drawing/2014/main" id="{00000000-0008-0000-0C00-00008B000000}"/>
            </a:ext>
          </a:extLst>
        </xdr:cNvPr>
        <xdr:cNvSpPr/>
      </xdr:nvSpPr>
      <xdr:spPr>
        <a:xfrm>
          <a:off x="0" y="0"/>
          <a:ext cx="645160" cy="3308985"/>
        </a:xfrm>
        <a:custGeom>
          <a:avLst/>
          <a:gdLst/>
          <a:ahLst/>
          <a:cxnLst/>
          <a:rect l="0" t="0" r="0" b="0"/>
          <a:pathLst>
            <a:path w="645160" h="3308985">
              <a:moveTo>
                <a:pt x="644652" y="3104388"/>
              </a:moveTo>
              <a:lnTo>
                <a:pt x="0" y="3104388"/>
              </a:lnTo>
              <a:lnTo>
                <a:pt x="0" y="3308604"/>
              </a:lnTo>
              <a:lnTo>
                <a:pt x="644652" y="3308604"/>
              </a:lnTo>
              <a:lnTo>
                <a:pt x="644652" y="3104388"/>
              </a:lnTo>
              <a:close/>
            </a:path>
            <a:path w="645160" h="3308985">
              <a:moveTo>
                <a:pt x="644652" y="2897124"/>
              </a:moveTo>
              <a:lnTo>
                <a:pt x="0" y="2897124"/>
              </a:lnTo>
              <a:lnTo>
                <a:pt x="0" y="3101340"/>
              </a:lnTo>
              <a:lnTo>
                <a:pt x="644652" y="3101340"/>
              </a:lnTo>
              <a:lnTo>
                <a:pt x="644652" y="2897124"/>
              </a:lnTo>
              <a:close/>
            </a:path>
            <a:path w="645160" h="3308985">
              <a:moveTo>
                <a:pt x="644652" y="2689860"/>
              </a:moveTo>
              <a:lnTo>
                <a:pt x="0" y="2689860"/>
              </a:lnTo>
              <a:lnTo>
                <a:pt x="0" y="2894076"/>
              </a:lnTo>
              <a:lnTo>
                <a:pt x="644652" y="2894076"/>
              </a:lnTo>
              <a:lnTo>
                <a:pt x="644652" y="2689860"/>
              </a:lnTo>
              <a:close/>
            </a:path>
            <a:path w="645160" h="3308985">
              <a:moveTo>
                <a:pt x="644652" y="2482596"/>
              </a:moveTo>
              <a:lnTo>
                <a:pt x="0" y="2482596"/>
              </a:lnTo>
              <a:lnTo>
                <a:pt x="0" y="2686812"/>
              </a:lnTo>
              <a:lnTo>
                <a:pt x="644652" y="2686812"/>
              </a:lnTo>
              <a:lnTo>
                <a:pt x="644652" y="2482596"/>
              </a:lnTo>
              <a:close/>
            </a:path>
            <a:path w="645160" h="3308985">
              <a:moveTo>
                <a:pt x="644652" y="2276856"/>
              </a:moveTo>
              <a:lnTo>
                <a:pt x="0" y="2276856"/>
              </a:lnTo>
              <a:lnTo>
                <a:pt x="0" y="2479548"/>
              </a:lnTo>
              <a:lnTo>
                <a:pt x="644652" y="2479548"/>
              </a:lnTo>
              <a:lnTo>
                <a:pt x="644652" y="2276856"/>
              </a:lnTo>
              <a:close/>
            </a:path>
            <a:path w="645160" h="3308985">
              <a:moveTo>
                <a:pt x="644652" y="2069592"/>
              </a:moveTo>
              <a:lnTo>
                <a:pt x="0" y="2069592"/>
              </a:lnTo>
              <a:lnTo>
                <a:pt x="0" y="2273808"/>
              </a:lnTo>
              <a:lnTo>
                <a:pt x="644652" y="2273808"/>
              </a:lnTo>
              <a:lnTo>
                <a:pt x="644652" y="2069592"/>
              </a:lnTo>
              <a:close/>
            </a:path>
            <a:path w="645160" h="3308985">
              <a:moveTo>
                <a:pt x="644652" y="1862328"/>
              </a:moveTo>
              <a:lnTo>
                <a:pt x="0" y="1862328"/>
              </a:lnTo>
              <a:lnTo>
                <a:pt x="0" y="2066544"/>
              </a:lnTo>
              <a:lnTo>
                <a:pt x="644652" y="2066544"/>
              </a:lnTo>
              <a:lnTo>
                <a:pt x="644652" y="1862328"/>
              </a:lnTo>
              <a:close/>
            </a:path>
            <a:path w="645160" h="3308985">
              <a:moveTo>
                <a:pt x="644652" y="1655064"/>
              </a:moveTo>
              <a:lnTo>
                <a:pt x="0" y="1655064"/>
              </a:lnTo>
              <a:lnTo>
                <a:pt x="0" y="1859280"/>
              </a:lnTo>
              <a:lnTo>
                <a:pt x="644652" y="1859280"/>
              </a:lnTo>
              <a:lnTo>
                <a:pt x="644652" y="1655064"/>
              </a:lnTo>
              <a:close/>
            </a:path>
            <a:path w="645160" h="3308985">
              <a:moveTo>
                <a:pt x="644652" y="1449324"/>
              </a:moveTo>
              <a:lnTo>
                <a:pt x="0" y="1449324"/>
              </a:lnTo>
              <a:lnTo>
                <a:pt x="0" y="1652016"/>
              </a:lnTo>
              <a:lnTo>
                <a:pt x="644652" y="1652016"/>
              </a:lnTo>
              <a:lnTo>
                <a:pt x="644652" y="1449324"/>
              </a:lnTo>
              <a:close/>
            </a:path>
            <a:path w="645160" h="3308985">
              <a:moveTo>
                <a:pt x="644652" y="1242060"/>
              </a:moveTo>
              <a:lnTo>
                <a:pt x="0" y="1242060"/>
              </a:lnTo>
              <a:lnTo>
                <a:pt x="0" y="1446276"/>
              </a:lnTo>
              <a:lnTo>
                <a:pt x="644652" y="1446276"/>
              </a:lnTo>
              <a:lnTo>
                <a:pt x="644652" y="1242060"/>
              </a:lnTo>
              <a:close/>
            </a:path>
            <a:path w="645160" h="3308985">
              <a:moveTo>
                <a:pt x="644652" y="1034796"/>
              </a:moveTo>
              <a:lnTo>
                <a:pt x="0" y="1034796"/>
              </a:lnTo>
              <a:lnTo>
                <a:pt x="0" y="1239012"/>
              </a:lnTo>
              <a:lnTo>
                <a:pt x="644652" y="1239012"/>
              </a:lnTo>
              <a:lnTo>
                <a:pt x="644652" y="1034796"/>
              </a:lnTo>
              <a:close/>
            </a:path>
            <a:path w="645160" h="3308985">
              <a:moveTo>
                <a:pt x="644652" y="827532"/>
              </a:moveTo>
              <a:lnTo>
                <a:pt x="0" y="827532"/>
              </a:lnTo>
              <a:lnTo>
                <a:pt x="0" y="1031748"/>
              </a:lnTo>
              <a:lnTo>
                <a:pt x="644652" y="1031748"/>
              </a:lnTo>
              <a:lnTo>
                <a:pt x="644652" y="827532"/>
              </a:lnTo>
              <a:close/>
            </a:path>
            <a:path w="645160" h="3308985">
              <a:moveTo>
                <a:pt x="644652" y="621792"/>
              </a:moveTo>
              <a:lnTo>
                <a:pt x="0" y="621792"/>
              </a:lnTo>
              <a:lnTo>
                <a:pt x="0" y="824484"/>
              </a:lnTo>
              <a:lnTo>
                <a:pt x="644652" y="824484"/>
              </a:lnTo>
              <a:lnTo>
                <a:pt x="644652" y="621792"/>
              </a:lnTo>
              <a:close/>
            </a:path>
            <a:path w="645160" h="3308985">
              <a:moveTo>
                <a:pt x="644652" y="414528"/>
              </a:moveTo>
              <a:lnTo>
                <a:pt x="0" y="414528"/>
              </a:lnTo>
              <a:lnTo>
                <a:pt x="0" y="618744"/>
              </a:lnTo>
              <a:lnTo>
                <a:pt x="644652" y="618744"/>
              </a:lnTo>
              <a:lnTo>
                <a:pt x="644652" y="414528"/>
              </a:lnTo>
              <a:close/>
            </a:path>
            <a:path w="645160" h="3308985">
              <a:moveTo>
                <a:pt x="644652" y="207264"/>
              </a:moveTo>
              <a:lnTo>
                <a:pt x="0" y="207264"/>
              </a:lnTo>
              <a:lnTo>
                <a:pt x="0" y="411480"/>
              </a:lnTo>
              <a:lnTo>
                <a:pt x="644652" y="411480"/>
              </a:lnTo>
              <a:lnTo>
                <a:pt x="644652" y="207264"/>
              </a:lnTo>
              <a:close/>
            </a:path>
            <a:path w="645160" h="3308985">
              <a:moveTo>
                <a:pt x="644652" y="0"/>
              </a:moveTo>
              <a:lnTo>
                <a:pt x="0" y="0"/>
              </a:lnTo>
              <a:lnTo>
                <a:pt x="0" y="204216"/>
              </a:lnTo>
              <a:lnTo>
                <a:pt x="644652" y="204216"/>
              </a:lnTo>
              <a:lnTo>
                <a:pt x="644652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543687</xdr:colOff>
      <xdr:row>21</xdr:row>
      <xdr:rowOff>206501</xdr:rowOff>
    </xdr:from>
    <xdr:ext cx="3808729" cy="480059"/>
    <xdr:sp macro="" textlink="">
      <xdr:nvSpPr>
        <xdr:cNvPr id="140" name="Shape 140">
          <a:extLst>
            <a:ext uri="{FF2B5EF4-FFF2-40B4-BE49-F238E27FC236}">
              <a16:creationId xmlns:a16="http://schemas.microsoft.com/office/drawing/2014/main" id="{00000000-0008-0000-0D00-00008C000000}"/>
            </a:ext>
          </a:extLst>
        </xdr:cNvPr>
        <xdr:cNvSpPr/>
      </xdr:nvSpPr>
      <xdr:spPr>
        <a:xfrm>
          <a:off x="0" y="0"/>
          <a:ext cx="3808729" cy="480059"/>
        </a:xfrm>
        <a:custGeom>
          <a:avLst/>
          <a:gdLst/>
          <a:ahLst/>
          <a:cxnLst/>
          <a:rect l="0" t="0" r="0" b="0"/>
          <a:pathLst>
            <a:path w="3808729" h="480059">
              <a:moveTo>
                <a:pt x="760476" y="0"/>
              </a:moveTo>
              <a:lnTo>
                <a:pt x="0" y="0"/>
              </a:lnTo>
              <a:lnTo>
                <a:pt x="0" y="480060"/>
              </a:lnTo>
              <a:lnTo>
                <a:pt x="760476" y="480060"/>
              </a:lnTo>
              <a:lnTo>
                <a:pt x="760476" y="0"/>
              </a:lnTo>
              <a:close/>
            </a:path>
            <a:path w="3808729" h="480059">
              <a:moveTo>
                <a:pt x="1522476" y="0"/>
              </a:moveTo>
              <a:lnTo>
                <a:pt x="763524" y="0"/>
              </a:lnTo>
              <a:lnTo>
                <a:pt x="763524" y="480060"/>
              </a:lnTo>
              <a:lnTo>
                <a:pt x="1522476" y="480060"/>
              </a:lnTo>
              <a:lnTo>
                <a:pt x="1522476" y="0"/>
              </a:lnTo>
              <a:close/>
            </a:path>
            <a:path w="3808729" h="480059">
              <a:moveTo>
                <a:pt x="2284463" y="0"/>
              </a:moveTo>
              <a:lnTo>
                <a:pt x="1525524" y="0"/>
              </a:lnTo>
              <a:lnTo>
                <a:pt x="1525524" y="480060"/>
              </a:lnTo>
              <a:lnTo>
                <a:pt x="2284463" y="480060"/>
              </a:lnTo>
              <a:lnTo>
                <a:pt x="2284463" y="0"/>
              </a:lnTo>
              <a:close/>
            </a:path>
            <a:path w="3808729" h="480059">
              <a:moveTo>
                <a:pt x="3046476" y="0"/>
              </a:moveTo>
              <a:lnTo>
                <a:pt x="2287524" y="0"/>
              </a:lnTo>
              <a:lnTo>
                <a:pt x="2287524" y="480060"/>
              </a:lnTo>
              <a:lnTo>
                <a:pt x="3046476" y="480060"/>
              </a:lnTo>
              <a:lnTo>
                <a:pt x="3046476" y="0"/>
              </a:lnTo>
              <a:close/>
            </a:path>
            <a:path w="3808729" h="480059">
              <a:moveTo>
                <a:pt x="3808476" y="0"/>
              </a:moveTo>
              <a:lnTo>
                <a:pt x="3049524" y="0"/>
              </a:lnTo>
              <a:lnTo>
                <a:pt x="3049524" y="480060"/>
              </a:lnTo>
              <a:lnTo>
                <a:pt x="3808476" y="480060"/>
              </a:lnTo>
              <a:lnTo>
                <a:pt x="3808476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5</xdr:col>
      <xdr:colOff>202691</xdr:colOff>
      <xdr:row>3</xdr:row>
      <xdr:rowOff>49142</xdr:rowOff>
    </xdr:from>
    <xdr:ext cx="381000" cy="290285"/>
    <xdr:pic>
      <xdr:nvPicPr>
        <xdr:cNvPr id="141" name="image1.jpeg">
          <a:extLst>
            <a:ext uri="{FF2B5EF4-FFF2-40B4-BE49-F238E27FC236}">
              <a16:creationId xmlns:a16="http://schemas.microsoft.com/office/drawing/2014/main" id="{00000000-0008-0000-0D00-00008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290285"/>
        </a:xfrm>
        <a:prstGeom prst="rect">
          <a:avLst/>
        </a:prstGeom>
      </xdr:spPr>
    </xdr:pic>
    <xdr:clientData/>
  </xdr:oneCellAnchor>
  <xdr:oneCellAnchor>
    <xdr:from>
      <xdr:col>6</xdr:col>
      <xdr:colOff>201929</xdr:colOff>
      <xdr:row>3</xdr:row>
      <xdr:rowOff>761</xdr:rowOff>
    </xdr:from>
    <xdr:ext cx="338666" cy="381000"/>
    <xdr:pic>
      <xdr:nvPicPr>
        <xdr:cNvPr id="142" name="image2.jpeg">
          <a:extLst>
            <a:ext uri="{FF2B5EF4-FFF2-40B4-BE49-F238E27FC236}">
              <a16:creationId xmlns:a16="http://schemas.microsoft.com/office/drawing/2014/main" id="{00000000-0008-0000-0D00-00008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38666" cy="381000"/>
        </a:xfrm>
        <a:prstGeom prst="rect">
          <a:avLst/>
        </a:prstGeom>
      </xdr:spPr>
    </xdr:pic>
    <xdr:clientData/>
  </xdr:oneCellAnchor>
  <xdr:oneCellAnchor>
    <xdr:from>
      <xdr:col>7</xdr:col>
      <xdr:colOff>201930</xdr:colOff>
      <xdr:row>3</xdr:row>
      <xdr:rowOff>49142</xdr:rowOff>
    </xdr:from>
    <xdr:ext cx="381000" cy="290285"/>
    <xdr:pic>
      <xdr:nvPicPr>
        <xdr:cNvPr id="143" name="image3.jpeg">
          <a:extLst>
            <a:ext uri="{FF2B5EF4-FFF2-40B4-BE49-F238E27FC236}">
              <a16:creationId xmlns:a16="http://schemas.microsoft.com/office/drawing/2014/main" id="{00000000-0008-0000-0D00-00008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290285"/>
        </a:xfrm>
        <a:prstGeom prst="rect">
          <a:avLst/>
        </a:prstGeom>
      </xdr:spPr>
    </xdr:pic>
    <xdr:clientData/>
  </xdr:oneCellAnchor>
  <xdr:oneCellAnchor>
    <xdr:from>
      <xdr:col>8</xdr:col>
      <xdr:colOff>298691</xdr:colOff>
      <xdr:row>3</xdr:row>
      <xdr:rowOff>49142</xdr:rowOff>
    </xdr:from>
    <xdr:ext cx="193523" cy="290285"/>
    <xdr:pic>
      <xdr:nvPicPr>
        <xdr:cNvPr id="144" name="image4.jpeg">
          <a:extLst>
            <a:ext uri="{FF2B5EF4-FFF2-40B4-BE49-F238E27FC236}">
              <a16:creationId xmlns:a16="http://schemas.microsoft.com/office/drawing/2014/main" id="{00000000-0008-0000-0D00-00009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3523" cy="290285"/>
        </a:xfrm>
        <a:prstGeom prst="rect">
          <a:avLst/>
        </a:prstGeom>
      </xdr:spPr>
    </xdr:pic>
    <xdr:clientData/>
  </xdr:oneCellAnchor>
  <xdr:oneCellAnchor>
    <xdr:from>
      <xdr:col>9</xdr:col>
      <xdr:colOff>201929</xdr:colOff>
      <xdr:row>3</xdr:row>
      <xdr:rowOff>761</xdr:rowOff>
    </xdr:from>
    <xdr:ext cx="381000" cy="381000"/>
    <xdr:pic>
      <xdr:nvPicPr>
        <xdr:cNvPr id="145" name="image5.jpeg">
          <a:extLst>
            <a:ext uri="{FF2B5EF4-FFF2-40B4-BE49-F238E27FC236}">
              <a16:creationId xmlns:a16="http://schemas.microsoft.com/office/drawing/2014/main" id="{00000000-0008-0000-0D00-00009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381000"/>
        </a:xfrm>
        <a:prstGeom prst="rect">
          <a:avLst/>
        </a:prstGeom>
      </xdr:spPr>
    </xdr:pic>
    <xdr:clientData/>
  </xdr:oneCellAnchor>
  <xdr:oneCellAnchor>
    <xdr:from>
      <xdr:col>1</xdr:col>
      <xdr:colOff>226059</xdr:colOff>
      <xdr:row>23</xdr:row>
      <xdr:rowOff>0</xdr:rowOff>
    </xdr:from>
    <xdr:ext cx="7486015" cy="3721735"/>
    <xdr:grpSp>
      <xdr:nvGrpSpPr>
        <xdr:cNvPr id="146" name="Group 146">
          <a:extLst>
            <a:ext uri="{FF2B5EF4-FFF2-40B4-BE49-F238E27FC236}">
              <a16:creationId xmlns:a16="http://schemas.microsoft.com/office/drawing/2014/main" id="{00000000-0008-0000-0D00-000092000000}"/>
            </a:ext>
          </a:extLst>
        </xdr:cNvPr>
        <xdr:cNvGrpSpPr/>
      </xdr:nvGrpSpPr>
      <xdr:grpSpPr>
        <a:xfrm>
          <a:off x="607059" y="5829300"/>
          <a:ext cx="7486015" cy="3721735"/>
          <a:chOff x="0" y="0"/>
          <a:chExt cx="7486015" cy="3721735"/>
        </a:xfrm>
      </xdr:grpSpPr>
      <xdr:sp macro="" textlink="">
        <xdr:nvSpPr>
          <xdr:cNvPr id="147" name="Shape 147">
            <a:extLst>
              <a:ext uri="{FF2B5EF4-FFF2-40B4-BE49-F238E27FC236}">
                <a16:creationId xmlns:a16="http://schemas.microsoft.com/office/drawing/2014/main" id="{00000000-0008-0000-0D00-000093000000}"/>
              </a:ext>
            </a:extLst>
          </xdr:cNvPr>
          <xdr:cNvSpPr/>
        </xdr:nvSpPr>
        <xdr:spPr>
          <a:xfrm>
            <a:off x="0" y="0"/>
            <a:ext cx="7486015" cy="2066925"/>
          </a:xfrm>
          <a:custGeom>
            <a:avLst/>
            <a:gdLst/>
            <a:ahLst/>
            <a:cxnLst/>
            <a:rect l="0" t="0" r="0" b="0"/>
            <a:pathLst>
              <a:path w="7486015" h="2066925">
                <a:moveTo>
                  <a:pt x="312420" y="0"/>
                </a:moveTo>
                <a:lnTo>
                  <a:pt x="0" y="0"/>
                </a:lnTo>
                <a:lnTo>
                  <a:pt x="0" y="1239012"/>
                </a:lnTo>
                <a:lnTo>
                  <a:pt x="312420" y="1239012"/>
                </a:lnTo>
                <a:lnTo>
                  <a:pt x="312420" y="0"/>
                </a:lnTo>
                <a:close/>
              </a:path>
              <a:path w="7486015" h="2066925">
                <a:moveTo>
                  <a:pt x="1264920" y="0"/>
                </a:moveTo>
                <a:lnTo>
                  <a:pt x="315468" y="0"/>
                </a:lnTo>
                <a:lnTo>
                  <a:pt x="315468" y="1239012"/>
                </a:lnTo>
                <a:lnTo>
                  <a:pt x="1264920" y="1239012"/>
                </a:lnTo>
                <a:lnTo>
                  <a:pt x="1264920" y="0"/>
                </a:lnTo>
                <a:close/>
              </a:path>
              <a:path w="7486015" h="2066925">
                <a:moveTo>
                  <a:pt x="2531364" y="0"/>
                </a:moveTo>
                <a:lnTo>
                  <a:pt x="1267968" y="0"/>
                </a:lnTo>
                <a:lnTo>
                  <a:pt x="1267968" y="1239012"/>
                </a:lnTo>
                <a:lnTo>
                  <a:pt x="2531364" y="1239012"/>
                </a:lnTo>
                <a:lnTo>
                  <a:pt x="2531364" y="0"/>
                </a:lnTo>
                <a:close/>
              </a:path>
              <a:path w="7486015" h="2066925">
                <a:moveTo>
                  <a:pt x="3037332" y="1862328"/>
                </a:moveTo>
                <a:lnTo>
                  <a:pt x="2534412" y="1862328"/>
                </a:lnTo>
                <a:lnTo>
                  <a:pt x="2534412" y="2066544"/>
                </a:lnTo>
                <a:lnTo>
                  <a:pt x="3037332" y="2066544"/>
                </a:lnTo>
                <a:lnTo>
                  <a:pt x="3037332" y="1862328"/>
                </a:lnTo>
                <a:close/>
              </a:path>
              <a:path w="7486015" h="2066925">
                <a:moveTo>
                  <a:pt x="3037332" y="1655064"/>
                </a:moveTo>
                <a:lnTo>
                  <a:pt x="2534412" y="1655064"/>
                </a:lnTo>
                <a:lnTo>
                  <a:pt x="2534412" y="1859280"/>
                </a:lnTo>
                <a:lnTo>
                  <a:pt x="3037332" y="1859280"/>
                </a:lnTo>
                <a:lnTo>
                  <a:pt x="3037332" y="1655064"/>
                </a:lnTo>
                <a:close/>
              </a:path>
              <a:path w="7486015" h="2066925">
                <a:moveTo>
                  <a:pt x="3037332" y="1449324"/>
                </a:moveTo>
                <a:lnTo>
                  <a:pt x="2534412" y="1449324"/>
                </a:lnTo>
                <a:lnTo>
                  <a:pt x="2534412" y="1652016"/>
                </a:lnTo>
                <a:lnTo>
                  <a:pt x="3037332" y="1652016"/>
                </a:lnTo>
                <a:lnTo>
                  <a:pt x="3037332" y="1449324"/>
                </a:lnTo>
                <a:close/>
              </a:path>
              <a:path w="7486015" h="2066925">
                <a:moveTo>
                  <a:pt x="3037332" y="1242060"/>
                </a:moveTo>
                <a:lnTo>
                  <a:pt x="2534412" y="1242060"/>
                </a:lnTo>
                <a:lnTo>
                  <a:pt x="2534412" y="1446276"/>
                </a:lnTo>
                <a:lnTo>
                  <a:pt x="3037332" y="1446276"/>
                </a:lnTo>
                <a:lnTo>
                  <a:pt x="3037332" y="1242060"/>
                </a:lnTo>
                <a:close/>
              </a:path>
              <a:path w="7486015" h="2066925">
                <a:moveTo>
                  <a:pt x="3037332" y="1034796"/>
                </a:moveTo>
                <a:lnTo>
                  <a:pt x="2534412" y="1034796"/>
                </a:lnTo>
                <a:lnTo>
                  <a:pt x="2534412" y="1239012"/>
                </a:lnTo>
                <a:lnTo>
                  <a:pt x="3037332" y="1239012"/>
                </a:lnTo>
                <a:lnTo>
                  <a:pt x="3037332" y="1034796"/>
                </a:lnTo>
                <a:close/>
              </a:path>
              <a:path w="7486015" h="2066925">
                <a:moveTo>
                  <a:pt x="3037332" y="827532"/>
                </a:moveTo>
                <a:lnTo>
                  <a:pt x="2534412" y="827532"/>
                </a:lnTo>
                <a:lnTo>
                  <a:pt x="2534412" y="1031748"/>
                </a:lnTo>
                <a:lnTo>
                  <a:pt x="3037332" y="1031748"/>
                </a:lnTo>
                <a:lnTo>
                  <a:pt x="3037332" y="827532"/>
                </a:lnTo>
                <a:close/>
              </a:path>
              <a:path w="7486015" h="2066925">
                <a:moveTo>
                  <a:pt x="3037332" y="621792"/>
                </a:moveTo>
                <a:lnTo>
                  <a:pt x="2534412" y="621792"/>
                </a:lnTo>
                <a:lnTo>
                  <a:pt x="2534412" y="824484"/>
                </a:lnTo>
                <a:lnTo>
                  <a:pt x="3037332" y="824484"/>
                </a:lnTo>
                <a:lnTo>
                  <a:pt x="3037332" y="621792"/>
                </a:lnTo>
                <a:close/>
              </a:path>
              <a:path w="7486015" h="2066925">
                <a:moveTo>
                  <a:pt x="3037332" y="414528"/>
                </a:moveTo>
                <a:lnTo>
                  <a:pt x="2534412" y="414528"/>
                </a:lnTo>
                <a:lnTo>
                  <a:pt x="2534412" y="618744"/>
                </a:lnTo>
                <a:lnTo>
                  <a:pt x="3037332" y="618744"/>
                </a:lnTo>
                <a:lnTo>
                  <a:pt x="3037332" y="414528"/>
                </a:lnTo>
                <a:close/>
              </a:path>
              <a:path w="7486015" h="2066925">
                <a:moveTo>
                  <a:pt x="3037332" y="207264"/>
                </a:moveTo>
                <a:lnTo>
                  <a:pt x="2534412" y="207264"/>
                </a:lnTo>
                <a:lnTo>
                  <a:pt x="2534412" y="411480"/>
                </a:lnTo>
                <a:lnTo>
                  <a:pt x="3037332" y="411480"/>
                </a:lnTo>
                <a:lnTo>
                  <a:pt x="3037332" y="207264"/>
                </a:lnTo>
                <a:close/>
              </a:path>
              <a:path w="7486015" h="2066925">
                <a:moveTo>
                  <a:pt x="3037332" y="0"/>
                </a:moveTo>
                <a:lnTo>
                  <a:pt x="2534412" y="0"/>
                </a:lnTo>
                <a:lnTo>
                  <a:pt x="2534412" y="204216"/>
                </a:lnTo>
                <a:lnTo>
                  <a:pt x="3037332" y="204216"/>
                </a:lnTo>
                <a:lnTo>
                  <a:pt x="3037332" y="0"/>
                </a:lnTo>
                <a:close/>
              </a:path>
              <a:path w="7486015" h="2066925">
                <a:moveTo>
                  <a:pt x="3674364" y="1862328"/>
                </a:moveTo>
                <a:lnTo>
                  <a:pt x="3040380" y="1862328"/>
                </a:lnTo>
                <a:lnTo>
                  <a:pt x="3040380" y="2066544"/>
                </a:lnTo>
                <a:lnTo>
                  <a:pt x="3674364" y="2066544"/>
                </a:lnTo>
                <a:lnTo>
                  <a:pt x="3674364" y="1862328"/>
                </a:lnTo>
                <a:close/>
              </a:path>
              <a:path w="7486015" h="2066925">
                <a:moveTo>
                  <a:pt x="3674364" y="1655064"/>
                </a:moveTo>
                <a:lnTo>
                  <a:pt x="3040380" y="1655064"/>
                </a:lnTo>
                <a:lnTo>
                  <a:pt x="3040380" y="1859280"/>
                </a:lnTo>
                <a:lnTo>
                  <a:pt x="3674364" y="1859280"/>
                </a:lnTo>
                <a:lnTo>
                  <a:pt x="3674364" y="1655064"/>
                </a:lnTo>
                <a:close/>
              </a:path>
              <a:path w="7486015" h="2066925">
                <a:moveTo>
                  <a:pt x="3674364" y="1449324"/>
                </a:moveTo>
                <a:lnTo>
                  <a:pt x="3040380" y="1449324"/>
                </a:lnTo>
                <a:lnTo>
                  <a:pt x="3040380" y="1652016"/>
                </a:lnTo>
                <a:lnTo>
                  <a:pt x="3674364" y="1652016"/>
                </a:lnTo>
                <a:lnTo>
                  <a:pt x="3674364" y="1449324"/>
                </a:lnTo>
                <a:close/>
              </a:path>
              <a:path w="7486015" h="2066925">
                <a:moveTo>
                  <a:pt x="3674364" y="1242060"/>
                </a:moveTo>
                <a:lnTo>
                  <a:pt x="3040380" y="1242060"/>
                </a:lnTo>
                <a:lnTo>
                  <a:pt x="3040380" y="1446276"/>
                </a:lnTo>
                <a:lnTo>
                  <a:pt x="3674364" y="1446276"/>
                </a:lnTo>
                <a:lnTo>
                  <a:pt x="3674364" y="1242060"/>
                </a:lnTo>
                <a:close/>
              </a:path>
              <a:path w="7486015" h="2066925">
                <a:moveTo>
                  <a:pt x="3674364" y="1034796"/>
                </a:moveTo>
                <a:lnTo>
                  <a:pt x="3040380" y="1034796"/>
                </a:lnTo>
                <a:lnTo>
                  <a:pt x="3040380" y="1239012"/>
                </a:lnTo>
                <a:lnTo>
                  <a:pt x="3674364" y="1239012"/>
                </a:lnTo>
                <a:lnTo>
                  <a:pt x="3674364" y="1034796"/>
                </a:lnTo>
                <a:close/>
              </a:path>
              <a:path w="7486015" h="2066925">
                <a:moveTo>
                  <a:pt x="3674364" y="827532"/>
                </a:moveTo>
                <a:lnTo>
                  <a:pt x="3040380" y="827532"/>
                </a:lnTo>
                <a:lnTo>
                  <a:pt x="3040380" y="1031748"/>
                </a:lnTo>
                <a:lnTo>
                  <a:pt x="3674364" y="1031748"/>
                </a:lnTo>
                <a:lnTo>
                  <a:pt x="3674364" y="827532"/>
                </a:lnTo>
                <a:close/>
              </a:path>
              <a:path w="7486015" h="2066925">
                <a:moveTo>
                  <a:pt x="3674364" y="621792"/>
                </a:moveTo>
                <a:lnTo>
                  <a:pt x="3040380" y="621792"/>
                </a:lnTo>
                <a:lnTo>
                  <a:pt x="3040380" y="824484"/>
                </a:lnTo>
                <a:lnTo>
                  <a:pt x="3674364" y="824484"/>
                </a:lnTo>
                <a:lnTo>
                  <a:pt x="3674364" y="621792"/>
                </a:lnTo>
                <a:close/>
              </a:path>
              <a:path w="7486015" h="2066925">
                <a:moveTo>
                  <a:pt x="3674364" y="414528"/>
                </a:moveTo>
                <a:lnTo>
                  <a:pt x="3040380" y="414528"/>
                </a:lnTo>
                <a:lnTo>
                  <a:pt x="3040380" y="618744"/>
                </a:lnTo>
                <a:lnTo>
                  <a:pt x="3674364" y="618744"/>
                </a:lnTo>
                <a:lnTo>
                  <a:pt x="3674364" y="414528"/>
                </a:lnTo>
                <a:close/>
              </a:path>
              <a:path w="7486015" h="2066925">
                <a:moveTo>
                  <a:pt x="3674364" y="207264"/>
                </a:moveTo>
                <a:lnTo>
                  <a:pt x="3040380" y="207264"/>
                </a:lnTo>
                <a:lnTo>
                  <a:pt x="3040380" y="411480"/>
                </a:lnTo>
                <a:lnTo>
                  <a:pt x="3674364" y="411480"/>
                </a:lnTo>
                <a:lnTo>
                  <a:pt x="3674364" y="207264"/>
                </a:lnTo>
                <a:close/>
              </a:path>
              <a:path w="7486015" h="2066925">
                <a:moveTo>
                  <a:pt x="3674364" y="0"/>
                </a:moveTo>
                <a:lnTo>
                  <a:pt x="3040380" y="0"/>
                </a:lnTo>
                <a:lnTo>
                  <a:pt x="3040380" y="204216"/>
                </a:lnTo>
                <a:lnTo>
                  <a:pt x="3674364" y="204216"/>
                </a:lnTo>
                <a:lnTo>
                  <a:pt x="3674364" y="0"/>
                </a:lnTo>
                <a:close/>
              </a:path>
              <a:path w="7486015" h="2066925">
                <a:moveTo>
                  <a:pt x="4437888" y="1862328"/>
                </a:moveTo>
                <a:lnTo>
                  <a:pt x="3677412" y="1862328"/>
                </a:lnTo>
                <a:lnTo>
                  <a:pt x="3677412" y="2066544"/>
                </a:lnTo>
                <a:lnTo>
                  <a:pt x="4437888" y="2066544"/>
                </a:lnTo>
                <a:lnTo>
                  <a:pt x="4437888" y="1862328"/>
                </a:lnTo>
                <a:close/>
              </a:path>
              <a:path w="7486015" h="2066925">
                <a:moveTo>
                  <a:pt x="4437888" y="1655064"/>
                </a:moveTo>
                <a:lnTo>
                  <a:pt x="3677412" y="1655064"/>
                </a:lnTo>
                <a:lnTo>
                  <a:pt x="3677412" y="1859280"/>
                </a:lnTo>
                <a:lnTo>
                  <a:pt x="4437888" y="1859280"/>
                </a:lnTo>
                <a:lnTo>
                  <a:pt x="4437888" y="1655064"/>
                </a:lnTo>
                <a:close/>
              </a:path>
              <a:path w="7486015" h="2066925">
                <a:moveTo>
                  <a:pt x="4437888" y="1449324"/>
                </a:moveTo>
                <a:lnTo>
                  <a:pt x="3677412" y="1449324"/>
                </a:lnTo>
                <a:lnTo>
                  <a:pt x="3677412" y="1652016"/>
                </a:lnTo>
                <a:lnTo>
                  <a:pt x="4437888" y="1652016"/>
                </a:lnTo>
                <a:lnTo>
                  <a:pt x="4437888" y="1449324"/>
                </a:lnTo>
                <a:close/>
              </a:path>
              <a:path w="7486015" h="2066925">
                <a:moveTo>
                  <a:pt x="4437888" y="1242060"/>
                </a:moveTo>
                <a:lnTo>
                  <a:pt x="3677412" y="1242060"/>
                </a:lnTo>
                <a:lnTo>
                  <a:pt x="3677412" y="1446276"/>
                </a:lnTo>
                <a:lnTo>
                  <a:pt x="4437888" y="1446276"/>
                </a:lnTo>
                <a:lnTo>
                  <a:pt x="4437888" y="1242060"/>
                </a:lnTo>
                <a:close/>
              </a:path>
              <a:path w="7486015" h="2066925">
                <a:moveTo>
                  <a:pt x="4437888" y="1034796"/>
                </a:moveTo>
                <a:lnTo>
                  <a:pt x="3677412" y="1034796"/>
                </a:lnTo>
                <a:lnTo>
                  <a:pt x="3677412" y="1239012"/>
                </a:lnTo>
                <a:lnTo>
                  <a:pt x="4437888" y="1239012"/>
                </a:lnTo>
                <a:lnTo>
                  <a:pt x="4437888" y="1034796"/>
                </a:lnTo>
                <a:close/>
              </a:path>
              <a:path w="7486015" h="2066925">
                <a:moveTo>
                  <a:pt x="4437888" y="827532"/>
                </a:moveTo>
                <a:lnTo>
                  <a:pt x="3677412" y="827532"/>
                </a:lnTo>
                <a:lnTo>
                  <a:pt x="3677412" y="1031748"/>
                </a:lnTo>
                <a:lnTo>
                  <a:pt x="4437888" y="1031748"/>
                </a:lnTo>
                <a:lnTo>
                  <a:pt x="4437888" y="827532"/>
                </a:lnTo>
                <a:close/>
              </a:path>
              <a:path w="7486015" h="2066925">
                <a:moveTo>
                  <a:pt x="4437888" y="621792"/>
                </a:moveTo>
                <a:lnTo>
                  <a:pt x="3677412" y="621792"/>
                </a:lnTo>
                <a:lnTo>
                  <a:pt x="3677412" y="824484"/>
                </a:lnTo>
                <a:lnTo>
                  <a:pt x="4437888" y="824484"/>
                </a:lnTo>
                <a:lnTo>
                  <a:pt x="4437888" y="621792"/>
                </a:lnTo>
                <a:close/>
              </a:path>
              <a:path w="7486015" h="2066925">
                <a:moveTo>
                  <a:pt x="4437888" y="414528"/>
                </a:moveTo>
                <a:lnTo>
                  <a:pt x="3677412" y="414528"/>
                </a:lnTo>
                <a:lnTo>
                  <a:pt x="3677412" y="618744"/>
                </a:lnTo>
                <a:lnTo>
                  <a:pt x="4437888" y="618744"/>
                </a:lnTo>
                <a:lnTo>
                  <a:pt x="4437888" y="414528"/>
                </a:lnTo>
                <a:close/>
              </a:path>
              <a:path w="7486015" h="2066925">
                <a:moveTo>
                  <a:pt x="4437888" y="207264"/>
                </a:moveTo>
                <a:lnTo>
                  <a:pt x="3677412" y="207264"/>
                </a:lnTo>
                <a:lnTo>
                  <a:pt x="3677412" y="411480"/>
                </a:lnTo>
                <a:lnTo>
                  <a:pt x="4437888" y="411480"/>
                </a:lnTo>
                <a:lnTo>
                  <a:pt x="4437888" y="207264"/>
                </a:lnTo>
                <a:close/>
              </a:path>
              <a:path w="7486015" h="2066925">
                <a:moveTo>
                  <a:pt x="4437888" y="0"/>
                </a:moveTo>
                <a:lnTo>
                  <a:pt x="3677412" y="0"/>
                </a:lnTo>
                <a:lnTo>
                  <a:pt x="3677412" y="204216"/>
                </a:lnTo>
                <a:lnTo>
                  <a:pt x="4437888" y="204216"/>
                </a:lnTo>
                <a:lnTo>
                  <a:pt x="4437888" y="0"/>
                </a:lnTo>
                <a:close/>
              </a:path>
              <a:path w="7486015" h="2066925">
                <a:moveTo>
                  <a:pt x="5199888" y="1862328"/>
                </a:moveTo>
                <a:lnTo>
                  <a:pt x="4440936" y="1862328"/>
                </a:lnTo>
                <a:lnTo>
                  <a:pt x="4440936" y="2066544"/>
                </a:lnTo>
                <a:lnTo>
                  <a:pt x="5199888" y="2066544"/>
                </a:lnTo>
                <a:lnTo>
                  <a:pt x="5199888" y="1862328"/>
                </a:lnTo>
                <a:close/>
              </a:path>
              <a:path w="7486015" h="2066925">
                <a:moveTo>
                  <a:pt x="5199888" y="1655064"/>
                </a:moveTo>
                <a:lnTo>
                  <a:pt x="4440936" y="1655064"/>
                </a:lnTo>
                <a:lnTo>
                  <a:pt x="4440936" y="1859280"/>
                </a:lnTo>
                <a:lnTo>
                  <a:pt x="5199888" y="1859280"/>
                </a:lnTo>
                <a:lnTo>
                  <a:pt x="5199888" y="1655064"/>
                </a:lnTo>
                <a:close/>
              </a:path>
              <a:path w="7486015" h="2066925">
                <a:moveTo>
                  <a:pt x="5199888" y="1449324"/>
                </a:moveTo>
                <a:lnTo>
                  <a:pt x="4440936" y="1449324"/>
                </a:lnTo>
                <a:lnTo>
                  <a:pt x="4440936" y="1652016"/>
                </a:lnTo>
                <a:lnTo>
                  <a:pt x="5199888" y="1652016"/>
                </a:lnTo>
                <a:lnTo>
                  <a:pt x="5199888" y="1449324"/>
                </a:lnTo>
                <a:close/>
              </a:path>
              <a:path w="7486015" h="2066925">
                <a:moveTo>
                  <a:pt x="5199888" y="1242060"/>
                </a:moveTo>
                <a:lnTo>
                  <a:pt x="4440936" y="1242060"/>
                </a:lnTo>
                <a:lnTo>
                  <a:pt x="4440936" y="1446276"/>
                </a:lnTo>
                <a:lnTo>
                  <a:pt x="5199888" y="1446276"/>
                </a:lnTo>
                <a:lnTo>
                  <a:pt x="5199888" y="1242060"/>
                </a:lnTo>
                <a:close/>
              </a:path>
              <a:path w="7486015" h="2066925">
                <a:moveTo>
                  <a:pt x="5199888" y="1034796"/>
                </a:moveTo>
                <a:lnTo>
                  <a:pt x="4440936" y="1034796"/>
                </a:lnTo>
                <a:lnTo>
                  <a:pt x="4440936" y="1239012"/>
                </a:lnTo>
                <a:lnTo>
                  <a:pt x="5199888" y="1239012"/>
                </a:lnTo>
                <a:lnTo>
                  <a:pt x="5199888" y="1034796"/>
                </a:lnTo>
                <a:close/>
              </a:path>
              <a:path w="7486015" h="2066925">
                <a:moveTo>
                  <a:pt x="5199888" y="827532"/>
                </a:moveTo>
                <a:lnTo>
                  <a:pt x="4440936" y="827532"/>
                </a:lnTo>
                <a:lnTo>
                  <a:pt x="4440936" y="1031748"/>
                </a:lnTo>
                <a:lnTo>
                  <a:pt x="5199888" y="1031748"/>
                </a:lnTo>
                <a:lnTo>
                  <a:pt x="5199888" y="827532"/>
                </a:lnTo>
                <a:close/>
              </a:path>
              <a:path w="7486015" h="2066925">
                <a:moveTo>
                  <a:pt x="5199888" y="621792"/>
                </a:moveTo>
                <a:lnTo>
                  <a:pt x="4440936" y="621792"/>
                </a:lnTo>
                <a:lnTo>
                  <a:pt x="4440936" y="824484"/>
                </a:lnTo>
                <a:lnTo>
                  <a:pt x="5199888" y="824484"/>
                </a:lnTo>
                <a:lnTo>
                  <a:pt x="5199888" y="621792"/>
                </a:lnTo>
                <a:close/>
              </a:path>
              <a:path w="7486015" h="2066925">
                <a:moveTo>
                  <a:pt x="5199888" y="414528"/>
                </a:moveTo>
                <a:lnTo>
                  <a:pt x="4440936" y="414528"/>
                </a:lnTo>
                <a:lnTo>
                  <a:pt x="4440936" y="618744"/>
                </a:lnTo>
                <a:lnTo>
                  <a:pt x="5199888" y="618744"/>
                </a:lnTo>
                <a:lnTo>
                  <a:pt x="5199888" y="414528"/>
                </a:lnTo>
                <a:close/>
              </a:path>
              <a:path w="7486015" h="2066925">
                <a:moveTo>
                  <a:pt x="5199888" y="207264"/>
                </a:moveTo>
                <a:lnTo>
                  <a:pt x="4440936" y="207264"/>
                </a:lnTo>
                <a:lnTo>
                  <a:pt x="4440936" y="411480"/>
                </a:lnTo>
                <a:lnTo>
                  <a:pt x="5199888" y="411480"/>
                </a:lnTo>
                <a:lnTo>
                  <a:pt x="5199888" y="207264"/>
                </a:lnTo>
                <a:close/>
              </a:path>
              <a:path w="7486015" h="2066925">
                <a:moveTo>
                  <a:pt x="5199888" y="0"/>
                </a:moveTo>
                <a:lnTo>
                  <a:pt x="4440936" y="0"/>
                </a:lnTo>
                <a:lnTo>
                  <a:pt x="4440936" y="204216"/>
                </a:lnTo>
                <a:lnTo>
                  <a:pt x="5199888" y="204216"/>
                </a:lnTo>
                <a:lnTo>
                  <a:pt x="5199888" y="0"/>
                </a:lnTo>
                <a:close/>
              </a:path>
              <a:path w="7486015" h="2066925">
                <a:moveTo>
                  <a:pt x="5961875" y="1862328"/>
                </a:moveTo>
                <a:lnTo>
                  <a:pt x="5202936" y="1862328"/>
                </a:lnTo>
                <a:lnTo>
                  <a:pt x="5202936" y="2066544"/>
                </a:lnTo>
                <a:lnTo>
                  <a:pt x="5961875" y="2066544"/>
                </a:lnTo>
                <a:lnTo>
                  <a:pt x="5961875" y="1862328"/>
                </a:lnTo>
                <a:close/>
              </a:path>
              <a:path w="7486015" h="2066925">
                <a:moveTo>
                  <a:pt x="5961875" y="1655064"/>
                </a:moveTo>
                <a:lnTo>
                  <a:pt x="5202936" y="1655064"/>
                </a:lnTo>
                <a:lnTo>
                  <a:pt x="5202936" y="1859280"/>
                </a:lnTo>
                <a:lnTo>
                  <a:pt x="5961875" y="1859280"/>
                </a:lnTo>
                <a:lnTo>
                  <a:pt x="5961875" y="1655064"/>
                </a:lnTo>
                <a:close/>
              </a:path>
              <a:path w="7486015" h="2066925">
                <a:moveTo>
                  <a:pt x="5961875" y="1449324"/>
                </a:moveTo>
                <a:lnTo>
                  <a:pt x="5202936" y="1449324"/>
                </a:lnTo>
                <a:lnTo>
                  <a:pt x="5202936" y="1652016"/>
                </a:lnTo>
                <a:lnTo>
                  <a:pt x="5961875" y="1652016"/>
                </a:lnTo>
                <a:lnTo>
                  <a:pt x="5961875" y="1449324"/>
                </a:lnTo>
                <a:close/>
              </a:path>
              <a:path w="7486015" h="2066925">
                <a:moveTo>
                  <a:pt x="5961875" y="1242060"/>
                </a:moveTo>
                <a:lnTo>
                  <a:pt x="5202936" y="1242060"/>
                </a:lnTo>
                <a:lnTo>
                  <a:pt x="5202936" y="1446276"/>
                </a:lnTo>
                <a:lnTo>
                  <a:pt x="5961875" y="1446276"/>
                </a:lnTo>
                <a:lnTo>
                  <a:pt x="5961875" y="1242060"/>
                </a:lnTo>
                <a:close/>
              </a:path>
              <a:path w="7486015" h="2066925">
                <a:moveTo>
                  <a:pt x="5961875" y="1034796"/>
                </a:moveTo>
                <a:lnTo>
                  <a:pt x="5202936" y="1034796"/>
                </a:lnTo>
                <a:lnTo>
                  <a:pt x="5202936" y="1239012"/>
                </a:lnTo>
                <a:lnTo>
                  <a:pt x="5961875" y="1239012"/>
                </a:lnTo>
                <a:lnTo>
                  <a:pt x="5961875" y="1034796"/>
                </a:lnTo>
                <a:close/>
              </a:path>
              <a:path w="7486015" h="2066925">
                <a:moveTo>
                  <a:pt x="5961875" y="827532"/>
                </a:moveTo>
                <a:lnTo>
                  <a:pt x="5202936" y="827532"/>
                </a:lnTo>
                <a:lnTo>
                  <a:pt x="5202936" y="1031748"/>
                </a:lnTo>
                <a:lnTo>
                  <a:pt x="5961875" y="1031748"/>
                </a:lnTo>
                <a:lnTo>
                  <a:pt x="5961875" y="827532"/>
                </a:lnTo>
                <a:close/>
              </a:path>
              <a:path w="7486015" h="2066925">
                <a:moveTo>
                  <a:pt x="5961875" y="621792"/>
                </a:moveTo>
                <a:lnTo>
                  <a:pt x="5202936" y="621792"/>
                </a:lnTo>
                <a:lnTo>
                  <a:pt x="5202936" y="824484"/>
                </a:lnTo>
                <a:lnTo>
                  <a:pt x="5961875" y="824484"/>
                </a:lnTo>
                <a:lnTo>
                  <a:pt x="5961875" y="621792"/>
                </a:lnTo>
                <a:close/>
              </a:path>
              <a:path w="7486015" h="2066925">
                <a:moveTo>
                  <a:pt x="5961875" y="414528"/>
                </a:moveTo>
                <a:lnTo>
                  <a:pt x="5202936" y="414528"/>
                </a:lnTo>
                <a:lnTo>
                  <a:pt x="5202936" y="618744"/>
                </a:lnTo>
                <a:lnTo>
                  <a:pt x="5961875" y="618744"/>
                </a:lnTo>
                <a:lnTo>
                  <a:pt x="5961875" y="414528"/>
                </a:lnTo>
                <a:close/>
              </a:path>
              <a:path w="7486015" h="2066925">
                <a:moveTo>
                  <a:pt x="5961875" y="207264"/>
                </a:moveTo>
                <a:lnTo>
                  <a:pt x="5202936" y="207264"/>
                </a:lnTo>
                <a:lnTo>
                  <a:pt x="5202936" y="411480"/>
                </a:lnTo>
                <a:lnTo>
                  <a:pt x="5961875" y="411480"/>
                </a:lnTo>
                <a:lnTo>
                  <a:pt x="5961875" y="207264"/>
                </a:lnTo>
                <a:close/>
              </a:path>
              <a:path w="7486015" h="2066925">
                <a:moveTo>
                  <a:pt x="5961875" y="0"/>
                </a:moveTo>
                <a:lnTo>
                  <a:pt x="5202936" y="0"/>
                </a:lnTo>
                <a:lnTo>
                  <a:pt x="5202936" y="204216"/>
                </a:lnTo>
                <a:lnTo>
                  <a:pt x="5961875" y="204216"/>
                </a:lnTo>
                <a:lnTo>
                  <a:pt x="5961875" y="0"/>
                </a:lnTo>
                <a:close/>
              </a:path>
              <a:path w="7486015" h="2066925">
                <a:moveTo>
                  <a:pt x="6723888" y="1655064"/>
                </a:moveTo>
                <a:lnTo>
                  <a:pt x="5964936" y="1655064"/>
                </a:lnTo>
                <a:lnTo>
                  <a:pt x="5964936" y="1859280"/>
                </a:lnTo>
                <a:lnTo>
                  <a:pt x="6723888" y="1859280"/>
                </a:lnTo>
                <a:lnTo>
                  <a:pt x="6723888" y="1655064"/>
                </a:lnTo>
                <a:close/>
              </a:path>
              <a:path w="7486015" h="2066925">
                <a:moveTo>
                  <a:pt x="6723888" y="1449324"/>
                </a:moveTo>
                <a:lnTo>
                  <a:pt x="5964936" y="1449324"/>
                </a:lnTo>
                <a:lnTo>
                  <a:pt x="5964936" y="1652016"/>
                </a:lnTo>
                <a:lnTo>
                  <a:pt x="6723888" y="1652016"/>
                </a:lnTo>
                <a:lnTo>
                  <a:pt x="6723888" y="1449324"/>
                </a:lnTo>
                <a:close/>
              </a:path>
              <a:path w="7486015" h="2066925">
                <a:moveTo>
                  <a:pt x="6723888" y="1242060"/>
                </a:moveTo>
                <a:lnTo>
                  <a:pt x="5964936" y="1242060"/>
                </a:lnTo>
                <a:lnTo>
                  <a:pt x="5964936" y="1446276"/>
                </a:lnTo>
                <a:lnTo>
                  <a:pt x="6723888" y="1446276"/>
                </a:lnTo>
                <a:lnTo>
                  <a:pt x="6723888" y="1242060"/>
                </a:lnTo>
                <a:close/>
              </a:path>
              <a:path w="7486015" h="2066925">
                <a:moveTo>
                  <a:pt x="6723888" y="1034796"/>
                </a:moveTo>
                <a:lnTo>
                  <a:pt x="5964936" y="1034796"/>
                </a:lnTo>
                <a:lnTo>
                  <a:pt x="5964936" y="1239012"/>
                </a:lnTo>
                <a:lnTo>
                  <a:pt x="6723888" y="1239012"/>
                </a:lnTo>
                <a:lnTo>
                  <a:pt x="6723888" y="1034796"/>
                </a:lnTo>
                <a:close/>
              </a:path>
              <a:path w="7486015" h="2066925">
                <a:moveTo>
                  <a:pt x="6723888" y="827532"/>
                </a:moveTo>
                <a:lnTo>
                  <a:pt x="5964936" y="827532"/>
                </a:lnTo>
                <a:lnTo>
                  <a:pt x="5964936" y="1031748"/>
                </a:lnTo>
                <a:lnTo>
                  <a:pt x="6723888" y="1031748"/>
                </a:lnTo>
                <a:lnTo>
                  <a:pt x="6723888" y="827532"/>
                </a:lnTo>
                <a:close/>
              </a:path>
              <a:path w="7486015" h="2066925">
                <a:moveTo>
                  <a:pt x="6723888" y="621792"/>
                </a:moveTo>
                <a:lnTo>
                  <a:pt x="5964936" y="621792"/>
                </a:lnTo>
                <a:lnTo>
                  <a:pt x="5964936" y="824484"/>
                </a:lnTo>
                <a:lnTo>
                  <a:pt x="6723888" y="824484"/>
                </a:lnTo>
                <a:lnTo>
                  <a:pt x="6723888" y="621792"/>
                </a:lnTo>
                <a:close/>
              </a:path>
              <a:path w="7486015" h="2066925">
                <a:moveTo>
                  <a:pt x="6723888" y="414528"/>
                </a:moveTo>
                <a:lnTo>
                  <a:pt x="5964936" y="414528"/>
                </a:lnTo>
                <a:lnTo>
                  <a:pt x="5964936" y="618744"/>
                </a:lnTo>
                <a:lnTo>
                  <a:pt x="6723888" y="618744"/>
                </a:lnTo>
                <a:lnTo>
                  <a:pt x="6723888" y="414528"/>
                </a:lnTo>
                <a:close/>
              </a:path>
              <a:path w="7486015" h="2066925">
                <a:moveTo>
                  <a:pt x="6723888" y="207264"/>
                </a:moveTo>
                <a:lnTo>
                  <a:pt x="5964936" y="207264"/>
                </a:lnTo>
                <a:lnTo>
                  <a:pt x="5964936" y="411480"/>
                </a:lnTo>
                <a:lnTo>
                  <a:pt x="6723888" y="411480"/>
                </a:lnTo>
                <a:lnTo>
                  <a:pt x="6723888" y="207264"/>
                </a:lnTo>
                <a:close/>
              </a:path>
              <a:path w="7486015" h="2066925">
                <a:moveTo>
                  <a:pt x="6723888" y="0"/>
                </a:moveTo>
                <a:lnTo>
                  <a:pt x="5964936" y="0"/>
                </a:lnTo>
                <a:lnTo>
                  <a:pt x="5964936" y="204216"/>
                </a:lnTo>
                <a:lnTo>
                  <a:pt x="6723888" y="204216"/>
                </a:lnTo>
                <a:lnTo>
                  <a:pt x="6723888" y="0"/>
                </a:lnTo>
                <a:close/>
              </a:path>
              <a:path w="7486015" h="2066925">
                <a:moveTo>
                  <a:pt x="7485888" y="1655064"/>
                </a:moveTo>
                <a:lnTo>
                  <a:pt x="6726936" y="1655064"/>
                </a:lnTo>
                <a:lnTo>
                  <a:pt x="6726936" y="1859280"/>
                </a:lnTo>
                <a:lnTo>
                  <a:pt x="7485888" y="1859280"/>
                </a:lnTo>
                <a:lnTo>
                  <a:pt x="7485888" y="1655064"/>
                </a:lnTo>
                <a:close/>
              </a:path>
              <a:path w="7486015" h="2066925">
                <a:moveTo>
                  <a:pt x="7485888" y="1449324"/>
                </a:moveTo>
                <a:lnTo>
                  <a:pt x="6726936" y="1449324"/>
                </a:lnTo>
                <a:lnTo>
                  <a:pt x="6726936" y="1652016"/>
                </a:lnTo>
                <a:lnTo>
                  <a:pt x="7485888" y="1652016"/>
                </a:lnTo>
                <a:lnTo>
                  <a:pt x="7485888" y="1449324"/>
                </a:lnTo>
                <a:close/>
              </a:path>
              <a:path w="7486015" h="2066925">
                <a:moveTo>
                  <a:pt x="7485888" y="1242060"/>
                </a:moveTo>
                <a:lnTo>
                  <a:pt x="6726936" y="1242060"/>
                </a:lnTo>
                <a:lnTo>
                  <a:pt x="6726936" y="1446276"/>
                </a:lnTo>
                <a:lnTo>
                  <a:pt x="7485888" y="1446276"/>
                </a:lnTo>
                <a:lnTo>
                  <a:pt x="7485888" y="1242060"/>
                </a:lnTo>
                <a:close/>
              </a:path>
              <a:path w="7486015" h="2066925">
                <a:moveTo>
                  <a:pt x="7485888" y="1034796"/>
                </a:moveTo>
                <a:lnTo>
                  <a:pt x="6726936" y="1034796"/>
                </a:lnTo>
                <a:lnTo>
                  <a:pt x="6726936" y="1239012"/>
                </a:lnTo>
                <a:lnTo>
                  <a:pt x="7485888" y="1239012"/>
                </a:lnTo>
                <a:lnTo>
                  <a:pt x="7485888" y="1034796"/>
                </a:lnTo>
                <a:close/>
              </a:path>
              <a:path w="7486015" h="2066925">
                <a:moveTo>
                  <a:pt x="7485888" y="827532"/>
                </a:moveTo>
                <a:lnTo>
                  <a:pt x="6726936" y="827532"/>
                </a:lnTo>
                <a:lnTo>
                  <a:pt x="6726936" y="1031748"/>
                </a:lnTo>
                <a:lnTo>
                  <a:pt x="7485888" y="1031748"/>
                </a:lnTo>
                <a:lnTo>
                  <a:pt x="7485888" y="827532"/>
                </a:lnTo>
                <a:close/>
              </a:path>
              <a:path w="7486015" h="2066925">
                <a:moveTo>
                  <a:pt x="7485888" y="621792"/>
                </a:moveTo>
                <a:lnTo>
                  <a:pt x="6726936" y="621792"/>
                </a:lnTo>
                <a:lnTo>
                  <a:pt x="6726936" y="824484"/>
                </a:lnTo>
                <a:lnTo>
                  <a:pt x="7485888" y="824484"/>
                </a:lnTo>
                <a:lnTo>
                  <a:pt x="7485888" y="621792"/>
                </a:lnTo>
                <a:close/>
              </a:path>
              <a:path w="7486015" h="2066925">
                <a:moveTo>
                  <a:pt x="7485888" y="414528"/>
                </a:moveTo>
                <a:lnTo>
                  <a:pt x="6726936" y="414528"/>
                </a:lnTo>
                <a:lnTo>
                  <a:pt x="6726936" y="618744"/>
                </a:lnTo>
                <a:lnTo>
                  <a:pt x="7485888" y="618744"/>
                </a:lnTo>
                <a:lnTo>
                  <a:pt x="7485888" y="414528"/>
                </a:lnTo>
                <a:close/>
              </a:path>
              <a:path w="7486015" h="2066925">
                <a:moveTo>
                  <a:pt x="7485888" y="207264"/>
                </a:moveTo>
                <a:lnTo>
                  <a:pt x="6726936" y="207264"/>
                </a:lnTo>
                <a:lnTo>
                  <a:pt x="6726936" y="411480"/>
                </a:lnTo>
                <a:lnTo>
                  <a:pt x="7485888" y="411480"/>
                </a:lnTo>
                <a:lnTo>
                  <a:pt x="7485888" y="207264"/>
                </a:lnTo>
                <a:close/>
              </a:path>
              <a:path w="7486015" h="2066925">
                <a:moveTo>
                  <a:pt x="7485888" y="0"/>
                </a:moveTo>
                <a:lnTo>
                  <a:pt x="6726936" y="0"/>
                </a:lnTo>
                <a:lnTo>
                  <a:pt x="6726936" y="204216"/>
                </a:lnTo>
                <a:lnTo>
                  <a:pt x="7485888" y="204216"/>
                </a:lnTo>
                <a:lnTo>
                  <a:pt x="7485888" y="0"/>
                </a:lnTo>
                <a:close/>
              </a:path>
            </a:pathLst>
          </a:custGeom>
          <a:solidFill>
            <a:srgbClr val="FFFFFF"/>
          </a:solidFill>
        </xdr:spPr>
      </xdr:sp>
      <xdr:sp macro="" textlink="">
        <xdr:nvSpPr>
          <xdr:cNvPr id="148" name="Shape 148">
            <a:extLst>
              <a:ext uri="{FF2B5EF4-FFF2-40B4-BE49-F238E27FC236}">
                <a16:creationId xmlns:a16="http://schemas.microsoft.com/office/drawing/2014/main" id="{00000000-0008-0000-0D00-000094000000}"/>
              </a:ext>
            </a:extLst>
          </xdr:cNvPr>
          <xdr:cNvSpPr/>
        </xdr:nvSpPr>
        <xdr:spPr>
          <a:xfrm>
            <a:off x="1267968" y="1242059"/>
            <a:ext cx="6217920" cy="2479675"/>
          </a:xfrm>
          <a:custGeom>
            <a:avLst/>
            <a:gdLst/>
            <a:ahLst/>
            <a:cxnLst/>
            <a:rect l="0" t="0" r="0" b="0"/>
            <a:pathLst>
              <a:path w="6217920" h="2479675">
                <a:moveTo>
                  <a:pt x="1263396" y="1447800"/>
                </a:moveTo>
                <a:lnTo>
                  <a:pt x="0" y="1447800"/>
                </a:lnTo>
                <a:lnTo>
                  <a:pt x="0" y="2479548"/>
                </a:lnTo>
                <a:lnTo>
                  <a:pt x="1263396" y="2479548"/>
                </a:lnTo>
                <a:lnTo>
                  <a:pt x="1263396" y="1447800"/>
                </a:lnTo>
                <a:close/>
              </a:path>
              <a:path w="6217920" h="2479675">
                <a:moveTo>
                  <a:pt x="1263396" y="0"/>
                </a:moveTo>
                <a:lnTo>
                  <a:pt x="0" y="0"/>
                </a:lnTo>
                <a:lnTo>
                  <a:pt x="0" y="1444752"/>
                </a:lnTo>
                <a:lnTo>
                  <a:pt x="1263396" y="1444752"/>
                </a:lnTo>
                <a:lnTo>
                  <a:pt x="1263396" y="0"/>
                </a:lnTo>
                <a:close/>
              </a:path>
              <a:path w="6217920" h="2479675">
                <a:moveTo>
                  <a:pt x="1769364" y="2275332"/>
                </a:moveTo>
                <a:lnTo>
                  <a:pt x="1266444" y="2275332"/>
                </a:lnTo>
                <a:lnTo>
                  <a:pt x="1266444" y="2479548"/>
                </a:lnTo>
                <a:lnTo>
                  <a:pt x="1769364" y="2479548"/>
                </a:lnTo>
                <a:lnTo>
                  <a:pt x="1769364" y="2275332"/>
                </a:lnTo>
                <a:close/>
              </a:path>
              <a:path w="6217920" h="2479675">
                <a:moveTo>
                  <a:pt x="1769364" y="2069592"/>
                </a:moveTo>
                <a:lnTo>
                  <a:pt x="1266444" y="2069592"/>
                </a:lnTo>
                <a:lnTo>
                  <a:pt x="1266444" y="2272284"/>
                </a:lnTo>
                <a:lnTo>
                  <a:pt x="1769364" y="2272284"/>
                </a:lnTo>
                <a:lnTo>
                  <a:pt x="1769364" y="2069592"/>
                </a:lnTo>
                <a:close/>
              </a:path>
              <a:path w="6217920" h="2479675">
                <a:moveTo>
                  <a:pt x="1769364" y="1862328"/>
                </a:moveTo>
                <a:lnTo>
                  <a:pt x="1266444" y="1862328"/>
                </a:lnTo>
                <a:lnTo>
                  <a:pt x="1266444" y="2066544"/>
                </a:lnTo>
                <a:lnTo>
                  <a:pt x="1769364" y="2066544"/>
                </a:lnTo>
                <a:lnTo>
                  <a:pt x="1769364" y="1862328"/>
                </a:lnTo>
                <a:close/>
              </a:path>
              <a:path w="6217920" h="2479675">
                <a:moveTo>
                  <a:pt x="1769364" y="1655064"/>
                </a:moveTo>
                <a:lnTo>
                  <a:pt x="1266444" y="1655064"/>
                </a:lnTo>
                <a:lnTo>
                  <a:pt x="1266444" y="1859280"/>
                </a:lnTo>
                <a:lnTo>
                  <a:pt x="1769364" y="1859280"/>
                </a:lnTo>
                <a:lnTo>
                  <a:pt x="1769364" y="1655064"/>
                </a:lnTo>
                <a:close/>
              </a:path>
              <a:path w="6217920" h="2479675">
                <a:moveTo>
                  <a:pt x="1769364" y="1447800"/>
                </a:moveTo>
                <a:lnTo>
                  <a:pt x="1266444" y="1447800"/>
                </a:lnTo>
                <a:lnTo>
                  <a:pt x="1266444" y="1652016"/>
                </a:lnTo>
                <a:lnTo>
                  <a:pt x="1769364" y="1652016"/>
                </a:lnTo>
                <a:lnTo>
                  <a:pt x="1769364" y="1447800"/>
                </a:lnTo>
                <a:close/>
              </a:path>
              <a:path w="6217920" h="2479675">
                <a:moveTo>
                  <a:pt x="1769364" y="1240536"/>
                </a:moveTo>
                <a:lnTo>
                  <a:pt x="1266444" y="1240536"/>
                </a:lnTo>
                <a:lnTo>
                  <a:pt x="1266444" y="1444752"/>
                </a:lnTo>
                <a:lnTo>
                  <a:pt x="1769364" y="1444752"/>
                </a:lnTo>
                <a:lnTo>
                  <a:pt x="1769364" y="1240536"/>
                </a:lnTo>
                <a:close/>
              </a:path>
              <a:path w="6217920" h="2479675">
                <a:moveTo>
                  <a:pt x="1769364" y="1034796"/>
                </a:moveTo>
                <a:lnTo>
                  <a:pt x="1266444" y="1034796"/>
                </a:lnTo>
                <a:lnTo>
                  <a:pt x="1266444" y="1237488"/>
                </a:lnTo>
                <a:lnTo>
                  <a:pt x="1769364" y="1237488"/>
                </a:lnTo>
                <a:lnTo>
                  <a:pt x="1769364" y="1034796"/>
                </a:lnTo>
                <a:close/>
              </a:path>
              <a:path w="6217920" h="2479675">
                <a:moveTo>
                  <a:pt x="1769364" y="827532"/>
                </a:moveTo>
                <a:lnTo>
                  <a:pt x="1266444" y="827532"/>
                </a:lnTo>
                <a:lnTo>
                  <a:pt x="1266444" y="1031748"/>
                </a:lnTo>
                <a:lnTo>
                  <a:pt x="1769364" y="1031748"/>
                </a:lnTo>
                <a:lnTo>
                  <a:pt x="1769364" y="827532"/>
                </a:lnTo>
                <a:close/>
              </a:path>
              <a:path w="6217920" h="2479675">
                <a:moveTo>
                  <a:pt x="2406396" y="2275332"/>
                </a:moveTo>
                <a:lnTo>
                  <a:pt x="1772412" y="2275332"/>
                </a:lnTo>
                <a:lnTo>
                  <a:pt x="1772412" y="2479548"/>
                </a:lnTo>
                <a:lnTo>
                  <a:pt x="2406396" y="2479548"/>
                </a:lnTo>
                <a:lnTo>
                  <a:pt x="2406396" y="2275332"/>
                </a:lnTo>
                <a:close/>
              </a:path>
              <a:path w="6217920" h="2479675">
                <a:moveTo>
                  <a:pt x="2406396" y="2069592"/>
                </a:moveTo>
                <a:lnTo>
                  <a:pt x="1772412" y="2069592"/>
                </a:lnTo>
                <a:lnTo>
                  <a:pt x="1772412" y="2272284"/>
                </a:lnTo>
                <a:lnTo>
                  <a:pt x="2406396" y="2272284"/>
                </a:lnTo>
                <a:lnTo>
                  <a:pt x="2406396" y="2069592"/>
                </a:lnTo>
                <a:close/>
              </a:path>
              <a:path w="6217920" h="2479675">
                <a:moveTo>
                  <a:pt x="2406396" y="1862328"/>
                </a:moveTo>
                <a:lnTo>
                  <a:pt x="1772412" y="1862328"/>
                </a:lnTo>
                <a:lnTo>
                  <a:pt x="1772412" y="2066544"/>
                </a:lnTo>
                <a:lnTo>
                  <a:pt x="2406396" y="2066544"/>
                </a:lnTo>
                <a:lnTo>
                  <a:pt x="2406396" y="1862328"/>
                </a:lnTo>
                <a:close/>
              </a:path>
              <a:path w="6217920" h="2479675">
                <a:moveTo>
                  <a:pt x="2406396" y="1655064"/>
                </a:moveTo>
                <a:lnTo>
                  <a:pt x="1772412" y="1655064"/>
                </a:lnTo>
                <a:lnTo>
                  <a:pt x="1772412" y="1859280"/>
                </a:lnTo>
                <a:lnTo>
                  <a:pt x="2406396" y="1859280"/>
                </a:lnTo>
                <a:lnTo>
                  <a:pt x="2406396" y="1655064"/>
                </a:lnTo>
                <a:close/>
              </a:path>
              <a:path w="6217920" h="2479675">
                <a:moveTo>
                  <a:pt x="2406396" y="1447800"/>
                </a:moveTo>
                <a:lnTo>
                  <a:pt x="1772412" y="1447800"/>
                </a:lnTo>
                <a:lnTo>
                  <a:pt x="1772412" y="1652016"/>
                </a:lnTo>
                <a:lnTo>
                  <a:pt x="2406396" y="1652016"/>
                </a:lnTo>
                <a:lnTo>
                  <a:pt x="2406396" y="1447800"/>
                </a:lnTo>
                <a:close/>
              </a:path>
              <a:path w="6217920" h="2479675">
                <a:moveTo>
                  <a:pt x="2406396" y="1240536"/>
                </a:moveTo>
                <a:lnTo>
                  <a:pt x="1772412" y="1240536"/>
                </a:lnTo>
                <a:lnTo>
                  <a:pt x="1772412" y="1444752"/>
                </a:lnTo>
                <a:lnTo>
                  <a:pt x="2406396" y="1444752"/>
                </a:lnTo>
                <a:lnTo>
                  <a:pt x="2406396" y="1240536"/>
                </a:lnTo>
                <a:close/>
              </a:path>
              <a:path w="6217920" h="2479675">
                <a:moveTo>
                  <a:pt x="2406396" y="1034796"/>
                </a:moveTo>
                <a:lnTo>
                  <a:pt x="1772412" y="1034796"/>
                </a:lnTo>
                <a:lnTo>
                  <a:pt x="1772412" y="1237488"/>
                </a:lnTo>
                <a:lnTo>
                  <a:pt x="2406396" y="1237488"/>
                </a:lnTo>
                <a:lnTo>
                  <a:pt x="2406396" y="1034796"/>
                </a:lnTo>
                <a:close/>
              </a:path>
              <a:path w="6217920" h="2479675">
                <a:moveTo>
                  <a:pt x="2406396" y="827532"/>
                </a:moveTo>
                <a:lnTo>
                  <a:pt x="1772412" y="827532"/>
                </a:lnTo>
                <a:lnTo>
                  <a:pt x="1772412" y="1031748"/>
                </a:lnTo>
                <a:lnTo>
                  <a:pt x="2406396" y="1031748"/>
                </a:lnTo>
                <a:lnTo>
                  <a:pt x="2406396" y="827532"/>
                </a:lnTo>
                <a:close/>
              </a:path>
              <a:path w="6217920" h="2479675">
                <a:moveTo>
                  <a:pt x="3169920" y="2275332"/>
                </a:moveTo>
                <a:lnTo>
                  <a:pt x="2409444" y="2275332"/>
                </a:lnTo>
                <a:lnTo>
                  <a:pt x="2409444" y="2479548"/>
                </a:lnTo>
                <a:lnTo>
                  <a:pt x="3169920" y="2479548"/>
                </a:lnTo>
                <a:lnTo>
                  <a:pt x="3169920" y="2275332"/>
                </a:lnTo>
                <a:close/>
              </a:path>
              <a:path w="6217920" h="2479675">
                <a:moveTo>
                  <a:pt x="3169920" y="2069592"/>
                </a:moveTo>
                <a:lnTo>
                  <a:pt x="2409444" y="2069592"/>
                </a:lnTo>
                <a:lnTo>
                  <a:pt x="2409444" y="2272284"/>
                </a:lnTo>
                <a:lnTo>
                  <a:pt x="3169920" y="2272284"/>
                </a:lnTo>
                <a:lnTo>
                  <a:pt x="3169920" y="2069592"/>
                </a:lnTo>
                <a:close/>
              </a:path>
              <a:path w="6217920" h="2479675">
                <a:moveTo>
                  <a:pt x="3169920" y="1862328"/>
                </a:moveTo>
                <a:lnTo>
                  <a:pt x="2409444" y="1862328"/>
                </a:lnTo>
                <a:lnTo>
                  <a:pt x="2409444" y="2066544"/>
                </a:lnTo>
                <a:lnTo>
                  <a:pt x="3169920" y="2066544"/>
                </a:lnTo>
                <a:lnTo>
                  <a:pt x="3169920" y="1862328"/>
                </a:lnTo>
                <a:close/>
              </a:path>
              <a:path w="6217920" h="2479675">
                <a:moveTo>
                  <a:pt x="3169920" y="1655064"/>
                </a:moveTo>
                <a:lnTo>
                  <a:pt x="2409444" y="1655064"/>
                </a:lnTo>
                <a:lnTo>
                  <a:pt x="2409444" y="1859280"/>
                </a:lnTo>
                <a:lnTo>
                  <a:pt x="3169920" y="1859280"/>
                </a:lnTo>
                <a:lnTo>
                  <a:pt x="3169920" y="1655064"/>
                </a:lnTo>
                <a:close/>
              </a:path>
              <a:path w="6217920" h="2479675">
                <a:moveTo>
                  <a:pt x="3169920" y="1447800"/>
                </a:moveTo>
                <a:lnTo>
                  <a:pt x="2409444" y="1447800"/>
                </a:lnTo>
                <a:lnTo>
                  <a:pt x="2409444" y="1652016"/>
                </a:lnTo>
                <a:lnTo>
                  <a:pt x="3169920" y="1652016"/>
                </a:lnTo>
                <a:lnTo>
                  <a:pt x="3169920" y="1447800"/>
                </a:lnTo>
                <a:close/>
              </a:path>
              <a:path w="6217920" h="2479675">
                <a:moveTo>
                  <a:pt x="3169920" y="1240536"/>
                </a:moveTo>
                <a:lnTo>
                  <a:pt x="2409444" y="1240536"/>
                </a:lnTo>
                <a:lnTo>
                  <a:pt x="2409444" y="1444752"/>
                </a:lnTo>
                <a:lnTo>
                  <a:pt x="3169920" y="1444752"/>
                </a:lnTo>
                <a:lnTo>
                  <a:pt x="3169920" y="1240536"/>
                </a:lnTo>
                <a:close/>
              </a:path>
              <a:path w="6217920" h="2479675">
                <a:moveTo>
                  <a:pt x="3169920" y="1034796"/>
                </a:moveTo>
                <a:lnTo>
                  <a:pt x="2409444" y="1034796"/>
                </a:lnTo>
                <a:lnTo>
                  <a:pt x="2409444" y="1237488"/>
                </a:lnTo>
                <a:lnTo>
                  <a:pt x="3169920" y="1237488"/>
                </a:lnTo>
                <a:lnTo>
                  <a:pt x="3169920" y="1034796"/>
                </a:lnTo>
                <a:close/>
              </a:path>
              <a:path w="6217920" h="2479675">
                <a:moveTo>
                  <a:pt x="3169920" y="827532"/>
                </a:moveTo>
                <a:lnTo>
                  <a:pt x="2409444" y="827532"/>
                </a:lnTo>
                <a:lnTo>
                  <a:pt x="2409444" y="1031748"/>
                </a:lnTo>
                <a:lnTo>
                  <a:pt x="3169920" y="1031748"/>
                </a:lnTo>
                <a:lnTo>
                  <a:pt x="3169920" y="827532"/>
                </a:lnTo>
                <a:close/>
              </a:path>
              <a:path w="6217920" h="2479675">
                <a:moveTo>
                  <a:pt x="3931920" y="2275332"/>
                </a:moveTo>
                <a:lnTo>
                  <a:pt x="3172968" y="2275332"/>
                </a:lnTo>
                <a:lnTo>
                  <a:pt x="3172968" y="2479548"/>
                </a:lnTo>
                <a:lnTo>
                  <a:pt x="3931920" y="2479548"/>
                </a:lnTo>
                <a:lnTo>
                  <a:pt x="3931920" y="2275332"/>
                </a:lnTo>
                <a:close/>
              </a:path>
              <a:path w="6217920" h="2479675">
                <a:moveTo>
                  <a:pt x="3931920" y="2069592"/>
                </a:moveTo>
                <a:lnTo>
                  <a:pt x="3172968" y="2069592"/>
                </a:lnTo>
                <a:lnTo>
                  <a:pt x="3172968" y="2272284"/>
                </a:lnTo>
                <a:lnTo>
                  <a:pt x="3931920" y="2272284"/>
                </a:lnTo>
                <a:lnTo>
                  <a:pt x="3931920" y="2069592"/>
                </a:lnTo>
                <a:close/>
              </a:path>
              <a:path w="6217920" h="2479675">
                <a:moveTo>
                  <a:pt x="3931920" y="1862328"/>
                </a:moveTo>
                <a:lnTo>
                  <a:pt x="3172968" y="1862328"/>
                </a:lnTo>
                <a:lnTo>
                  <a:pt x="3172968" y="2066544"/>
                </a:lnTo>
                <a:lnTo>
                  <a:pt x="3931920" y="2066544"/>
                </a:lnTo>
                <a:lnTo>
                  <a:pt x="3931920" y="1862328"/>
                </a:lnTo>
                <a:close/>
              </a:path>
              <a:path w="6217920" h="2479675">
                <a:moveTo>
                  <a:pt x="3931920" y="1655064"/>
                </a:moveTo>
                <a:lnTo>
                  <a:pt x="3172968" y="1655064"/>
                </a:lnTo>
                <a:lnTo>
                  <a:pt x="3172968" y="1859280"/>
                </a:lnTo>
                <a:lnTo>
                  <a:pt x="3931920" y="1859280"/>
                </a:lnTo>
                <a:lnTo>
                  <a:pt x="3931920" y="1655064"/>
                </a:lnTo>
                <a:close/>
              </a:path>
              <a:path w="6217920" h="2479675">
                <a:moveTo>
                  <a:pt x="3931920" y="1447800"/>
                </a:moveTo>
                <a:lnTo>
                  <a:pt x="3172968" y="1447800"/>
                </a:lnTo>
                <a:lnTo>
                  <a:pt x="3172968" y="1652016"/>
                </a:lnTo>
                <a:lnTo>
                  <a:pt x="3931920" y="1652016"/>
                </a:lnTo>
                <a:lnTo>
                  <a:pt x="3931920" y="1447800"/>
                </a:lnTo>
                <a:close/>
              </a:path>
              <a:path w="6217920" h="2479675">
                <a:moveTo>
                  <a:pt x="3931920" y="1240536"/>
                </a:moveTo>
                <a:lnTo>
                  <a:pt x="3172968" y="1240536"/>
                </a:lnTo>
                <a:lnTo>
                  <a:pt x="3172968" y="1444752"/>
                </a:lnTo>
                <a:lnTo>
                  <a:pt x="3931920" y="1444752"/>
                </a:lnTo>
                <a:lnTo>
                  <a:pt x="3931920" y="1240536"/>
                </a:lnTo>
                <a:close/>
              </a:path>
              <a:path w="6217920" h="2479675">
                <a:moveTo>
                  <a:pt x="3931920" y="1034796"/>
                </a:moveTo>
                <a:lnTo>
                  <a:pt x="3172968" y="1034796"/>
                </a:lnTo>
                <a:lnTo>
                  <a:pt x="3172968" y="1237488"/>
                </a:lnTo>
                <a:lnTo>
                  <a:pt x="3931920" y="1237488"/>
                </a:lnTo>
                <a:lnTo>
                  <a:pt x="3931920" y="1034796"/>
                </a:lnTo>
                <a:close/>
              </a:path>
              <a:path w="6217920" h="2479675">
                <a:moveTo>
                  <a:pt x="3931920" y="827532"/>
                </a:moveTo>
                <a:lnTo>
                  <a:pt x="3172968" y="827532"/>
                </a:lnTo>
                <a:lnTo>
                  <a:pt x="3172968" y="1031748"/>
                </a:lnTo>
                <a:lnTo>
                  <a:pt x="3931920" y="1031748"/>
                </a:lnTo>
                <a:lnTo>
                  <a:pt x="3931920" y="827532"/>
                </a:lnTo>
                <a:close/>
              </a:path>
              <a:path w="6217920" h="2479675">
                <a:moveTo>
                  <a:pt x="4693907" y="2275332"/>
                </a:moveTo>
                <a:lnTo>
                  <a:pt x="3934968" y="2275332"/>
                </a:lnTo>
                <a:lnTo>
                  <a:pt x="3934968" y="2479548"/>
                </a:lnTo>
                <a:lnTo>
                  <a:pt x="4693907" y="2479548"/>
                </a:lnTo>
                <a:lnTo>
                  <a:pt x="4693907" y="2275332"/>
                </a:lnTo>
                <a:close/>
              </a:path>
              <a:path w="6217920" h="2479675">
                <a:moveTo>
                  <a:pt x="4693907" y="2069592"/>
                </a:moveTo>
                <a:lnTo>
                  <a:pt x="3934968" y="2069592"/>
                </a:lnTo>
                <a:lnTo>
                  <a:pt x="3934968" y="2272284"/>
                </a:lnTo>
                <a:lnTo>
                  <a:pt x="4693907" y="2272284"/>
                </a:lnTo>
                <a:lnTo>
                  <a:pt x="4693907" y="2069592"/>
                </a:lnTo>
                <a:close/>
              </a:path>
              <a:path w="6217920" h="2479675">
                <a:moveTo>
                  <a:pt x="4693907" y="1862328"/>
                </a:moveTo>
                <a:lnTo>
                  <a:pt x="3934968" y="1862328"/>
                </a:lnTo>
                <a:lnTo>
                  <a:pt x="3934968" y="2066544"/>
                </a:lnTo>
                <a:lnTo>
                  <a:pt x="4693907" y="2066544"/>
                </a:lnTo>
                <a:lnTo>
                  <a:pt x="4693907" y="1862328"/>
                </a:lnTo>
                <a:close/>
              </a:path>
              <a:path w="6217920" h="2479675">
                <a:moveTo>
                  <a:pt x="4693907" y="1655064"/>
                </a:moveTo>
                <a:lnTo>
                  <a:pt x="3934968" y="1655064"/>
                </a:lnTo>
                <a:lnTo>
                  <a:pt x="3934968" y="1859280"/>
                </a:lnTo>
                <a:lnTo>
                  <a:pt x="4693907" y="1859280"/>
                </a:lnTo>
                <a:lnTo>
                  <a:pt x="4693907" y="1655064"/>
                </a:lnTo>
                <a:close/>
              </a:path>
              <a:path w="6217920" h="2479675">
                <a:moveTo>
                  <a:pt x="4693907" y="1447800"/>
                </a:moveTo>
                <a:lnTo>
                  <a:pt x="3934968" y="1447800"/>
                </a:lnTo>
                <a:lnTo>
                  <a:pt x="3934968" y="1652016"/>
                </a:lnTo>
                <a:lnTo>
                  <a:pt x="4693907" y="1652016"/>
                </a:lnTo>
                <a:lnTo>
                  <a:pt x="4693907" y="1447800"/>
                </a:lnTo>
                <a:close/>
              </a:path>
              <a:path w="6217920" h="2479675">
                <a:moveTo>
                  <a:pt x="4693907" y="1240536"/>
                </a:moveTo>
                <a:lnTo>
                  <a:pt x="3934968" y="1240536"/>
                </a:lnTo>
                <a:lnTo>
                  <a:pt x="3934968" y="1444752"/>
                </a:lnTo>
                <a:lnTo>
                  <a:pt x="4693907" y="1444752"/>
                </a:lnTo>
                <a:lnTo>
                  <a:pt x="4693907" y="1240536"/>
                </a:lnTo>
                <a:close/>
              </a:path>
              <a:path w="6217920" h="2479675">
                <a:moveTo>
                  <a:pt x="4693907" y="1034796"/>
                </a:moveTo>
                <a:lnTo>
                  <a:pt x="3934968" y="1034796"/>
                </a:lnTo>
                <a:lnTo>
                  <a:pt x="3934968" y="1237488"/>
                </a:lnTo>
                <a:lnTo>
                  <a:pt x="4693907" y="1237488"/>
                </a:lnTo>
                <a:lnTo>
                  <a:pt x="4693907" y="1034796"/>
                </a:lnTo>
                <a:close/>
              </a:path>
              <a:path w="6217920" h="2479675">
                <a:moveTo>
                  <a:pt x="4693907" y="827532"/>
                </a:moveTo>
                <a:lnTo>
                  <a:pt x="3934968" y="827532"/>
                </a:lnTo>
                <a:lnTo>
                  <a:pt x="3934968" y="1031748"/>
                </a:lnTo>
                <a:lnTo>
                  <a:pt x="4693907" y="1031748"/>
                </a:lnTo>
                <a:lnTo>
                  <a:pt x="4693907" y="827532"/>
                </a:lnTo>
                <a:close/>
              </a:path>
              <a:path w="6217920" h="2479675">
                <a:moveTo>
                  <a:pt x="4693907" y="620268"/>
                </a:moveTo>
                <a:lnTo>
                  <a:pt x="3934968" y="620268"/>
                </a:lnTo>
                <a:lnTo>
                  <a:pt x="3934968" y="824484"/>
                </a:lnTo>
                <a:lnTo>
                  <a:pt x="4693907" y="824484"/>
                </a:lnTo>
                <a:lnTo>
                  <a:pt x="4693907" y="620268"/>
                </a:lnTo>
                <a:close/>
              </a:path>
              <a:path w="6217920" h="2479675">
                <a:moveTo>
                  <a:pt x="5455920" y="2275332"/>
                </a:moveTo>
                <a:lnTo>
                  <a:pt x="4696968" y="2275332"/>
                </a:lnTo>
                <a:lnTo>
                  <a:pt x="4696968" y="2479548"/>
                </a:lnTo>
                <a:lnTo>
                  <a:pt x="5455920" y="2479548"/>
                </a:lnTo>
                <a:lnTo>
                  <a:pt x="5455920" y="2275332"/>
                </a:lnTo>
                <a:close/>
              </a:path>
              <a:path w="6217920" h="2479675">
                <a:moveTo>
                  <a:pt x="5455920" y="2069592"/>
                </a:moveTo>
                <a:lnTo>
                  <a:pt x="4696968" y="2069592"/>
                </a:lnTo>
                <a:lnTo>
                  <a:pt x="4696968" y="2272284"/>
                </a:lnTo>
                <a:lnTo>
                  <a:pt x="5455920" y="2272284"/>
                </a:lnTo>
                <a:lnTo>
                  <a:pt x="5455920" y="2069592"/>
                </a:lnTo>
                <a:close/>
              </a:path>
              <a:path w="6217920" h="2479675">
                <a:moveTo>
                  <a:pt x="5455920" y="1862328"/>
                </a:moveTo>
                <a:lnTo>
                  <a:pt x="4696968" y="1862328"/>
                </a:lnTo>
                <a:lnTo>
                  <a:pt x="4696968" y="2066544"/>
                </a:lnTo>
                <a:lnTo>
                  <a:pt x="5455920" y="2066544"/>
                </a:lnTo>
                <a:lnTo>
                  <a:pt x="5455920" y="1862328"/>
                </a:lnTo>
                <a:close/>
              </a:path>
              <a:path w="6217920" h="2479675">
                <a:moveTo>
                  <a:pt x="5455920" y="1655064"/>
                </a:moveTo>
                <a:lnTo>
                  <a:pt x="4696968" y="1655064"/>
                </a:lnTo>
                <a:lnTo>
                  <a:pt x="4696968" y="1859280"/>
                </a:lnTo>
                <a:lnTo>
                  <a:pt x="5455920" y="1859280"/>
                </a:lnTo>
                <a:lnTo>
                  <a:pt x="5455920" y="1655064"/>
                </a:lnTo>
                <a:close/>
              </a:path>
              <a:path w="6217920" h="2479675">
                <a:moveTo>
                  <a:pt x="5455920" y="1447800"/>
                </a:moveTo>
                <a:lnTo>
                  <a:pt x="4696968" y="1447800"/>
                </a:lnTo>
                <a:lnTo>
                  <a:pt x="4696968" y="1652016"/>
                </a:lnTo>
                <a:lnTo>
                  <a:pt x="5455920" y="1652016"/>
                </a:lnTo>
                <a:lnTo>
                  <a:pt x="5455920" y="1447800"/>
                </a:lnTo>
                <a:close/>
              </a:path>
              <a:path w="6217920" h="2479675">
                <a:moveTo>
                  <a:pt x="5455920" y="1240536"/>
                </a:moveTo>
                <a:lnTo>
                  <a:pt x="4696968" y="1240536"/>
                </a:lnTo>
                <a:lnTo>
                  <a:pt x="4696968" y="1444752"/>
                </a:lnTo>
                <a:lnTo>
                  <a:pt x="5455920" y="1444752"/>
                </a:lnTo>
                <a:lnTo>
                  <a:pt x="5455920" y="1240536"/>
                </a:lnTo>
                <a:close/>
              </a:path>
              <a:path w="6217920" h="2479675">
                <a:moveTo>
                  <a:pt x="5455920" y="1034796"/>
                </a:moveTo>
                <a:lnTo>
                  <a:pt x="4696968" y="1034796"/>
                </a:lnTo>
                <a:lnTo>
                  <a:pt x="4696968" y="1237488"/>
                </a:lnTo>
                <a:lnTo>
                  <a:pt x="5455920" y="1237488"/>
                </a:lnTo>
                <a:lnTo>
                  <a:pt x="5455920" y="1034796"/>
                </a:lnTo>
                <a:close/>
              </a:path>
              <a:path w="6217920" h="2479675">
                <a:moveTo>
                  <a:pt x="5455920" y="827532"/>
                </a:moveTo>
                <a:lnTo>
                  <a:pt x="4696968" y="827532"/>
                </a:lnTo>
                <a:lnTo>
                  <a:pt x="4696968" y="1031748"/>
                </a:lnTo>
                <a:lnTo>
                  <a:pt x="5455920" y="1031748"/>
                </a:lnTo>
                <a:lnTo>
                  <a:pt x="5455920" y="827532"/>
                </a:lnTo>
                <a:close/>
              </a:path>
              <a:path w="6217920" h="2479675">
                <a:moveTo>
                  <a:pt x="5455920" y="620268"/>
                </a:moveTo>
                <a:lnTo>
                  <a:pt x="4696968" y="620268"/>
                </a:lnTo>
                <a:lnTo>
                  <a:pt x="4696968" y="824484"/>
                </a:lnTo>
                <a:lnTo>
                  <a:pt x="5455920" y="824484"/>
                </a:lnTo>
                <a:lnTo>
                  <a:pt x="5455920" y="620268"/>
                </a:lnTo>
                <a:close/>
              </a:path>
              <a:path w="6217920" h="2479675">
                <a:moveTo>
                  <a:pt x="6217920" y="2275332"/>
                </a:moveTo>
                <a:lnTo>
                  <a:pt x="5458968" y="2275332"/>
                </a:lnTo>
                <a:lnTo>
                  <a:pt x="5458968" y="2479548"/>
                </a:lnTo>
                <a:lnTo>
                  <a:pt x="6217920" y="2479548"/>
                </a:lnTo>
                <a:lnTo>
                  <a:pt x="6217920" y="2275332"/>
                </a:lnTo>
                <a:close/>
              </a:path>
              <a:path w="6217920" h="2479675">
                <a:moveTo>
                  <a:pt x="6217920" y="2069592"/>
                </a:moveTo>
                <a:lnTo>
                  <a:pt x="5458968" y="2069592"/>
                </a:lnTo>
                <a:lnTo>
                  <a:pt x="5458968" y="2272284"/>
                </a:lnTo>
                <a:lnTo>
                  <a:pt x="6217920" y="2272284"/>
                </a:lnTo>
                <a:lnTo>
                  <a:pt x="6217920" y="2069592"/>
                </a:lnTo>
                <a:close/>
              </a:path>
              <a:path w="6217920" h="2479675">
                <a:moveTo>
                  <a:pt x="6217920" y="1862328"/>
                </a:moveTo>
                <a:lnTo>
                  <a:pt x="5458968" y="1862328"/>
                </a:lnTo>
                <a:lnTo>
                  <a:pt x="5458968" y="2066544"/>
                </a:lnTo>
                <a:lnTo>
                  <a:pt x="6217920" y="2066544"/>
                </a:lnTo>
                <a:lnTo>
                  <a:pt x="6217920" y="1862328"/>
                </a:lnTo>
                <a:close/>
              </a:path>
              <a:path w="6217920" h="2479675">
                <a:moveTo>
                  <a:pt x="6217920" y="1655064"/>
                </a:moveTo>
                <a:lnTo>
                  <a:pt x="5458968" y="1655064"/>
                </a:lnTo>
                <a:lnTo>
                  <a:pt x="5458968" y="1859280"/>
                </a:lnTo>
                <a:lnTo>
                  <a:pt x="6217920" y="1859280"/>
                </a:lnTo>
                <a:lnTo>
                  <a:pt x="6217920" y="1655064"/>
                </a:lnTo>
                <a:close/>
              </a:path>
              <a:path w="6217920" h="2479675">
                <a:moveTo>
                  <a:pt x="6217920" y="1447800"/>
                </a:moveTo>
                <a:lnTo>
                  <a:pt x="5458968" y="1447800"/>
                </a:lnTo>
                <a:lnTo>
                  <a:pt x="5458968" y="1652016"/>
                </a:lnTo>
                <a:lnTo>
                  <a:pt x="6217920" y="1652016"/>
                </a:lnTo>
                <a:lnTo>
                  <a:pt x="6217920" y="1447800"/>
                </a:lnTo>
                <a:close/>
              </a:path>
              <a:path w="6217920" h="2479675">
                <a:moveTo>
                  <a:pt x="6217920" y="1240536"/>
                </a:moveTo>
                <a:lnTo>
                  <a:pt x="5458968" y="1240536"/>
                </a:lnTo>
                <a:lnTo>
                  <a:pt x="5458968" y="1444752"/>
                </a:lnTo>
                <a:lnTo>
                  <a:pt x="6217920" y="1444752"/>
                </a:lnTo>
                <a:lnTo>
                  <a:pt x="6217920" y="1240536"/>
                </a:lnTo>
                <a:close/>
              </a:path>
              <a:path w="6217920" h="2479675">
                <a:moveTo>
                  <a:pt x="6217920" y="1034796"/>
                </a:moveTo>
                <a:lnTo>
                  <a:pt x="5458968" y="1034796"/>
                </a:lnTo>
                <a:lnTo>
                  <a:pt x="5458968" y="1237488"/>
                </a:lnTo>
                <a:lnTo>
                  <a:pt x="6217920" y="1237488"/>
                </a:lnTo>
                <a:lnTo>
                  <a:pt x="6217920" y="1034796"/>
                </a:lnTo>
                <a:close/>
              </a:path>
              <a:path w="6217920" h="2479675">
                <a:moveTo>
                  <a:pt x="6217920" y="827532"/>
                </a:moveTo>
                <a:lnTo>
                  <a:pt x="5458968" y="827532"/>
                </a:lnTo>
                <a:lnTo>
                  <a:pt x="5458968" y="1031748"/>
                </a:lnTo>
                <a:lnTo>
                  <a:pt x="6217920" y="1031748"/>
                </a:lnTo>
                <a:lnTo>
                  <a:pt x="6217920" y="827532"/>
                </a:lnTo>
                <a:close/>
              </a:path>
              <a:path w="6217920" h="2479675">
                <a:moveTo>
                  <a:pt x="6217920" y="620268"/>
                </a:moveTo>
                <a:lnTo>
                  <a:pt x="5458968" y="620268"/>
                </a:lnTo>
                <a:lnTo>
                  <a:pt x="5458968" y="824484"/>
                </a:lnTo>
                <a:lnTo>
                  <a:pt x="6217920" y="824484"/>
                </a:lnTo>
                <a:lnTo>
                  <a:pt x="6217920" y="620268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11</xdr:col>
      <xdr:colOff>546481</xdr:colOff>
      <xdr:row>24</xdr:row>
      <xdr:rowOff>0</xdr:rowOff>
    </xdr:from>
    <xdr:ext cx="645160" cy="3721735"/>
    <xdr:sp macro="" textlink="">
      <xdr:nvSpPr>
        <xdr:cNvPr id="149" name="Shape 149">
          <a:extLst>
            <a:ext uri="{FF2B5EF4-FFF2-40B4-BE49-F238E27FC236}">
              <a16:creationId xmlns:a16="http://schemas.microsoft.com/office/drawing/2014/main" id="{00000000-0008-0000-0D00-000095000000}"/>
            </a:ext>
          </a:extLst>
        </xdr:cNvPr>
        <xdr:cNvSpPr/>
      </xdr:nvSpPr>
      <xdr:spPr>
        <a:xfrm>
          <a:off x="0" y="0"/>
          <a:ext cx="645160" cy="3721735"/>
        </a:xfrm>
        <a:custGeom>
          <a:avLst/>
          <a:gdLst/>
          <a:ahLst/>
          <a:cxnLst/>
          <a:rect l="0" t="0" r="0" b="0"/>
          <a:pathLst>
            <a:path w="645160" h="3721735">
              <a:moveTo>
                <a:pt x="644652" y="3517392"/>
              </a:moveTo>
              <a:lnTo>
                <a:pt x="0" y="3517392"/>
              </a:lnTo>
              <a:lnTo>
                <a:pt x="0" y="3721608"/>
              </a:lnTo>
              <a:lnTo>
                <a:pt x="644652" y="3721608"/>
              </a:lnTo>
              <a:lnTo>
                <a:pt x="644652" y="3517392"/>
              </a:lnTo>
              <a:close/>
            </a:path>
            <a:path w="645160" h="3721735">
              <a:moveTo>
                <a:pt x="644652" y="3311652"/>
              </a:moveTo>
              <a:lnTo>
                <a:pt x="0" y="3311652"/>
              </a:lnTo>
              <a:lnTo>
                <a:pt x="0" y="3514344"/>
              </a:lnTo>
              <a:lnTo>
                <a:pt x="644652" y="3514344"/>
              </a:lnTo>
              <a:lnTo>
                <a:pt x="644652" y="3311652"/>
              </a:lnTo>
              <a:close/>
            </a:path>
            <a:path w="645160" h="3721735">
              <a:moveTo>
                <a:pt x="644652" y="3104388"/>
              </a:moveTo>
              <a:lnTo>
                <a:pt x="0" y="3104388"/>
              </a:lnTo>
              <a:lnTo>
                <a:pt x="0" y="3308604"/>
              </a:lnTo>
              <a:lnTo>
                <a:pt x="644652" y="3308604"/>
              </a:lnTo>
              <a:lnTo>
                <a:pt x="644652" y="3104388"/>
              </a:lnTo>
              <a:close/>
            </a:path>
            <a:path w="645160" h="3721735">
              <a:moveTo>
                <a:pt x="644652" y="2897124"/>
              </a:moveTo>
              <a:lnTo>
                <a:pt x="0" y="2897124"/>
              </a:lnTo>
              <a:lnTo>
                <a:pt x="0" y="3101340"/>
              </a:lnTo>
              <a:lnTo>
                <a:pt x="644652" y="3101340"/>
              </a:lnTo>
              <a:lnTo>
                <a:pt x="644652" y="2897124"/>
              </a:lnTo>
              <a:close/>
            </a:path>
            <a:path w="645160" h="3721735">
              <a:moveTo>
                <a:pt x="644652" y="2689860"/>
              </a:moveTo>
              <a:lnTo>
                <a:pt x="0" y="2689860"/>
              </a:lnTo>
              <a:lnTo>
                <a:pt x="0" y="2894076"/>
              </a:lnTo>
              <a:lnTo>
                <a:pt x="644652" y="2894076"/>
              </a:lnTo>
              <a:lnTo>
                <a:pt x="644652" y="2689860"/>
              </a:lnTo>
              <a:close/>
            </a:path>
            <a:path w="645160" h="3721735">
              <a:moveTo>
                <a:pt x="644652" y="2482596"/>
              </a:moveTo>
              <a:lnTo>
                <a:pt x="0" y="2482596"/>
              </a:lnTo>
              <a:lnTo>
                <a:pt x="0" y="2686812"/>
              </a:lnTo>
              <a:lnTo>
                <a:pt x="644652" y="2686812"/>
              </a:lnTo>
              <a:lnTo>
                <a:pt x="644652" y="2482596"/>
              </a:lnTo>
              <a:close/>
            </a:path>
            <a:path w="645160" h="3721735">
              <a:moveTo>
                <a:pt x="644652" y="2276856"/>
              </a:moveTo>
              <a:lnTo>
                <a:pt x="0" y="2276856"/>
              </a:lnTo>
              <a:lnTo>
                <a:pt x="0" y="2479548"/>
              </a:lnTo>
              <a:lnTo>
                <a:pt x="644652" y="2479548"/>
              </a:lnTo>
              <a:lnTo>
                <a:pt x="644652" y="2276856"/>
              </a:lnTo>
              <a:close/>
            </a:path>
            <a:path w="645160" h="3721735">
              <a:moveTo>
                <a:pt x="644652" y="2069592"/>
              </a:moveTo>
              <a:lnTo>
                <a:pt x="0" y="2069592"/>
              </a:lnTo>
              <a:lnTo>
                <a:pt x="0" y="2273808"/>
              </a:lnTo>
              <a:lnTo>
                <a:pt x="644652" y="2273808"/>
              </a:lnTo>
              <a:lnTo>
                <a:pt x="644652" y="2069592"/>
              </a:lnTo>
              <a:close/>
            </a:path>
            <a:path w="645160" h="3721735">
              <a:moveTo>
                <a:pt x="644652" y="1862328"/>
              </a:moveTo>
              <a:lnTo>
                <a:pt x="0" y="1862328"/>
              </a:lnTo>
              <a:lnTo>
                <a:pt x="0" y="2066544"/>
              </a:lnTo>
              <a:lnTo>
                <a:pt x="644652" y="2066544"/>
              </a:lnTo>
              <a:lnTo>
                <a:pt x="644652" y="1862328"/>
              </a:lnTo>
              <a:close/>
            </a:path>
            <a:path w="645160" h="3721735">
              <a:moveTo>
                <a:pt x="644652" y="1655064"/>
              </a:moveTo>
              <a:lnTo>
                <a:pt x="0" y="1655064"/>
              </a:lnTo>
              <a:lnTo>
                <a:pt x="0" y="1859280"/>
              </a:lnTo>
              <a:lnTo>
                <a:pt x="644652" y="1859280"/>
              </a:lnTo>
              <a:lnTo>
                <a:pt x="644652" y="1655064"/>
              </a:lnTo>
              <a:close/>
            </a:path>
            <a:path w="645160" h="3721735">
              <a:moveTo>
                <a:pt x="644652" y="1449324"/>
              </a:moveTo>
              <a:lnTo>
                <a:pt x="0" y="1449324"/>
              </a:lnTo>
              <a:lnTo>
                <a:pt x="0" y="1652016"/>
              </a:lnTo>
              <a:lnTo>
                <a:pt x="644652" y="1652016"/>
              </a:lnTo>
              <a:lnTo>
                <a:pt x="644652" y="1449324"/>
              </a:lnTo>
              <a:close/>
            </a:path>
            <a:path w="645160" h="3721735">
              <a:moveTo>
                <a:pt x="644652" y="1242060"/>
              </a:moveTo>
              <a:lnTo>
                <a:pt x="0" y="1242060"/>
              </a:lnTo>
              <a:lnTo>
                <a:pt x="0" y="1446276"/>
              </a:lnTo>
              <a:lnTo>
                <a:pt x="644652" y="1446276"/>
              </a:lnTo>
              <a:lnTo>
                <a:pt x="644652" y="1242060"/>
              </a:lnTo>
              <a:close/>
            </a:path>
            <a:path w="645160" h="3721735">
              <a:moveTo>
                <a:pt x="644652" y="1034796"/>
              </a:moveTo>
              <a:lnTo>
                <a:pt x="0" y="1034796"/>
              </a:lnTo>
              <a:lnTo>
                <a:pt x="0" y="1239012"/>
              </a:lnTo>
              <a:lnTo>
                <a:pt x="644652" y="1239012"/>
              </a:lnTo>
              <a:lnTo>
                <a:pt x="644652" y="1034796"/>
              </a:lnTo>
              <a:close/>
            </a:path>
            <a:path w="645160" h="3721735">
              <a:moveTo>
                <a:pt x="644652" y="827532"/>
              </a:moveTo>
              <a:lnTo>
                <a:pt x="0" y="827532"/>
              </a:lnTo>
              <a:lnTo>
                <a:pt x="0" y="1031748"/>
              </a:lnTo>
              <a:lnTo>
                <a:pt x="644652" y="1031748"/>
              </a:lnTo>
              <a:lnTo>
                <a:pt x="644652" y="827532"/>
              </a:lnTo>
              <a:close/>
            </a:path>
            <a:path w="645160" h="3721735">
              <a:moveTo>
                <a:pt x="644652" y="621792"/>
              </a:moveTo>
              <a:lnTo>
                <a:pt x="0" y="621792"/>
              </a:lnTo>
              <a:lnTo>
                <a:pt x="0" y="824484"/>
              </a:lnTo>
              <a:lnTo>
                <a:pt x="644652" y="824484"/>
              </a:lnTo>
              <a:lnTo>
                <a:pt x="644652" y="621792"/>
              </a:lnTo>
              <a:close/>
            </a:path>
            <a:path w="645160" h="3721735">
              <a:moveTo>
                <a:pt x="644652" y="414528"/>
              </a:moveTo>
              <a:lnTo>
                <a:pt x="0" y="414528"/>
              </a:lnTo>
              <a:lnTo>
                <a:pt x="0" y="618744"/>
              </a:lnTo>
              <a:lnTo>
                <a:pt x="644652" y="618744"/>
              </a:lnTo>
              <a:lnTo>
                <a:pt x="644652" y="414528"/>
              </a:lnTo>
              <a:close/>
            </a:path>
            <a:path w="645160" h="3721735">
              <a:moveTo>
                <a:pt x="644652" y="207264"/>
              </a:moveTo>
              <a:lnTo>
                <a:pt x="0" y="207264"/>
              </a:lnTo>
              <a:lnTo>
                <a:pt x="0" y="411480"/>
              </a:lnTo>
              <a:lnTo>
                <a:pt x="644652" y="411480"/>
              </a:lnTo>
              <a:lnTo>
                <a:pt x="644652" y="207264"/>
              </a:lnTo>
              <a:close/>
            </a:path>
            <a:path w="645160" h="3721735">
              <a:moveTo>
                <a:pt x="644652" y="0"/>
              </a:moveTo>
              <a:lnTo>
                <a:pt x="0" y="0"/>
              </a:lnTo>
              <a:lnTo>
                <a:pt x="0" y="204216"/>
              </a:lnTo>
              <a:lnTo>
                <a:pt x="644652" y="204216"/>
              </a:lnTo>
              <a:lnTo>
                <a:pt x="644652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543687</xdr:colOff>
      <xdr:row>22</xdr:row>
      <xdr:rowOff>206501</xdr:rowOff>
    </xdr:from>
    <xdr:ext cx="3808729" cy="480059"/>
    <xdr:sp macro="" textlink="">
      <xdr:nvSpPr>
        <xdr:cNvPr id="150" name="Shape 150">
          <a:extLst>
            <a:ext uri="{FF2B5EF4-FFF2-40B4-BE49-F238E27FC236}">
              <a16:creationId xmlns:a16="http://schemas.microsoft.com/office/drawing/2014/main" id="{00000000-0008-0000-0E00-000096000000}"/>
            </a:ext>
          </a:extLst>
        </xdr:cNvPr>
        <xdr:cNvSpPr/>
      </xdr:nvSpPr>
      <xdr:spPr>
        <a:xfrm>
          <a:off x="0" y="0"/>
          <a:ext cx="3808729" cy="480059"/>
        </a:xfrm>
        <a:custGeom>
          <a:avLst/>
          <a:gdLst/>
          <a:ahLst/>
          <a:cxnLst/>
          <a:rect l="0" t="0" r="0" b="0"/>
          <a:pathLst>
            <a:path w="3808729" h="480059">
              <a:moveTo>
                <a:pt x="760476" y="0"/>
              </a:moveTo>
              <a:lnTo>
                <a:pt x="0" y="0"/>
              </a:lnTo>
              <a:lnTo>
                <a:pt x="0" y="480060"/>
              </a:lnTo>
              <a:lnTo>
                <a:pt x="760476" y="480060"/>
              </a:lnTo>
              <a:lnTo>
                <a:pt x="760476" y="0"/>
              </a:lnTo>
              <a:close/>
            </a:path>
            <a:path w="3808729" h="480059">
              <a:moveTo>
                <a:pt x="1522476" y="0"/>
              </a:moveTo>
              <a:lnTo>
                <a:pt x="763524" y="0"/>
              </a:lnTo>
              <a:lnTo>
                <a:pt x="763524" y="480060"/>
              </a:lnTo>
              <a:lnTo>
                <a:pt x="1522476" y="480060"/>
              </a:lnTo>
              <a:lnTo>
                <a:pt x="1522476" y="0"/>
              </a:lnTo>
              <a:close/>
            </a:path>
            <a:path w="3808729" h="480059">
              <a:moveTo>
                <a:pt x="2284463" y="0"/>
              </a:moveTo>
              <a:lnTo>
                <a:pt x="1525524" y="0"/>
              </a:lnTo>
              <a:lnTo>
                <a:pt x="1525524" y="480060"/>
              </a:lnTo>
              <a:lnTo>
                <a:pt x="2284463" y="480060"/>
              </a:lnTo>
              <a:lnTo>
                <a:pt x="2284463" y="0"/>
              </a:lnTo>
              <a:close/>
            </a:path>
            <a:path w="3808729" h="480059">
              <a:moveTo>
                <a:pt x="3046476" y="0"/>
              </a:moveTo>
              <a:lnTo>
                <a:pt x="2287524" y="0"/>
              </a:lnTo>
              <a:lnTo>
                <a:pt x="2287524" y="480060"/>
              </a:lnTo>
              <a:lnTo>
                <a:pt x="3046476" y="480060"/>
              </a:lnTo>
              <a:lnTo>
                <a:pt x="3046476" y="0"/>
              </a:lnTo>
              <a:close/>
            </a:path>
            <a:path w="3808729" h="480059">
              <a:moveTo>
                <a:pt x="3808476" y="0"/>
              </a:moveTo>
              <a:lnTo>
                <a:pt x="3049524" y="0"/>
              </a:lnTo>
              <a:lnTo>
                <a:pt x="3049524" y="480060"/>
              </a:lnTo>
              <a:lnTo>
                <a:pt x="3808476" y="480060"/>
              </a:lnTo>
              <a:lnTo>
                <a:pt x="3808476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5</xdr:col>
      <xdr:colOff>202691</xdr:colOff>
      <xdr:row>3</xdr:row>
      <xdr:rowOff>49142</xdr:rowOff>
    </xdr:from>
    <xdr:ext cx="381000" cy="290285"/>
    <xdr:pic>
      <xdr:nvPicPr>
        <xdr:cNvPr id="151" name="image1.jpeg">
          <a:extLst>
            <a:ext uri="{FF2B5EF4-FFF2-40B4-BE49-F238E27FC236}">
              <a16:creationId xmlns:a16="http://schemas.microsoft.com/office/drawing/2014/main" id="{00000000-0008-0000-0E00-00009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290285"/>
        </a:xfrm>
        <a:prstGeom prst="rect">
          <a:avLst/>
        </a:prstGeom>
      </xdr:spPr>
    </xdr:pic>
    <xdr:clientData/>
  </xdr:oneCellAnchor>
  <xdr:oneCellAnchor>
    <xdr:from>
      <xdr:col>6</xdr:col>
      <xdr:colOff>201929</xdr:colOff>
      <xdr:row>3</xdr:row>
      <xdr:rowOff>761</xdr:rowOff>
    </xdr:from>
    <xdr:ext cx="338666" cy="381000"/>
    <xdr:pic>
      <xdr:nvPicPr>
        <xdr:cNvPr id="152" name="image2.jpeg">
          <a:extLst>
            <a:ext uri="{FF2B5EF4-FFF2-40B4-BE49-F238E27FC236}">
              <a16:creationId xmlns:a16="http://schemas.microsoft.com/office/drawing/2014/main" id="{00000000-0008-0000-0E00-00009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38666" cy="381000"/>
        </a:xfrm>
        <a:prstGeom prst="rect">
          <a:avLst/>
        </a:prstGeom>
      </xdr:spPr>
    </xdr:pic>
    <xdr:clientData/>
  </xdr:oneCellAnchor>
  <xdr:oneCellAnchor>
    <xdr:from>
      <xdr:col>7</xdr:col>
      <xdr:colOff>201930</xdr:colOff>
      <xdr:row>3</xdr:row>
      <xdr:rowOff>49142</xdr:rowOff>
    </xdr:from>
    <xdr:ext cx="381000" cy="290285"/>
    <xdr:pic>
      <xdr:nvPicPr>
        <xdr:cNvPr id="153" name="image3.jpeg">
          <a:extLst>
            <a:ext uri="{FF2B5EF4-FFF2-40B4-BE49-F238E27FC236}">
              <a16:creationId xmlns:a16="http://schemas.microsoft.com/office/drawing/2014/main" id="{00000000-0008-0000-0E00-00009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290285"/>
        </a:xfrm>
        <a:prstGeom prst="rect">
          <a:avLst/>
        </a:prstGeom>
      </xdr:spPr>
    </xdr:pic>
    <xdr:clientData/>
  </xdr:oneCellAnchor>
  <xdr:oneCellAnchor>
    <xdr:from>
      <xdr:col>8</xdr:col>
      <xdr:colOff>298691</xdr:colOff>
      <xdr:row>3</xdr:row>
      <xdr:rowOff>49142</xdr:rowOff>
    </xdr:from>
    <xdr:ext cx="193523" cy="290285"/>
    <xdr:pic>
      <xdr:nvPicPr>
        <xdr:cNvPr id="154" name="image4.jpeg">
          <a:extLst>
            <a:ext uri="{FF2B5EF4-FFF2-40B4-BE49-F238E27FC236}">
              <a16:creationId xmlns:a16="http://schemas.microsoft.com/office/drawing/2014/main" id="{00000000-0008-0000-0E00-00009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3523" cy="290285"/>
        </a:xfrm>
        <a:prstGeom prst="rect">
          <a:avLst/>
        </a:prstGeom>
      </xdr:spPr>
    </xdr:pic>
    <xdr:clientData/>
  </xdr:oneCellAnchor>
  <xdr:oneCellAnchor>
    <xdr:from>
      <xdr:col>9</xdr:col>
      <xdr:colOff>201929</xdr:colOff>
      <xdr:row>3</xdr:row>
      <xdr:rowOff>761</xdr:rowOff>
    </xdr:from>
    <xdr:ext cx="381000" cy="381000"/>
    <xdr:pic>
      <xdr:nvPicPr>
        <xdr:cNvPr id="155" name="image5.jpeg">
          <a:extLst>
            <a:ext uri="{FF2B5EF4-FFF2-40B4-BE49-F238E27FC236}">
              <a16:creationId xmlns:a16="http://schemas.microsoft.com/office/drawing/2014/main" id="{00000000-0008-0000-0E00-00009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381000"/>
        </a:xfrm>
        <a:prstGeom prst="rect">
          <a:avLst/>
        </a:prstGeom>
      </xdr:spPr>
    </xdr:pic>
    <xdr:clientData/>
  </xdr:oneCellAnchor>
  <xdr:oneCellAnchor>
    <xdr:from>
      <xdr:col>1</xdr:col>
      <xdr:colOff>226059</xdr:colOff>
      <xdr:row>24</xdr:row>
      <xdr:rowOff>0</xdr:rowOff>
    </xdr:from>
    <xdr:ext cx="7486015" cy="3929379"/>
    <xdr:grpSp>
      <xdr:nvGrpSpPr>
        <xdr:cNvPr id="156" name="Group 156">
          <a:extLst>
            <a:ext uri="{FF2B5EF4-FFF2-40B4-BE49-F238E27FC236}">
              <a16:creationId xmlns:a16="http://schemas.microsoft.com/office/drawing/2014/main" id="{00000000-0008-0000-0E00-00009C000000}"/>
            </a:ext>
          </a:extLst>
        </xdr:cNvPr>
        <xdr:cNvGrpSpPr/>
      </xdr:nvGrpSpPr>
      <xdr:grpSpPr>
        <a:xfrm>
          <a:off x="607059" y="6042660"/>
          <a:ext cx="7486015" cy="3929379"/>
          <a:chOff x="0" y="0"/>
          <a:chExt cx="7486015" cy="3929379"/>
        </a:xfrm>
      </xdr:grpSpPr>
      <xdr:sp macro="" textlink="">
        <xdr:nvSpPr>
          <xdr:cNvPr id="157" name="Shape 157">
            <a:extLst>
              <a:ext uri="{FF2B5EF4-FFF2-40B4-BE49-F238E27FC236}">
                <a16:creationId xmlns:a16="http://schemas.microsoft.com/office/drawing/2014/main" id="{00000000-0008-0000-0E00-00009D000000}"/>
              </a:ext>
            </a:extLst>
          </xdr:cNvPr>
          <xdr:cNvSpPr/>
        </xdr:nvSpPr>
        <xdr:spPr>
          <a:xfrm>
            <a:off x="0" y="0"/>
            <a:ext cx="7486015" cy="2066925"/>
          </a:xfrm>
          <a:custGeom>
            <a:avLst/>
            <a:gdLst/>
            <a:ahLst/>
            <a:cxnLst/>
            <a:rect l="0" t="0" r="0" b="0"/>
            <a:pathLst>
              <a:path w="7486015" h="2066925">
                <a:moveTo>
                  <a:pt x="312420" y="827532"/>
                </a:moveTo>
                <a:lnTo>
                  <a:pt x="0" y="827532"/>
                </a:lnTo>
                <a:lnTo>
                  <a:pt x="0" y="1652016"/>
                </a:lnTo>
                <a:lnTo>
                  <a:pt x="312420" y="1652016"/>
                </a:lnTo>
                <a:lnTo>
                  <a:pt x="312420" y="827532"/>
                </a:lnTo>
                <a:close/>
              </a:path>
              <a:path w="7486015" h="2066925">
                <a:moveTo>
                  <a:pt x="312420" y="0"/>
                </a:moveTo>
                <a:lnTo>
                  <a:pt x="0" y="0"/>
                </a:lnTo>
                <a:lnTo>
                  <a:pt x="0" y="824484"/>
                </a:lnTo>
                <a:lnTo>
                  <a:pt x="312420" y="824484"/>
                </a:lnTo>
                <a:lnTo>
                  <a:pt x="312420" y="0"/>
                </a:lnTo>
                <a:close/>
              </a:path>
              <a:path w="7486015" h="2066925">
                <a:moveTo>
                  <a:pt x="1264920" y="827532"/>
                </a:moveTo>
                <a:lnTo>
                  <a:pt x="315468" y="827532"/>
                </a:lnTo>
                <a:lnTo>
                  <a:pt x="315468" y="1652016"/>
                </a:lnTo>
                <a:lnTo>
                  <a:pt x="1264920" y="1652016"/>
                </a:lnTo>
                <a:lnTo>
                  <a:pt x="1264920" y="827532"/>
                </a:lnTo>
                <a:close/>
              </a:path>
              <a:path w="7486015" h="2066925">
                <a:moveTo>
                  <a:pt x="1264920" y="0"/>
                </a:moveTo>
                <a:lnTo>
                  <a:pt x="315468" y="0"/>
                </a:lnTo>
                <a:lnTo>
                  <a:pt x="315468" y="824484"/>
                </a:lnTo>
                <a:lnTo>
                  <a:pt x="1264920" y="824484"/>
                </a:lnTo>
                <a:lnTo>
                  <a:pt x="1264920" y="0"/>
                </a:lnTo>
                <a:close/>
              </a:path>
              <a:path w="7486015" h="2066925">
                <a:moveTo>
                  <a:pt x="2531364" y="827532"/>
                </a:moveTo>
                <a:lnTo>
                  <a:pt x="1267968" y="827532"/>
                </a:lnTo>
                <a:lnTo>
                  <a:pt x="1267968" y="1652016"/>
                </a:lnTo>
                <a:lnTo>
                  <a:pt x="2531364" y="1652016"/>
                </a:lnTo>
                <a:lnTo>
                  <a:pt x="2531364" y="827532"/>
                </a:lnTo>
                <a:close/>
              </a:path>
              <a:path w="7486015" h="2066925">
                <a:moveTo>
                  <a:pt x="2531364" y="0"/>
                </a:moveTo>
                <a:lnTo>
                  <a:pt x="1267968" y="0"/>
                </a:lnTo>
                <a:lnTo>
                  <a:pt x="1267968" y="824484"/>
                </a:lnTo>
                <a:lnTo>
                  <a:pt x="2531364" y="824484"/>
                </a:lnTo>
                <a:lnTo>
                  <a:pt x="2531364" y="0"/>
                </a:lnTo>
                <a:close/>
              </a:path>
              <a:path w="7486015" h="2066925">
                <a:moveTo>
                  <a:pt x="3037332" y="1862328"/>
                </a:moveTo>
                <a:lnTo>
                  <a:pt x="2534412" y="1862328"/>
                </a:lnTo>
                <a:lnTo>
                  <a:pt x="2534412" y="2066544"/>
                </a:lnTo>
                <a:lnTo>
                  <a:pt x="3037332" y="2066544"/>
                </a:lnTo>
                <a:lnTo>
                  <a:pt x="3037332" y="1862328"/>
                </a:lnTo>
                <a:close/>
              </a:path>
              <a:path w="7486015" h="2066925">
                <a:moveTo>
                  <a:pt x="3037332" y="1655064"/>
                </a:moveTo>
                <a:lnTo>
                  <a:pt x="2534412" y="1655064"/>
                </a:lnTo>
                <a:lnTo>
                  <a:pt x="2534412" y="1859280"/>
                </a:lnTo>
                <a:lnTo>
                  <a:pt x="3037332" y="1859280"/>
                </a:lnTo>
                <a:lnTo>
                  <a:pt x="3037332" y="1655064"/>
                </a:lnTo>
                <a:close/>
              </a:path>
              <a:path w="7486015" h="2066925">
                <a:moveTo>
                  <a:pt x="3037332" y="1449324"/>
                </a:moveTo>
                <a:lnTo>
                  <a:pt x="2534412" y="1449324"/>
                </a:lnTo>
                <a:lnTo>
                  <a:pt x="2534412" y="1652016"/>
                </a:lnTo>
                <a:lnTo>
                  <a:pt x="3037332" y="1652016"/>
                </a:lnTo>
                <a:lnTo>
                  <a:pt x="3037332" y="1449324"/>
                </a:lnTo>
                <a:close/>
              </a:path>
              <a:path w="7486015" h="2066925">
                <a:moveTo>
                  <a:pt x="3037332" y="1242060"/>
                </a:moveTo>
                <a:lnTo>
                  <a:pt x="2534412" y="1242060"/>
                </a:lnTo>
                <a:lnTo>
                  <a:pt x="2534412" y="1446276"/>
                </a:lnTo>
                <a:lnTo>
                  <a:pt x="3037332" y="1446276"/>
                </a:lnTo>
                <a:lnTo>
                  <a:pt x="3037332" y="1242060"/>
                </a:lnTo>
                <a:close/>
              </a:path>
              <a:path w="7486015" h="2066925">
                <a:moveTo>
                  <a:pt x="3037332" y="1034796"/>
                </a:moveTo>
                <a:lnTo>
                  <a:pt x="2534412" y="1034796"/>
                </a:lnTo>
                <a:lnTo>
                  <a:pt x="2534412" y="1239012"/>
                </a:lnTo>
                <a:lnTo>
                  <a:pt x="3037332" y="1239012"/>
                </a:lnTo>
                <a:lnTo>
                  <a:pt x="3037332" y="1034796"/>
                </a:lnTo>
                <a:close/>
              </a:path>
              <a:path w="7486015" h="2066925">
                <a:moveTo>
                  <a:pt x="3037332" y="827532"/>
                </a:moveTo>
                <a:lnTo>
                  <a:pt x="2534412" y="827532"/>
                </a:lnTo>
                <a:lnTo>
                  <a:pt x="2534412" y="1031748"/>
                </a:lnTo>
                <a:lnTo>
                  <a:pt x="3037332" y="1031748"/>
                </a:lnTo>
                <a:lnTo>
                  <a:pt x="3037332" y="827532"/>
                </a:lnTo>
                <a:close/>
              </a:path>
              <a:path w="7486015" h="2066925">
                <a:moveTo>
                  <a:pt x="3037332" y="621792"/>
                </a:moveTo>
                <a:lnTo>
                  <a:pt x="2534412" y="621792"/>
                </a:lnTo>
                <a:lnTo>
                  <a:pt x="2534412" y="824484"/>
                </a:lnTo>
                <a:lnTo>
                  <a:pt x="3037332" y="824484"/>
                </a:lnTo>
                <a:lnTo>
                  <a:pt x="3037332" y="621792"/>
                </a:lnTo>
                <a:close/>
              </a:path>
              <a:path w="7486015" h="2066925">
                <a:moveTo>
                  <a:pt x="3037332" y="414528"/>
                </a:moveTo>
                <a:lnTo>
                  <a:pt x="2534412" y="414528"/>
                </a:lnTo>
                <a:lnTo>
                  <a:pt x="2534412" y="618744"/>
                </a:lnTo>
                <a:lnTo>
                  <a:pt x="3037332" y="618744"/>
                </a:lnTo>
                <a:lnTo>
                  <a:pt x="3037332" y="414528"/>
                </a:lnTo>
                <a:close/>
              </a:path>
              <a:path w="7486015" h="2066925">
                <a:moveTo>
                  <a:pt x="3037332" y="207264"/>
                </a:moveTo>
                <a:lnTo>
                  <a:pt x="2534412" y="207264"/>
                </a:lnTo>
                <a:lnTo>
                  <a:pt x="2534412" y="411480"/>
                </a:lnTo>
                <a:lnTo>
                  <a:pt x="3037332" y="411480"/>
                </a:lnTo>
                <a:lnTo>
                  <a:pt x="3037332" y="207264"/>
                </a:lnTo>
                <a:close/>
              </a:path>
              <a:path w="7486015" h="2066925">
                <a:moveTo>
                  <a:pt x="3037332" y="0"/>
                </a:moveTo>
                <a:lnTo>
                  <a:pt x="2534412" y="0"/>
                </a:lnTo>
                <a:lnTo>
                  <a:pt x="2534412" y="204216"/>
                </a:lnTo>
                <a:lnTo>
                  <a:pt x="3037332" y="204216"/>
                </a:lnTo>
                <a:lnTo>
                  <a:pt x="3037332" y="0"/>
                </a:lnTo>
                <a:close/>
              </a:path>
              <a:path w="7486015" h="2066925">
                <a:moveTo>
                  <a:pt x="3674364" y="1862328"/>
                </a:moveTo>
                <a:lnTo>
                  <a:pt x="3040380" y="1862328"/>
                </a:lnTo>
                <a:lnTo>
                  <a:pt x="3040380" y="2066544"/>
                </a:lnTo>
                <a:lnTo>
                  <a:pt x="3674364" y="2066544"/>
                </a:lnTo>
                <a:lnTo>
                  <a:pt x="3674364" y="1862328"/>
                </a:lnTo>
                <a:close/>
              </a:path>
              <a:path w="7486015" h="2066925">
                <a:moveTo>
                  <a:pt x="3674364" y="1655064"/>
                </a:moveTo>
                <a:lnTo>
                  <a:pt x="3040380" y="1655064"/>
                </a:lnTo>
                <a:lnTo>
                  <a:pt x="3040380" y="1859280"/>
                </a:lnTo>
                <a:lnTo>
                  <a:pt x="3674364" y="1859280"/>
                </a:lnTo>
                <a:lnTo>
                  <a:pt x="3674364" y="1655064"/>
                </a:lnTo>
                <a:close/>
              </a:path>
              <a:path w="7486015" h="2066925">
                <a:moveTo>
                  <a:pt x="3674364" y="1449324"/>
                </a:moveTo>
                <a:lnTo>
                  <a:pt x="3040380" y="1449324"/>
                </a:lnTo>
                <a:lnTo>
                  <a:pt x="3040380" y="1652016"/>
                </a:lnTo>
                <a:lnTo>
                  <a:pt x="3674364" y="1652016"/>
                </a:lnTo>
                <a:lnTo>
                  <a:pt x="3674364" y="1449324"/>
                </a:lnTo>
                <a:close/>
              </a:path>
              <a:path w="7486015" h="2066925">
                <a:moveTo>
                  <a:pt x="3674364" y="1242060"/>
                </a:moveTo>
                <a:lnTo>
                  <a:pt x="3040380" y="1242060"/>
                </a:lnTo>
                <a:lnTo>
                  <a:pt x="3040380" y="1446276"/>
                </a:lnTo>
                <a:lnTo>
                  <a:pt x="3674364" y="1446276"/>
                </a:lnTo>
                <a:lnTo>
                  <a:pt x="3674364" y="1242060"/>
                </a:lnTo>
                <a:close/>
              </a:path>
              <a:path w="7486015" h="2066925">
                <a:moveTo>
                  <a:pt x="3674364" y="1034796"/>
                </a:moveTo>
                <a:lnTo>
                  <a:pt x="3040380" y="1034796"/>
                </a:lnTo>
                <a:lnTo>
                  <a:pt x="3040380" y="1239012"/>
                </a:lnTo>
                <a:lnTo>
                  <a:pt x="3674364" y="1239012"/>
                </a:lnTo>
                <a:lnTo>
                  <a:pt x="3674364" y="1034796"/>
                </a:lnTo>
                <a:close/>
              </a:path>
              <a:path w="7486015" h="2066925">
                <a:moveTo>
                  <a:pt x="3674364" y="827532"/>
                </a:moveTo>
                <a:lnTo>
                  <a:pt x="3040380" y="827532"/>
                </a:lnTo>
                <a:lnTo>
                  <a:pt x="3040380" y="1031748"/>
                </a:lnTo>
                <a:lnTo>
                  <a:pt x="3674364" y="1031748"/>
                </a:lnTo>
                <a:lnTo>
                  <a:pt x="3674364" y="827532"/>
                </a:lnTo>
                <a:close/>
              </a:path>
              <a:path w="7486015" h="2066925">
                <a:moveTo>
                  <a:pt x="3674364" y="621792"/>
                </a:moveTo>
                <a:lnTo>
                  <a:pt x="3040380" y="621792"/>
                </a:lnTo>
                <a:lnTo>
                  <a:pt x="3040380" y="824484"/>
                </a:lnTo>
                <a:lnTo>
                  <a:pt x="3674364" y="824484"/>
                </a:lnTo>
                <a:lnTo>
                  <a:pt x="3674364" y="621792"/>
                </a:lnTo>
                <a:close/>
              </a:path>
              <a:path w="7486015" h="2066925">
                <a:moveTo>
                  <a:pt x="3674364" y="414528"/>
                </a:moveTo>
                <a:lnTo>
                  <a:pt x="3040380" y="414528"/>
                </a:lnTo>
                <a:lnTo>
                  <a:pt x="3040380" y="618744"/>
                </a:lnTo>
                <a:lnTo>
                  <a:pt x="3674364" y="618744"/>
                </a:lnTo>
                <a:lnTo>
                  <a:pt x="3674364" y="414528"/>
                </a:lnTo>
                <a:close/>
              </a:path>
              <a:path w="7486015" h="2066925">
                <a:moveTo>
                  <a:pt x="3674364" y="207264"/>
                </a:moveTo>
                <a:lnTo>
                  <a:pt x="3040380" y="207264"/>
                </a:lnTo>
                <a:lnTo>
                  <a:pt x="3040380" y="411480"/>
                </a:lnTo>
                <a:lnTo>
                  <a:pt x="3674364" y="411480"/>
                </a:lnTo>
                <a:lnTo>
                  <a:pt x="3674364" y="207264"/>
                </a:lnTo>
                <a:close/>
              </a:path>
              <a:path w="7486015" h="2066925">
                <a:moveTo>
                  <a:pt x="3674364" y="0"/>
                </a:moveTo>
                <a:lnTo>
                  <a:pt x="3040380" y="0"/>
                </a:lnTo>
                <a:lnTo>
                  <a:pt x="3040380" y="204216"/>
                </a:lnTo>
                <a:lnTo>
                  <a:pt x="3674364" y="204216"/>
                </a:lnTo>
                <a:lnTo>
                  <a:pt x="3674364" y="0"/>
                </a:lnTo>
                <a:close/>
              </a:path>
              <a:path w="7486015" h="2066925">
                <a:moveTo>
                  <a:pt x="4437888" y="1655064"/>
                </a:moveTo>
                <a:lnTo>
                  <a:pt x="3677412" y="1655064"/>
                </a:lnTo>
                <a:lnTo>
                  <a:pt x="3677412" y="1859280"/>
                </a:lnTo>
                <a:lnTo>
                  <a:pt x="4437888" y="1859280"/>
                </a:lnTo>
                <a:lnTo>
                  <a:pt x="4437888" y="1655064"/>
                </a:lnTo>
                <a:close/>
              </a:path>
              <a:path w="7486015" h="2066925">
                <a:moveTo>
                  <a:pt x="4437888" y="1449324"/>
                </a:moveTo>
                <a:lnTo>
                  <a:pt x="3677412" y="1449324"/>
                </a:lnTo>
                <a:lnTo>
                  <a:pt x="3677412" y="1652016"/>
                </a:lnTo>
                <a:lnTo>
                  <a:pt x="4437888" y="1652016"/>
                </a:lnTo>
                <a:lnTo>
                  <a:pt x="4437888" y="1449324"/>
                </a:lnTo>
                <a:close/>
              </a:path>
              <a:path w="7486015" h="2066925">
                <a:moveTo>
                  <a:pt x="4437888" y="1242060"/>
                </a:moveTo>
                <a:lnTo>
                  <a:pt x="3677412" y="1242060"/>
                </a:lnTo>
                <a:lnTo>
                  <a:pt x="3677412" y="1446276"/>
                </a:lnTo>
                <a:lnTo>
                  <a:pt x="4437888" y="1446276"/>
                </a:lnTo>
                <a:lnTo>
                  <a:pt x="4437888" y="1242060"/>
                </a:lnTo>
                <a:close/>
              </a:path>
              <a:path w="7486015" h="2066925">
                <a:moveTo>
                  <a:pt x="4437888" y="1034796"/>
                </a:moveTo>
                <a:lnTo>
                  <a:pt x="3677412" y="1034796"/>
                </a:lnTo>
                <a:lnTo>
                  <a:pt x="3677412" y="1239012"/>
                </a:lnTo>
                <a:lnTo>
                  <a:pt x="4437888" y="1239012"/>
                </a:lnTo>
                <a:lnTo>
                  <a:pt x="4437888" y="1034796"/>
                </a:lnTo>
                <a:close/>
              </a:path>
              <a:path w="7486015" h="2066925">
                <a:moveTo>
                  <a:pt x="4437888" y="827532"/>
                </a:moveTo>
                <a:lnTo>
                  <a:pt x="3677412" y="827532"/>
                </a:lnTo>
                <a:lnTo>
                  <a:pt x="3677412" y="1031748"/>
                </a:lnTo>
                <a:lnTo>
                  <a:pt x="4437888" y="1031748"/>
                </a:lnTo>
                <a:lnTo>
                  <a:pt x="4437888" y="827532"/>
                </a:lnTo>
                <a:close/>
              </a:path>
              <a:path w="7486015" h="2066925">
                <a:moveTo>
                  <a:pt x="4437888" y="621792"/>
                </a:moveTo>
                <a:lnTo>
                  <a:pt x="3677412" y="621792"/>
                </a:lnTo>
                <a:lnTo>
                  <a:pt x="3677412" y="824484"/>
                </a:lnTo>
                <a:lnTo>
                  <a:pt x="4437888" y="824484"/>
                </a:lnTo>
                <a:lnTo>
                  <a:pt x="4437888" y="621792"/>
                </a:lnTo>
                <a:close/>
              </a:path>
              <a:path w="7486015" h="2066925">
                <a:moveTo>
                  <a:pt x="4437888" y="414528"/>
                </a:moveTo>
                <a:lnTo>
                  <a:pt x="3677412" y="414528"/>
                </a:lnTo>
                <a:lnTo>
                  <a:pt x="3677412" y="618744"/>
                </a:lnTo>
                <a:lnTo>
                  <a:pt x="4437888" y="618744"/>
                </a:lnTo>
                <a:lnTo>
                  <a:pt x="4437888" y="414528"/>
                </a:lnTo>
                <a:close/>
              </a:path>
              <a:path w="7486015" h="2066925">
                <a:moveTo>
                  <a:pt x="4437888" y="207264"/>
                </a:moveTo>
                <a:lnTo>
                  <a:pt x="3677412" y="207264"/>
                </a:lnTo>
                <a:lnTo>
                  <a:pt x="3677412" y="411480"/>
                </a:lnTo>
                <a:lnTo>
                  <a:pt x="4437888" y="411480"/>
                </a:lnTo>
                <a:lnTo>
                  <a:pt x="4437888" y="207264"/>
                </a:lnTo>
                <a:close/>
              </a:path>
              <a:path w="7486015" h="2066925">
                <a:moveTo>
                  <a:pt x="4437888" y="0"/>
                </a:moveTo>
                <a:lnTo>
                  <a:pt x="3677412" y="0"/>
                </a:lnTo>
                <a:lnTo>
                  <a:pt x="3677412" y="204216"/>
                </a:lnTo>
                <a:lnTo>
                  <a:pt x="4437888" y="204216"/>
                </a:lnTo>
                <a:lnTo>
                  <a:pt x="4437888" y="0"/>
                </a:lnTo>
                <a:close/>
              </a:path>
              <a:path w="7486015" h="2066925">
                <a:moveTo>
                  <a:pt x="5199888" y="1655064"/>
                </a:moveTo>
                <a:lnTo>
                  <a:pt x="4440936" y="1655064"/>
                </a:lnTo>
                <a:lnTo>
                  <a:pt x="4440936" y="1859280"/>
                </a:lnTo>
                <a:lnTo>
                  <a:pt x="5199888" y="1859280"/>
                </a:lnTo>
                <a:lnTo>
                  <a:pt x="5199888" y="1655064"/>
                </a:lnTo>
                <a:close/>
              </a:path>
              <a:path w="7486015" h="2066925">
                <a:moveTo>
                  <a:pt x="5199888" y="1449324"/>
                </a:moveTo>
                <a:lnTo>
                  <a:pt x="4440936" y="1449324"/>
                </a:lnTo>
                <a:lnTo>
                  <a:pt x="4440936" y="1652016"/>
                </a:lnTo>
                <a:lnTo>
                  <a:pt x="5199888" y="1652016"/>
                </a:lnTo>
                <a:lnTo>
                  <a:pt x="5199888" y="1449324"/>
                </a:lnTo>
                <a:close/>
              </a:path>
              <a:path w="7486015" h="2066925">
                <a:moveTo>
                  <a:pt x="5199888" y="1242060"/>
                </a:moveTo>
                <a:lnTo>
                  <a:pt x="4440936" y="1242060"/>
                </a:lnTo>
                <a:lnTo>
                  <a:pt x="4440936" y="1446276"/>
                </a:lnTo>
                <a:lnTo>
                  <a:pt x="5199888" y="1446276"/>
                </a:lnTo>
                <a:lnTo>
                  <a:pt x="5199888" y="1242060"/>
                </a:lnTo>
                <a:close/>
              </a:path>
              <a:path w="7486015" h="2066925">
                <a:moveTo>
                  <a:pt x="5199888" y="1034796"/>
                </a:moveTo>
                <a:lnTo>
                  <a:pt x="4440936" y="1034796"/>
                </a:lnTo>
                <a:lnTo>
                  <a:pt x="4440936" y="1239012"/>
                </a:lnTo>
                <a:lnTo>
                  <a:pt x="5199888" y="1239012"/>
                </a:lnTo>
                <a:lnTo>
                  <a:pt x="5199888" y="1034796"/>
                </a:lnTo>
                <a:close/>
              </a:path>
              <a:path w="7486015" h="2066925">
                <a:moveTo>
                  <a:pt x="5199888" y="827532"/>
                </a:moveTo>
                <a:lnTo>
                  <a:pt x="4440936" y="827532"/>
                </a:lnTo>
                <a:lnTo>
                  <a:pt x="4440936" y="1031748"/>
                </a:lnTo>
                <a:lnTo>
                  <a:pt x="5199888" y="1031748"/>
                </a:lnTo>
                <a:lnTo>
                  <a:pt x="5199888" y="827532"/>
                </a:lnTo>
                <a:close/>
              </a:path>
              <a:path w="7486015" h="2066925">
                <a:moveTo>
                  <a:pt x="5199888" y="621792"/>
                </a:moveTo>
                <a:lnTo>
                  <a:pt x="4440936" y="621792"/>
                </a:lnTo>
                <a:lnTo>
                  <a:pt x="4440936" y="824484"/>
                </a:lnTo>
                <a:lnTo>
                  <a:pt x="5199888" y="824484"/>
                </a:lnTo>
                <a:lnTo>
                  <a:pt x="5199888" y="621792"/>
                </a:lnTo>
                <a:close/>
              </a:path>
              <a:path w="7486015" h="2066925">
                <a:moveTo>
                  <a:pt x="5199888" y="414528"/>
                </a:moveTo>
                <a:lnTo>
                  <a:pt x="4440936" y="414528"/>
                </a:lnTo>
                <a:lnTo>
                  <a:pt x="4440936" y="618744"/>
                </a:lnTo>
                <a:lnTo>
                  <a:pt x="5199888" y="618744"/>
                </a:lnTo>
                <a:lnTo>
                  <a:pt x="5199888" y="414528"/>
                </a:lnTo>
                <a:close/>
              </a:path>
              <a:path w="7486015" h="2066925">
                <a:moveTo>
                  <a:pt x="5199888" y="207264"/>
                </a:moveTo>
                <a:lnTo>
                  <a:pt x="4440936" y="207264"/>
                </a:lnTo>
                <a:lnTo>
                  <a:pt x="4440936" y="411480"/>
                </a:lnTo>
                <a:lnTo>
                  <a:pt x="5199888" y="411480"/>
                </a:lnTo>
                <a:lnTo>
                  <a:pt x="5199888" y="207264"/>
                </a:lnTo>
                <a:close/>
              </a:path>
              <a:path w="7486015" h="2066925">
                <a:moveTo>
                  <a:pt x="5199888" y="0"/>
                </a:moveTo>
                <a:lnTo>
                  <a:pt x="4440936" y="0"/>
                </a:lnTo>
                <a:lnTo>
                  <a:pt x="4440936" y="204216"/>
                </a:lnTo>
                <a:lnTo>
                  <a:pt x="5199888" y="204216"/>
                </a:lnTo>
                <a:lnTo>
                  <a:pt x="5199888" y="0"/>
                </a:lnTo>
                <a:close/>
              </a:path>
              <a:path w="7486015" h="2066925">
                <a:moveTo>
                  <a:pt x="5961875" y="1655064"/>
                </a:moveTo>
                <a:lnTo>
                  <a:pt x="5202936" y="1655064"/>
                </a:lnTo>
                <a:lnTo>
                  <a:pt x="5202936" y="1859280"/>
                </a:lnTo>
                <a:lnTo>
                  <a:pt x="5961875" y="1859280"/>
                </a:lnTo>
                <a:lnTo>
                  <a:pt x="5961875" y="1655064"/>
                </a:lnTo>
                <a:close/>
              </a:path>
              <a:path w="7486015" h="2066925">
                <a:moveTo>
                  <a:pt x="5961875" y="1449324"/>
                </a:moveTo>
                <a:lnTo>
                  <a:pt x="5202936" y="1449324"/>
                </a:lnTo>
                <a:lnTo>
                  <a:pt x="5202936" y="1652016"/>
                </a:lnTo>
                <a:lnTo>
                  <a:pt x="5961875" y="1652016"/>
                </a:lnTo>
                <a:lnTo>
                  <a:pt x="5961875" y="1449324"/>
                </a:lnTo>
                <a:close/>
              </a:path>
              <a:path w="7486015" h="2066925">
                <a:moveTo>
                  <a:pt x="5961875" y="1242060"/>
                </a:moveTo>
                <a:lnTo>
                  <a:pt x="5202936" y="1242060"/>
                </a:lnTo>
                <a:lnTo>
                  <a:pt x="5202936" y="1446276"/>
                </a:lnTo>
                <a:lnTo>
                  <a:pt x="5961875" y="1446276"/>
                </a:lnTo>
                <a:lnTo>
                  <a:pt x="5961875" y="1242060"/>
                </a:lnTo>
                <a:close/>
              </a:path>
              <a:path w="7486015" h="2066925">
                <a:moveTo>
                  <a:pt x="5961875" y="1034796"/>
                </a:moveTo>
                <a:lnTo>
                  <a:pt x="5202936" y="1034796"/>
                </a:lnTo>
                <a:lnTo>
                  <a:pt x="5202936" y="1239012"/>
                </a:lnTo>
                <a:lnTo>
                  <a:pt x="5961875" y="1239012"/>
                </a:lnTo>
                <a:lnTo>
                  <a:pt x="5961875" y="1034796"/>
                </a:lnTo>
                <a:close/>
              </a:path>
              <a:path w="7486015" h="2066925">
                <a:moveTo>
                  <a:pt x="5961875" y="827532"/>
                </a:moveTo>
                <a:lnTo>
                  <a:pt x="5202936" y="827532"/>
                </a:lnTo>
                <a:lnTo>
                  <a:pt x="5202936" y="1031748"/>
                </a:lnTo>
                <a:lnTo>
                  <a:pt x="5961875" y="1031748"/>
                </a:lnTo>
                <a:lnTo>
                  <a:pt x="5961875" y="827532"/>
                </a:lnTo>
                <a:close/>
              </a:path>
              <a:path w="7486015" h="2066925">
                <a:moveTo>
                  <a:pt x="5961875" y="621792"/>
                </a:moveTo>
                <a:lnTo>
                  <a:pt x="5202936" y="621792"/>
                </a:lnTo>
                <a:lnTo>
                  <a:pt x="5202936" y="824484"/>
                </a:lnTo>
                <a:lnTo>
                  <a:pt x="5961875" y="824484"/>
                </a:lnTo>
                <a:lnTo>
                  <a:pt x="5961875" y="621792"/>
                </a:lnTo>
                <a:close/>
              </a:path>
              <a:path w="7486015" h="2066925">
                <a:moveTo>
                  <a:pt x="5961875" y="414528"/>
                </a:moveTo>
                <a:lnTo>
                  <a:pt x="5202936" y="414528"/>
                </a:lnTo>
                <a:lnTo>
                  <a:pt x="5202936" y="618744"/>
                </a:lnTo>
                <a:lnTo>
                  <a:pt x="5961875" y="618744"/>
                </a:lnTo>
                <a:lnTo>
                  <a:pt x="5961875" y="414528"/>
                </a:lnTo>
                <a:close/>
              </a:path>
              <a:path w="7486015" h="2066925">
                <a:moveTo>
                  <a:pt x="5961875" y="207264"/>
                </a:moveTo>
                <a:lnTo>
                  <a:pt x="5202936" y="207264"/>
                </a:lnTo>
                <a:lnTo>
                  <a:pt x="5202936" y="411480"/>
                </a:lnTo>
                <a:lnTo>
                  <a:pt x="5961875" y="411480"/>
                </a:lnTo>
                <a:lnTo>
                  <a:pt x="5961875" y="207264"/>
                </a:lnTo>
                <a:close/>
              </a:path>
              <a:path w="7486015" h="2066925">
                <a:moveTo>
                  <a:pt x="5961875" y="0"/>
                </a:moveTo>
                <a:lnTo>
                  <a:pt x="5202936" y="0"/>
                </a:lnTo>
                <a:lnTo>
                  <a:pt x="5202936" y="204216"/>
                </a:lnTo>
                <a:lnTo>
                  <a:pt x="5961875" y="204216"/>
                </a:lnTo>
                <a:lnTo>
                  <a:pt x="5961875" y="0"/>
                </a:lnTo>
                <a:close/>
              </a:path>
              <a:path w="7486015" h="2066925">
                <a:moveTo>
                  <a:pt x="6723888" y="1655064"/>
                </a:moveTo>
                <a:lnTo>
                  <a:pt x="5964936" y="1655064"/>
                </a:lnTo>
                <a:lnTo>
                  <a:pt x="5964936" y="1859280"/>
                </a:lnTo>
                <a:lnTo>
                  <a:pt x="6723888" y="1859280"/>
                </a:lnTo>
                <a:lnTo>
                  <a:pt x="6723888" y="1655064"/>
                </a:lnTo>
                <a:close/>
              </a:path>
              <a:path w="7486015" h="2066925">
                <a:moveTo>
                  <a:pt x="6723888" y="1449324"/>
                </a:moveTo>
                <a:lnTo>
                  <a:pt x="5964936" y="1449324"/>
                </a:lnTo>
                <a:lnTo>
                  <a:pt x="5964936" y="1652016"/>
                </a:lnTo>
                <a:lnTo>
                  <a:pt x="6723888" y="1652016"/>
                </a:lnTo>
                <a:lnTo>
                  <a:pt x="6723888" y="1449324"/>
                </a:lnTo>
                <a:close/>
              </a:path>
              <a:path w="7486015" h="2066925">
                <a:moveTo>
                  <a:pt x="6723888" y="1242060"/>
                </a:moveTo>
                <a:lnTo>
                  <a:pt x="5964936" y="1242060"/>
                </a:lnTo>
                <a:lnTo>
                  <a:pt x="5964936" y="1446276"/>
                </a:lnTo>
                <a:lnTo>
                  <a:pt x="6723888" y="1446276"/>
                </a:lnTo>
                <a:lnTo>
                  <a:pt x="6723888" y="1242060"/>
                </a:lnTo>
                <a:close/>
              </a:path>
              <a:path w="7486015" h="2066925">
                <a:moveTo>
                  <a:pt x="6723888" y="1034796"/>
                </a:moveTo>
                <a:lnTo>
                  <a:pt x="5964936" y="1034796"/>
                </a:lnTo>
                <a:lnTo>
                  <a:pt x="5964936" y="1239012"/>
                </a:lnTo>
                <a:lnTo>
                  <a:pt x="6723888" y="1239012"/>
                </a:lnTo>
                <a:lnTo>
                  <a:pt x="6723888" y="1034796"/>
                </a:lnTo>
                <a:close/>
              </a:path>
              <a:path w="7486015" h="2066925">
                <a:moveTo>
                  <a:pt x="6723888" y="827532"/>
                </a:moveTo>
                <a:lnTo>
                  <a:pt x="5964936" y="827532"/>
                </a:lnTo>
                <a:lnTo>
                  <a:pt x="5964936" y="1031748"/>
                </a:lnTo>
                <a:lnTo>
                  <a:pt x="6723888" y="1031748"/>
                </a:lnTo>
                <a:lnTo>
                  <a:pt x="6723888" y="827532"/>
                </a:lnTo>
                <a:close/>
              </a:path>
              <a:path w="7486015" h="2066925">
                <a:moveTo>
                  <a:pt x="6723888" y="621792"/>
                </a:moveTo>
                <a:lnTo>
                  <a:pt x="5964936" y="621792"/>
                </a:lnTo>
                <a:lnTo>
                  <a:pt x="5964936" y="824484"/>
                </a:lnTo>
                <a:lnTo>
                  <a:pt x="6723888" y="824484"/>
                </a:lnTo>
                <a:lnTo>
                  <a:pt x="6723888" y="621792"/>
                </a:lnTo>
                <a:close/>
              </a:path>
              <a:path w="7486015" h="2066925">
                <a:moveTo>
                  <a:pt x="6723888" y="414528"/>
                </a:moveTo>
                <a:lnTo>
                  <a:pt x="5964936" y="414528"/>
                </a:lnTo>
                <a:lnTo>
                  <a:pt x="5964936" y="618744"/>
                </a:lnTo>
                <a:lnTo>
                  <a:pt x="6723888" y="618744"/>
                </a:lnTo>
                <a:lnTo>
                  <a:pt x="6723888" y="414528"/>
                </a:lnTo>
                <a:close/>
              </a:path>
              <a:path w="7486015" h="2066925">
                <a:moveTo>
                  <a:pt x="6723888" y="207264"/>
                </a:moveTo>
                <a:lnTo>
                  <a:pt x="5964936" y="207264"/>
                </a:lnTo>
                <a:lnTo>
                  <a:pt x="5964936" y="411480"/>
                </a:lnTo>
                <a:lnTo>
                  <a:pt x="6723888" y="411480"/>
                </a:lnTo>
                <a:lnTo>
                  <a:pt x="6723888" y="207264"/>
                </a:lnTo>
                <a:close/>
              </a:path>
              <a:path w="7486015" h="2066925">
                <a:moveTo>
                  <a:pt x="6723888" y="0"/>
                </a:moveTo>
                <a:lnTo>
                  <a:pt x="5964936" y="0"/>
                </a:lnTo>
                <a:lnTo>
                  <a:pt x="5964936" y="204216"/>
                </a:lnTo>
                <a:lnTo>
                  <a:pt x="6723888" y="204216"/>
                </a:lnTo>
                <a:lnTo>
                  <a:pt x="6723888" y="0"/>
                </a:lnTo>
                <a:close/>
              </a:path>
              <a:path w="7486015" h="2066925">
                <a:moveTo>
                  <a:pt x="7485888" y="1655064"/>
                </a:moveTo>
                <a:lnTo>
                  <a:pt x="6726936" y="1655064"/>
                </a:lnTo>
                <a:lnTo>
                  <a:pt x="6726936" y="1859280"/>
                </a:lnTo>
                <a:lnTo>
                  <a:pt x="7485888" y="1859280"/>
                </a:lnTo>
                <a:lnTo>
                  <a:pt x="7485888" y="1655064"/>
                </a:lnTo>
                <a:close/>
              </a:path>
              <a:path w="7486015" h="2066925">
                <a:moveTo>
                  <a:pt x="7485888" y="1449324"/>
                </a:moveTo>
                <a:lnTo>
                  <a:pt x="6726936" y="1449324"/>
                </a:lnTo>
                <a:lnTo>
                  <a:pt x="6726936" y="1652016"/>
                </a:lnTo>
                <a:lnTo>
                  <a:pt x="7485888" y="1652016"/>
                </a:lnTo>
                <a:lnTo>
                  <a:pt x="7485888" y="1449324"/>
                </a:lnTo>
                <a:close/>
              </a:path>
              <a:path w="7486015" h="2066925">
                <a:moveTo>
                  <a:pt x="7485888" y="1242060"/>
                </a:moveTo>
                <a:lnTo>
                  <a:pt x="6726936" y="1242060"/>
                </a:lnTo>
                <a:lnTo>
                  <a:pt x="6726936" y="1446276"/>
                </a:lnTo>
                <a:lnTo>
                  <a:pt x="7485888" y="1446276"/>
                </a:lnTo>
                <a:lnTo>
                  <a:pt x="7485888" y="1242060"/>
                </a:lnTo>
                <a:close/>
              </a:path>
              <a:path w="7486015" h="2066925">
                <a:moveTo>
                  <a:pt x="7485888" y="1034796"/>
                </a:moveTo>
                <a:lnTo>
                  <a:pt x="6726936" y="1034796"/>
                </a:lnTo>
                <a:lnTo>
                  <a:pt x="6726936" y="1239012"/>
                </a:lnTo>
                <a:lnTo>
                  <a:pt x="7485888" y="1239012"/>
                </a:lnTo>
                <a:lnTo>
                  <a:pt x="7485888" y="1034796"/>
                </a:lnTo>
                <a:close/>
              </a:path>
              <a:path w="7486015" h="2066925">
                <a:moveTo>
                  <a:pt x="7485888" y="827532"/>
                </a:moveTo>
                <a:lnTo>
                  <a:pt x="6726936" y="827532"/>
                </a:lnTo>
                <a:lnTo>
                  <a:pt x="6726936" y="1031748"/>
                </a:lnTo>
                <a:lnTo>
                  <a:pt x="7485888" y="1031748"/>
                </a:lnTo>
                <a:lnTo>
                  <a:pt x="7485888" y="827532"/>
                </a:lnTo>
                <a:close/>
              </a:path>
              <a:path w="7486015" h="2066925">
                <a:moveTo>
                  <a:pt x="7485888" y="621792"/>
                </a:moveTo>
                <a:lnTo>
                  <a:pt x="6726936" y="621792"/>
                </a:lnTo>
                <a:lnTo>
                  <a:pt x="6726936" y="824484"/>
                </a:lnTo>
                <a:lnTo>
                  <a:pt x="7485888" y="824484"/>
                </a:lnTo>
                <a:lnTo>
                  <a:pt x="7485888" y="621792"/>
                </a:lnTo>
                <a:close/>
              </a:path>
              <a:path w="7486015" h="2066925">
                <a:moveTo>
                  <a:pt x="7485888" y="414528"/>
                </a:moveTo>
                <a:lnTo>
                  <a:pt x="6726936" y="414528"/>
                </a:lnTo>
                <a:lnTo>
                  <a:pt x="6726936" y="618744"/>
                </a:lnTo>
                <a:lnTo>
                  <a:pt x="7485888" y="618744"/>
                </a:lnTo>
                <a:lnTo>
                  <a:pt x="7485888" y="414528"/>
                </a:lnTo>
                <a:close/>
              </a:path>
              <a:path w="7486015" h="2066925">
                <a:moveTo>
                  <a:pt x="7485888" y="207264"/>
                </a:moveTo>
                <a:lnTo>
                  <a:pt x="6726936" y="207264"/>
                </a:lnTo>
                <a:lnTo>
                  <a:pt x="6726936" y="411480"/>
                </a:lnTo>
                <a:lnTo>
                  <a:pt x="7485888" y="411480"/>
                </a:lnTo>
                <a:lnTo>
                  <a:pt x="7485888" y="207264"/>
                </a:lnTo>
                <a:close/>
              </a:path>
              <a:path w="7486015" h="2066925">
                <a:moveTo>
                  <a:pt x="7485888" y="0"/>
                </a:moveTo>
                <a:lnTo>
                  <a:pt x="6726936" y="0"/>
                </a:lnTo>
                <a:lnTo>
                  <a:pt x="6726936" y="204216"/>
                </a:lnTo>
                <a:lnTo>
                  <a:pt x="7485888" y="204216"/>
                </a:lnTo>
                <a:lnTo>
                  <a:pt x="7485888" y="0"/>
                </a:lnTo>
                <a:close/>
              </a:path>
            </a:pathLst>
          </a:custGeom>
          <a:solidFill>
            <a:srgbClr val="FFFFFF"/>
          </a:solidFill>
        </xdr:spPr>
      </xdr:sp>
      <xdr:sp macro="" textlink="">
        <xdr:nvSpPr>
          <xdr:cNvPr id="158" name="Shape 158">
            <a:extLst>
              <a:ext uri="{FF2B5EF4-FFF2-40B4-BE49-F238E27FC236}">
                <a16:creationId xmlns:a16="http://schemas.microsoft.com/office/drawing/2014/main" id="{00000000-0008-0000-0E00-00009E000000}"/>
              </a:ext>
            </a:extLst>
          </xdr:cNvPr>
          <xdr:cNvSpPr/>
        </xdr:nvSpPr>
        <xdr:spPr>
          <a:xfrm>
            <a:off x="0" y="1655063"/>
            <a:ext cx="7486015" cy="2273935"/>
          </a:xfrm>
          <a:custGeom>
            <a:avLst/>
            <a:gdLst/>
            <a:ahLst/>
            <a:cxnLst/>
            <a:rect l="0" t="0" r="0" b="0"/>
            <a:pathLst>
              <a:path w="7486015" h="2273935">
                <a:moveTo>
                  <a:pt x="312420" y="827532"/>
                </a:moveTo>
                <a:lnTo>
                  <a:pt x="0" y="827532"/>
                </a:lnTo>
                <a:lnTo>
                  <a:pt x="0" y="2273808"/>
                </a:lnTo>
                <a:lnTo>
                  <a:pt x="312420" y="2273808"/>
                </a:lnTo>
                <a:lnTo>
                  <a:pt x="312420" y="827532"/>
                </a:lnTo>
                <a:close/>
              </a:path>
              <a:path w="7486015" h="2273935">
                <a:moveTo>
                  <a:pt x="312420" y="0"/>
                </a:moveTo>
                <a:lnTo>
                  <a:pt x="0" y="0"/>
                </a:lnTo>
                <a:lnTo>
                  <a:pt x="0" y="824484"/>
                </a:lnTo>
                <a:lnTo>
                  <a:pt x="312420" y="824484"/>
                </a:lnTo>
                <a:lnTo>
                  <a:pt x="312420" y="0"/>
                </a:lnTo>
                <a:close/>
              </a:path>
              <a:path w="7486015" h="2273935">
                <a:moveTo>
                  <a:pt x="1264920" y="827532"/>
                </a:moveTo>
                <a:lnTo>
                  <a:pt x="315468" y="827532"/>
                </a:lnTo>
                <a:lnTo>
                  <a:pt x="315468" y="2273808"/>
                </a:lnTo>
                <a:lnTo>
                  <a:pt x="1264920" y="2273808"/>
                </a:lnTo>
                <a:lnTo>
                  <a:pt x="1264920" y="827532"/>
                </a:lnTo>
                <a:close/>
              </a:path>
              <a:path w="7486015" h="2273935">
                <a:moveTo>
                  <a:pt x="1264920" y="0"/>
                </a:moveTo>
                <a:lnTo>
                  <a:pt x="315468" y="0"/>
                </a:lnTo>
                <a:lnTo>
                  <a:pt x="315468" y="824484"/>
                </a:lnTo>
                <a:lnTo>
                  <a:pt x="1264920" y="824484"/>
                </a:lnTo>
                <a:lnTo>
                  <a:pt x="1264920" y="0"/>
                </a:lnTo>
                <a:close/>
              </a:path>
              <a:path w="7486015" h="2273935">
                <a:moveTo>
                  <a:pt x="2531364" y="827532"/>
                </a:moveTo>
                <a:lnTo>
                  <a:pt x="1267968" y="827532"/>
                </a:lnTo>
                <a:lnTo>
                  <a:pt x="1267968" y="2273808"/>
                </a:lnTo>
                <a:lnTo>
                  <a:pt x="2531364" y="2273808"/>
                </a:lnTo>
                <a:lnTo>
                  <a:pt x="2531364" y="827532"/>
                </a:lnTo>
                <a:close/>
              </a:path>
              <a:path w="7486015" h="2273935">
                <a:moveTo>
                  <a:pt x="2531364" y="0"/>
                </a:moveTo>
                <a:lnTo>
                  <a:pt x="1267968" y="0"/>
                </a:lnTo>
                <a:lnTo>
                  <a:pt x="1267968" y="824484"/>
                </a:lnTo>
                <a:lnTo>
                  <a:pt x="2531364" y="824484"/>
                </a:lnTo>
                <a:lnTo>
                  <a:pt x="2531364" y="0"/>
                </a:lnTo>
                <a:close/>
              </a:path>
              <a:path w="7486015" h="2273935">
                <a:moveTo>
                  <a:pt x="3037332" y="2069592"/>
                </a:moveTo>
                <a:lnTo>
                  <a:pt x="2534412" y="2069592"/>
                </a:lnTo>
                <a:lnTo>
                  <a:pt x="2534412" y="2273808"/>
                </a:lnTo>
                <a:lnTo>
                  <a:pt x="3037332" y="2273808"/>
                </a:lnTo>
                <a:lnTo>
                  <a:pt x="3037332" y="2069592"/>
                </a:lnTo>
                <a:close/>
              </a:path>
              <a:path w="7486015" h="2273935">
                <a:moveTo>
                  <a:pt x="3037332" y="1862328"/>
                </a:moveTo>
                <a:lnTo>
                  <a:pt x="2534412" y="1862328"/>
                </a:lnTo>
                <a:lnTo>
                  <a:pt x="2534412" y="2066544"/>
                </a:lnTo>
                <a:lnTo>
                  <a:pt x="3037332" y="2066544"/>
                </a:lnTo>
                <a:lnTo>
                  <a:pt x="3037332" y="1862328"/>
                </a:lnTo>
                <a:close/>
              </a:path>
              <a:path w="7486015" h="2273935">
                <a:moveTo>
                  <a:pt x="3037332" y="1656588"/>
                </a:moveTo>
                <a:lnTo>
                  <a:pt x="2534412" y="1656588"/>
                </a:lnTo>
                <a:lnTo>
                  <a:pt x="2534412" y="1859280"/>
                </a:lnTo>
                <a:lnTo>
                  <a:pt x="3037332" y="1859280"/>
                </a:lnTo>
                <a:lnTo>
                  <a:pt x="3037332" y="1656588"/>
                </a:lnTo>
                <a:close/>
              </a:path>
              <a:path w="7486015" h="2273935">
                <a:moveTo>
                  <a:pt x="3037332" y="1449324"/>
                </a:moveTo>
                <a:lnTo>
                  <a:pt x="2534412" y="1449324"/>
                </a:lnTo>
                <a:lnTo>
                  <a:pt x="2534412" y="1653540"/>
                </a:lnTo>
                <a:lnTo>
                  <a:pt x="3037332" y="1653540"/>
                </a:lnTo>
                <a:lnTo>
                  <a:pt x="3037332" y="1449324"/>
                </a:lnTo>
                <a:close/>
              </a:path>
              <a:path w="7486015" h="2273935">
                <a:moveTo>
                  <a:pt x="3037332" y="1242060"/>
                </a:moveTo>
                <a:lnTo>
                  <a:pt x="2534412" y="1242060"/>
                </a:lnTo>
                <a:lnTo>
                  <a:pt x="2534412" y="1446276"/>
                </a:lnTo>
                <a:lnTo>
                  <a:pt x="3037332" y="1446276"/>
                </a:lnTo>
                <a:lnTo>
                  <a:pt x="3037332" y="1242060"/>
                </a:lnTo>
                <a:close/>
              </a:path>
              <a:path w="7486015" h="2273935">
                <a:moveTo>
                  <a:pt x="3037332" y="1034796"/>
                </a:moveTo>
                <a:lnTo>
                  <a:pt x="2534412" y="1034796"/>
                </a:lnTo>
                <a:lnTo>
                  <a:pt x="2534412" y="1239012"/>
                </a:lnTo>
                <a:lnTo>
                  <a:pt x="3037332" y="1239012"/>
                </a:lnTo>
                <a:lnTo>
                  <a:pt x="3037332" y="1034796"/>
                </a:lnTo>
                <a:close/>
              </a:path>
              <a:path w="7486015" h="2273935">
                <a:moveTo>
                  <a:pt x="3037332" y="827532"/>
                </a:moveTo>
                <a:lnTo>
                  <a:pt x="2534412" y="827532"/>
                </a:lnTo>
                <a:lnTo>
                  <a:pt x="2534412" y="1031748"/>
                </a:lnTo>
                <a:lnTo>
                  <a:pt x="3037332" y="1031748"/>
                </a:lnTo>
                <a:lnTo>
                  <a:pt x="3037332" y="827532"/>
                </a:lnTo>
                <a:close/>
              </a:path>
              <a:path w="7486015" h="2273935">
                <a:moveTo>
                  <a:pt x="3037332" y="621792"/>
                </a:moveTo>
                <a:lnTo>
                  <a:pt x="2534412" y="621792"/>
                </a:lnTo>
                <a:lnTo>
                  <a:pt x="2534412" y="824484"/>
                </a:lnTo>
                <a:lnTo>
                  <a:pt x="3037332" y="824484"/>
                </a:lnTo>
                <a:lnTo>
                  <a:pt x="3037332" y="621792"/>
                </a:lnTo>
                <a:close/>
              </a:path>
              <a:path w="7486015" h="2273935">
                <a:moveTo>
                  <a:pt x="3037332" y="414528"/>
                </a:moveTo>
                <a:lnTo>
                  <a:pt x="2534412" y="414528"/>
                </a:lnTo>
                <a:lnTo>
                  <a:pt x="2534412" y="618744"/>
                </a:lnTo>
                <a:lnTo>
                  <a:pt x="3037332" y="618744"/>
                </a:lnTo>
                <a:lnTo>
                  <a:pt x="3037332" y="414528"/>
                </a:lnTo>
                <a:close/>
              </a:path>
              <a:path w="7486015" h="2273935">
                <a:moveTo>
                  <a:pt x="3674364" y="2069592"/>
                </a:moveTo>
                <a:lnTo>
                  <a:pt x="3040380" y="2069592"/>
                </a:lnTo>
                <a:lnTo>
                  <a:pt x="3040380" y="2273808"/>
                </a:lnTo>
                <a:lnTo>
                  <a:pt x="3674364" y="2273808"/>
                </a:lnTo>
                <a:lnTo>
                  <a:pt x="3674364" y="2069592"/>
                </a:lnTo>
                <a:close/>
              </a:path>
              <a:path w="7486015" h="2273935">
                <a:moveTo>
                  <a:pt x="3674364" y="1862328"/>
                </a:moveTo>
                <a:lnTo>
                  <a:pt x="3040380" y="1862328"/>
                </a:lnTo>
                <a:lnTo>
                  <a:pt x="3040380" y="2066544"/>
                </a:lnTo>
                <a:lnTo>
                  <a:pt x="3674364" y="2066544"/>
                </a:lnTo>
                <a:lnTo>
                  <a:pt x="3674364" y="1862328"/>
                </a:lnTo>
                <a:close/>
              </a:path>
              <a:path w="7486015" h="2273935">
                <a:moveTo>
                  <a:pt x="3674364" y="1656588"/>
                </a:moveTo>
                <a:lnTo>
                  <a:pt x="3040380" y="1656588"/>
                </a:lnTo>
                <a:lnTo>
                  <a:pt x="3040380" y="1859280"/>
                </a:lnTo>
                <a:lnTo>
                  <a:pt x="3674364" y="1859280"/>
                </a:lnTo>
                <a:lnTo>
                  <a:pt x="3674364" y="1656588"/>
                </a:lnTo>
                <a:close/>
              </a:path>
              <a:path w="7486015" h="2273935">
                <a:moveTo>
                  <a:pt x="3674364" y="1449324"/>
                </a:moveTo>
                <a:lnTo>
                  <a:pt x="3040380" y="1449324"/>
                </a:lnTo>
                <a:lnTo>
                  <a:pt x="3040380" y="1653540"/>
                </a:lnTo>
                <a:lnTo>
                  <a:pt x="3674364" y="1653540"/>
                </a:lnTo>
                <a:lnTo>
                  <a:pt x="3674364" y="1449324"/>
                </a:lnTo>
                <a:close/>
              </a:path>
              <a:path w="7486015" h="2273935">
                <a:moveTo>
                  <a:pt x="3674364" y="1242060"/>
                </a:moveTo>
                <a:lnTo>
                  <a:pt x="3040380" y="1242060"/>
                </a:lnTo>
                <a:lnTo>
                  <a:pt x="3040380" y="1446276"/>
                </a:lnTo>
                <a:lnTo>
                  <a:pt x="3674364" y="1446276"/>
                </a:lnTo>
                <a:lnTo>
                  <a:pt x="3674364" y="1242060"/>
                </a:lnTo>
                <a:close/>
              </a:path>
              <a:path w="7486015" h="2273935">
                <a:moveTo>
                  <a:pt x="3674364" y="1034796"/>
                </a:moveTo>
                <a:lnTo>
                  <a:pt x="3040380" y="1034796"/>
                </a:lnTo>
                <a:lnTo>
                  <a:pt x="3040380" y="1239012"/>
                </a:lnTo>
                <a:lnTo>
                  <a:pt x="3674364" y="1239012"/>
                </a:lnTo>
                <a:lnTo>
                  <a:pt x="3674364" y="1034796"/>
                </a:lnTo>
                <a:close/>
              </a:path>
              <a:path w="7486015" h="2273935">
                <a:moveTo>
                  <a:pt x="3674364" y="827532"/>
                </a:moveTo>
                <a:lnTo>
                  <a:pt x="3040380" y="827532"/>
                </a:lnTo>
                <a:lnTo>
                  <a:pt x="3040380" y="1031748"/>
                </a:lnTo>
                <a:lnTo>
                  <a:pt x="3674364" y="1031748"/>
                </a:lnTo>
                <a:lnTo>
                  <a:pt x="3674364" y="827532"/>
                </a:lnTo>
                <a:close/>
              </a:path>
              <a:path w="7486015" h="2273935">
                <a:moveTo>
                  <a:pt x="3674364" y="621792"/>
                </a:moveTo>
                <a:lnTo>
                  <a:pt x="3040380" y="621792"/>
                </a:lnTo>
                <a:lnTo>
                  <a:pt x="3040380" y="824484"/>
                </a:lnTo>
                <a:lnTo>
                  <a:pt x="3674364" y="824484"/>
                </a:lnTo>
                <a:lnTo>
                  <a:pt x="3674364" y="621792"/>
                </a:lnTo>
                <a:close/>
              </a:path>
              <a:path w="7486015" h="2273935">
                <a:moveTo>
                  <a:pt x="3674364" y="414528"/>
                </a:moveTo>
                <a:lnTo>
                  <a:pt x="3040380" y="414528"/>
                </a:lnTo>
                <a:lnTo>
                  <a:pt x="3040380" y="618744"/>
                </a:lnTo>
                <a:lnTo>
                  <a:pt x="3674364" y="618744"/>
                </a:lnTo>
                <a:lnTo>
                  <a:pt x="3674364" y="414528"/>
                </a:lnTo>
                <a:close/>
              </a:path>
              <a:path w="7486015" h="2273935">
                <a:moveTo>
                  <a:pt x="3674364" y="207264"/>
                </a:moveTo>
                <a:lnTo>
                  <a:pt x="3040380" y="207264"/>
                </a:lnTo>
                <a:lnTo>
                  <a:pt x="3040380" y="411480"/>
                </a:lnTo>
                <a:lnTo>
                  <a:pt x="3674364" y="411480"/>
                </a:lnTo>
                <a:lnTo>
                  <a:pt x="3674364" y="207264"/>
                </a:lnTo>
                <a:close/>
              </a:path>
              <a:path w="7486015" h="2273935">
                <a:moveTo>
                  <a:pt x="4437888" y="2069592"/>
                </a:moveTo>
                <a:lnTo>
                  <a:pt x="3677412" y="2069592"/>
                </a:lnTo>
                <a:lnTo>
                  <a:pt x="3677412" y="2273808"/>
                </a:lnTo>
                <a:lnTo>
                  <a:pt x="4437888" y="2273808"/>
                </a:lnTo>
                <a:lnTo>
                  <a:pt x="4437888" y="2069592"/>
                </a:lnTo>
                <a:close/>
              </a:path>
              <a:path w="7486015" h="2273935">
                <a:moveTo>
                  <a:pt x="4437888" y="1862328"/>
                </a:moveTo>
                <a:lnTo>
                  <a:pt x="3677412" y="1862328"/>
                </a:lnTo>
                <a:lnTo>
                  <a:pt x="3677412" y="2066544"/>
                </a:lnTo>
                <a:lnTo>
                  <a:pt x="4437888" y="2066544"/>
                </a:lnTo>
                <a:lnTo>
                  <a:pt x="4437888" y="1862328"/>
                </a:lnTo>
                <a:close/>
              </a:path>
              <a:path w="7486015" h="2273935">
                <a:moveTo>
                  <a:pt x="4437888" y="1656588"/>
                </a:moveTo>
                <a:lnTo>
                  <a:pt x="3677412" y="1656588"/>
                </a:lnTo>
                <a:lnTo>
                  <a:pt x="3677412" y="1859280"/>
                </a:lnTo>
                <a:lnTo>
                  <a:pt x="4437888" y="1859280"/>
                </a:lnTo>
                <a:lnTo>
                  <a:pt x="4437888" y="1656588"/>
                </a:lnTo>
                <a:close/>
              </a:path>
              <a:path w="7486015" h="2273935">
                <a:moveTo>
                  <a:pt x="4437888" y="1449324"/>
                </a:moveTo>
                <a:lnTo>
                  <a:pt x="3677412" y="1449324"/>
                </a:lnTo>
                <a:lnTo>
                  <a:pt x="3677412" y="1653540"/>
                </a:lnTo>
                <a:lnTo>
                  <a:pt x="4437888" y="1653540"/>
                </a:lnTo>
                <a:lnTo>
                  <a:pt x="4437888" y="1449324"/>
                </a:lnTo>
                <a:close/>
              </a:path>
              <a:path w="7486015" h="2273935">
                <a:moveTo>
                  <a:pt x="4437888" y="1242060"/>
                </a:moveTo>
                <a:lnTo>
                  <a:pt x="3677412" y="1242060"/>
                </a:lnTo>
                <a:lnTo>
                  <a:pt x="3677412" y="1446276"/>
                </a:lnTo>
                <a:lnTo>
                  <a:pt x="4437888" y="1446276"/>
                </a:lnTo>
                <a:lnTo>
                  <a:pt x="4437888" y="1242060"/>
                </a:lnTo>
                <a:close/>
              </a:path>
              <a:path w="7486015" h="2273935">
                <a:moveTo>
                  <a:pt x="4437888" y="1034796"/>
                </a:moveTo>
                <a:lnTo>
                  <a:pt x="3677412" y="1034796"/>
                </a:lnTo>
                <a:lnTo>
                  <a:pt x="3677412" y="1239012"/>
                </a:lnTo>
                <a:lnTo>
                  <a:pt x="4437888" y="1239012"/>
                </a:lnTo>
                <a:lnTo>
                  <a:pt x="4437888" y="1034796"/>
                </a:lnTo>
                <a:close/>
              </a:path>
              <a:path w="7486015" h="2273935">
                <a:moveTo>
                  <a:pt x="4437888" y="827532"/>
                </a:moveTo>
                <a:lnTo>
                  <a:pt x="3677412" y="827532"/>
                </a:lnTo>
                <a:lnTo>
                  <a:pt x="3677412" y="1031748"/>
                </a:lnTo>
                <a:lnTo>
                  <a:pt x="4437888" y="1031748"/>
                </a:lnTo>
                <a:lnTo>
                  <a:pt x="4437888" y="827532"/>
                </a:lnTo>
                <a:close/>
              </a:path>
              <a:path w="7486015" h="2273935">
                <a:moveTo>
                  <a:pt x="4437888" y="621792"/>
                </a:moveTo>
                <a:lnTo>
                  <a:pt x="3677412" y="621792"/>
                </a:lnTo>
                <a:lnTo>
                  <a:pt x="3677412" y="824484"/>
                </a:lnTo>
                <a:lnTo>
                  <a:pt x="4437888" y="824484"/>
                </a:lnTo>
                <a:lnTo>
                  <a:pt x="4437888" y="621792"/>
                </a:lnTo>
                <a:close/>
              </a:path>
              <a:path w="7486015" h="2273935">
                <a:moveTo>
                  <a:pt x="4437888" y="414528"/>
                </a:moveTo>
                <a:lnTo>
                  <a:pt x="3677412" y="414528"/>
                </a:lnTo>
                <a:lnTo>
                  <a:pt x="3677412" y="618744"/>
                </a:lnTo>
                <a:lnTo>
                  <a:pt x="4437888" y="618744"/>
                </a:lnTo>
                <a:lnTo>
                  <a:pt x="4437888" y="414528"/>
                </a:lnTo>
                <a:close/>
              </a:path>
              <a:path w="7486015" h="2273935">
                <a:moveTo>
                  <a:pt x="4437888" y="207264"/>
                </a:moveTo>
                <a:lnTo>
                  <a:pt x="3677412" y="207264"/>
                </a:lnTo>
                <a:lnTo>
                  <a:pt x="3677412" y="411480"/>
                </a:lnTo>
                <a:lnTo>
                  <a:pt x="4437888" y="411480"/>
                </a:lnTo>
                <a:lnTo>
                  <a:pt x="4437888" y="207264"/>
                </a:lnTo>
                <a:close/>
              </a:path>
              <a:path w="7486015" h="2273935">
                <a:moveTo>
                  <a:pt x="5199888" y="1862328"/>
                </a:moveTo>
                <a:lnTo>
                  <a:pt x="4440936" y="1862328"/>
                </a:lnTo>
                <a:lnTo>
                  <a:pt x="4440936" y="2066544"/>
                </a:lnTo>
                <a:lnTo>
                  <a:pt x="5199888" y="2066544"/>
                </a:lnTo>
                <a:lnTo>
                  <a:pt x="5199888" y="1862328"/>
                </a:lnTo>
                <a:close/>
              </a:path>
              <a:path w="7486015" h="2273935">
                <a:moveTo>
                  <a:pt x="5199888" y="1656588"/>
                </a:moveTo>
                <a:lnTo>
                  <a:pt x="4440936" y="1656588"/>
                </a:lnTo>
                <a:lnTo>
                  <a:pt x="4440936" y="1859280"/>
                </a:lnTo>
                <a:lnTo>
                  <a:pt x="5199888" y="1859280"/>
                </a:lnTo>
                <a:lnTo>
                  <a:pt x="5199888" y="1656588"/>
                </a:lnTo>
                <a:close/>
              </a:path>
              <a:path w="7486015" h="2273935">
                <a:moveTo>
                  <a:pt x="5199888" y="1449324"/>
                </a:moveTo>
                <a:lnTo>
                  <a:pt x="4440936" y="1449324"/>
                </a:lnTo>
                <a:lnTo>
                  <a:pt x="4440936" y="1653540"/>
                </a:lnTo>
                <a:lnTo>
                  <a:pt x="5199888" y="1653540"/>
                </a:lnTo>
                <a:lnTo>
                  <a:pt x="5199888" y="1449324"/>
                </a:lnTo>
                <a:close/>
              </a:path>
              <a:path w="7486015" h="2273935">
                <a:moveTo>
                  <a:pt x="5199888" y="1242060"/>
                </a:moveTo>
                <a:lnTo>
                  <a:pt x="4440936" y="1242060"/>
                </a:lnTo>
                <a:lnTo>
                  <a:pt x="4440936" y="1446276"/>
                </a:lnTo>
                <a:lnTo>
                  <a:pt x="5199888" y="1446276"/>
                </a:lnTo>
                <a:lnTo>
                  <a:pt x="5199888" y="1242060"/>
                </a:lnTo>
                <a:close/>
              </a:path>
              <a:path w="7486015" h="2273935">
                <a:moveTo>
                  <a:pt x="5199888" y="1034796"/>
                </a:moveTo>
                <a:lnTo>
                  <a:pt x="4440936" y="1034796"/>
                </a:lnTo>
                <a:lnTo>
                  <a:pt x="4440936" y="1239012"/>
                </a:lnTo>
                <a:lnTo>
                  <a:pt x="5199888" y="1239012"/>
                </a:lnTo>
                <a:lnTo>
                  <a:pt x="5199888" y="1034796"/>
                </a:lnTo>
                <a:close/>
              </a:path>
              <a:path w="7486015" h="2273935">
                <a:moveTo>
                  <a:pt x="5199888" y="827532"/>
                </a:moveTo>
                <a:lnTo>
                  <a:pt x="4440936" y="827532"/>
                </a:lnTo>
                <a:lnTo>
                  <a:pt x="4440936" y="1031748"/>
                </a:lnTo>
                <a:lnTo>
                  <a:pt x="5199888" y="1031748"/>
                </a:lnTo>
                <a:lnTo>
                  <a:pt x="5199888" y="827532"/>
                </a:lnTo>
                <a:close/>
              </a:path>
              <a:path w="7486015" h="2273935">
                <a:moveTo>
                  <a:pt x="5199888" y="621792"/>
                </a:moveTo>
                <a:lnTo>
                  <a:pt x="4440936" y="621792"/>
                </a:lnTo>
                <a:lnTo>
                  <a:pt x="4440936" y="824484"/>
                </a:lnTo>
                <a:lnTo>
                  <a:pt x="5199888" y="824484"/>
                </a:lnTo>
                <a:lnTo>
                  <a:pt x="5199888" y="621792"/>
                </a:lnTo>
                <a:close/>
              </a:path>
              <a:path w="7486015" h="2273935">
                <a:moveTo>
                  <a:pt x="5199888" y="414528"/>
                </a:moveTo>
                <a:lnTo>
                  <a:pt x="4440936" y="414528"/>
                </a:lnTo>
                <a:lnTo>
                  <a:pt x="4440936" y="618744"/>
                </a:lnTo>
                <a:lnTo>
                  <a:pt x="5199888" y="618744"/>
                </a:lnTo>
                <a:lnTo>
                  <a:pt x="5199888" y="414528"/>
                </a:lnTo>
                <a:close/>
              </a:path>
              <a:path w="7486015" h="2273935">
                <a:moveTo>
                  <a:pt x="5199888" y="207264"/>
                </a:moveTo>
                <a:lnTo>
                  <a:pt x="4440936" y="207264"/>
                </a:lnTo>
                <a:lnTo>
                  <a:pt x="4440936" y="411480"/>
                </a:lnTo>
                <a:lnTo>
                  <a:pt x="5199888" y="411480"/>
                </a:lnTo>
                <a:lnTo>
                  <a:pt x="5199888" y="207264"/>
                </a:lnTo>
                <a:close/>
              </a:path>
              <a:path w="7486015" h="2273935">
                <a:moveTo>
                  <a:pt x="5961875" y="1862328"/>
                </a:moveTo>
                <a:lnTo>
                  <a:pt x="5202936" y="1862328"/>
                </a:lnTo>
                <a:lnTo>
                  <a:pt x="5202936" y="2066544"/>
                </a:lnTo>
                <a:lnTo>
                  <a:pt x="5961875" y="2066544"/>
                </a:lnTo>
                <a:lnTo>
                  <a:pt x="5961875" y="1862328"/>
                </a:lnTo>
                <a:close/>
              </a:path>
              <a:path w="7486015" h="2273935">
                <a:moveTo>
                  <a:pt x="5961875" y="1656588"/>
                </a:moveTo>
                <a:lnTo>
                  <a:pt x="5202936" y="1656588"/>
                </a:lnTo>
                <a:lnTo>
                  <a:pt x="5202936" y="1859280"/>
                </a:lnTo>
                <a:lnTo>
                  <a:pt x="5961875" y="1859280"/>
                </a:lnTo>
                <a:lnTo>
                  <a:pt x="5961875" y="1656588"/>
                </a:lnTo>
                <a:close/>
              </a:path>
              <a:path w="7486015" h="2273935">
                <a:moveTo>
                  <a:pt x="5961875" y="1449324"/>
                </a:moveTo>
                <a:lnTo>
                  <a:pt x="5202936" y="1449324"/>
                </a:lnTo>
                <a:lnTo>
                  <a:pt x="5202936" y="1653540"/>
                </a:lnTo>
                <a:lnTo>
                  <a:pt x="5961875" y="1653540"/>
                </a:lnTo>
                <a:lnTo>
                  <a:pt x="5961875" y="1449324"/>
                </a:lnTo>
                <a:close/>
              </a:path>
              <a:path w="7486015" h="2273935">
                <a:moveTo>
                  <a:pt x="5961875" y="1242060"/>
                </a:moveTo>
                <a:lnTo>
                  <a:pt x="5202936" y="1242060"/>
                </a:lnTo>
                <a:lnTo>
                  <a:pt x="5202936" y="1446276"/>
                </a:lnTo>
                <a:lnTo>
                  <a:pt x="5961875" y="1446276"/>
                </a:lnTo>
                <a:lnTo>
                  <a:pt x="5961875" y="1242060"/>
                </a:lnTo>
                <a:close/>
              </a:path>
              <a:path w="7486015" h="2273935">
                <a:moveTo>
                  <a:pt x="5961875" y="1034796"/>
                </a:moveTo>
                <a:lnTo>
                  <a:pt x="5202936" y="1034796"/>
                </a:lnTo>
                <a:lnTo>
                  <a:pt x="5202936" y="1239012"/>
                </a:lnTo>
                <a:lnTo>
                  <a:pt x="5961875" y="1239012"/>
                </a:lnTo>
                <a:lnTo>
                  <a:pt x="5961875" y="1034796"/>
                </a:lnTo>
                <a:close/>
              </a:path>
              <a:path w="7486015" h="2273935">
                <a:moveTo>
                  <a:pt x="5961875" y="827532"/>
                </a:moveTo>
                <a:lnTo>
                  <a:pt x="5202936" y="827532"/>
                </a:lnTo>
                <a:lnTo>
                  <a:pt x="5202936" y="1031748"/>
                </a:lnTo>
                <a:lnTo>
                  <a:pt x="5961875" y="1031748"/>
                </a:lnTo>
                <a:lnTo>
                  <a:pt x="5961875" y="827532"/>
                </a:lnTo>
                <a:close/>
              </a:path>
              <a:path w="7486015" h="2273935">
                <a:moveTo>
                  <a:pt x="5961875" y="621792"/>
                </a:moveTo>
                <a:lnTo>
                  <a:pt x="5202936" y="621792"/>
                </a:lnTo>
                <a:lnTo>
                  <a:pt x="5202936" y="824484"/>
                </a:lnTo>
                <a:lnTo>
                  <a:pt x="5961875" y="824484"/>
                </a:lnTo>
                <a:lnTo>
                  <a:pt x="5961875" y="621792"/>
                </a:lnTo>
                <a:close/>
              </a:path>
              <a:path w="7486015" h="2273935">
                <a:moveTo>
                  <a:pt x="5961875" y="414528"/>
                </a:moveTo>
                <a:lnTo>
                  <a:pt x="5202936" y="414528"/>
                </a:lnTo>
                <a:lnTo>
                  <a:pt x="5202936" y="618744"/>
                </a:lnTo>
                <a:lnTo>
                  <a:pt x="5961875" y="618744"/>
                </a:lnTo>
                <a:lnTo>
                  <a:pt x="5961875" y="414528"/>
                </a:lnTo>
                <a:close/>
              </a:path>
              <a:path w="7486015" h="2273935">
                <a:moveTo>
                  <a:pt x="5961875" y="207264"/>
                </a:moveTo>
                <a:lnTo>
                  <a:pt x="5202936" y="207264"/>
                </a:lnTo>
                <a:lnTo>
                  <a:pt x="5202936" y="411480"/>
                </a:lnTo>
                <a:lnTo>
                  <a:pt x="5961875" y="411480"/>
                </a:lnTo>
                <a:lnTo>
                  <a:pt x="5961875" y="207264"/>
                </a:lnTo>
                <a:close/>
              </a:path>
              <a:path w="7486015" h="2273935">
                <a:moveTo>
                  <a:pt x="6723888" y="1862328"/>
                </a:moveTo>
                <a:lnTo>
                  <a:pt x="5964936" y="1862328"/>
                </a:lnTo>
                <a:lnTo>
                  <a:pt x="5964936" y="2066544"/>
                </a:lnTo>
                <a:lnTo>
                  <a:pt x="6723888" y="2066544"/>
                </a:lnTo>
                <a:lnTo>
                  <a:pt x="6723888" y="1862328"/>
                </a:lnTo>
                <a:close/>
              </a:path>
              <a:path w="7486015" h="2273935">
                <a:moveTo>
                  <a:pt x="6723888" y="1656588"/>
                </a:moveTo>
                <a:lnTo>
                  <a:pt x="5964936" y="1656588"/>
                </a:lnTo>
                <a:lnTo>
                  <a:pt x="5964936" y="1859280"/>
                </a:lnTo>
                <a:lnTo>
                  <a:pt x="6723888" y="1859280"/>
                </a:lnTo>
                <a:lnTo>
                  <a:pt x="6723888" y="1656588"/>
                </a:lnTo>
                <a:close/>
              </a:path>
              <a:path w="7486015" h="2273935">
                <a:moveTo>
                  <a:pt x="6723888" y="1449324"/>
                </a:moveTo>
                <a:lnTo>
                  <a:pt x="5964936" y="1449324"/>
                </a:lnTo>
                <a:lnTo>
                  <a:pt x="5964936" y="1653540"/>
                </a:lnTo>
                <a:lnTo>
                  <a:pt x="6723888" y="1653540"/>
                </a:lnTo>
                <a:lnTo>
                  <a:pt x="6723888" y="1449324"/>
                </a:lnTo>
                <a:close/>
              </a:path>
              <a:path w="7486015" h="2273935">
                <a:moveTo>
                  <a:pt x="6723888" y="1242060"/>
                </a:moveTo>
                <a:lnTo>
                  <a:pt x="5964936" y="1242060"/>
                </a:lnTo>
                <a:lnTo>
                  <a:pt x="5964936" y="1446276"/>
                </a:lnTo>
                <a:lnTo>
                  <a:pt x="6723888" y="1446276"/>
                </a:lnTo>
                <a:lnTo>
                  <a:pt x="6723888" y="1242060"/>
                </a:lnTo>
                <a:close/>
              </a:path>
              <a:path w="7486015" h="2273935">
                <a:moveTo>
                  <a:pt x="6723888" y="1034796"/>
                </a:moveTo>
                <a:lnTo>
                  <a:pt x="5964936" y="1034796"/>
                </a:lnTo>
                <a:lnTo>
                  <a:pt x="5964936" y="1239012"/>
                </a:lnTo>
                <a:lnTo>
                  <a:pt x="6723888" y="1239012"/>
                </a:lnTo>
                <a:lnTo>
                  <a:pt x="6723888" y="1034796"/>
                </a:lnTo>
                <a:close/>
              </a:path>
              <a:path w="7486015" h="2273935">
                <a:moveTo>
                  <a:pt x="6723888" y="827532"/>
                </a:moveTo>
                <a:lnTo>
                  <a:pt x="5964936" y="827532"/>
                </a:lnTo>
                <a:lnTo>
                  <a:pt x="5964936" y="1031748"/>
                </a:lnTo>
                <a:lnTo>
                  <a:pt x="6723888" y="1031748"/>
                </a:lnTo>
                <a:lnTo>
                  <a:pt x="6723888" y="827532"/>
                </a:lnTo>
                <a:close/>
              </a:path>
              <a:path w="7486015" h="2273935">
                <a:moveTo>
                  <a:pt x="6723888" y="621792"/>
                </a:moveTo>
                <a:lnTo>
                  <a:pt x="5964936" y="621792"/>
                </a:lnTo>
                <a:lnTo>
                  <a:pt x="5964936" y="824484"/>
                </a:lnTo>
                <a:lnTo>
                  <a:pt x="6723888" y="824484"/>
                </a:lnTo>
                <a:lnTo>
                  <a:pt x="6723888" y="621792"/>
                </a:lnTo>
                <a:close/>
              </a:path>
              <a:path w="7486015" h="2273935">
                <a:moveTo>
                  <a:pt x="6723888" y="414528"/>
                </a:moveTo>
                <a:lnTo>
                  <a:pt x="5964936" y="414528"/>
                </a:lnTo>
                <a:lnTo>
                  <a:pt x="5964936" y="618744"/>
                </a:lnTo>
                <a:lnTo>
                  <a:pt x="6723888" y="618744"/>
                </a:lnTo>
                <a:lnTo>
                  <a:pt x="6723888" y="414528"/>
                </a:lnTo>
                <a:close/>
              </a:path>
              <a:path w="7486015" h="2273935">
                <a:moveTo>
                  <a:pt x="6723888" y="207264"/>
                </a:moveTo>
                <a:lnTo>
                  <a:pt x="5964936" y="207264"/>
                </a:lnTo>
                <a:lnTo>
                  <a:pt x="5964936" y="411480"/>
                </a:lnTo>
                <a:lnTo>
                  <a:pt x="6723888" y="411480"/>
                </a:lnTo>
                <a:lnTo>
                  <a:pt x="6723888" y="207264"/>
                </a:lnTo>
                <a:close/>
              </a:path>
              <a:path w="7486015" h="2273935">
                <a:moveTo>
                  <a:pt x="7485888" y="1862328"/>
                </a:moveTo>
                <a:lnTo>
                  <a:pt x="6726936" y="1862328"/>
                </a:lnTo>
                <a:lnTo>
                  <a:pt x="6726936" y="2066544"/>
                </a:lnTo>
                <a:lnTo>
                  <a:pt x="7485888" y="2066544"/>
                </a:lnTo>
                <a:lnTo>
                  <a:pt x="7485888" y="1862328"/>
                </a:lnTo>
                <a:close/>
              </a:path>
              <a:path w="7486015" h="2273935">
                <a:moveTo>
                  <a:pt x="7485888" y="1656588"/>
                </a:moveTo>
                <a:lnTo>
                  <a:pt x="6726936" y="1656588"/>
                </a:lnTo>
                <a:lnTo>
                  <a:pt x="6726936" y="1859280"/>
                </a:lnTo>
                <a:lnTo>
                  <a:pt x="7485888" y="1859280"/>
                </a:lnTo>
                <a:lnTo>
                  <a:pt x="7485888" y="1656588"/>
                </a:lnTo>
                <a:close/>
              </a:path>
              <a:path w="7486015" h="2273935">
                <a:moveTo>
                  <a:pt x="7485888" y="1449324"/>
                </a:moveTo>
                <a:lnTo>
                  <a:pt x="6726936" y="1449324"/>
                </a:lnTo>
                <a:lnTo>
                  <a:pt x="6726936" y="1653540"/>
                </a:lnTo>
                <a:lnTo>
                  <a:pt x="7485888" y="1653540"/>
                </a:lnTo>
                <a:lnTo>
                  <a:pt x="7485888" y="1449324"/>
                </a:lnTo>
                <a:close/>
              </a:path>
              <a:path w="7486015" h="2273935">
                <a:moveTo>
                  <a:pt x="7485888" y="1242060"/>
                </a:moveTo>
                <a:lnTo>
                  <a:pt x="6726936" y="1242060"/>
                </a:lnTo>
                <a:lnTo>
                  <a:pt x="6726936" y="1446276"/>
                </a:lnTo>
                <a:lnTo>
                  <a:pt x="7485888" y="1446276"/>
                </a:lnTo>
                <a:lnTo>
                  <a:pt x="7485888" y="1242060"/>
                </a:lnTo>
                <a:close/>
              </a:path>
              <a:path w="7486015" h="2273935">
                <a:moveTo>
                  <a:pt x="7485888" y="1034796"/>
                </a:moveTo>
                <a:lnTo>
                  <a:pt x="6726936" y="1034796"/>
                </a:lnTo>
                <a:lnTo>
                  <a:pt x="6726936" y="1239012"/>
                </a:lnTo>
                <a:lnTo>
                  <a:pt x="7485888" y="1239012"/>
                </a:lnTo>
                <a:lnTo>
                  <a:pt x="7485888" y="1034796"/>
                </a:lnTo>
                <a:close/>
              </a:path>
              <a:path w="7486015" h="2273935">
                <a:moveTo>
                  <a:pt x="7485888" y="827532"/>
                </a:moveTo>
                <a:lnTo>
                  <a:pt x="6726936" y="827532"/>
                </a:lnTo>
                <a:lnTo>
                  <a:pt x="6726936" y="1031748"/>
                </a:lnTo>
                <a:lnTo>
                  <a:pt x="7485888" y="1031748"/>
                </a:lnTo>
                <a:lnTo>
                  <a:pt x="7485888" y="827532"/>
                </a:lnTo>
                <a:close/>
              </a:path>
              <a:path w="7486015" h="2273935">
                <a:moveTo>
                  <a:pt x="7485888" y="621792"/>
                </a:moveTo>
                <a:lnTo>
                  <a:pt x="6726936" y="621792"/>
                </a:lnTo>
                <a:lnTo>
                  <a:pt x="6726936" y="824484"/>
                </a:lnTo>
                <a:lnTo>
                  <a:pt x="7485888" y="824484"/>
                </a:lnTo>
                <a:lnTo>
                  <a:pt x="7485888" y="621792"/>
                </a:lnTo>
                <a:close/>
              </a:path>
              <a:path w="7486015" h="2273935">
                <a:moveTo>
                  <a:pt x="7485888" y="414528"/>
                </a:moveTo>
                <a:lnTo>
                  <a:pt x="6726936" y="414528"/>
                </a:lnTo>
                <a:lnTo>
                  <a:pt x="6726936" y="618744"/>
                </a:lnTo>
                <a:lnTo>
                  <a:pt x="7485888" y="618744"/>
                </a:lnTo>
                <a:lnTo>
                  <a:pt x="7485888" y="414528"/>
                </a:lnTo>
                <a:close/>
              </a:path>
              <a:path w="7486015" h="2273935">
                <a:moveTo>
                  <a:pt x="7485888" y="207264"/>
                </a:moveTo>
                <a:lnTo>
                  <a:pt x="6726936" y="207264"/>
                </a:lnTo>
                <a:lnTo>
                  <a:pt x="6726936" y="411480"/>
                </a:lnTo>
                <a:lnTo>
                  <a:pt x="7485888" y="411480"/>
                </a:lnTo>
                <a:lnTo>
                  <a:pt x="7485888" y="207264"/>
                </a:lnTo>
                <a:close/>
              </a:path>
            </a:pathLst>
          </a:custGeom>
          <a:solidFill>
            <a:srgbClr val="FFFFFF"/>
          </a:solidFill>
        </xdr:spPr>
      </xdr:sp>
      <xdr:sp macro="" textlink="">
        <xdr:nvSpPr>
          <xdr:cNvPr id="159" name="Shape 159">
            <a:extLst>
              <a:ext uri="{FF2B5EF4-FFF2-40B4-BE49-F238E27FC236}">
                <a16:creationId xmlns:a16="http://schemas.microsoft.com/office/drawing/2014/main" id="{00000000-0008-0000-0E00-00009F000000}"/>
              </a:ext>
            </a:extLst>
          </xdr:cNvPr>
          <xdr:cNvSpPr/>
        </xdr:nvSpPr>
        <xdr:spPr>
          <a:xfrm>
            <a:off x="3677412" y="3724655"/>
            <a:ext cx="3808729" cy="204470"/>
          </a:xfrm>
          <a:custGeom>
            <a:avLst/>
            <a:gdLst/>
            <a:ahLst/>
            <a:cxnLst/>
            <a:rect l="0" t="0" r="0" b="0"/>
            <a:pathLst>
              <a:path w="3808729" h="204470">
                <a:moveTo>
                  <a:pt x="760476" y="0"/>
                </a:moveTo>
                <a:lnTo>
                  <a:pt x="0" y="0"/>
                </a:lnTo>
                <a:lnTo>
                  <a:pt x="0" y="204216"/>
                </a:lnTo>
                <a:lnTo>
                  <a:pt x="760476" y="204216"/>
                </a:lnTo>
                <a:lnTo>
                  <a:pt x="760476" y="0"/>
                </a:lnTo>
                <a:close/>
              </a:path>
              <a:path w="3808729" h="204470">
                <a:moveTo>
                  <a:pt x="1522476" y="0"/>
                </a:moveTo>
                <a:lnTo>
                  <a:pt x="763524" y="0"/>
                </a:lnTo>
                <a:lnTo>
                  <a:pt x="763524" y="204216"/>
                </a:lnTo>
                <a:lnTo>
                  <a:pt x="1522476" y="204216"/>
                </a:lnTo>
                <a:lnTo>
                  <a:pt x="1522476" y="0"/>
                </a:lnTo>
                <a:close/>
              </a:path>
              <a:path w="3808729" h="204470">
                <a:moveTo>
                  <a:pt x="2284463" y="0"/>
                </a:moveTo>
                <a:lnTo>
                  <a:pt x="1525524" y="0"/>
                </a:lnTo>
                <a:lnTo>
                  <a:pt x="1525524" y="204216"/>
                </a:lnTo>
                <a:lnTo>
                  <a:pt x="2284463" y="204216"/>
                </a:lnTo>
                <a:lnTo>
                  <a:pt x="2284463" y="0"/>
                </a:lnTo>
                <a:close/>
              </a:path>
              <a:path w="3808729" h="204470">
                <a:moveTo>
                  <a:pt x="3046476" y="0"/>
                </a:moveTo>
                <a:lnTo>
                  <a:pt x="2287524" y="0"/>
                </a:lnTo>
                <a:lnTo>
                  <a:pt x="2287524" y="204216"/>
                </a:lnTo>
                <a:lnTo>
                  <a:pt x="3046476" y="204216"/>
                </a:lnTo>
                <a:lnTo>
                  <a:pt x="3046476" y="0"/>
                </a:lnTo>
                <a:close/>
              </a:path>
              <a:path w="3808729" h="204470">
                <a:moveTo>
                  <a:pt x="3808476" y="0"/>
                </a:moveTo>
                <a:lnTo>
                  <a:pt x="3049524" y="0"/>
                </a:lnTo>
                <a:lnTo>
                  <a:pt x="3049524" y="204216"/>
                </a:lnTo>
                <a:lnTo>
                  <a:pt x="3808476" y="204216"/>
                </a:lnTo>
                <a:lnTo>
                  <a:pt x="3808476" y="0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11</xdr:col>
      <xdr:colOff>546481</xdr:colOff>
      <xdr:row>25</xdr:row>
      <xdr:rowOff>0</xdr:rowOff>
    </xdr:from>
    <xdr:ext cx="645160" cy="3929379"/>
    <xdr:sp macro="" textlink="">
      <xdr:nvSpPr>
        <xdr:cNvPr id="160" name="Shape 160">
          <a:extLst>
            <a:ext uri="{FF2B5EF4-FFF2-40B4-BE49-F238E27FC236}">
              <a16:creationId xmlns:a16="http://schemas.microsoft.com/office/drawing/2014/main" id="{00000000-0008-0000-0E00-0000A0000000}"/>
            </a:ext>
          </a:extLst>
        </xdr:cNvPr>
        <xdr:cNvSpPr/>
      </xdr:nvSpPr>
      <xdr:spPr>
        <a:xfrm>
          <a:off x="0" y="0"/>
          <a:ext cx="645160" cy="3929379"/>
        </a:xfrm>
        <a:custGeom>
          <a:avLst/>
          <a:gdLst/>
          <a:ahLst/>
          <a:cxnLst/>
          <a:rect l="0" t="0" r="0" b="0"/>
          <a:pathLst>
            <a:path w="645160" h="3929379">
              <a:moveTo>
                <a:pt x="644652" y="3724656"/>
              </a:moveTo>
              <a:lnTo>
                <a:pt x="0" y="3724656"/>
              </a:lnTo>
              <a:lnTo>
                <a:pt x="0" y="3928872"/>
              </a:lnTo>
              <a:lnTo>
                <a:pt x="644652" y="3928872"/>
              </a:lnTo>
              <a:lnTo>
                <a:pt x="644652" y="3724656"/>
              </a:lnTo>
              <a:close/>
            </a:path>
            <a:path w="645160" h="3929379">
              <a:moveTo>
                <a:pt x="644652" y="3517392"/>
              </a:moveTo>
              <a:lnTo>
                <a:pt x="0" y="3517392"/>
              </a:lnTo>
              <a:lnTo>
                <a:pt x="0" y="3721608"/>
              </a:lnTo>
              <a:lnTo>
                <a:pt x="644652" y="3721608"/>
              </a:lnTo>
              <a:lnTo>
                <a:pt x="644652" y="3517392"/>
              </a:lnTo>
              <a:close/>
            </a:path>
            <a:path w="645160" h="3929379">
              <a:moveTo>
                <a:pt x="644652" y="3311652"/>
              </a:moveTo>
              <a:lnTo>
                <a:pt x="0" y="3311652"/>
              </a:lnTo>
              <a:lnTo>
                <a:pt x="0" y="3514344"/>
              </a:lnTo>
              <a:lnTo>
                <a:pt x="644652" y="3514344"/>
              </a:lnTo>
              <a:lnTo>
                <a:pt x="644652" y="3311652"/>
              </a:lnTo>
              <a:close/>
            </a:path>
            <a:path w="645160" h="3929379">
              <a:moveTo>
                <a:pt x="644652" y="3104388"/>
              </a:moveTo>
              <a:lnTo>
                <a:pt x="0" y="3104388"/>
              </a:lnTo>
              <a:lnTo>
                <a:pt x="0" y="3308604"/>
              </a:lnTo>
              <a:lnTo>
                <a:pt x="644652" y="3308604"/>
              </a:lnTo>
              <a:lnTo>
                <a:pt x="644652" y="3104388"/>
              </a:lnTo>
              <a:close/>
            </a:path>
            <a:path w="645160" h="3929379">
              <a:moveTo>
                <a:pt x="644652" y="2897124"/>
              </a:moveTo>
              <a:lnTo>
                <a:pt x="0" y="2897124"/>
              </a:lnTo>
              <a:lnTo>
                <a:pt x="0" y="3101340"/>
              </a:lnTo>
              <a:lnTo>
                <a:pt x="644652" y="3101340"/>
              </a:lnTo>
              <a:lnTo>
                <a:pt x="644652" y="2897124"/>
              </a:lnTo>
              <a:close/>
            </a:path>
            <a:path w="645160" h="3929379">
              <a:moveTo>
                <a:pt x="644652" y="2689860"/>
              </a:moveTo>
              <a:lnTo>
                <a:pt x="0" y="2689860"/>
              </a:lnTo>
              <a:lnTo>
                <a:pt x="0" y="2894076"/>
              </a:lnTo>
              <a:lnTo>
                <a:pt x="644652" y="2894076"/>
              </a:lnTo>
              <a:lnTo>
                <a:pt x="644652" y="2689860"/>
              </a:lnTo>
              <a:close/>
            </a:path>
            <a:path w="645160" h="3929379">
              <a:moveTo>
                <a:pt x="644652" y="2482596"/>
              </a:moveTo>
              <a:lnTo>
                <a:pt x="0" y="2482596"/>
              </a:lnTo>
              <a:lnTo>
                <a:pt x="0" y="2686812"/>
              </a:lnTo>
              <a:lnTo>
                <a:pt x="644652" y="2686812"/>
              </a:lnTo>
              <a:lnTo>
                <a:pt x="644652" y="2482596"/>
              </a:lnTo>
              <a:close/>
            </a:path>
            <a:path w="645160" h="3929379">
              <a:moveTo>
                <a:pt x="644652" y="2276856"/>
              </a:moveTo>
              <a:lnTo>
                <a:pt x="0" y="2276856"/>
              </a:lnTo>
              <a:lnTo>
                <a:pt x="0" y="2479548"/>
              </a:lnTo>
              <a:lnTo>
                <a:pt x="644652" y="2479548"/>
              </a:lnTo>
              <a:lnTo>
                <a:pt x="644652" y="2276856"/>
              </a:lnTo>
              <a:close/>
            </a:path>
            <a:path w="645160" h="3929379">
              <a:moveTo>
                <a:pt x="644652" y="2069592"/>
              </a:moveTo>
              <a:lnTo>
                <a:pt x="0" y="2069592"/>
              </a:lnTo>
              <a:lnTo>
                <a:pt x="0" y="2273808"/>
              </a:lnTo>
              <a:lnTo>
                <a:pt x="644652" y="2273808"/>
              </a:lnTo>
              <a:lnTo>
                <a:pt x="644652" y="2069592"/>
              </a:lnTo>
              <a:close/>
            </a:path>
            <a:path w="645160" h="3929379">
              <a:moveTo>
                <a:pt x="644652" y="1862328"/>
              </a:moveTo>
              <a:lnTo>
                <a:pt x="0" y="1862328"/>
              </a:lnTo>
              <a:lnTo>
                <a:pt x="0" y="2066544"/>
              </a:lnTo>
              <a:lnTo>
                <a:pt x="644652" y="2066544"/>
              </a:lnTo>
              <a:lnTo>
                <a:pt x="644652" y="1862328"/>
              </a:lnTo>
              <a:close/>
            </a:path>
            <a:path w="645160" h="3929379">
              <a:moveTo>
                <a:pt x="644652" y="1655064"/>
              </a:moveTo>
              <a:lnTo>
                <a:pt x="0" y="1655064"/>
              </a:lnTo>
              <a:lnTo>
                <a:pt x="0" y="1859280"/>
              </a:lnTo>
              <a:lnTo>
                <a:pt x="644652" y="1859280"/>
              </a:lnTo>
              <a:lnTo>
                <a:pt x="644652" y="1655064"/>
              </a:lnTo>
              <a:close/>
            </a:path>
            <a:path w="645160" h="3929379">
              <a:moveTo>
                <a:pt x="644652" y="1449324"/>
              </a:moveTo>
              <a:lnTo>
                <a:pt x="0" y="1449324"/>
              </a:lnTo>
              <a:lnTo>
                <a:pt x="0" y="1652016"/>
              </a:lnTo>
              <a:lnTo>
                <a:pt x="644652" y="1652016"/>
              </a:lnTo>
              <a:lnTo>
                <a:pt x="644652" y="1449324"/>
              </a:lnTo>
              <a:close/>
            </a:path>
            <a:path w="645160" h="3929379">
              <a:moveTo>
                <a:pt x="644652" y="1242060"/>
              </a:moveTo>
              <a:lnTo>
                <a:pt x="0" y="1242060"/>
              </a:lnTo>
              <a:lnTo>
                <a:pt x="0" y="1446276"/>
              </a:lnTo>
              <a:lnTo>
                <a:pt x="644652" y="1446276"/>
              </a:lnTo>
              <a:lnTo>
                <a:pt x="644652" y="1242060"/>
              </a:lnTo>
              <a:close/>
            </a:path>
            <a:path w="645160" h="3929379">
              <a:moveTo>
                <a:pt x="644652" y="1034796"/>
              </a:moveTo>
              <a:lnTo>
                <a:pt x="0" y="1034796"/>
              </a:lnTo>
              <a:lnTo>
                <a:pt x="0" y="1239012"/>
              </a:lnTo>
              <a:lnTo>
                <a:pt x="644652" y="1239012"/>
              </a:lnTo>
              <a:lnTo>
                <a:pt x="644652" y="1034796"/>
              </a:lnTo>
              <a:close/>
            </a:path>
            <a:path w="645160" h="3929379">
              <a:moveTo>
                <a:pt x="644652" y="827532"/>
              </a:moveTo>
              <a:lnTo>
                <a:pt x="0" y="827532"/>
              </a:lnTo>
              <a:lnTo>
                <a:pt x="0" y="1031748"/>
              </a:lnTo>
              <a:lnTo>
                <a:pt x="644652" y="1031748"/>
              </a:lnTo>
              <a:lnTo>
                <a:pt x="644652" y="827532"/>
              </a:lnTo>
              <a:close/>
            </a:path>
            <a:path w="645160" h="3929379">
              <a:moveTo>
                <a:pt x="644652" y="621792"/>
              </a:moveTo>
              <a:lnTo>
                <a:pt x="0" y="621792"/>
              </a:lnTo>
              <a:lnTo>
                <a:pt x="0" y="824484"/>
              </a:lnTo>
              <a:lnTo>
                <a:pt x="644652" y="824484"/>
              </a:lnTo>
              <a:lnTo>
                <a:pt x="644652" y="621792"/>
              </a:lnTo>
              <a:close/>
            </a:path>
            <a:path w="645160" h="3929379">
              <a:moveTo>
                <a:pt x="644652" y="414528"/>
              </a:moveTo>
              <a:lnTo>
                <a:pt x="0" y="414528"/>
              </a:lnTo>
              <a:lnTo>
                <a:pt x="0" y="618744"/>
              </a:lnTo>
              <a:lnTo>
                <a:pt x="644652" y="618744"/>
              </a:lnTo>
              <a:lnTo>
                <a:pt x="644652" y="414528"/>
              </a:lnTo>
              <a:close/>
            </a:path>
            <a:path w="645160" h="3929379">
              <a:moveTo>
                <a:pt x="644652" y="207264"/>
              </a:moveTo>
              <a:lnTo>
                <a:pt x="0" y="207264"/>
              </a:lnTo>
              <a:lnTo>
                <a:pt x="0" y="411480"/>
              </a:lnTo>
              <a:lnTo>
                <a:pt x="644652" y="411480"/>
              </a:lnTo>
              <a:lnTo>
                <a:pt x="644652" y="207264"/>
              </a:lnTo>
              <a:close/>
            </a:path>
            <a:path w="645160" h="3929379">
              <a:moveTo>
                <a:pt x="644652" y="0"/>
              </a:moveTo>
              <a:lnTo>
                <a:pt x="0" y="0"/>
              </a:lnTo>
              <a:lnTo>
                <a:pt x="0" y="204216"/>
              </a:lnTo>
              <a:lnTo>
                <a:pt x="644652" y="204216"/>
              </a:lnTo>
              <a:lnTo>
                <a:pt x="644652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543687</xdr:colOff>
      <xdr:row>20</xdr:row>
      <xdr:rowOff>204977</xdr:rowOff>
    </xdr:from>
    <xdr:ext cx="3808729" cy="480059"/>
    <xdr:sp macro="" textlink="">
      <xdr:nvSpPr>
        <xdr:cNvPr id="161" name="Shape 161">
          <a:extLst>
            <a:ext uri="{FF2B5EF4-FFF2-40B4-BE49-F238E27FC236}">
              <a16:creationId xmlns:a16="http://schemas.microsoft.com/office/drawing/2014/main" id="{00000000-0008-0000-0F00-0000A1000000}"/>
            </a:ext>
          </a:extLst>
        </xdr:cNvPr>
        <xdr:cNvSpPr/>
      </xdr:nvSpPr>
      <xdr:spPr>
        <a:xfrm>
          <a:off x="0" y="0"/>
          <a:ext cx="3808729" cy="480059"/>
        </a:xfrm>
        <a:custGeom>
          <a:avLst/>
          <a:gdLst/>
          <a:ahLst/>
          <a:cxnLst/>
          <a:rect l="0" t="0" r="0" b="0"/>
          <a:pathLst>
            <a:path w="3808729" h="480059">
              <a:moveTo>
                <a:pt x="760476" y="0"/>
              </a:moveTo>
              <a:lnTo>
                <a:pt x="0" y="0"/>
              </a:lnTo>
              <a:lnTo>
                <a:pt x="0" y="480060"/>
              </a:lnTo>
              <a:lnTo>
                <a:pt x="760476" y="480060"/>
              </a:lnTo>
              <a:lnTo>
                <a:pt x="760476" y="0"/>
              </a:lnTo>
              <a:close/>
            </a:path>
            <a:path w="3808729" h="480059">
              <a:moveTo>
                <a:pt x="1522476" y="0"/>
              </a:moveTo>
              <a:lnTo>
                <a:pt x="763524" y="0"/>
              </a:lnTo>
              <a:lnTo>
                <a:pt x="763524" y="480060"/>
              </a:lnTo>
              <a:lnTo>
                <a:pt x="1522476" y="480060"/>
              </a:lnTo>
              <a:lnTo>
                <a:pt x="1522476" y="0"/>
              </a:lnTo>
              <a:close/>
            </a:path>
            <a:path w="3808729" h="480059">
              <a:moveTo>
                <a:pt x="2284463" y="0"/>
              </a:moveTo>
              <a:lnTo>
                <a:pt x="1525524" y="0"/>
              </a:lnTo>
              <a:lnTo>
                <a:pt x="1525524" y="480060"/>
              </a:lnTo>
              <a:lnTo>
                <a:pt x="2284463" y="480060"/>
              </a:lnTo>
              <a:lnTo>
                <a:pt x="2284463" y="0"/>
              </a:lnTo>
              <a:close/>
            </a:path>
            <a:path w="3808729" h="480059">
              <a:moveTo>
                <a:pt x="3046476" y="0"/>
              </a:moveTo>
              <a:lnTo>
                <a:pt x="2287524" y="0"/>
              </a:lnTo>
              <a:lnTo>
                <a:pt x="2287524" y="480060"/>
              </a:lnTo>
              <a:lnTo>
                <a:pt x="3046476" y="480060"/>
              </a:lnTo>
              <a:lnTo>
                <a:pt x="3046476" y="0"/>
              </a:lnTo>
              <a:close/>
            </a:path>
            <a:path w="3808729" h="480059">
              <a:moveTo>
                <a:pt x="3808476" y="0"/>
              </a:moveTo>
              <a:lnTo>
                <a:pt x="3049524" y="0"/>
              </a:lnTo>
              <a:lnTo>
                <a:pt x="3049524" y="480060"/>
              </a:lnTo>
              <a:lnTo>
                <a:pt x="3808476" y="480060"/>
              </a:lnTo>
              <a:lnTo>
                <a:pt x="3808476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5</xdr:col>
      <xdr:colOff>202691</xdr:colOff>
      <xdr:row>3</xdr:row>
      <xdr:rowOff>49142</xdr:rowOff>
    </xdr:from>
    <xdr:ext cx="381000" cy="290285"/>
    <xdr:pic>
      <xdr:nvPicPr>
        <xdr:cNvPr id="162" name="image1.jpeg">
          <a:extLst>
            <a:ext uri="{FF2B5EF4-FFF2-40B4-BE49-F238E27FC236}">
              <a16:creationId xmlns:a16="http://schemas.microsoft.com/office/drawing/2014/main" id="{00000000-0008-0000-0F00-0000A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290285"/>
        </a:xfrm>
        <a:prstGeom prst="rect">
          <a:avLst/>
        </a:prstGeom>
      </xdr:spPr>
    </xdr:pic>
    <xdr:clientData/>
  </xdr:oneCellAnchor>
  <xdr:oneCellAnchor>
    <xdr:from>
      <xdr:col>6</xdr:col>
      <xdr:colOff>201929</xdr:colOff>
      <xdr:row>3</xdr:row>
      <xdr:rowOff>761</xdr:rowOff>
    </xdr:from>
    <xdr:ext cx="338666" cy="381000"/>
    <xdr:pic>
      <xdr:nvPicPr>
        <xdr:cNvPr id="163" name="image2.jpeg">
          <a:extLst>
            <a:ext uri="{FF2B5EF4-FFF2-40B4-BE49-F238E27FC236}">
              <a16:creationId xmlns:a16="http://schemas.microsoft.com/office/drawing/2014/main" id="{00000000-0008-0000-0F00-0000A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38666" cy="381000"/>
        </a:xfrm>
        <a:prstGeom prst="rect">
          <a:avLst/>
        </a:prstGeom>
      </xdr:spPr>
    </xdr:pic>
    <xdr:clientData/>
  </xdr:oneCellAnchor>
  <xdr:oneCellAnchor>
    <xdr:from>
      <xdr:col>7</xdr:col>
      <xdr:colOff>201930</xdr:colOff>
      <xdr:row>3</xdr:row>
      <xdr:rowOff>49142</xdr:rowOff>
    </xdr:from>
    <xdr:ext cx="381000" cy="290285"/>
    <xdr:pic>
      <xdr:nvPicPr>
        <xdr:cNvPr id="164" name="image3.jpeg">
          <a:extLst>
            <a:ext uri="{FF2B5EF4-FFF2-40B4-BE49-F238E27FC236}">
              <a16:creationId xmlns:a16="http://schemas.microsoft.com/office/drawing/2014/main" id="{00000000-0008-0000-0F00-0000A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290285"/>
        </a:xfrm>
        <a:prstGeom prst="rect">
          <a:avLst/>
        </a:prstGeom>
      </xdr:spPr>
    </xdr:pic>
    <xdr:clientData/>
  </xdr:oneCellAnchor>
  <xdr:oneCellAnchor>
    <xdr:from>
      <xdr:col>8</xdr:col>
      <xdr:colOff>298691</xdr:colOff>
      <xdr:row>3</xdr:row>
      <xdr:rowOff>49142</xdr:rowOff>
    </xdr:from>
    <xdr:ext cx="193523" cy="290285"/>
    <xdr:pic>
      <xdr:nvPicPr>
        <xdr:cNvPr id="165" name="image4.jpeg">
          <a:extLst>
            <a:ext uri="{FF2B5EF4-FFF2-40B4-BE49-F238E27FC236}">
              <a16:creationId xmlns:a16="http://schemas.microsoft.com/office/drawing/2014/main" id="{00000000-0008-0000-0F00-0000A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3523" cy="290285"/>
        </a:xfrm>
        <a:prstGeom prst="rect">
          <a:avLst/>
        </a:prstGeom>
      </xdr:spPr>
    </xdr:pic>
    <xdr:clientData/>
  </xdr:oneCellAnchor>
  <xdr:oneCellAnchor>
    <xdr:from>
      <xdr:col>9</xdr:col>
      <xdr:colOff>201929</xdr:colOff>
      <xdr:row>3</xdr:row>
      <xdr:rowOff>761</xdr:rowOff>
    </xdr:from>
    <xdr:ext cx="381000" cy="381000"/>
    <xdr:pic>
      <xdr:nvPicPr>
        <xdr:cNvPr id="166" name="image5.jpeg">
          <a:extLst>
            <a:ext uri="{FF2B5EF4-FFF2-40B4-BE49-F238E27FC236}">
              <a16:creationId xmlns:a16="http://schemas.microsoft.com/office/drawing/2014/main" id="{00000000-0008-0000-0F00-0000A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381000"/>
        </a:xfrm>
        <a:prstGeom prst="rect">
          <a:avLst/>
        </a:prstGeom>
      </xdr:spPr>
    </xdr:pic>
    <xdr:clientData/>
  </xdr:oneCellAnchor>
  <xdr:oneCellAnchor>
    <xdr:from>
      <xdr:col>1</xdr:col>
      <xdr:colOff>226059</xdr:colOff>
      <xdr:row>22</xdr:row>
      <xdr:rowOff>0</xdr:rowOff>
    </xdr:from>
    <xdr:ext cx="7486015" cy="3514725"/>
    <xdr:grpSp>
      <xdr:nvGrpSpPr>
        <xdr:cNvPr id="167" name="Group 167">
          <a:extLst>
            <a:ext uri="{FF2B5EF4-FFF2-40B4-BE49-F238E27FC236}">
              <a16:creationId xmlns:a16="http://schemas.microsoft.com/office/drawing/2014/main" id="{00000000-0008-0000-0F00-0000A7000000}"/>
            </a:ext>
          </a:extLst>
        </xdr:cNvPr>
        <xdr:cNvGrpSpPr/>
      </xdr:nvGrpSpPr>
      <xdr:grpSpPr>
        <a:xfrm>
          <a:off x="607059" y="5615940"/>
          <a:ext cx="7486015" cy="3514725"/>
          <a:chOff x="0" y="0"/>
          <a:chExt cx="7486015" cy="3514725"/>
        </a:xfrm>
      </xdr:grpSpPr>
      <xdr:sp macro="" textlink="">
        <xdr:nvSpPr>
          <xdr:cNvPr id="168" name="Shape 168">
            <a:extLst>
              <a:ext uri="{FF2B5EF4-FFF2-40B4-BE49-F238E27FC236}">
                <a16:creationId xmlns:a16="http://schemas.microsoft.com/office/drawing/2014/main" id="{00000000-0008-0000-0F00-0000A8000000}"/>
              </a:ext>
            </a:extLst>
          </xdr:cNvPr>
          <xdr:cNvSpPr/>
        </xdr:nvSpPr>
        <xdr:spPr>
          <a:xfrm>
            <a:off x="0" y="0"/>
            <a:ext cx="7486015" cy="2066925"/>
          </a:xfrm>
          <a:custGeom>
            <a:avLst/>
            <a:gdLst/>
            <a:ahLst/>
            <a:cxnLst/>
            <a:rect l="0" t="0" r="0" b="0"/>
            <a:pathLst>
              <a:path w="7486015" h="2066925">
                <a:moveTo>
                  <a:pt x="312420" y="0"/>
                </a:moveTo>
                <a:lnTo>
                  <a:pt x="0" y="0"/>
                </a:lnTo>
                <a:lnTo>
                  <a:pt x="0" y="2066544"/>
                </a:lnTo>
                <a:lnTo>
                  <a:pt x="312420" y="2066544"/>
                </a:lnTo>
                <a:lnTo>
                  <a:pt x="312420" y="0"/>
                </a:lnTo>
                <a:close/>
              </a:path>
              <a:path w="7486015" h="2066925">
                <a:moveTo>
                  <a:pt x="1264920" y="0"/>
                </a:moveTo>
                <a:lnTo>
                  <a:pt x="315468" y="0"/>
                </a:lnTo>
                <a:lnTo>
                  <a:pt x="315468" y="2066544"/>
                </a:lnTo>
                <a:lnTo>
                  <a:pt x="1264920" y="2066544"/>
                </a:lnTo>
                <a:lnTo>
                  <a:pt x="1264920" y="0"/>
                </a:lnTo>
                <a:close/>
              </a:path>
              <a:path w="7486015" h="2066925">
                <a:moveTo>
                  <a:pt x="2531364" y="827532"/>
                </a:moveTo>
                <a:lnTo>
                  <a:pt x="1267968" y="827532"/>
                </a:lnTo>
                <a:lnTo>
                  <a:pt x="1267968" y="2066544"/>
                </a:lnTo>
                <a:lnTo>
                  <a:pt x="2531364" y="2066544"/>
                </a:lnTo>
                <a:lnTo>
                  <a:pt x="2531364" y="827532"/>
                </a:lnTo>
                <a:close/>
              </a:path>
              <a:path w="7486015" h="2066925">
                <a:moveTo>
                  <a:pt x="2531364" y="0"/>
                </a:moveTo>
                <a:lnTo>
                  <a:pt x="1267968" y="0"/>
                </a:lnTo>
                <a:lnTo>
                  <a:pt x="1267968" y="824484"/>
                </a:lnTo>
                <a:lnTo>
                  <a:pt x="2531364" y="824484"/>
                </a:lnTo>
                <a:lnTo>
                  <a:pt x="2531364" y="0"/>
                </a:lnTo>
                <a:close/>
              </a:path>
              <a:path w="7486015" h="2066925">
                <a:moveTo>
                  <a:pt x="3037332" y="1862328"/>
                </a:moveTo>
                <a:lnTo>
                  <a:pt x="2534412" y="1862328"/>
                </a:lnTo>
                <a:lnTo>
                  <a:pt x="2534412" y="2066544"/>
                </a:lnTo>
                <a:lnTo>
                  <a:pt x="3037332" y="2066544"/>
                </a:lnTo>
                <a:lnTo>
                  <a:pt x="3037332" y="1862328"/>
                </a:lnTo>
                <a:close/>
              </a:path>
              <a:path w="7486015" h="2066925">
                <a:moveTo>
                  <a:pt x="3037332" y="1655064"/>
                </a:moveTo>
                <a:lnTo>
                  <a:pt x="2534412" y="1655064"/>
                </a:lnTo>
                <a:lnTo>
                  <a:pt x="2534412" y="1859280"/>
                </a:lnTo>
                <a:lnTo>
                  <a:pt x="3037332" y="1859280"/>
                </a:lnTo>
                <a:lnTo>
                  <a:pt x="3037332" y="1655064"/>
                </a:lnTo>
                <a:close/>
              </a:path>
              <a:path w="7486015" h="2066925">
                <a:moveTo>
                  <a:pt x="3037332" y="1449324"/>
                </a:moveTo>
                <a:lnTo>
                  <a:pt x="2534412" y="1449324"/>
                </a:lnTo>
                <a:lnTo>
                  <a:pt x="2534412" y="1652016"/>
                </a:lnTo>
                <a:lnTo>
                  <a:pt x="3037332" y="1652016"/>
                </a:lnTo>
                <a:lnTo>
                  <a:pt x="3037332" y="1449324"/>
                </a:lnTo>
                <a:close/>
              </a:path>
              <a:path w="7486015" h="2066925">
                <a:moveTo>
                  <a:pt x="3037332" y="1242060"/>
                </a:moveTo>
                <a:lnTo>
                  <a:pt x="2534412" y="1242060"/>
                </a:lnTo>
                <a:lnTo>
                  <a:pt x="2534412" y="1446276"/>
                </a:lnTo>
                <a:lnTo>
                  <a:pt x="3037332" y="1446276"/>
                </a:lnTo>
                <a:lnTo>
                  <a:pt x="3037332" y="1242060"/>
                </a:lnTo>
                <a:close/>
              </a:path>
              <a:path w="7486015" h="2066925">
                <a:moveTo>
                  <a:pt x="3037332" y="1034796"/>
                </a:moveTo>
                <a:lnTo>
                  <a:pt x="2534412" y="1034796"/>
                </a:lnTo>
                <a:lnTo>
                  <a:pt x="2534412" y="1239012"/>
                </a:lnTo>
                <a:lnTo>
                  <a:pt x="3037332" y="1239012"/>
                </a:lnTo>
                <a:lnTo>
                  <a:pt x="3037332" y="1034796"/>
                </a:lnTo>
                <a:close/>
              </a:path>
              <a:path w="7486015" h="2066925">
                <a:moveTo>
                  <a:pt x="3037332" y="827532"/>
                </a:moveTo>
                <a:lnTo>
                  <a:pt x="2534412" y="827532"/>
                </a:lnTo>
                <a:lnTo>
                  <a:pt x="2534412" y="1031748"/>
                </a:lnTo>
                <a:lnTo>
                  <a:pt x="3037332" y="1031748"/>
                </a:lnTo>
                <a:lnTo>
                  <a:pt x="3037332" y="827532"/>
                </a:lnTo>
                <a:close/>
              </a:path>
              <a:path w="7486015" h="2066925">
                <a:moveTo>
                  <a:pt x="3037332" y="621792"/>
                </a:moveTo>
                <a:lnTo>
                  <a:pt x="2534412" y="621792"/>
                </a:lnTo>
                <a:lnTo>
                  <a:pt x="2534412" y="824484"/>
                </a:lnTo>
                <a:lnTo>
                  <a:pt x="3037332" y="824484"/>
                </a:lnTo>
                <a:lnTo>
                  <a:pt x="3037332" y="621792"/>
                </a:lnTo>
                <a:close/>
              </a:path>
              <a:path w="7486015" h="2066925">
                <a:moveTo>
                  <a:pt x="3037332" y="414528"/>
                </a:moveTo>
                <a:lnTo>
                  <a:pt x="2534412" y="414528"/>
                </a:lnTo>
                <a:lnTo>
                  <a:pt x="2534412" y="618744"/>
                </a:lnTo>
                <a:lnTo>
                  <a:pt x="3037332" y="618744"/>
                </a:lnTo>
                <a:lnTo>
                  <a:pt x="3037332" y="414528"/>
                </a:lnTo>
                <a:close/>
              </a:path>
              <a:path w="7486015" h="2066925">
                <a:moveTo>
                  <a:pt x="3037332" y="207264"/>
                </a:moveTo>
                <a:lnTo>
                  <a:pt x="2534412" y="207264"/>
                </a:lnTo>
                <a:lnTo>
                  <a:pt x="2534412" y="411480"/>
                </a:lnTo>
                <a:lnTo>
                  <a:pt x="3037332" y="411480"/>
                </a:lnTo>
                <a:lnTo>
                  <a:pt x="3037332" y="207264"/>
                </a:lnTo>
                <a:close/>
              </a:path>
              <a:path w="7486015" h="2066925">
                <a:moveTo>
                  <a:pt x="3037332" y="0"/>
                </a:moveTo>
                <a:lnTo>
                  <a:pt x="2534412" y="0"/>
                </a:lnTo>
                <a:lnTo>
                  <a:pt x="2534412" y="204216"/>
                </a:lnTo>
                <a:lnTo>
                  <a:pt x="3037332" y="204216"/>
                </a:lnTo>
                <a:lnTo>
                  <a:pt x="3037332" y="0"/>
                </a:lnTo>
                <a:close/>
              </a:path>
              <a:path w="7486015" h="2066925">
                <a:moveTo>
                  <a:pt x="3674364" y="1862328"/>
                </a:moveTo>
                <a:lnTo>
                  <a:pt x="3040380" y="1862328"/>
                </a:lnTo>
                <a:lnTo>
                  <a:pt x="3040380" y="2066544"/>
                </a:lnTo>
                <a:lnTo>
                  <a:pt x="3674364" y="2066544"/>
                </a:lnTo>
                <a:lnTo>
                  <a:pt x="3674364" y="1862328"/>
                </a:lnTo>
                <a:close/>
              </a:path>
              <a:path w="7486015" h="2066925">
                <a:moveTo>
                  <a:pt x="3674364" y="1655064"/>
                </a:moveTo>
                <a:lnTo>
                  <a:pt x="3040380" y="1655064"/>
                </a:lnTo>
                <a:lnTo>
                  <a:pt x="3040380" y="1859280"/>
                </a:lnTo>
                <a:lnTo>
                  <a:pt x="3674364" y="1859280"/>
                </a:lnTo>
                <a:lnTo>
                  <a:pt x="3674364" y="1655064"/>
                </a:lnTo>
                <a:close/>
              </a:path>
              <a:path w="7486015" h="2066925">
                <a:moveTo>
                  <a:pt x="3674364" y="1449324"/>
                </a:moveTo>
                <a:lnTo>
                  <a:pt x="3040380" y="1449324"/>
                </a:lnTo>
                <a:lnTo>
                  <a:pt x="3040380" y="1652016"/>
                </a:lnTo>
                <a:lnTo>
                  <a:pt x="3674364" y="1652016"/>
                </a:lnTo>
                <a:lnTo>
                  <a:pt x="3674364" y="1449324"/>
                </a:lnTo>
                <a:close/>
              </a:path>
              <a:path w="7486015" h="2066925">
                <a:moveTo>
                  <a:pt x="3674364" y="1242060"/>
                </a:moveTo>
                <a:lnTo>
                  <a:pt x="3040380" y="1242060"/>
                </a:lnTo>
                <a:lnTo>
                  <a:pt x="3040380" y="1446276"/>
                </a:lnTo>
                <a:lnTo>
                  <a:pt x="3674364" y="1446276"/>
                </a:lnTo>
                <a:lnTo>
                  <a:pt x="3674364" y="1242060"/>
                </a:lnTo>
                <a:close/>
              </a:path>
              <a:path w="7486015" h="2066925">
                <a:moveTo>
                  <a:pt x="3674364" y="1034796"/>
                </a:moveTo>
                <a:lnTo>
                  <a:pt x="3040380" y="1034796"/>
                </a:lnTo>
                <a:lnTo>
                  <a:pt x="3040380" y="1239012"/>
                </a:lnTo>
                <a:lnTo>
                  <a:pt x="3674364" y="1239012"/>
                </a:lnTo>
                <a:lnTo>
                  <a:pt x="3674364" y="1034796"/>
                </a:lnTo>
                <a:close/>
              </a:path>
              <a:path w="7486015" h="2066925">
                <a:moveTo>
                  <a:pt x="3674364" y="827532"/>
                </a:moveTo>
                <a:lnTo>
                  <a:pt x="3040380" y="827532"/>
                </a:lnTo>
                <a:lnTo>
                  <a:pt x="3040380" y="1031748"/>
                </a:lnTo>
                <a:lnTo>
                  <a:pt x="3674364" y="1031748"/>
                </a:lnTo>
                <a:lnTo>
                  <a:pt x="3674364" y="827532"/>
                </a:lnTo>
                <a:close/>
              </a:path>
              <a:path w="7486015" h="2066925">
                <a:moveTo>
                  <a:pt x="3674364" y="621792"/>
                </a:moveTo>
                <a:lnTo>
                  <a:pt x="3040380" y="621792"/>
                </a:lnTo>
                <a:lnTo>
                  <a:pt x="3040380" y="824484"/>
                </a:lnTo>
                <a:lnTo>
                  <a:pt x="3674364" y="824484"/>
                </a:lnTo>
                <a:lnTo>
                  <a:pt x="3674364" y="621792"/>
                </a:lnTo>
                <a:close/>
              </a:path>
              <a:path w="7486015" h="2066925">
                <a:moveTo>
                  <a:pt x="3674364" y="414528"/>
                </a:moveTo>
                <a:lnTo>
                  <a:pt x="3040380" y="414528"/>
                </a:lnTo>
                <a:lnTo>
                  <a:pt x="3040380" y="618744"/>
                </a:lnTo>
                <a:lnTo>
                  <a:pt x="3674364" y="618744"/>
                </a:lnTo>
                <a:lnTo>
                  <a:pt x="3674364" y="414528"/>
                </a:lnTo>
                <a:close/>
              </a:path>
              <a:path w="7486015" h="2066925">
                <a:moveTo>
                  <a:pt x="3674364" y="207264"/>
                </a:moveTo>
                <a:lnTo>
                  <a:pt x="3040380" y="207264"/>
                </a:lnTo>
                <a:lnTo>
                  <a:pt x="3040380" y="411480"/>
                </a:lnTo>
                <a:lnTo>
                  <a:pt x="3674364" y="411480"/>
                </a:lnTo>
                <a:lnTo>
                  <a:pt x="3674364" y="207264"/>
                </a:lnTo>
                <a:close/>
              </a:path>
              <a:path w="7486015" h="2066925">
                <a:moveTo>
                  <a:pt x="3674364" y="0"/>
                </a:moveTo>
                <a:lnTo>
                  <a:pt x="3040380" y="0"/>
                </a:lnTo>
                <a:lnTo>
                  <a:pt x="3040380" y="204216"/>
                </a:lnTo>
                <a:lnTo>
                  <a:pt x="3674364" y="204216"/>
                </a:lnTo>
                <a:lnTo>
                  <a:pt x="3674364" y="0"/>
                </a:lnTo>
                <a:close/>
              </a:path>
              <a:path w="7486015" h="2066925">
                <a:moveTo>
                  <a:pt x="4437888" y="1862328"/>
                </a:moveTo>
                <a:lnTo>
                  <a:pt x="3677412" y="1862328"/>
                </a:lnTo>
                <a:lnTo>
                  <a:pt x="3677412" y="2066544"/>
                </a:lnTo>
                <a:lnTo>
                  <a:pt x="4437888" y="2066544"/>
                </a:lnTo>
                <a:lnTo>
                  <a:pt x="4437888" y="1862328"/>
                </a:lnTo>
                <a:close/>
              </a:path>
              <a:path w="7486015" h="2066925">
                <a:moveTo>
                  <a:pt x="4437888" y="1655064"/>
                </a:moveTo>
                <a:lnTo>
                  <a:pt x="3677412" y="1655064"/>
                </a:lnTo>
                <a:lnTo>
                  <a:pt x="3677412" y="1859280"/>
                </a:lnTo>
                <a:lnTo>
                  <a:pt x="4437888" y="1859280"/>
                </a:lnTo>
                <a:lnTo>
                  <a:pt x="4437888" y="1655064"/>
                </a:lnTo>
                <a:close/>
              </a:path>
              <a:path w="7486015" h="2066925">
                <a:moveTo>
                  <a:pt x="4437888" y="1449324"/>
                </a:moveTo>
                <a:lnTo>
                  <a:pt x="3677412" y="1449324"/>
                </a:lnTo>
                <a:lnTo>
                  <a:pt x="3677412" y="1652016"/>
                </a:lnTo>
                <a:lnTo>
                  <a:pt x="4437888" y="1652016"/>
                </a:lnTo>
                <a:lnTo>
                  <a:pt x="4437888" y="1449324"/>
                </a:lnTo>
                <a:close/>
              </a:path>
              <a:path w="7486015" h="2066925">
                <a:moveTo>
                  <a:pt x="4437888" y="1242060"/>
                </a:moveTo>
                <a:lnTo>
                  <a:pt x="3677412" y="1242060"/>
                </a:lnTo>
                <a:lnTo>
                  <a:pt x="3677412" y="1446276"/>
                </a:lnTo>
                <a:lnTo>
                  <a:pt x="4437888" y="1446276"/>
                </a:lnTo>
                <a:lnTo>
                  <a:pt x="4437888" y="1242060"/>
                </a:lnTo>
                <a:close/>
              </a:path>
              <a:path w="7486015" h="2066925">
                <a:moveTo>
                  <a:pt x="4437888" y="1034796"/>
                </a:moveTo>
                <a:lnTo>
                  <a:pt x="3677412" y="1034796"/>
                </a:lnTo>
                <a:lnTo>
                  <a:pt x="3677412" y="1239012"/>
                </a:lnTo>
                <a:lnTo>
                  <a:pt x="4437888" y="1239012"/>
                </a:lnTo>
                <a:lnTo>
                  <a:pt x="4437888" y="1034796"/>
                </a:lnTo>
                <a:close/>
              </a:path>
              <a:path w="7486015" h="2066925">
                <a:moveTo>
                  <a:pt x="4437888" y="827532"/>
                </a:moveTo>
                <a:lnTo>
                  <a:pt x="3677412" y="827532"/>
                </a:lnTo>
                <a:lnTo>
                  <a:pt x="3677412" y="1031748"/>
                </a:lnTo>
                <a:lnTo>
                  <a:pt x="4437888" y="1031748"/>
                </a:lnTo>
                <a:lnTo>
                  <a:pt x="4437888" y="827532"/>
                </a:lnTo>
                <a:close/>
              </a:path>
              <a:path w="7486015" h="2066925">
                <a:moveTo>
                  <a:pt x="4437888" y="621792"/>
                </a:moveTo>
                <a:lnTo>
                  <a:pt x="3677412" y="621792"/>
                </a:lnTo>
                <a:lnTo>
                  <a:pt x="3677412" y="824484"/>
                </a:lnTo>
                <a:lnTo>
                  <a:pt x="4437888" y="824484"/>
                </a:lnTo>
                <a:lnTo>
                  <a:pt x="4437888" y="621792"/>
                </a:lnTo>
                <a:close/>
              </a:path>
              <a:path w="7486015" h="2066925">
                <a:moveTo>
                  <a:pt x="4437888" y="414528"/>
                </a:moveTo>
                <a:lnTo>
                  <a:pt x="3677412" y="414528"/>
                </a:lnTo>
                <a:lnTo>
                  <a:pt x="3677412" y="618744"/>
                </a:lnTo>
                <a:lnTo>
                  <a:pt x="4437888" y="618744"/>
                </a:lnTo>
                <a:lnTo>
                  <a:pt x="4437888" y="414528"/>
                </a:lnTo>
                <a:close/>
              </a:path>
              <a:path w="7486015" h="2066925">
                <a:moveTo>
                  <a:pt x="4437888" y="207264"/>
                </a:moveTo>
                <a:lnTo>
                  <a:pt x="3677412" y="207264"/>
                </a:lnTo>
                <a:lnTo>
                  <a:pt x="3677412" y="411480"/>
                </a:lnTo>
                <a:lnTo>
                  <a:pt x="4437888" y="411480"/>
                </a:lnTo>
                <a:lnTo>
                  <a:pt x="4437888" y="207264"/>
                </a:lnTo>
                <a:close/>
              </a:path>
              <a:path w="7486015" h="2066925">
                <a:moveTo>
                  <a:pt x="4437888" y="0"/>
                </a:moveTo>
                <a:lnTo>
                  <a:pt x="3677412" y="0"/>
                </a:lnTo>
                <a:lnTo>
                  <a:pt x="3677412" y="204216"/>
                </a:lnTo>
                <a:lnTo>
                  <a:pt x="4437888" y="204216"/>
                </a:lnTo>
                <a:lnTo>
                  <a:pt x="4437888" y="0"/>
                </a:lnTo>
                <a:close/>
              </a:path>
              <a:path w="7486015" h="2066925">
                <a:moveTo>
                  <a:pt x="5199888" y="1862328"/>
                </a:moveTo>
                <a:lnTo>
                  <a:pt x="4440936" y="1862328"/>
                </a:lnTo>
                <a:lnTo>
                  <a:pt x="4440936" y="2066544"/>
                </a:lnTo>
                <a:lnTo>
                  <a:pt x="5199888" y="2066544"/>
                </a:lnTo>
                <a:lnTo>
                  <a:pt x="5199888" y="1862328"/>
                </a:lnTo>
                <a:close/>
              </a:path>
              <a:path w="7486015" h="2066925">
                <a:moveTo>
                  <a:pt x="5199888" y="1655064"/>
                </a:moveTo>
                <a:lnTo>
                  <a:pt x="4440936" y="1655064"/>
                </a:lnTo>
                <a:lnTo>
                  <a:pt x="4440936" y="1859280"/>
                </a:lnTo>
                <a:lnTo>
                  <a:pt x="5199888" y="1859280"/>
                </a:lnTo>
                <a:lnTo>
                  <a:pt x="5199888" y="1655064"/>
                </a:lnTo>
                <a:close/>
              </a:path>
              <a:path w="7486015" h="2066925">
                <a:moveTo>
                  <a:pt x="5199888" y="1449324"/>
                </a:moveTo>
                <a:lnTo>
                  <a:pt x="4440936" y="1449324"/>
                </a:lnTo>
                <a:lnTo>
                  <a:pt x="4440936" y="1652016"/>
                </a:lnTo>
                <a:lnTo>
                  <a:pt x="5199888" y="1652016"/>
                </a:lnTo>
                <a:lnTo>
                  <a:pt x="5199888" y="1449324"/>
                </a:lnTo>
                <a:close/>
              </a:path>
              <a:path w="7486015" h="2066925">
                <a:moveTo>
                  <a:pt x="5199888" y="1242060"/>
                </a:moveTo>
                <a:lnTo>
                  <a:pt x="4440936" y="1242060"/>
                </a:lnTo>
                <a:lnTo>
                  <a:pt x="4440936" y="1446276"/>
                </a:lnTo>
                <a:lnTo>
                  <a:pt x="5199888" y="1446276"/>
                </a:lnTo>
                <a:lnTo>
                  <a:pt x="5199888" y="1242060"/>
                </a:lnTo>
                <a:close/>
              </a:path>
              <a:path w="7486015" h="2066925">
                <a:moveTo>
                  <a:pt x="5199888" y="1034796"/>
                </a:moveTo>
                <a:lnTo>
                  <a:pt x="4440936" y="1034796"/>
                </a:lnTo>
                <a:lnTo>
                  <a:pt x="4440936" y="1239012"/>
                </a:lnTo>
                <a:lnTo>
                  <a:pt x="5199888" y="1239012"/>
                </a:lnTo>
                <a:lnTo>
                  <a:pt x="5199888" y="1034796"/>
                </a:lnTo>
                <a:close/>
              </a:path>
              <a:path w="7486015" h="2066925">
                <a:moveTo>
                  <a:pt x="5199888" y="827532"/>
                </a:moveTo>
                <a:lnTo>
                  <a:pt x="4440936" y="827532"/>
                </a:lnTo>
                <a:lnTo>
                  <a:pt x="4440936" y="1031748"/>
                </a:lnTo>
                <a:lnTo>
                  <a:pt x="5199888" y="1031748"/>
                </a:lnTo>
                <a:lnTo>
                  <a:pt x="5199888" y="827532"/>
                </a:lnTo>
                <a:close/>
              </a:path>
              <a:path w="7486015" h="2066925">
                <a:moveTo>
                  <a:pt x="5199888" y="621792"/>
                </a:moveTo>
                <a:lnTo>
                  <a:pt x="4440936" y="621792"/>
                </a:lnTo>
                <a:lnTo>
                  <a:pt x="4440936" y="824484"/>
                </a:lnTo>
                <a:lnTo>
                  <a:pt x="5199888" y="824484"/>
                </a:lnTo>
                <a:lnTo>
                  <a:pt x="5199888" y="621792"/>
                </a:lnTo>
                <a:close/>
              </a:path>
              <a:path w="7486015" h="2066925">
                <a:moveTo>
                  <a:pt x="5199888" y="414528"/>
                </a:moveTo>
                <a:lnTo>
                  <a:pt x="4440936" y="414528"/>
                </a:lnTo>
                <a:lnTo>
                  <a:pt x="4440936" y="618744"/>
                </a:lnTo>
                <a:lnTo>
                  <a:pt x="5199888" y="618744"/>
                </a:lnTo>
                <a:lnTo>
                  <a:pt x="5199888" y="414528"/>
                </a:lnTo>
                <a:close/>
              </a:path>
              <a:path w="7486015" h="2066925">
                <a:moveTo>
                  <a:pt x="5199888" y="207264"/>
                </a:moveTo>
                <a:lnTo>
                  <a:pt x="4440936" y="207264"/>
                </a:lnTo>
                <a:lnTo>
                  <a:pt x="4440936" y="411480"/>
                </a:lnTo>
                <a:lnTo>
                  <a:pt x="5199888" y="411480"/>
                </a:lnTo>
                <a:lnTo>
                  <a:pt x="5199888" y="207264"/>
                </a:lnTo>
                <a:close/>
              </a:path>
              <a:path w="7486015" h="2066925">
                <a:moveTo>
                  <a:pt x="5199888" y="0"/>
                </a:moveTo>
                <a:lnTo>
                  <a:pt x="4440936" y="0"/>
                </a:lnTo>
                <a:lnTo>
                  <a:pt x="4440936" y="204216"/>
                </a:lnTo>
                <a:lnTo>
                  <a:pt x="5199888" y="204216"/>
                </a:lnTo>
                <a:lnTo>
                  <a:pt x="5199888" y="0"/>
                </a:lnTo>
                <a:close/>
              </a:path>
              <a:path w="7486015" h="2066925">
                <a:moveTo>
                  <a:pt x="5961875" y="1655064"/>
                </a:moveTo>
                <a:lnTo>
                  <a:pt x="5202936" y="1655064"/>
                </a:lnTo>
                <a:lnTo>
                  <a:pt x="5202936" y="1859280"/>
                </a:lnTo>
                <a:lnTo>
                  <a:pt x="5961875" y="1859280"/>
                </a:lnTo>
                <a:lnTo>
                  <a:pt x="5961875" y="1655064"/>
                </a:lnTo>
                <a:close/>
              </a:path>
              <a:path w="7486015" h="2066925">
                <a:moveTo>
                  <a:pt x="5961875" y="1449324"/>
                </a:moveTo>
                <a:lnTo>
                  <a:pt x="5202936" y="1449324"/>
                </a:lnTo>
                <a:lnTo>
                  <a:pt x="5202936" y="1652016"/>
                </a:lnTo>
                <a:lnTo>
                  <a:pt x="5961875" y="1652016"/>
                </a:lnTo>
                <a:lnTo>
                  <a:pt x="5961875" y="1449324"/>
                </a:lnTo>
                <a:close/>
              </a:path>
              <a:path w="7486015" h="2066925">
                <a:moveTo>
                  <a:pt x="5961875" y="1242060"/>
                </a:moveTo>
                <a:lnTo>
                  <a:pt x="5202936" y="1242060"/>
                </a:lnTo>
                <a:lnTo>
                  <a:pt x="5202936" y="1446276"/>
                </a:lnTo>
                <a:lnTo>
                  <a:pt x="5961875" y="1446276"/>
                </a:lnTo>
                <a:lnTo>
                  <a:pt x="5961875" y="1242060"/>
                </a:lnTo>
                <a:close/>
              </a:path>
              <a:path w="7486015" h="2066925">
                <a:moveTo>
                  <a:pt x="5961875" y="1034796"/>
                </a:moveTo>
                <a:lnTo>
                  <a:pt x="5202936" y="1034796"/>
                </a:lnTo>
                <a:lnTo>
                  <a:pt x="5202936" y="1239012"/>
                </a:lnTo>
                <a:lnTo>
                  <a:pt x="5961875" y="1239012"/>
                </a:lnTo>
                <a:lnTo>
                  <a:pt x="5961875" y="1034796"/>
                </a:lnTo>
                <a:close/>
              </a:path>
              <a:path w="7486015" h="2066925">
                <a:moveTo>
                  <a:pt x="5961875" y="827532"/>
                </a:moveTo>
                <a:lnTo>
                  <a:pt x="5202936" y="827532"/>
                </a:lnTo>
                <a:lnTo>
                  <a:pt x="5202936" y="1031748"/>
                </a:lnTo>
                <a:lnTo>
                  <a:pt x="5961875" y="1031748"/>
                </a:lnTo>
                <a:lnTo>
                  <a:pt x="5961875" y="827532"/>
                </a:lnTo>
                <a:close/>
              </a:path>
              <a:path w="7486015" h="2066925">
                <a:moveTo>
                  <a:pt x="5961875" y="621792"/>
                </a:moveTo>
                <a:lnTo>
                  <a:pt x="5202936" y="621792"/>
                </a:lnTo>
                <a:lnTo>
                  <a:pt x="5202936" y="824484"/>
                </a:lnTo>
                <a:lnTo>
                  <a:pt x="5961875" y="824484"/>
                </a:lnTo>
                <a:lnTo>
                  <a:pt x="5961875" y="621792"/>
                </a:lnTo>
                <a:close/>
              </a:path>
              <a:path w="7486015" h="2066925">
                <a:moveTo>
                  <a:pt x="5961875" y="414528"/>
                </a:moveTo>
                <a:lnTo>
                  <a:pt x="5202936" y="414528"/>
                </a:lnTo>
                <a:lnTo>
                  <a:pt x="5202936" y="618744"/>
                </a:lnTo>
                <a:lnTo>
                  <a:pt x="5961875" y="618744"/>
                </a:lnTo>
                <a:lnTo>
                  <a:pt x="5961875" y="414528"/>
                </a:lnTo>
                <a:close/>
              </a:path>
              <a:path w="7486015" h="2066925">
                <a:moveTo>
                  <a:pt x="5961875" y="207264"/>
                </a:moveTo>
                <a:lnTo>
                  <a:pt x="5202936" y="207264"/>
                </a:lnTo>
                <a:lnTo>
                  <a:pt x="5202936" y="411480"/>
                </a:lnTo>
                <a:lnTo>
                  <a:pt x="5961875" y="411480"/>
                </a:lnTo>
                <a:lnTo>
                  <a:pt x="5961875" y="207264"/>
                </a:lnTo>
                <a:close/>
              </a:path>
              <a:path w="7486015" h="2066925">
                <a:moveTo>
                  <a:pt x="5961875" y="0"/>
                </a:moveTo>
                <a:lnTo>
                  <a:pt x="5202936" y="0"/>
                </a:lnTo>
                <a:lnTo>
                  <a:pt x="5202936" y="204216"/>
                </a:lnTo>
                <a:lnTo>
                  <a:pt x="5961875" y="204216"/>
                </a:lnTo>
                <a:lnTo>
                  <a:pt x="5961875" y="0"/>
                </a:lnTo>
                <a:close/>
              </a:path>
              <a:path w="7486015" h="2066925">
                <a:moveTo>
                  <a:pt x="6723888" y="1655064"/>
                </a:moveTo>
                <a:lnTo>
                  <a:pt x="5964936" y="1655064"/>
                </a:lnTo>
                <a:lnTo>
                  <a:pt x="5964936" y="1859280"/>
                </a:lnTo>
                <a:lnTo>
                  <a:pt x="6723888" y="1859280"/>
                </a:lnTo>
                <a:lnTo>
                  <a:pt x="6723888" y="1655064"/>
                </a:lnTo>
                <a:close/>
              </a:path>
              <a:path w="7486015" h="2066925">
                <a:moveTo>
                  <a:pt x="6723888" y="1449324"/>
                </a:moveTo>
                <a:lnTo>
                  <a:pt x="5964936" y="1449324"/>
                </a:lnTo>
                <a:lnTo>
                  <a:pt x="5964936" y="1652016"/>
                </a:lnTo>
                <a:lnTo>
                  <a:pt x="6723888" y="1652016"/>
                </a:lnTo>
                <a:lnTo>
                  <a:pt x="6723888" y="1449324"/>
                </a:lnTo>
                <a:close/>
              </a:path>
              <a:path w="7486015" h="2066925">
                <a:moveTo>
                  <a:pt x="6723888" y="1242060"/>
                </a:moveTo>
                <a:lnTo>
                  <a:pt x="5964936" y="1242060"/>
                </a:lnTo>
                <a:lnTo>
                  <a:pt x="5964936" y="1446276"/>
                </a:lnTo>
                <a:lnTo>
                  <a:pt x="6723888" y="1446276"/>
                </a:lnTo>
                <a:lnTo>
                  <a:pt x="6723888" y="1242060"/>
                </a:lnTo>
                <a:close/>
              </a:path>
              <a:path w="7486015" h="2066925">
                <a:moveTo>
                  <a:pt x="6723888" y="1034796"/>
                </a:moveTo>
                <a:lnTo>
                  <a:pt x="5964936" y="1034796"/>
                </a:lnTo>
                <a:lnTo>
                  <a:pt x="5964936" y="1239012"/>
                </a:lnTo>
                <a:lnTo>
                  <a:pt x="6723888" y="1239012"/>
                </a:lnTo>
                <a:lnTo>
                  <a:pt x="6723888" y="1034796"/>
                </a:lnTo>
                <a:close/>
              </a:path>
              <a:path w="7486015" h="2066925">
                <a:moveTo>
                  <a:pt x="6723888" y="827532"/>
                </a:moveTo>
                <a:lnTo>
                  <a:pt x="5964936" y="827532"/>
                </a:lnTo>
                <a:lnTo>
                  <a:pt x="5964936" y="1031748"/>
                </a:lnTo>
                <a:lnTo>
                  <a:pt x="6723888" y="1031748"/>
                </a:lnTo>
                <a:lnTo>
                  <a:pt x="6723888" y="827532"/>
                </a:lnTo>
                <a:close/>
              </a:path>
              <a:path w="7486015" h="2066925">
                <a:moveTo>
                  <a:pt x="6723888" y="621792"/>
                </a:moveTo>
                <a:lnTo>
                  <a:pt x="5964936" y="621792"/>
                </a:lnTo>
                <a:lnTo>
                  <a:pt x="5964936" y="824484"/>
                </a:lnTo>
                <a:lnTo>
                  <a:pt x="6723888" y="824484"/>
                </a:lnTo>
                <a:lnTo>
                  <a:pt x="6723888" y="621792"/>
                </a:lnTo>
                <a:close/>
              </a:path>
              <a:path w="7486015" h="2066925">
                <a:moveTo>
                  <a:pt x="6723888" y="414528"/>
                </a:moveTo>
                <a:lnTo>
                  <a:pt x="5964936" y="414528"/>
                </a:lnTo>
                <a:lnTo>
                  <a:pt x="5964936" y="618744"/>
                </a:lnTo>
                <a:lnTo>
                  <a:pt x="6723888" y="618744"/>
                </a:lnTo>
                <a:lnTo>
                  <a:pt x="6723888" y="414528"/>
                </a:lnTo>
                <a:close/>
              </a:path>
              <a:path w="7486015" h="2066925">
                <a:moveTo>
                  <a:pt x="6723888" y="207264"/>
                </a:moveTo>
                <a:lnTo>
                  <a:pt x="5964936" y="207264"/>
                </a:lnTo>
                <a:lnTo>
                  <a:pt x="5964936" y="411480"/>
                </a:lnTo>
                <a:lnTo>
                  <a:pt x="6723888" y="411480"/>
                </a:lnTo>
                <a:lnTo>
                  <a:pt x="6723888" y="207264"/>
                </a:lnTo>
                <a:close/>
              </a:path>
              <a:path w="7486015" h="2066925">
                <a:moveTo>
                  <a:pt x="6723888" y="0"/>
                </a:moveTo>
                <a:lnTo>
                  <a:pt x="5964936" y="0"/>
                </a:lnTo>
                <a:lnTo>
                  <a:pt x="5964936" y="204216"/>
                </a:lnTo>
                <a:lnTo>
                  <a:pt x="6723888" y="204216"/>
                </a:lnTo>
                <a:lnTo>
                  <a:pt x="6723888" y="0"/>
                </a:lnTo>
                <a:close/>
              </a:path>
              <a:path w="7486015" h="2066925">
                <a:moveTo>
                  <a:pt x="7485888" y="1655064"/>
                </a:moveTo>
                <a:lnTo>
                  <a:pt x="6726936" y="1655064"/>
                </a:lnTo>
                <a:lnTo>
                  <a:pt x="6726936" y="1859280"/>
                </a:lnTo>
                <a:lnTo>
                  <a:pt x="7485888" y="1859280"/>
                </a:lnTo>
                <a:lnTo>
                  <a:pt x="7485888" y="1655064"/>
                </a:lnTo>
                <a:close/>
              </a:path>
              <a:path w="7486015" h="2066925">
                <a:moveTo>
                  <a:pt x="7485888" y="1449324"/>
                </a:moveTo>
                <a:lnTo>
                  <a:pt x="6726936" y="1449324"/>
                </a:lnTo>
                <a:lnTo>
                  <a:pt x="6726936" y="1652016"/>
                </a:lnTo>
                <a:lnTo>
                  <a:pt x="7485888" y="1652016"/>
                </a:lnTo>
                <a:lnTo>
                  <a:pt x="7485888" y="1449324"/>
                </a:lnTo>
                <a:close/>
              </a:path>
              <a:path w="7486015" h="2066925">
                <a:moveTo>
                  <a:pt x="7485888" y="1242060"/>
                </a:moveTo>
                <a:lnTo>
                  <a:pt x="6726936" y="1242060"/>
                </a:lnTo>
                <a:lnTo>
                  <a:pt x="6726936" y="1446276"/>
                </a:lnTo>
                <a:lnTo>
                  <a:pt x="7485888" y="1446276"/>
                </a:lnTo>
                <a:lnTo>
                  <a:pt x="7485888" y="1242060"/>
                </a:lnTo>
                <a:close/>
              </a:path>
              <a:path w="7486015" h="2066925">
                <a:moveTo>
                  <a:pt x="7485888" y="1034796"/>
                </a:moveTo>
                <a:lnTo>
                  <a:pt x="6726936" y="1034796"/>
                </a:lnTo>
                <a:lnTo>
                  <a:pt x="6726936" y="1239012"/>
                </a:lnTo>
                <a:lnTo>
                  <a:pt x="7485888" y="1239012"/>
                </a:lnTo>
                <a:lnTo>
                  <a:pt x="7485888" y="1034796"/>
                </a:lnTo>
                <a:close/>
              </a:path>
              <a:path w="7486015" h="2066925">
                <a:moveTo>
                  <a:pt x="7485888" y="827532"/>
                </a:moveTo>
                <a:lnTo>
                  <a:pt x="6726936" y="827532"/>
                </a:lnTo>
                <a:lnTo>
                  <a:pt x="6726936" y="1031748"/>
                </a:lnTo>
                <a:lnTo>
                  <a:pt x="7485888" y="1031748"/>
                </a:lnTo>
                <a:lnTo>
                  <a:pt x="7485888" y="827532"/>
                </a:lnTo>
                <a:close/>
              </a:path>
              <a:path w="7486015" h="2066925">
                <a:moveTo>
                  <a:pt x="7485888" y="621792"/>
                </a:moveTo>
                <a:lnTo>
                  <a:pt x="6726936" y="621792"/>
                </a:lnTo>
                <a:lnTo>
                  <a:pt x="6726936" y="824484"/>
                </a:lnTo>
                <a:lnTo>
                  <a:pt x="7485888" y="824484"/>
                </a:lnTo>
                <a:lnTo>
                  <a:pt x="7485888" y="621792"/>
                </a:lnTo>
                <a:close/>
              </a:path>
              <a:path w="7486015" h="2066925">
                <a:moveTo>
                  <a:pt x="7485888" y="414528"/>
                </a:moveTo>
                <a:lnTo>
                  <a:pt x="6726936" y="414528"/>
                </a:lnTo>
                <a:lnTo>
                  <a:pt x="6726936" y="618744"/>
                </a:lnTo>
                <a:lnTo>
                  <a:pt x="7485888" y="618744"/>
                </a:lnTo>
                <a:lnTo>
                  <a:pt x="7485888" y="414528"/>
                </a:lnTo>
                <a:close/>
              </a:path>
              <a:path w="7486015" h="2066925">
                <a:moveTo>
                  <a:pt x="7485888" y="207264"/>
                </a:moveTo>
                <a:lnTo>
                  <a:pt x="6726936" y="207264"/>
                </a:lnTo>
                <a:lnTo>
                  <a:pt x="6726936" y="411480"/>
                </a:lnTo>
                <a:lnTo>
                  <a:pt x="7485888" y="411480"/>
                </a:lnTo>
                <a:lnTo>
                  <a:pt x="7485888" y="207264"/>
                </a:lnTo>
                <a:close/>
              </a:path>
              <a:path w="7486015" h="2066925">
                <a:moveTo>
                  <a:pt x="7485888" y="0"/>
                </a:moveTo>
                <a:lnTo>
                  <a:pt x="6726936" y="0"/>
                </a:lnTo>
                <a:lnTo>
                  <a:pt x="6726936" y="204216"/>
                </a:lnTo>
                <a:lnTo>
                  <a:pt x="7485888" y="204216"/>
                </a:lnTo>
                <a:lnTo>
                  <a:pt x="7485888" y="0"/>
                </a:lnTo>
                <a:close/>
              </a:path>
            </a:pathLst>
          </a:custGeom>
          <a:solidFill>
            <a:srgbClr val="FFFFFF"/>
          </a:solidFill>
        </xdr:spPr>
      </xdr:sp>
      <xdr:sp macro="" textlink="">
        <xdr:nvSpPr>
          <xdr:cNvPr id="169" name="Shape 169">
            <a:extLst>
              <a:ext uri="{FF2B5EF4-FFF2-40B4-BE49-F238E27FC236}">
                <a16:creationId xmlns:a16="http://schemas.microsoft.com/office/drawing/2014/main" id="{00000000-0008-0000-0F00-0000A9000000}"/>
              </a:ext>
            </a:extLst>
          </xdr:cNvPr>
          <xdr:cNvSpPr/>
        </xdr:nvSpPr>
        <xdr:spPr>
          <a:xfrm>
            <a:off x="0" y="1862327"/>
            <a:ext cx="7486015" cy="1652270"/>
          </a:xfrm>
          <a:custGeom>
            <a:avLst/>
            <a:gdLst/>
            <a:ahLst/>
            <a:cxnLst/>
            <a:rect l="0" t="0" r="0" b="0"/>
            <a:pathLst>
              <a:path w="7486015" h="1652270">
                <a:moveTo>
                  <a:pt x="312420" y="207264"/>
                </a:moveTo>
                <a:lnTo>
                  <a:pt x="0" y="207264"/>
                </a:lnTo>
                <a:lnTo>
                  <a:pt x="0" y="1652016"/>
                </a:lnTo>
                <a:lnTo>
                  <a:pt x="312420" y="1652016"/>
                </a:lnTo>
                <a:lnTo>
                  <a:pt x="312420" y="207264"/>
                </a:lnTo>
                <a:close/>
              </a:path>
              <a:path w="7486015" h="1652270">
                <a:moveTo>
                  <a:pt x="1264920" y="207264"/>
                </a:moveTo>
                <a:lnTo>
                  <a:pt x="315468" y="207264"/>
                </a:lnTo>
                <a:lnTo>
                  <a:pt x="315468" y="1652016"/>
                </a:lnTo>
                <a:lnTo>
                  <a:pt x="1264920" y="1652016"/>
                </a:lnTo>
                <a:lnTo>
                  <a:pt x="1264920" y="207264"/>
                </a:lnTo>
                <a:close/>
              </a:path>
              <a:path w="7486015" h="1652270">
                <a:moveTo>
                  <a:pt x="2531364" y="207264"/>
                </a:moveTo>
                <a:lnTo>
                  <a:pt x="1267968" y="207264"/>
                </a:lnTo>
                <a:lnTo>
                  <a:pt x="1267968" y="1652016"/>
                </a:lnTo>
                <a:lnTo>
                  <a:pt x="2531364" y="1652016"/>
                </a:lnTo>
                <a:lnTo>
                  <a:pt x="2531364" y="207264"/>
                </a:lnTo>
                <a:close/>
              </a:path>
              <a:path w="7486015" h="1652270">
                <a:moveTo>
                  <a:pt x="3037332" y="1449324"/>
                </a:moveTo>
                <a:lnTo>
                  <a:pt x="2534412" y="1449324"/>
                </a:lnTo>
                <a:lnTo>
                  <a:pt x="2534412" y="1652016"/>
                </a:lnTo>
                <a:lnTo>
                  <a:pt x="3037332" y="1652016"/>
                </a:lnTo>
                <a:lnTo>
                  <a:pt x="3037332" y="1449324"/>
                </a:lnTo>
                <a:close/>
              </a:path>
              <a:path w="7486015" h="1652270">
                <a:moveTo>
                  <a:pt x="3037332" y="1242060"/>
                </a:moveTo>
                <a:lnTo>
                  <a:pt x="2534412" y="1242060"/>
                </a:lnTo>
                <a:lnTo>
                  <a:pt x="2534412" y="1446276"/>
                </a:lnTo>
                <a:lnTo>
                  <a:pt x="3037332" y="1446276"/>
                </a:lnTo>
                <a:lnTo>
                  <a:pt x="3037332" y="1242060"/>
                </a:lnTo>
                <a:close/>
              </a:path>
              <a:path w="7486015" h="1652270">
                <a:moveTo>
                  <a:pt x="3037332" y="1034796"/>
                </a:moveTo>
                <a:lnTo>
                  <a:pt x="2534412" y="1034796"/>
                </a:lnTo>
                <a:lnTo>
                  <a:pt x="2534412" y="1239012"/>
                </a:lnTo>
                <a:lnTo>
                  <a:pt x="3037332" y="1239012"/>
                </a:lnTo>
                <a:lnTo>
                  <a:pt x="3037332" y="1034796"/>
                </a:lnTo>
                <a:close/>
              </a:path>
              <a:path w="7486015" h="1652270">
                <a:moveTo>
                  <a:pt x="3037332" y="827532"/>
                </a:moveTo>
                <a:lnTo>
                  <a:pt x="2534412" y="827532"/>
                </a:lnTo>
                <a:lnTo>
                  <a:pt x="2534412" y="1031748"/>
                </a:lnTo>
                <a:lnTo>
                  <a:pt x="3037332" y="1031748"/>
                </a:lnTo>
                <a:lnTo>
                  <a:pt x="3037332" y="827532"/>
                </a:lnTo>
                <a:close/>
              </a:path>
              <a:path w="7486015" h="1652270">
                <a:moveTo>
                  <a:pt x="3037332" y="620268"/>
                </a:moveTo>
                <a:lnTo>
                  <a:pt x="2534412" y="620268"/>
                </a:lnTo>
                <a:lnTo>
                  <a:pt x="2534412" y="824484"/>
                </a:lnTo>
                <a:lnTo>
                  <a:pt x="3037332" y="824484"/>
                </a:lnTo>
                <a:lnTo>
                  <a:pt x="3037332" y="620268"/>
                </a:lnTo>
                <a:close/>
              </a:path>
              <a:path w="7486015" h="1652270">
                <a:moveTo>
                  <a:pt x="3037332" y="414528"/>
                </a:moveTo>
                <a:lnTo>
                  <a:pt x="2534412" y="414528"/>
                </a:lnTo>
                <a:lnTo>
                  <a:pt x="2534412" y="617220"/>
                </a:lnTo>
                <a:lnTo>
                  <a:pt x="3037332" y="617220"/>
                </a:lnTo>
                <a:lnTo>
                  <a:pt x="3037332" y="414528"/>
                </a:lnTo>
                <a:close/>
              </a:path>
              <a:path w="7486015" h="1652270">
                <a:moveTo>
                  <a:pt x="3037332" y="207264"/>
                </a:moveTo>
                <a:lnTo>
                  <a:pt x="2534412" y="207264"/>
                </a:lnTo>
                <a:lnTo>
                  <a:pt x="2534412" y="411480"/>
                </a:lnTo>
                <a:lnTo>
                  <a:pt x="3037332" y="411480"/>
                </a:lnTo>
                <a:lnTo>
                  <a:pt x="3037332" y="207264"/>
                </a:lnTo>
                <a:close/>
              </a:path>
              <a:path w="7486015" h="1652270">
                <a:moveTo>
                  <a:pt x="3674364" y="1449324"/>
                </a:moveTo>
                <a:lnTo>
                  <a:pt x="3040380" y="1449324"/>
                </a:lnTo>
                <a:lnTo>
                  <a:pt x="3040380" y="1652016"/>
                </a:lnTo>
                <a:lnTo>
                  <a:pt x="3674364" y="1652016"/>
                </a:lnTo>
                <a:lnTo>
                  <a:pt x="3674364" y="1449324"/>
                </a:lnTo>
                <a:close/>
              </a:path>
              <a:path w="7486015" h="1652270">
                <a:moveTo>
                  <a:pt x="3674364" y="1242060"/>
                </a:moveTo>
                <a:lnTo>
                  <a:pt x="3040380" y="1242060"/>
                </a:lnTo>
                <a:lnTo>
                  <a:pt x="3040380" y="1446276"/>
                </a:lnTo>
                <a:lnTo>
                  <a:pt x="3674364" y="1446276"/>
                </a:lnTo>
                <a:lnTo>
                  <a:pt x="3674364" y="1242060"/>
                </a:lnTo>
                <a:close/>
              </a:path>
              <a:path w="7486015" h="1652270">
                <a:moveTo>
                  <a:pt x="3674364" y="1034796"/>
                </a:moveTo>
                <a:lnTo>
                  <a:pt x="3040380" y="1034796"/>
                </a:lnTo>
                <a:lnTo>
                  <a:pt x="3040380" y="1239012"/>
                </a:lnTo>
                <a:lnTo>
                  <a:pt x="3674364" y="1239012"/>
                </a:lnTo>
                <a:lnTo>
                  <a:pt x="3674364" y="1034796"/>
                </a:lnTo>
                <a:close/>
              </a:path>
              <a:path w="7486015" h="1652270">
                <a:moveTo>
                  <a:pt x="3674364" y="827532"/>
                </a:moveTo>
                <a:lnTo>
                  <a:pt x="3040380" y="827532"/>
                </a:lnTo>
                <a:lnTo>
                  <a:pt x="3040380" y="1031748"/>
                </a:lnTo>
                <a:lnTo>
                  <a:pt x="3674364" y="1031748"/>
                </a:lnTo>
                <a:lnTo>
                  <a:pt x="3674364" y="827532"/>
                </a:lnTo>
                <a:close/>
              </a:path>
              <a:path w="7486015" h="1652270">
                <a:moveTo>
                  <a:pt x="3674364" y="620268"/>
                </a:moveTo>
                <a:lnTo>
                  <a:pt x="3040380" y="620268"/>
                </a:lnTo>
                <a:lnTo>
                  <a:pt x="3040380" y="824484"/>
                </a:lnTo>
                <a:lnTo>
                  <a:pt x="3674364" y="824484"/>
                </a:lnTo>
                <a:lnTo>
                  <a:pt x="3674364" y="620268"/>
                </a:lnTo>
                <a:close/>
              </a:path>
              <a:path w="7486015" h="1652270">
                <a:moveTo>
                  <a:pt x="3674364" y="414528"/>
                </a:moveTo>
                <a:lnTo>
                  <a:pt x="3040380" y="414528"/>
                </a:lnTo>
                <a:lnTo>
                  <a:pt x="3040380" y="617220"/>
                </a:lnTo>
                <a:lnTo>
                  <a:pt x="3674364" y="617220"/>
                </a:lnTo>
                <a:lnTo>
                  <a:pt x="3674364" y="414528"/>
                </a:lnTo>
                <a:close/>
              </a:path>
              <a:path w="7486015" h="1652270">
                <a:moveTo>
                  <a:pt x="3674364" y="207264"/>
                </a:moveTo>
                <a:lnTo>
                  <a:pt x="3040380" y="207264"/>
                </a:lnTo>
                <a:lnTo>
                  <a:pt x="3040380" y="411480"/>
                </a:lnTo>
                <a:lnTo>
                  <a:pt x="3674364" y="411480"/>
                </a:lnTo>
                <a:lnTo>
                  <a:pt x="3674364" y="207264"/>
                </a:lnTo>
                <a:close/>
              </a:path>
              <a:path w="7486015" h="1652270">
                <a:moveTo>
                  <a:pt x="4437888" y="1449324"/>
                </a:moveTo>
                <a:lnTo>
                  <a:pt x="3677412" y="1449324"/>
                </a:lnTo>
                <a:lnTo>
                  <a:pt x="3677412" y="1652016"/>
                </a:lnTo>
                <a:lnTo>
                  <a:pt x="4437888" y="1652016"/>
                </a:lnTo>
                <a:lnTo>
                  <a:pt x="4437888" y="1449324"/>
                </a:lnTo>
                <a:close/>
              </a:path>
              <a:path w="7486015" h="1652270">
                <a:moveTo>
                  <a:pt x="4437888" y="1242060"/>
                </a:moveTo>
                <a:lnTo>
                  <a:pt x="3677412" y="1242060"/>
                </a:lnTo>
                <a:lnTo>
                  <a:pt x="3677412" y="1446276"/>
                </a:lnTo>
                <a:lnTo>
                  <a:pt x="4437888" y="1446276"/>
                </a:lnTo>
                <a:lnTo>
                  <a:pt x="4437888" y="1242060"/>
                </a:lnTo>
                <a:close/>
              </a:path>
              <a:path w="7486015" h="1652270">
                <a:moveTo>
                  <a:pt x="4437888" y="1034796"/>
                </a:moveTo>
                <a:lnTo>
                  <a:pt x="3677412" y="1034796"/>
                </a:lnTo>
                <a:lnTo>
                  <a:pt x="3677412" y="1239012"/>
                </a:lnTo>
                <a:lnTo>
                  <a:pt x="4437888" y="1239012"/>
                </a:lnTo>
                <a:lnTo>
                  <a:pt x="4437888" y="1034796"/>
                </a:lnTo>
                <a:close/>
              </a:path>
              <a:path w="7486015" h="1652270">
                <a:moveTo>
                  <a:pt x="4437888" y="827532"/>
                </a:moveTo>
                <a:lnTo>
                  <a:pt x="3677412" y="827532"/>
                </a:lnTo>
                <a:lnTo>
                  <a:pt x="3677412" y="1031748"/>
                </a:lnTo>
                <a:lnTo>
                  <a:pt x="4437888" y="1031748"/>
                </a:lnTo>
                <a:lnTo>
                  <a:pt x="4437888" y="827532"/>
                </a:lnTo>
                <a:close/>
              </a:path>
              <a:path w="7486015" h="1652270">
                <a:moveTo>
                  <a:pt x="4437888" y="620268"/>
                </a:moveTo>
                <a:lnTo>
                  <a:pt x="3677412" y="620268"/>
                </a:lnTo>
                <a:lnTo>
                  <a:pt x="3677412" y="824484"/>
                </a:lnTo>
                <a:lnTo>
                  <a:pt x="4437888" y="824484"/>
                </a:lnTo>
                <a:lnTo>
                  <a:pt x="4437888" y="620268"/>
                </a:lnTo>
                <a:close/>
              </a:path>
              <a:path w="7486015" h="1652270">
                <a:moveTo>
                  <a:pt x="4437888" y="414528"/>
                </a:moveTo>
                <a:lnTo>
                  <a:pt x="3677412" y="414528"/>
                </a:lnTo>
                <a:lnTo>
                  <a:pt x="3677412" y="617220"/>
                </a:lnTo>
                <a:lnTo>
                  <a:pt x="4437888" y="617220"/>
                </a:lnTo>
                <a:lnTo>
                  <a:pt x="4437888" y="414528"/>
                </a:lnTo>
                <a:close/>
              </a:path>
              <a:path w="7486015" h="1652270">
                <a:moveTo>
                  <a:pt x="4437888" y="207264"/>
                </a:moveTo>
                <a:lnTo>
                  <a:pt x="3677412" y="207264"/>
                </a:lnTo>
                <a:lnTo>
                  <a:pt x="3677412" y="411480"/>
                </a:lnTo>
                <a:lnTo>
                  <a:pt x="4437888" y="411480"/>
                </a:lnTo>
                <a:lnTo>
                  <a:pt x="4437888" y="207264"/>
                </a:lnTo>
                <a:close/>
              </a:path>
              <a:path w="7486015" h="1652270">
                <a:moveTo>
                  <a:pt x="5199888" y="1449324"/>
                </a:moveTo>
                <a:lnTo>
                  <a:pt x="4440936" y="1449324"/>
                </a:lnTo>
                <a:lnTo>
                  <a:pt x="4440936" y="1652016"/>
                </a:lnTo>
                <a:lnTo>
                  <a:pt x="5199888" y="1652016"/>
                </a:lnTo>
                <a:lnTo>
                  <a:pt x="5199888" y="1449324"/>
                </a:lnTo>
                <a:close/>
              </a:path>
              <a:path w="7486015" h="1652270">
                <a:moveTo>
                  <a:pt x="5199888" y="1242060"/>
                </a:moveTo>
                <a:lnTo>
                  <a:pt x="4440936" y="1242060"/>
                </a:lnTo>
                <a:lnTo>
                  <a:pt x="4440936" y="1446276"/>
                </a:lnTo>
                <a:lnTo>
                  <a:pt x="5199888" y="1446276"/>
                </a:lnTo>
                <a:lnTo>
                  <a:pt x="5199888" y="1242060"/>
                </a:lnTo>
                <a:close/>
              </a:path>
              <a:path w="7486015" h="1652270">
                <a:moveTo>
                  <a:pt x="5199888" y="1034796"/>
                </a:moveTo>
                <a:lnTo>
                  <a:pt x="4440936" y="1034796"/>
                </a:lnTo>
                <a:lnTo>
                  <a:pt x="4440936" y="1239012"/>
                </a:lnTo>
                <a:lnTo>
                  <a:pt x="5199888" y="1239012"/>
                </a:lnTo>
                <a:lnTo>
                  <a:pt x="5199888" y="1034796"/>
                </a:lnTo>
                <a:close/>
              </a:path>
              <a:path w="7486015" h="1652270">
                <a:moveTo>
                  <a:pt x="5199888" y="827532"/>
                </a:moveTo>
                <a:lnTo>
                  <a:pt x="4440936" y="827532"/>
                </a:lnTo>
                <a:lnTo>
                  <a:pt x="4440936" y="1031748"/>
                </a:lnTo>
                <a:lnTo>
                  <a:pt x="5199888" y="1031748"/>
                </a:lnTo>
                <a:lnTo>
                  <a:pt x="5199888" y="827532"/>
                </a:lnTo>
                <a:close/>
              </a:path>
              <a:path w="7486015" h="1652270">
                <a:moveTo>
                  <a:pt x="5199888" y="620268"/>
                </a:moveTo>
                <a:lnTo>
                  <a:pt x="4440936" y="620268"/>
                </a:lnTo>
                <a:lnTo>
                  <a:pt x="4440936" y="824484"/>
                </a:lnTo>
                <a:lnTo>
                  <a:pt x="5199888" y="824484"/>
                </a:lnTo>
                <a:lnTo>
                  <a:pt x="5199888" y="620268"/>
                </a:lnTo>
                <a:close/>
              </a:path>
              <a:path w="7486015" h="1652270">
                <a:moveTo>
                  <a:pt x="5199888" y="414528"/>
                </a:moveTo>
                <a:lnTo>
                  <a:pt x="4440936" y="414528"/>
                </a:lnTo>
                <a:lnTo>
                  <a:pt x="4440936" y="617220"/>
                </a:lnTo>
                <a:lnTo>
                  <a:pt x="5199888" y="617220"/>
                </a:lnTo>
                <a:lnTo>
                  <a:pt x="5199888" y="414528"/>
                </a:lnTo>
                <a:close/>
              </a:path>
              <a:path w="7486015" h="1652270">
                <a:moveTo>
                  <a:pt x="5199888" y="207264"/>
                </a:moveTo>
                <a:lnTo>
                  <a:pt x="4440936" y="207264"/>
                </a:lnTo>
                <a:lnTo>
                  <a:pt x="4440936" y="411480"/>
                </a:lnTo>
                <a:lnTo>
                  <a:pt x="5199888" y="411480"/>
                </a:lnTo>
                <a:lnTo>
                  <a:pt x="5199888" y="207264"/>
                </a:lnTo>
                <a:close/>
              </a:path>
              <a:path w="7486015" h="1652270">
                <a:moveTo>
                  <a:pt x="5199888" y="0"/>
                </a:moveTo>
                <a:lnTo>
                  <a:pt x="4440936" y="0"/>
                </a:lnTo>
                <a:lnTo>
                  <a:pt x="4440936" y="204216"/>
                </a:lnTo>
                <a:lnTo>
                  <a:pt x="5199888" y="204216"/>
                </a:lnTo>
                <a:lnTo>
                  <a:pt x="5199888" y="0"/>
                </a:lnTo>
                <a:close/>
              </a:path>
              <a:path w="7486015" h="1652270">
                <a:moveTo>
                  <a:pt x="5961875" y="1449324"/>
                </a:moveTo>
                <a:lnTo>
                  <a:pt x="5202936" y="1449324"/>
                </a:lnTo>
                <a:lnTo>
                  <a:pt x="5202936" y="1652016"/>
                </a:lnTo>
                <a:lnTo>
                  <a:pt x="5961875" y="1652016"/>
                </a:lnTo>
                <a:lnTo>
                  <a:pt x="5961875" y="1449324"/>
                </a:lnTo>
                <a:close/>
              </a:path>
              <a:path w="7486015" h="1652270">
                <a:moveTo>
                  <a:pt x="5961875" y="1242060"/>
                </a:moveTo>
                <a:lnTo>
                  <a:pt x="5202936" y="1242060"/>
                </a:lnTo>
                <a:lnTo>
                  <a:pt x="5202936" y="1446276"/>
                </a:lnTo>
                <a:lnTo>
                  <a:pt x="5961875" y="1446276"/>
                </a:lnTo>
                <a:lnTo>
                  <a:pt x="5961875" y="1242060"/>
                </a:lnTo>
                <a:close/>
              </a:path>
              <a:path w="7486015" h="1652270">
                <a:moveTo>
                  <a:pt x="5961875" y="1034796"/>
                </a:moveTo>
                <a:lnTo>
                  <a:pt x="5202936" y="1034796"/>
                </a:lnTo>
                <a:lnTo>
                  <a:pt x="5202936" y="1239012"/>
                </a:lnTo>
                <a:lnTo>
                  <a:pt x="5961875" y="1239012"/>
                </a:lnTo>
                <a:lnTo>
                  <a:pt x="5961875" y="1034796"/>
                </a:lnTo>
                <a:close/>
              </a:path>
              <a:path w="7486015" h="1652270">
                <a:moveTo>
                  <a:pt x="5961875" y="827532"/>
                </a:moveTo>
                <a:lnTo>
                  <a:pt x="5202936" y="827532"/>
                </a:lnTo>
                <a:lnTo>
                  <a:pt x="5202936" y="1031748"/>
                </a:lnTo>
                <a:lnTo>
                  <a:pt x="5961875" y="1031748"/>
                </a:lnTo>
                <a:lnTo>
                  <a:pt x="5961875" y="827532"/>
                </a:lnTo>
                <a:close/>
              </a:path>
              <a:path w="7486015" h="1652270">
                <a:moveTo>
                  <a:pt x="5961875" y="620268"/>
                </a:moveTo>
                <a:lnTo>
                  <a:pt x="5202936" y="620268"/>
                </a:lnTo>
                <a:lnTo>
                  <a:pt x="5202936" y="824484"/>
                </a:lnTo>
                <a:lnTo>
                  <a:pt x="5961875" y="824484"/>
                </a:lnTo>
                <a:lnTo>
                  <a:pt x="5961875" y="620268"/>
                </a:lnTo>
                <a:close/>
              </a:path>
              <a:path w="7486015" h="1652270">
                <a:moveTo>
                  <a:pt x="5961875" y="414528"/>
                </a:moveTo>
                <a:lnTo>
                  <a:pt x="5202936" y="414528"/>
                </a:lnTo>
                <a:lnTo>
                  <a:pt x="5202936" y="617220"/>
                </a:lnTo>
                <a:lnTo>
                  <a:pt x="5961875" y="617220"/>
                </a:lnTo>
                <a:lnTo>
                  <a:pt x="5961875" y="414528"/>
                </a:lnTo>
                <a:close/>
              </a:path>
              <a:path w="7486015" h="1652270">
                <a:moveTo>
                  <a:pt x="5961875" y="207264"/>
                </a:moveTo>
                <a:lnTo>
                  <a:pt x="5202936" y="207264"/>
                </a:lnTo>
                <a:lnTo>
                  <a:pt x="5202936" y="411480"/>
                </a:lnTo>
                <a:lnTo>
                  <a:pt x="5961875" y="411480"/>
                </a:lnTo>
                <a:lnTo>
                  <a:pt x="5961875" y="207264"/>
                </a:lnTo>
                <a:close/>
              </a:path>
              <a:path w="7486015" h="1652270">
                <a:moveTo>
                  <a:pt x="5961875" y="0"/>
                </a:moveTo>
                <a:lnTo>
                  <a:pt x="5202936" y="0"/>
                </a:lnTo>
                <a:lnTo>
                  <a:pt x="5202936" y="204216"/>
                </a:lnTo>
                <a:lnTo>
                  <a:pt x="5961875" y="204216"/>
                </a:lnTo>
                <a:lnTo>
                  <a:pt x="5961875" y="0"/>
                </a:lnTo>
                <a:close/>
              </a:path>
              <a:path w="7486015" h="1652270">
                <a:moveTo>
                  <a:pt x="6723888" y="1449324"/>
                </a:moveTo>
                <a:lnTo>
                  <a:pt x="5964936" y="1449324"/>
                </a:lnTo>
                <a:lnTo>
                  <a:pt x="5964936" y="1652016"/>
                </a:lnTo>
                <a:lnTo>
                  <a:pt x="6723888" y="1652016"/>
                </a:lnTo>
                <a:lnTo>
                  <a:pt x="6723888" y="1449324"/>
                </a:lnTo>
                <a:close/>
              </a:path>
              <a:path w="7486015" h="1652270">
                <a:moveTo>
                  <a:pt x="6723888" y="1242060"/>
                </a:moveTo>
                <a:lnTo>
                  <a:pt x="5964936" y="1242060"/>
                </a:lnTo>
                <a:lnTo>
                  <a:pt x="5964936" y="1446276"/>
                </a:lnTo>
                <a:lnTo>
                  <a:pt x="6723888" y="1446276"/>
                </a:lnTo>
                <a:lnTo>
                  <a:pt x="6723888" y="1242060"/>
                </a:lnTo>
                <a:close/>
              </a:path>
              <a:path w="7486015" h="1652270">
                <a:moveTo>
                  <a:pt x="6723888" y="1034796"/>
                </a:moveTo>
                <a:lnTo>
                  <a:pt x="5964936" y="1034796"/>
                </a:lnTo>
                <a:lnTo>
                  <a:pt x="5964936" y="1239012"/>
                </a:lnTo>
                <a:lnTo>
                  <a:pt x="6723888" y="1239012"/>
                </a:lnTo>
                <a:lnTo>
                  <a:pt x="6723888" y="1034796"/>
                </a:lnTo>
                <a:close/>
              </a:path>
              <a:path w="7486015" h="1652270">
                <a:moveTo>
                  <a:pt x="6723888" y="827532"/>
                </a:moveTo>
                <a:lnTo>
                  <a:pt x="5964936" y="827532"/>
                </a:lnTo>
                <a:lnTo>
                  <a:pt x="5964936" y="1031748"/>
                </a:lnTo>
                <a:lnTo>
                  <a:pt x="6723888" y="1031748"/>
                </a:lnTo>
                <a:lnTo>
                  <a:pt x="6723888" y="827532"/>
                </a:lnTo>
                <a:close/>
              </a:path>
              <a:path w="7486015" h="1652270">
                <a:moveTo>
                  <a:pt x="6723888" y="620268"/>
                </a:moveTo>
                <a:lnTo>
                  <a:pt x="5964936" y="620268"/>
                </a:lnTo>
                <a:lnTo>
                  <a:pt x="5964936" y="824484"/>
                </a:lnTo>
                <a:lnTo>
                  <a:pt x="6723888" y="824484"/>
                </a:lnTo>
                <a:lnTo>
                  <a:pt x="6723888" y="620268"/>
                </a:lnTo>
                <a:close/>
              </a:path>
              <a:path w="7486015" h="1652270">
                <a:moveTo>
                  <a:pt x="6723888" y="414528"/>
                </a:moveTo>
                <a:lnTo>
                  <a:pt x="5964936" y="414528"/>
                </a:lnTo>
                <a:lnTo>
                  <a:pt x="5964936" y="617220"/>
                </a:lnTo>
                <a:lnTo>
                  <a:pt x="6723888" y="617220"/>
                </a:lnTo>
                <a:lnTo>
                  <a:pt x="6723888" y="414528"/>
                </a:lnTo>
                <a:close/>
              </a:path>
              <a:path w="7486015" h="1652270">
                <a:moveTo>
                  <a:pt x="6723888" y="207264"/>
                </a:moveTo>
                <a:lnTo>
                  <a:pt x="5964936" y="207264"/>
                </a:lnTo>
                <a:lnTo>
                  <a:pt x="5964936" y="411480"/>
                </a:lnTo>
                <a:lnTo>
                  <a:pt x="6723888" y="411480"/>
                </a:lnTo>
                <a:lnTo>
                  <a:pt x="6723888" y="207264"/>
                </a:lnTo>
                <a:close/>
              </a:path>
              <a:path w="7486015" h="1652270">
                <a:moveTo>
                  <a:pt x="6723888" y="0"/>
                </a:moveTo>
                <a:lnTo>
                  <a:pt x="5964936" y="0"/>
                </a:lnTo>
                <a:lnTo>
                  <a:pt x="5964936" y="204216"/>
                </a:lnTo>
                <a:lnTo>
                  <a:pt x="6723888" y="204216"/>
                </a:lnTo>
                <a:lnTo>
                  <a:pt x="6723888" y="0"/>
                </a:lnTo>
                <a:close/>
              </a:path>
              <a:path w="7486015" h="1652270">
                <a:moveTo>
                  <a:pt x="7485888" y="1449324"/>
                </a:moveTo>
                <a:lnTo>
                  <a:pt x="6726936" y="1449324"/>
                </a:lnTo>
                <a:lnTo>
                  <a:pt x="6726936" y="1652016"/>
                </a:lnTo>
                <a:lnTo>
                  <a:pt x="7485888" y="1652016"/>
                </a:lnTo>
                <a:lnTo>
                  <a:pt x="7485888" y="1449324"/>
                </a:lnTo>
                <a:close/>
              </a:path>
              <a:path w="7486015" h="1652270">
                <a:moveTo>
                  <a:pt x="7485888" y="1242060"/>
                </a:moveTo>
                <a:lnTo>
                  <a:pt x="6726936" y="1242060"/>
                </a:lnTo>
                <a:lnTo>
                  <a:pt x="6726936" y="1446276"/>
                </a:lnTo>
                <a:lnTo>
                  <a:pt x="7485888" y="1446276"/>
                </a:lnTo>
                <a:lnTo>
                  <a:pt x="7485888" y="1242060"/>
                </a:lnTo>
                <a:close/>
              </a:path>
              <a:path w="7486015" h="1652270">
                <a:moveTo>
                  <a:pt x="7485888" y="1034796"/>
                </a:moveTo>
                <a:lnTo>
                  <a:pt x="6726936" y="1034796"/>
                </a:lnTo>
                <a:lnTo>
                  <a:pt x="6726936" y="1239012"/>
                </a:lnTo>
                <a:lnTo>
                  <a:pt x="7485888" y="1239012"/>
                </a:lnTo>
                <a:lnTo>
                  <a:pt x="7485888" y="1034796"/>
                </a:lnTo>
                <a:close/>
              </a:path>
              <a:path w="7486015" h="1652270">
                <a:moveTo>
                  <a:pt x="7485888" y="827532"/>
                </a:moveTo>
                <a:lnTo>
                  <a:pt x="6726936" y="827532"/>
                </a:lnTo>
                <a:lnTo>
                  <a:pt x="6726936" y="1031748"/>
                </a:lnTo>
                <a:lnTo>
                  <a:pt x="7485888" y="1031748"/>
                </a:lnTo>
                <a:lnTo>
                  <a:pt x="7485888" y="827532"/>
                </a:lnTo>
                <a:close/>
              </a:path>
              <a:path w="7486015" h="1652270">
                <a:moveTo>
                  <a:pt x="7485888" y="620268"/>
                </a:moveTo>
                <a:lnTo>
                  <a:pt x="6726936" y="620268"/>
                </a:lnTo>
                <a:lnTo>
                  <a:pt x="6726936" y="824484"/>
                </a:lnTo>
                <a:lnTo>
                  <a:pt x="7485888" y="824484"/>
                </a:lnTo>
                <a:lnTo>
                  <a:pt x="7485888" y="620268"/>
                </a:lnTo>
                <a:close/>
              </a:path>
              <a:path w="7486015" h="1652270">
                <a:moveTo>
                  <a:pt x="7485888" y="414528"/>
                </a:moveTo>
                <a:lnTo>
                  <a:pt x="6726936" y="414528"/>
                </a:lnTo>
                <a:lnTo>
                  <a:pt x="6726936" y="617220"/>
                </a:lnTo>
                <a:lnTo>
                  <a:pt x="7485888" y="617220"/>
                </a:lnTo>
                <a:lnTo>
                  <a:pt x="7485888" y="414528"/>
                </a:lnTo>
                <a:close/>
              </a:path>
              <a:path w="7486015" h="1652270">
                <a:moveTo>
                  <a:pt x="7485888" y="207264"/>
                </a:moveTo>
                <a:lnTo>
                  <a:pt x="6726936" y="207264"/>
                </a:lnTo>
                <a:lnTo>
                  <a:pt x="6726936" y="411480"/>
                </a:lnTo>
                <a:lnTo>
                  <a:pt x="7485888" y="411480"/>
                </a:lnTo>
                <a:lnTo>
                  <a:pt x="7485888" y="207264"/>
                </a:lnTo>
                <a:close/>
              </a:path>
              <a:path w="7486015" h="1652270">
                <a:moveTo>
                  <a:pt x="7485888" y="0"/>
                </a:moveTo>
                <a:lnTo>
                  <a:pt x="6726936" y="0"/>
                </a:lnTo>
                <a:lnTo>
                  <a:pt x="6726936" y="204216"/>
                </a:lnTo>
                <a:lnTo>
                  <a:pt x="7485888" y="204216"/>
                </a:lnTo>
                <a:lnTo>
                  <a:pt x="7485888" y="0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11</xdr:col>
      <xdr:colOff>546481</xdr:colOff>
      <xdr:row>23</xdr:row>
      <xdr:rowOff>0</xdr:rowOff>
    </xdr:from>
    <xdr:ext cx="645160" cy="3514725"/>
    <xdr:sp macro="" textlink="">
      <xdr:nvSpPr>
        <xdr:cNvPr id="170" name="Shape 170">
          <a:extLst>
            <a:ext uri="{FF2B5EF4-FFF2-40B4-BE49-F238E27FC236}">
              <a16:creationId xmlns:a16="http://schemas.microsoft.com/office/drawing/2014/main" id="{00000000-0008-0000-0F00-0000AA000000}"/>
            </a:ext>
          </a:extLst>
        </xdr:cNvPr>
        <xdr:cNvSpPr/>
      </xdr:nvSpPr>
      <xdr:spPr>
        <a:xfrm>
          <a:off x="0" y="0"/>
          <a:ext cx="645160" cy="3514725"/>
        </a:xfrm>
        <a:custGeom>
          <a:avLst/>
          <a:gdLst/>
          <a:ahLst/>
          <a:cxnLst/>
          <a:rect l="0" t="0" r="0" b="0"/>
          <a:pathLst>
            <a:path w="645160" h="3514725">
              <a:moveTo>
                <a:pt x="644652" y="3311652"/>
              </a:moveTo>
              <a:lnTo>
                <a:pt x="0" y="3311652"/>
              </a:lnTo>
              <a:lnTo>
                <a:pt x="0" y="3514344"/>
              </a:lnTo>
              <a:lnTo>
                <a:pt x="644652" y="3514344"/>
              </a:lnTo>
              <a:lnTo>
                <a:pt x="644652" y="3311652"/>
              </a:lnTo>
              <a:close/>
            </a:path>
            <a:path w="645160" h="3514725">
              <a:moveTo>
                <a:pt x="644652" y="3104388"/>
              </a:moveTo>
              <a:lnTo>
                <a:pt x="0" y="3104388"/>
              </a:lnTo>
              <a:lnTo>
                <a:pt x="0" y="3308604"/>
              </a:lnTo>
              <a:lnTo>
                <a:pt x="644652" y="3308604"/>
              </a:lnTo>
              <a:lnTo>
                <a:pt x="644652" y="3104388"/>
              </a:lnTo>
              <a:close/>
            </a:path>
            <a:path w="645160" h="3514725">
              <a:moveTo>
                <a:pt x="644652" y="2897124"/>
              </a:moveTo>
              <a:lnTo>
                <a:pt x="0" y="2897124"/>
              </a:lnTo>
              <a:lnTo>
                <a:pt x="0" y="3101340"/>
              </a:lnTo>
              <a:lnTo>
                <a:pt x="644652" y="3101340"/>
              </a:lnTo>
              <a:lnTo>
                <a:pt x="644652" y="2897124"/>
              </a:lnTo>
              <a:close/>
            </a:path>
            <a:path w="645160" h="3514725">
              <a:moveTo>
                <a:pt x="644652" y="2689860"/>
              </a:moveTo>
              <a:lnTo>
                <a:pt x="0" y="2689860"/>
              </a:lnTo>
              <a:lnTo>
                <a:pt x="0" y="2894076"/>
              </a:lnTo>
              <a:lnTo>
                <a:pt x="644652" y="2894076"/>
              </a:lnTo>
              <a:lnTo>
                <a:pt x="644652" y="2689860"/>
              </a:lnTo>
              <a:close/>
            </a:path>
            <a:path w="645160" h="3514725">
              <a:moveTo>
                <a:pt x="644652" y="2482596"/>
              </a:moveTo>
              <a:lnTo>
                <a:pt x="0" y="2482596"/>
              </a:lnTo>
              <a:lnTo>
                <a:pt x="0" y="2686812"/>
              </a:lnTo>
              <a:lnTo>
                <a:pt x="644652" y="2686812"/>
              </a:lnTo>
              <a:lnTo>
                <a:pt x="644652" y="2482596"/>
              </a:lnTo>
              <a:close/>
            </a:path>
            <a:path w="645160" h="3514725">
              <a:moveTo>
                <a:pt x="644652" y="2276856"/>
              </a:moveTo>
              <a:lnTo>
                <a:pt x="0" y="2276856"/>
              </a:lnTo>
              <a:lnTo>
                <a:pt x="0" y="2479548"/>
              </a:lnTo>
              <a:lnTo>
                <a:pt x="644652" y="2479548"/>
              </a:lnTo>
              <a:lnTo>
                <a:pt x="644652" y="2276856"/>
              </a:lnTo>
              <a:close/>
            </a:path>
            <a:path w="645160" h="3514725">
              <a:moveTo>
                <a:pt x="644652" y="2069592"/>
              </a:moveTo>
              <a:lnTo>
                <a:pt x="0" y="2069592"/>
              </a:lnTo>
              <a:lnTo>
                <a:pt x="0" y="2273808"/>
              </a:lnTo>
              <a:lnTo>
                <a:pt x="644652" y="2273808"/>
              </a:lnTo>
              <a:lnTo>
                <a:pt x="644652" y="2069592"/>
              </a:lnTo>
              <a:close/>
            </a:path>
            <a:path w="645160" h="3514725">
              <a:moveTo>
                <a:pt x="644652" y="1862328"/>
              </a:moveTo>
              <a:lnTo>
                <a:pt x="0" y="1862328"/>
              </a:lnTo>
              <a:lnTo>
                <a:pt x="0" y="2066544"/>
              </a:lnTo>
              <a:lnTo>
                <a:pt x="644652" y="2066544"/>
              </a:lnTo>
              <a:lnTo>
                <a:pt x="644652" y="1862328"/>
              </a:lnTo>
              <a:close/>
            </a:path>
            <a:path w="645160" h="3514725">
              <a:moveTo>
                <a:pt x="644652" y="1655064"/>
              </a:moveTo>
              <a:lnTo>
                <a:pt x="0" y="1655064"/>
              </a:lnTo>
              <a:lnTo>
                <a:pt x="0" y="1859280"/>
              </a:lnTo>
              <a:lnTo>
                <a:pt x="644652" y="1859280"/>
              </a:lnTo>
              <a:lnTo>
                <a:pt x="644652" y="1655064"/>
              </a:lnTo>
              <a:close/>
            </a:path>
            <a:path w="645160" h="3514725">
              <a:moveTo>
                <a:pt x="644652" y="1449324"/>
              </a:moveTo>
              <a:lnTo>
                <a:pt x="0" y="1449324"/>
              </a:lnTo>
              <a:lnTo>
                <a:pt x="0" y="1652016"/>
              </a:lnTo>
              <a:lnTo>
                <a:pt x="644652" y="1652016"/>
              </a:lnTo>
              <a:lnTo>
                <a:pt x="644652" y="1449324"/>
              </a:lnTo>
              <a:close/>
            </a:path>
            <a:path w="645160" h="3514725">
              <a:moveTo>
                <a:pt x="644652" y="1242060"/>
              </a:moveTo>
              <a:lnTo>
                <a:pt x="0" y="1242060"/>
              </a:lnTo>
              <a:lnTo>
                <a:pt x="0" y="1446276"/>
              </a:lnTo>
              <a:lnTo>
                <a:pt x="644652" y="1446276"/>
              </a:lnTo>
              <a:lnTo>
                <a:pt x="644652" y="1242060"/>
              </a:lnTo>
              <a:close/>
            </a:path>
            <a:path w="645160" h="3514725">
              <a:moveTo>
                <a:pt x="644652" y="1034796"/>
              </a:moveTo>
              <a:lnTo>
                <a:pt x="0" y="1034796"/>
              </a:lnTo>
              <a:lnTo>
                <a:pt x="0" y="1239012"/>
              </a:lnTo>
              <a:lnTo>
                <a:pt x="644652" y="1239012"/>
              </a:lnTo>
              <a:lnTo>
                <a:pt x="644652" y="1034796"/>
              </a:lnTo>
              <a:close/>
            </a:path>
            <a:path w="645160" h="3514725">
              <a:moveTo>
                <a:pt x="644652" y="827532"/>
              </a:moveTo>
              <a:lnTo>
                <a:pt x="0" y="827532"/>
              </a:lnTo>
              <a:lnTo>
                <a:pt x="0" y="1031748"/>
              </a:lnTo>
              <a:lnTo>
                <a:pt x="644652" y="1031748"/>
              </a:lnTo>
              <a:lnTo>
                <a:pt x="644652" y="827532"/>
              </a:lnTo>
              <a:close/>
            </a:path>
            <a:path w="645160" h="3514725">
              <a:moveTo>
                <a:pt x="644652" y="621792"/>
              </a:moveTo>
              <a:lnTo>
                <a:pt x="0" y="621792"/>
              </a:lnTo>
              <a:lnTo>
                <a:pt x="0" y="824484"/>
              </a:lnTo>
              <a:lnTo>
                <a:pt x="644652" y="824484"/>
              </a:lnTo>
              <a:lnTo>
                <a:pt x="644652" y="621792"/>
              </a:lnTo>
              <a:close/>
            </a:path>
            <a:path w="645160" h="3514725">
              <a:moveTo>
                <a:pt x="644652" y="414528"/>
              </a:moveTo>
              <a:lnTo>
                <a:pt x="0" y="414528"/>
              </a:lnTo>
              <a:lnTo>
                <a:pt x="0" y="618744"/>
              </a:lnTo>
              <a:lnTo>
                <a:pt x="644652" y="618744"/>
              </a:lnTo>
              <a:lnTo>
                <a:pt x="644652" y="414528"/>
              </a:lnTo>
              <a:close/>
            </a:path>
            <a:path w="645160" h="3514725">
              <a:moveTo>
                <a:pt x="644652" y="207264"/>
              </a:moveTo>
              <a:lnTo>
                <a:pt x="0" y="207264"/>
              </a:lnTo>
              <a:lnTo>
                <a:pt x="0" y="411480"/>
              </a:lnTo>
              <a:lnTo>
                <a:pt x="644652" y="411480"/>
              </a:lnTo>
              <a:lnTo>
                <a:pt x="644652" y="207264"/>
              </a:lnTo>
              <a:close/>
            </a:path>
            <a:path w="645160" h="3514725">
              <a:moveTo>
                <a:pt x="644652" y="0"/>
              </a:moveTo>
              <a:lnTo>
                <a:pt x="0" y="0"/>
              </a:lnTo>
              <a:lnTo>
                <a:pt x="0" y="204216"/>
              </a:lnTo>
              <a:lnTo>
                <a:pt x="644652" y="204216"/>
              </a:lnTo>
              <a:lnTo>
                <a:pt x="644652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543687</xdr:colOff>
      <xdr:row>12</xdr:row>
      <xdr:rowOff>0</xdr:rowOff>
    </xdr:from>
    <xdr:ext cx="3808729" cy="480059"/>
    <xdr:sp macro="" textlink="">
      <xdr:nvSpPr>
        <xdr:cNvPr id="171" name="Shape 171">
          <a:extLst>
            <a:ext uri="{FF2B5EF4-FFF2-40B4-BE49-F238E27FC236}">
              <a16:creationId xmlns:a16="http://schemas.microsoft.com/office/drawing/2014/main" id="{00000000-0008-0000-1000-0000AB000000}"/>
            </a:ext>
          </a:extLst>
        </xdr:cNvPr>
        <xdr:cNvSpPr/>
      </xdr:nvSpPr>
      <xdr:spPr>
        <a:xfrm>
          <a:off x="0" y="0"/>
          <a:ext cx="3808729" cy="480059"/>
        </a:xfrm>
        <a:custGeom>
          <a:avLst/>
          <a:gdLst/>
          <a:ahLst/>
          <a:cxnLst/>
          <a:rect l="0" t="0" r="0" b="0"/>
          <a:pathLst>
            <a:path w="3808729" h="480059">
              <a:moveTo>
                <a:pt x="760476" y="0"/>
              </a:moveTo>
              <a:lnTo>
                <a:pt x="0" y="0"/>
              </a:lnTo>
              <a:lnTo>
                <a:pt x="0" y="480060"/>
              </a:lnTo>
              <a:lnTo>
                <a:pt x="760476" y="480060"/>
              </a:lnTo>
              <a:lnTo>
                <a:pt x="760476" y="0"/>
              </a:lnTo>
              <a:close/>
            </a:path>
            <a:path w="3808729" h="480059">
              <a:moveTo>
                <a:pt x="1522476" y="0"/>
              </a:moveTo>
              <a:lnTo>
                <a:pt x="763524" y="0"/>
              </a:lnTo>
              <a:lnTo>
                <a:pt x="763524" y="480060"/>
              </a:lnTo>
              <a:lnTo>
                <a:pt x="1522476" y="480060"/>
              </a:lnTo>
              <a:lnTo>
                <a:pt x="1522476" y="0"/>
              </a:lnTo>
              <a:close/>
            </a:path>
            <a:path w="3808729" h="480059">
              <a:moveTo>
                <a:pt x="2284463" y="0"/>
              </a:moveTo>
              <a:lnTo>
                <a:pt x="1525524" y="0"/>
              </a:lnTo>
              <a:lnTo>
                <a:pt x="1525524" y="480060"/>
              </a:lnTo>
              <a:lnTo>
                <a:pt x="2284463" y="480060"/>
              </a:lnTo>
              <a:lnTo>
                <a:pt x="2284463" y="0"/>
              </a:lnTo>
              <a:close/>
            </a:path>
            <a:path w="3808729" h="480059">
              <a:moveTo>
                <a:pt x="3046476" y="0"/>
              </a:moveTo>
              <a:lnTo>
                <a:pt x="2287524" y="0"/>
              </a:lnTo>
              <a:lnTo>
                <a:pt x="2287524" y="480060"/>
              </a:lnTo>
              <a:lnTo>
                <a:pt x="3046476" y="480060"/>
              </a:lnTo>
              <a:lnTo>
                <a:pt x="3046476" y="0"/>
              </a:lnTo>
              <a:close/>
            </a:path>
            <a:path w="3808729" h="480059">
              <a:moveTo>
                <a:pt x="3808476" y="0"/>
              </a:moveTo>
              <a:lnTo>
                <a:pt x="3049524" y="0"/>
              </a:lnTo>
              <a:lnTo>
                <a:pt x="3049524" y="480060"/>
              </a:lnTo>
              <a:lnTo>
                <a:pt x="3808476" y="480060"/>
              </a:lnTo>
              <a:lnTo>
                <a:pt x="3808476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5</xdr:col>
      <xdr:colOff>202691</xdr:colOff>
      <xdr:row>3</xdr:row>
      <xdr:rowOff>49142</xdr:rowOff>
    </xdr:from>
    <xdr:ext cx="381000" cy="290285"/>
    <xdr:pic>
      <xdr:nvPicPr>
        <xdr:cNvPr id="172" name="image1.jpeg">
          <a:extLst>
            <a:ext uri="{FF2B5EF4-FFF2-40B4-BE49-F238E27FC236}">
              <a16:creationId xmlns:a16="http://schemas.microsoft.com/office/drawing/2014/main" id="{00000000-0008-0000-1000-0000A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290285"/>
        </a:xfrm>
        <a:prstGeom prst="rect">
          <a:avLst/>
        </a:prstGeom>
      </xdr:spPr>
    </xdr:pic>
    <xdr:clientData/>
  </xdr:oneCellAnchor>
  <xdr:oneCellAnchor>
    <xdr:from>
      <xdr:col>6</xdr:col>
      <xdr:colOff>201929</xdr:colOff>
      <xdr:row>3</xdr:row>
      <xdr:rowOff>761</xdr:rowOff>
    </xdr:from>
    <xdr:ext cx="338666" cy="381000"/>
    <xdr:pic>
      <xdr:nvPicPr>
        <xdr:cNvPr id="173" name="image2.jpeg">
          <a:extLst>
            <a:ext uri="{FF2B5EF4-FFF2-40B4-BE49-F238E27FC236}">
              <a16:creationId xmlns:a16="http://schemas.microsoft.com/office/drawing/2014/main" id="{00000000-0008-0000-1000-0000A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38666" cy="381000"/>
        </a:xfrm>
        <a:prstGeom prst="rect">
          <a:avLst/>
        </a:prstGeom>
      </xdr:spPr>
    </xdr:pic>
    <xdr:clientData/>
  </xdr:oneCellAnchor>
  <xdr:oneCellAnchor>
    <xdr:from>
      <xdr:col>7</xdr:col>
      <xdr:colOff>201930</xdr:colOff>
      <xdr:row>3</xdr:row>
      <xdr:rowOff>49142</xdr:rowOff>
    </xdr:from>
    <xdr:ext cx="381000" cy="290285"/>
    <xdr:pic>
      <xdr:nvPicPr>
        <xdr:cNvPr id="174" name="image3.jpeg">
          <a:extLst>
            <a:ext uri="{FF2B5EF4-FFF2-40B4-BE49-F238E27FC236}">
              <a16:creationId xmlns:a16="http://schemas.microsoft.com/office/drawing/2014/main" id="{00000000-0008-0000-1000-0000A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290285"/>
        </a:xfrm>
        <a:prstGeom prst="rect">
          <a:avLst/>
        </a:prstGeom>
      </xdr:spPr>
    </xdr:pic>
    <xdr:clientData/>
  </xdr:oneCellAnchor>
  <xdr:oneCellAnchor>
    <xdr:from>
      <xdr:col>8</xdr:col>
      <xdr:colOff>298691</xdr:colOff>
      <xdr:row>3</xdr:row>
      <xdr:rowOff>49142</xdr:rowOff>
    </xdr:from>
    <xdr:ext cx="193523" cy="290285"/>
    <xdr:pic>
      <xdr:nvPicPr>
        <xdr:cNvPr id="175" name="image4.jpeg">
          <a:extLst>
            <a:ext uri="{FF2B5EF4-FFF2-40B4-BE49-F238E27FC236}">
              <a16:creationId xmlns:a16="http://schemas.microsoft.com/office/drawing/2014/main" id="{00000000-0008-0000-1000-0000A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3523" cy="290285"/>
        </a:xfrm>
        <a:prstGeom prst="rect">
          <a:avLst/>
        </a:prstGeom>
      </xdr:spPr>
    </xdr:pic>
    <xdr:clientData/>
  </xdr:oneCellAnchor>
  <xdr:oneCellAnchor>
    <xdr:from>
      <xdr:col>9</xdr:col>
      <xdr:colOff>201929</xdr:colOff>
      <xdr:row>3</xdr:row>
      <xdr:rowOff>761</xdr:rowOff>
    </xdr:from>
    <xdr:ext cx="381000" cy="381000"/>
    <xdr:pic>
      <xdr:nvPicPr>
        <xdr:cNvPr id="176" name="image5.jpeg">
          <a:extLst>
            <a:ext uri="{FF2B5EF4-FFF2-40B4-BE49-F238E27FC236}">
              <a16:creationId xmlns:a16="http://schemas.microsoft.com/office/drawing/2014/main" id="{00000000-0008-0000-1000-0000B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381000"/>
        </a:xfrm>
        <a:prstGeom prst="rect">
          <a:avLst/>
        </a:prstGeom>
      </xdr:spPr>
    </xdr:pic>
    <xdr:clientData/>
  </xdr:oneCellAnchor>
  <xdr:oneCellAnchor>
    <xdr:from>
      <xdr:col>1</xdr:col>
      <xdr:colOff>226060</xdr:colOff>
      <xdr:row>13</xdr:row>
      <xdr:rowOff>0</xdr:rowOff>
    </xdr:from>
    <xdr:ext cx="7486015" cy="1560830"/>
    <xdr:sp macro="" textlink="">
      <xdr:nvSpPr>
        <xdr:cNvPr id="177" name="Shape 177">
          <a:extLst>
            <a:ext uri="{FF2B5EF4-FFF2-40B4-BE49-F238E27FC236}">
              <a16:creationId xmlns:a16="http://schemas.microsoft.com/office/drawing/2014/main" id="{00000000-0008-0000-1000-0000B1000000}"/>
            </a:ext>
          </a:extLst>
        </xdr:cNvPr>
        <xdr:cNvSpPr/>
      </xdr:nvSpPr>
      <xdr:spPr>
        <a:xfrm>
          <a:off x="0" y="0"/>
          <a:ext cx="7486015" cy="1560830"/>
        </a:xfrm>
        <a:custGeom>
          <a:avLst/>
          <a:gdLst/>
          <a:ahLst/>
          <a:cxnLst/>
          <a:rect l="0" t="0" r="0" b="0"/>
          <a:pathLst>
            <a:path w="7486015" h="1560830">
              <a:moveTo>
                <a:pt x="312420" y="0"/>
              </a:moveTo>
              <a:lnTo>
                <a:pt x="0" y="0"/>
              </a:lnTo>
              <a:lnTo>
                <a:pt x="0" y="1560576"/>
              </a:lnTo>
              <a:lnTo>
                <a:pt x="312420" y="1560576"/>
              </a:lnTo>
              <a:lnTo>
                <a:pt x="312420" y="0"/>
              </a:lnTo>
              <a:close/>
            </a:path>
            <a:path w="7486015" h="1560830">
              <a:moveTo>
                <a:pt x="1264920" y="0"/>
              </a:moveTo>
              <a:lnTo>
                <a:pt x="315468" y="0"/>
              </a:lnTo>
              <a:lnTo>
                <a:pt x="315468" y="1560576"/>
              </a:lnTo>
              <a:lnTo>
                <a:pt x="1264920" y="1560576"/>
              </a:lnTo>
              <a:lnTo>
                <a:pt x="1264920" y="0"/>
              </a:lnTo>
              <a:close/>
            </a:path>
            <a:path w="7486015" h="1560830">
              <a:moveTo>
                <a:pt x="2531364" y="1034796"/>
              </a:moveTo>
              <a:lnTo>
                <a:pt x="1267968" y="1034796"/>
              </a:lnTo>
              <a:lnTo>
                <a:pt x="1267968" y="1560576"/>
              </a:lnTo>
              <a:lnTo>
                <a:pt x="2531364" y="1560576"/>
              </a:lnTo>
              <a:lnTo>
                <a:pt x="2531364" y="1034796"/>
              </a:lnTo>
              <a:close/>
            </a:path>
            <a:path w="7486015" h="1560830">
              <a:moveTo>
                <a:pt x="2531364" y="0"/>
              </a:moveTo>
              <a:lnTo>
                <a:pt x="1267968" y="0"/>
              </a:lnTo>
              <a:lnTo>
                <a:pt x="1267968" y="1031748"/>
              </a:lnTo>
              <a:lnTo>
                <a:pt x="2531364" y="1031748"/>
              </a:lnTo>
              <a:lnTo>
                <a:pt x="2531364" y="0"/>
              </a:lnTo>
              <a:close/>
            </a:path>
            <a:path w="7486015" h="1560830">
              <a:moveTo>
                <a:pt x="3037332" y="1242060"/>
              </a:moveTo>
              <a:lnTo>
                <a:pt x="2534412" y="1242060"/>
              </a:lnTo>
              <a:lnTo>
                <a:pt x="2534412" y="1560576"/>
              </a:lnTo>
              <a:lnTo>
                <a:pt x="3037332" y="1560576"/>
              </a:lnTo>
              <a:lnTo>
                <a:pt x="3037332" y="1242060"/>
              </a:lnTo>
              <a:close/>
            </a:path>
            <a:path w="7486015" h="1560830">
              <a:moveTo>
                <a:pt x="3037332" y="1034796"/>
              </a:moveTo>
              <a:lnTo>
                <a:pt x="2534412" y="1034796"/>
              </a:lnTo>
              <a:lnTo>
                <a:pt x="2534412" y="1239012"/>
              </a:lnTo>
              <a:lnTo>
                <a:pt x="3037332" y="1239012"/>
              </a:lnTo>
              <a:lnTo>
                <a:pt x="3037332" y="1034796"/>
              </a:lnTo>
              <a:close/>
            </a:path>
            <a:path w="7486015" h="1560830">
              <a:moveTo>
                <a:pt x="3037332" y="827532"/>
              </a:moveTo>
              <a:lnTo>
                <a:pt x="2534412" y="827532"/>
              </a:lnTo>
              <a:lnTo>
                <a:pt x="2534412" y="1031748"/>
              </a:lnTo>
              <a:lnTo>
                <a:pt x="3037332" y="1031748"/>
              </a:lnTo>
              <a:lnTo>
                <a:pt x="3037332" y="827532"/>
              </a:lnTo>
              <a:close/>
            </a:path>
            <a:path w="7486015" h="1560830">
              <a:moveTo>
                <a:pt x="3037332" y="621792"/>
              </a:moveTo>
              <a:lnTo>
                <a:pt x="2534412" y="621792"/>
              </a:lnTo>
              <a:lnTo>
                <a:pt x="2534412" y="824484"/>
              </a:lnTo>
              <a:lnTo>
                <a:pt x="3037332" y="824484"/>
              </a:lnTo>
              <a:lnTo>
                <a:pt x="3037332" y="621792"/>
              </a:lnTo>
              <a:close/>
            </a:path>
            <a:path w="7486015" h="1560830">
              <a:moveTo>
                <a:pt x="3037332" y="414528"/>
              </a:moveTo>
              <a:lnTo>
                <a:pt x="2534412" y="414528"/>
              </a:lnTo>
              <a:lnTo>
                <a:pt x="2534412" y="618744"/>
              </a:lnTo>
              <a:lnTo>
                <a:pt x="3037332" y="618744"/>
              </a:lnTo>
              <a:lnTo>
                <a:pt x="3037332" y="414528"/>
              </a:lnTo>
              <a:close/>
            </a:path>
            <a:path w="7486015" h="1560830">
              <a:moveTo>
                <a:pt x="3037332" y="207264"/>
              </a:moveTo>
              <a:lnTo>
                <a:pt x="2534412" y="207264"/>
              </a:lnTo>
              <a:lnTo>
                <a:pt x="2534412" y="411480"/>
              </a:lnTo>
              <a:lnTo>
                <a:pt x="3037332" y="411480"/>
              </a:lnTo>
              <a:lnTo>
                <a:pt x="3037332" y="207264"/>
              </a:lnTo>
              <a:close/>
            </a:path>
            <a:path w="7486015" h="1560830">
              <a:moveTo>
                <a:pt x="3037332" y="0"/>
              </a:moveTo>
              <a:lnTo>
                <a:pt x="2534412" y="0"/>
              </a:lnTo>
              <a:lnTo>
                <a:pt x="2534412" y="204216"/>
              </a:lnTo>
              <a:lnTo>
                <a:pt x="3037332" y="204216"/>
              </a:lnTo>
              <a:lnTo>
                <a:pt x="3037332" y="0"/>
              </a:lnTo>
              <a:close/>
            </a:path>
            <a:path w="7486015" h="1560830">
              <a:moveTo>
                <a:pt x="3674364" y="1242060"/>
              </a:moveTo>
              <a:lnTo>
                <a:pt x="3040380" y="1242060"/>
              </a:lnTo>
              <a:lnTo>
                <a:pt x="3040380" y="1560576"/>
              </a:lnTo>
              <a:lnTo>
                <a:pt x="3674364" y="1560576"/>
              </a:lnTo>
              <a:lnTo>
                <a:pt x="3674364" y="1242060"/>
              </a:lnTo>
              <a:close/>
            </a:path>
            <a:path w="7486015" h="1560830">
              <a:moveTo>
                <a:pt x="3674364" y="1034796"/>
              </a:moveTo>
              <a:lnTo>
                <a:pt x="3040380" y="1034796"/>
              </a:lnTo>
              <a:lnTo>
                <a:pt x="3040380" y="1239012"/>
              </a:lnTo>
              <a:lnTo>
                <a:pt x="3674364" y="1239012"/>
              </a:lnTo>
              <a:lnTo>
                <a:pt x="3674364" y="1034796"/>
              </a:lnTo>
              <a:close/>
            </a:path>
            <a:path w="7486015" h="1560830">
              <a:moveTo>
                <a:pt x="3674364" y="827532"/>
              </a:moveTo>
              <a:lnTo>
                <a:pt x="3040380" y="827532"/>
              </a:lnTo>
              <a:lnTo>
                <a:pt x="3040380" y="1031748"/>
              </a:lnTo>
              <a:lnTo>
                <a:pt x="3674364" y="1031748"/>
              </a:lnTo>
              <a:lnTo>
                <a:pt x="3674364" y="827532"/>
              </a:lnTo>
              <a:close/>
            </a:path>
            <a:path w="7486015" h="1560830">
              <a:moveTo>
                <a:pt x="3674364" y="621792"/>
              </a:moveTo>
              <a:lnTo>
                <a:pt x="3040380" y="621792"/>
              </a:lnTo>
              <a:lnTo>
                <a:pt x="3040380" y="824484"/>
              </a:lnTo>
              <a:lnTo>
                <a:pt x="3674364" y="824484"/>
              </a:lnTo>
              <a:lnTo>
                <a:pt x="3674364" y="621792"/>
              </a:lnTo>
              <a:close/>
            </a:path>
            <a:path w="7486015" h="1560830">
              <a:moveTo>
                <a:pt x="3674364" y="414528"/>
              </a:moveTo>
              <a:lnTo>
                <a:pt x="3040380" y="414528"/>
              </a:lnTo>
              <a:lnTo>
                <a:pt x="3040380" y="618744"/>
              </a:lnTo>
              <a:lnTo>
                <a:pt x="3674364" y="618744"/>
              </a:lnTo>
              <a:lnTo>
                <a:pt x="3674364" y="414528"/>
              </a:lnTo>
              <a:close/>
            </a:path>
            <a:path w="7486015" h="1560830">
              <a:moveTo>
                <a:pt x="3674364" y="207264"/>
              </a:moveTo>
              <a:lnTo>
                <a:pt x="3040380" y="207264"/>
              </a:lnTo>
              <a:lnTo>
                <a:pt x="3040380" y="411480"/>
              </a:lnTo>
              <a:lnTo>
                <a:pt x="3674364" y="411480"/>
              </a:lnTo>
              <a:lnTo>
                <a:pt x="3674364" y="207264"/>
              </a:lnTo>
              <a:close/>
            </a:path>
            <a:path w="7486015" h="1560830">
              <a:moveTo>
                <a:pt x="3674364" y="0"/>
              </a:moveTo>
              <a:lnTo>
                <a:pt x="3040380" y="0"/>
              </a:lnTo>
              <a:lnTo>
                <a:pt x="3040380" y="204216"/>
              </a:lnTo>
              <a:lnTo>
                <a:pt x="3674364" y="204216"/>
              </a:lnTo>
              <a:lnTo>
                <a:pt x="3674364" y="0"/>
              </a:lnTo>
              <a:close/>
            </a:path>
            <a:path w="7486015" h="1560830">
              <a:moveTo>
                <a:pt x="4437888" y="1242060"/>
              </a:moveTo>
              <a:lnTo>
                <a:pt x="3677412" y="1242060"/>
              </a:lnTo>
              <a:lnTo>
                <a:pt x="3677412" y="1560576"/>
              </a:lnTo>
              <a:lnTo>
                <a:pt x="4437888" y="1560576"/>
              </a:lnTo>
              <a:lnTo>
                <a:pt x="4437888" y="1242060"/>
              </a:lnTo>
              <a:close/>
            </a:path>
            <a:path w="7486015" h="1560830">
              <a:moveTo>
                <a:pt x="4437888" y="1034796"/>
              </a:moveTo>
              <a:lnTo>
                <a:pt x="3677412" y="1034796"/>
              </a:lnTo>
              <a:lnTo>
                <a:pt x="3677412" y="1239012"/>
              </a:lnTo>
              <a:lnTo>
                <a:pt x="4437888" y="1239012"/>
              </a:lnTo>
              <a:lnTo>
                <a:pt x="4437888" y="1034796"/>
              </a:lnTo>
              <a:close/>
            </a:path>
            <a:path w="7486015" h="1560830">
              <a:moveTo>
                <a:pt x="4437888" y="827532"/>
              </a:moveTo>
              <a:lnTo>
                <a:pt x="3677412" y="827532"/>
              </a:lnTo>
              <a:lnTo>
                <a:pt x="3677412" y="1031748"/>
              </a:lnTo>
              <a:lnTo>
                <a:pt x="4437888" y="1031748"/>
              </a:lnTo>
              <a:lnTo>
                <a:pt x="4437888" y="827532"/>
              </a:lnTo>
              <a:close/>
            </a:path>
            <a:path w="7486015" h="1560830">
              <a:moveTo>
                <a:pt x="4437888" y="621792"/>
              </a:moveTo>
              <a:lnTo>
                <a:pt x="3677412" y="621792"/>
              </a:lnTo>
              <a:lnTo>
                <a:pt x="3677412" y="824484"/>
              </a:lnTo>
              <a:lnTo>
                <a:pt x="4437888" y="824484"/>
              </a:lnTo>
              <a:lnTo>
                <a:pt x="4437888" y="621792"/>
              </a:lnTo>
              <a:close/>
            </a:path>
            <a:path w="7486015" h="1560830">
              <a:moveTo>
                <a:pt x="4437888" y="414528"/>
              </a:moveTo>
              <a:lnTo>
                <a:pt x="3677412" y="414528"/>
              </a:lnTo>
              <a:lnTo>
                <a:pt x="3677412" y="618744"/>
              </a:lnTo>
              <a:lnTo>
                <a:pt x="4437888" y="618744"/>
              </a:lnTo>
              <a:lnTo>
                <a:pt x="4437888" y="414528"/>
              </a:lnTo>
              <a:close/>
            </a:path>
            <a:path w="7486015" h="1560830">
              <a:moveTo>
                <a:pt x="4437888" y="207264"/>
              </a:moveTo>
              <a:lnTo>
                <a:pt x="3677412" y="207264"/>
              </a:lnTo>
              <a:lnTo>
                <a:pt x="3677412" y="411480"/>
              </a:lnTo>
              <a:lnTo>
                <a:pt x="4437888" y="411480"/>
              </a:lnTo>
              <a:lnTo>
                <a:pt x="4437888" y="207264"/>
              </a:lnTo>
              <a:close/>
            </a:path>
            <a:path w="7486015" h="1560830">
              <a:moveTo>
                <a:pt x="4437888" y="0"/>
              </a:moveTo>
              <a:lnTo>
                <a:pt x="3677412" y="0"/>
              </a:lnTo>
              <a:lnTo>
                <a:pt x="3677412" y="204216"/>
              </a:lnTo>
              <a:lnTo>
                <a:pt x="4437888" y="204216"/>
              </a:lnTo>
              <a:lnTo>
                <a:pt x="4437888" y="0"/>
              </a:lnTo>
              <a:close/>
            </a:path>
            <a:path w="7486015" h="1560830">
              <a:moveTo>
                <a:pt x="5199888" y="1242060"/>
              </a:moveTo>
              <a:lnTo>
                <a:pt x="4440936" y="1242060"/>
              </a:lnTo>
              <a:lnTo>
                <a:pt x="4440936" y="1560576"/>
              </a:lnTo>
              <a:lnTo>
                <a:pt x="5199888" y="1560576"/>
              </a:lnTo>
              <a:lnTo>
                <a:pt x="5199888" y="1242060"/>
              </a:lnTo>
              <a:close/>
            </a:path>
            <a:path w="7486015" h="1560830">
              <a:moveTo>
                <a:pt x="5199888" y="1034796"/>
              </a:moveTo>
              <a:lnTo>
                <a:pt x="4440936" y="1034796"/>
              </a:lnTo>
              <a:lnTo>
                <a:pt x="4440936" y="1239012"/>
              </a:lnTo>
              <a:lnTo>
                <a:pt x="5199888" y="1239012"/>
              </a:lnTo>
              <a:lnTo>
                <a:pt x="5199888" y="1034796"/>
              </a:lnTo>
              <a:close/>
            </a:path>
            <a:path w="7486015" h="1560830">
              <a:moveTo>
                <a:pt x="5199888" y="827532"/>
              </a:moveTo>
              <a:lnTo>
                <a:pt x="4440936" y="827532"/>
              </a:lnTo>
              <a:lnTo>
                <a:pt x="4440936" y="1031748"/>
              </a:lnTo>
              <a:lnTo>
                <a:pt x="5199888" y="1031748"/>
              </a:lnTo>
              <a:lnTo>
                <a:pt x="5199888" y="827532"/>
              </a:lnTo>
              <a:close/>
            </a:path>
            <a:path w="7486015" h="1560830">
              <a:moveTo>
                <a:pt x="5199888" y="621792"/>
              </a:moveTo>
              <a:lnTo>
                <a:pt x="4440936" y="621792"/>
              </a:lnTo>
              <a:lnTo>
                <a:pt x="4440936" y="824484"/>
              </a:lnTo>
              <a:lnTo>
                <a:pt x="5199888" y="824484"/>
              </a:lnTo>
              <a:lnTo>
                <a:pt x="5199888" y="621792"/>
              </a:lnTo>
              <a:close/>
            </a:path>
            <a:path w="7486015" h="1560830">
              <a:moveTo>
                <a:pt x="5199888" y="414528"/>
              </a:moveTo>
              <a:lnTo>
                <a:pt x="4440936" y="414528"/>
              </a:lnTo>
              <a:lnTo>
                <a:pt x="4440936" y="618744"/>
              </a:lnTo>
              <a:lnTo>
                <a:pt x="5199888" y="618744"/>
              </a:lnTo>
              <a:lnTo>
                <a:pt x="5199888" y="414528"/>
              </a:lnTo>
              <a:close/>
            </a:path>
            <a:path w="7486015" h="1560830">
              <a:moveTo>
                <a:pt x="5199888" y="207264"/>
              </a:moveTo>
              <a:lnTo>
                <a:pt x="4440936" y="207264"/>
              </a:lnTo>
              <a:lnTo>
                <a:pt x="4440936" y="411480"/>
              </a:lnTo>
              <a:lnTo>
                <a:pt x="5199888" y="411480"/>
              </a:lnTo>
              <a:lnTo>
                <a:pt x="5199888" y="207264"/>
              </a:lnTo>
              <a:close/>
            </a:path>
            <a:path w="7486015" h="1560830">
              <a:moveTo>
                <a:pt x="5199888" y="0"/>
              </a:moveTo>
              <a:lnTo>
                <a:pt x="4440936" y="0"/>
              </a:lnTo>
              <a:lnTo>
                <a:pt x="4440936" y="204216"/>
              </a:lnTo>
              <a:lnTo>
                <a:pt x="5199888" y="204216"/>
              </a:lnTo>
              <a:lnTo>
                <a:pt x="5199888" y="0"/>
              </a:lnTo>
              <a:close/>
            </a:path>
            <a:path w="7486015" h="1560830">
              <a:moveTo>
                <a:pt x="5961875" y="1242060"/>
              </a:moveTo>
              <a:lnTo>
                <a:pt x="5202936" y="1242060"/>
              </a:lnTo>
              <a:lnTo>
                <a:pt x="5202936" y="1560576"/>
              </a:lnTo>
              <a:lnTo>
                <a:pt x="5961875" y="1560576"/>
              </a:lnTo>
              <a:lnTo>
                <a:pt x="5961875" y="1242060"/>
              </a:lnTo>
              <a:close/>
            </a:path>
            <a:path w="7486015" h="1560830">
              <a:moveTo>
                <a:pt x="5961875" y="1034796"/>
              </a:moveTo>
              <a:lnTo>
                <a:pt x="5202936" y="1034796"/>
              </a:lnTo>
              <a:lnTo>
                <a:pt x="5202936" y="1239012"/>
              </a:lnTo>
              <a:lnTo>
                <a:pt x="5961875" y="1239012"/>
              </a:lnTo>
              <a:lnTo>
                <a:pt x="5961875" y="1034796"/>
              </a:lnTo>
              <a:close/>
            </a:path>
            <a:path w="7486015" h="1560830">
              <a:moveTo>
                <a:pt x="5961875" y="827532"/>
              </a:moveTo>
              <a:lnTo>
                <a:pt x="5202936" y="827532"/>
              </a:lnTo>
              <a:lnTo>
                <a:pt x="5202936" y="1031748"/>
              </a:lnTo>
              <a:lnTo>
                <a:pt x="5961875" y="1031748"/>
              </a:lnTo>
              <a:lnTo>
                <a:pt x="5961875" y="827532"/>
              </a:lnTo>
              <a:close/>
            </a:path>
            <a:path w="7486015" h="1560830">
              <a:moveTo>
                <a:pt x="5961875" y="621792"/>
              </a:moveTo>
              <a:lnTo>
                <a:pt x="5202936" y="621792"/>
              </a:lnTo>
              <a:lnTo>
                <a:pt x="5202936" y="824484"/>
              </a:lnTo>
              <a:lnTo>
                <a:pt x="5961875" y="824484"/>
              </a:lnTo>
              <a:lnTo>
                <a:pt x="5961875" y="621792"/>
              </a:lnTo>
              <a:close/>
            </a:path>
            <a:path w="7486015" h="1560830">
              <a:moveTo>
                <a:pt x="5961875" y="414528"/>
              </a:moveTo>
              <a:lnTo>
                <a:pt x="5202936" y="414528"/>
              </a:lnTo>
              <a:lnTo>
                <a:pt x="5202936" y="618744"/>
              </a:lnTo>
              <a:lnTo>
                <a:pt x="5961875" y="618744"/>
              </a:lnTo>
              <a:lnTo>
                <a:pt x="5961875" y="414528"/>
              </a:lnTo>
              <a:close/>
            </a:path>
            <a:path w="7486015" h="1560830">
              <a:moveTo>
                <a:pt x="5961875" y="207264"/>
              </a:moveTo>
              <a:lnTo>
                <a:pt x="5202936" y="207264"/>
              </a:lnTo>
              <a:lnTo>
                <a:pt x="5202936" y="411480"/>
              </a:lnTo>
              <a:lnTo>
                <a:pt x="5961875" y="411480"/>
              </a:lnTo>
              <a:lnTo>
                <a:pt x="5961875" y="207264"/>
              </a:lnTo>
              <a:close/>
            </a:path>
            <a:path w="7486015" h="1560830">
              <a:moveTo>
                <a:pt x="5961875" y="0"/>
              </a:moveTo>
              <a:lnTo>
                <a:pt x="5202936" y="0"/>
              </a:lnTo>
              <a:lnTo>
                <a:pt x="5202936" y="204216"/>
              </a:lnTo>
              <a:lnTo>
                <a:pt x="5961875" y="204216"/>
              </a:lnTo>
              <a:lnTo>
                <a:pt x="5961875" y="0"/>
              </a:lnTo>
              <a:close/>
            </a:path>
            <a:path w="7486015" h="1560830">
              <a:moveTo>
                <a:pt x="6723888" y="1242060"/>
              </a:moveTo>
              <a:lnTo>
                <a:pt x="5964936" y="1242060"/>
              </a:lnTo>
              <a:lnTo>
                <a:pt x="5964936" y="1560576"/>
              </a:lnTo>
              <a:lnTo>
                <a:pt x="6723888" y="1560576"/>
              </a:lnTo>
              <a:lnTo>
                <a:pt x="6723888" y="1242060"/>
              </a:lnTo>
              <a:close/>
            </a:path>
            <a:path w="7486015" h="1560830">
              <a:moveTo>
                <a:pt x="6723888" y="1034796"/>
              </a:moveTo>
              <a:lnTo>
                <a:pt x="5964936" y="1034796"/>
              </a:lnTo>
              <a:lnTo>
                <a:pt x="5964936" y="1239012"/>
              </a:lnTo>
              <a:lnTo>
                <a:pt x="6723888" y="1239012"/>
              </a:lnTo>
              <a:lnTo>
                <a:pt x="6723888" y="1034796"/>
              </a:lnTo>
              <a:close/>
            </a:path>
            <a:path w="7486015" h="1560830">
              <a:moveTo>
                <a:pt x="6723888" y="827532"/>
              </a:moveTo>
              <a:lnTo>
                <a:pt x="5964936" y="827532"/>
              </a:lnTo>
              <a:lnTo>
                <a:pt x="5964936" y="1031748"/>
              </a:lnTo>
              <a:lnTo>
                <a:pt x="6723888" y="1031748"/>
              </a:lnTo>
              <a:lnTo>
                <a:pt x="6723888" y="827532"/>
              </a:lnTo>
              <a:close/>
            </a:path>
            <a:path w="7486015" h="1560830">
              <a:moveTo>
                <a:pt x="6723888" y="621792"/>
              </a:moveTo>
              <a:lnTo>
                <a:pt x="5964936" y="621792"/>
              </a:lnTo>
              <a:lnTo>
                <a:pt x="5964936" y="824484"/>
              </a:lnTo>
              <a:lnTo>
                <a:pt x="6723888" y="824484"/>
              </a:lnTo>
              <a:lnTo>
                <a:pt x="6723888" y="621792"/>
              </a:lnTo>
              <a:close/>
            </a:path>
            <a:path w="7486015" h="1560830">
              <a:moveTo>
                <a:pt x="6723888" y="414528"/>
              </a:moveTo>
              <a:lnTo>
                <a:pt x="5964936" y="414528"/>
              </a:lnTo>
              <a:lnTo>
                <a:pt x="5964936" y="618744"/>
              </a:lnTo>
              <a:lnTo>
                <a:pt x="6723888" y="618744"/>
              </a:lnTo>
              <a:lnTo>
                <a:pt x="6723888" y="414528"/>
              </a:lnTo>
              <a:close/>
            </a:path>
            <a:path w="7486015" h="1560830">
              <a:moveTo>
                <a:pt x="6723888" y="207264"/>
              </a:moveTo>
              <a:lnTo>
                <a:pt x="5964936" y="207264"/>
              </a:lnTo>
              <a:lnTo>
                <a:pt x="5964936" y="411480"/>
              </a:lnTo>
              <a:lnTo>
                <a:pt x="6723888" y="411480"/>
              </a:lnTo>
              <a:lnTo>
                <a:pt x="6723888" y="207264"/>
              </a:lnTo>
              <a:close/>
            </a:path>
            <a:path w="7486015" h="1560830">
              <a:moveTo>
                <a:pt x="6723888" y="0"/>
              </a:moveTo>
              <a:lnTo>
                <a:pt x="5964936" y="0"/>
              </a:lnTo>
              <a:lnTo>
                <a:pt x="5964936" y="204216"/>
              </a:lnTo>
              <a:lnTo>
                <a:pt x="6723888" y="204216"/>
              </a:lnTo>
              <a:lnTo>
                <a:pt x="6723888" y="0"/>
              </a:lnTo>
              <a:close/>
            </a:path>
            <a:path w="7486015" h="1560830">
              <a:moveTo>
                <a:pt x="7485888" y="1242060"/>
              </a:moveTo>
              <a:lnTo>
                <a:pt x="6726936" y="1242060"/>
              </a:lnTo>
              <a:lnTo>
                <a:pt x="6726936" y="1560576"/>
              </a:lnTo>
              <a:lnTo>
                <a:pt x="7485888" y="1560576"/>
              </a:lnTo>
              <a:lnTo>
                <a:pt x="7485888" y="1242060"/>
              </a:lnTo>
              <a:close/>
            </a:path>
            <a:path w="7486015" h="1560830">
              <a:moveTo>
                <a:pt x="7485888" y="1034796"/>
              </a:moveTo>
              <a:lnTo>
                <a:pt x="6726936" y="1034796"/>
              </a:lnTo>
              <a:lnTo>
                <a:pt x="6726936" y="1239012"/>
              </a:lnTo>
              <a:lnTo>
                <a:pt x="7485888" y="1239012"/>
              </a:lnTo>
              <a:lnTo>
                <a:pt x="7485888" y="1034796"/>
              </a:lnTo>
              <a:close/>
            </a:path>
            <a:path w="7486015" h="1560830">
              <a:moveTo>
                <a:pt x="7485888" y="827532"/>
              </a:moveTo>
              <a:lnTo>
                <a:pt x="6726936" y="827532"/>
              </a:lnTo>
              <a:lnTo>
                <a:pt x="6726936" y="1031748"/>
              </a:lnTo>
              <a:lnTo>
                <a:pt x="7485888" y="1031748"/>
              </a:lnTo>
              <a:lnTo>
                <a:pt x="7485888" y="827532"/>
              </a:lnTo>
              <a:close/>
            </a:path>
            <a:path w="7486015" h="1560830">
              <a:moveTo>
                <a:pt x="7485888" y="621792"/>
              </a:moveTo>
              <a:lnTo>
                <a:pt x="6726936" y="621792"/>
              </a:lnTo>
              <a:lnTo>
                <a:pt x="6726936" y="824484"/>
              </a:lnTo>
              <a:lnTo>
                <a:pt x="7485888" y="824484"/>
              </a:lnTo>
              <a:lnTo>
                <a:pt x="7485888" y="621792"/>
              </a:lnTo>
              <a:close/>
            </a:path>
            <a:path w="7486015" h="1560830">
              <a:moveTo>
                <a:pt x="7485888" y="414528"/>
              </a:moveTo>
              <a:lnTo>
                <a:pt x="6726936" y="414528"/>
              </a:lnTo>
              <a:lnTo>
                <a:pt x="6726936" y="618744"/>
              </a:lnTo>
              <a:lnTo>
                <a:pt x="7485888" y="618744"/>
              </a:lnTo>
              <a:lnTo>
                <a:pt x="7485888" y="414528"/>
              </a:lnTo>
              <a:close/>
            </a:path>
            <a:path w="7486015" h="1560830">
              <a:moveTo>
                <a:pt x="7485888" y="207264"/>
              </a:moveTo>
              <a:lnTo>
                <a:pt x="6726936" y="207264"/>
              </a:lnTo>
              <a:lnTo>
                <a:pt x="6726936" y="411480"/>
              </a:lnTo>
              <a:lnTo>
                <a:pt x="7485888" y="411480"/>
              </a:lnTo>
              <a:lnTo>
                <a:pt x="7485888" y="207264"/>
              </a:lnTo>
              <a:close/>
            </a:path>
            <a:path w="7486015" h="1560830">
              <a:moveTo>
                <a:pt x="7485888" y="0"/>
              </a:moveTo>
              <a:lnTo>
                <a:pt x="6726936" y="0"/>
              </a:lnTo>
              <a:lnTo>
                <a:pt x="6726936" y="204216"/>
              </a:lnTo>
              <a:lnTo>
                <a:pt x="7485888" y="204216"/>
              </a:lnTo>
              <a:lnTo>
                <a:pt x="7485888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11</xdr:col>
      <xdr:colOff>546481</xdr:colOff>
      <xdr:row>14</xdr:row>
      <xdr:rowOff>0</xdr:rowOff>
    </xdr:from>
    <xdr:ext cx="645160" cy="1560830"/>
    <xdr:sp macro="" textlink="">
      <xdr:nvSpPr>
        <xdr:cNvPr id="178" name="Shape 178">
          <a:extLst>
            <a:ext uri="{FF2B5EF4-FFF2-40B4-BE49-F238E27FC236}">
              <a16:creationId xmlns:a16="http://schemas.microsoft.com/office/drawing/2014/main" id="{00000000-0008-0000-1000-0000B2000000}"/>
            </a:ext>
          </a:extLst>
        </xdr:cNvPr>
        <xdr:cNvSpPr/>
      </xdr:nvSpPr>
      <xdr:spPr>
        <a:xfrm>
          <a:off x="0" y="0"/>
          <a:ext cx="645160" cy="1560830"/>
        </a:xfrm>
        <a:custGeom>
          <a:avLst/>
          <a:gdLst/>
          <a:ahLst/>
          <a:cxnLst/>
          <a:rect l="0" t="0" r="0" b="0"/>
          <a:pathLst>
            <a:path w="645160" h="1560830">
              <a:moveTo>
                <a:pt x="644652" y="1242060"/>
              </a:moveTo>
              <a:lnTo>
                <a:pt x="0" y="1242060"/>
              </a:lnTo>
              <a:lnTo>
                <a:pt x="0" y="1560576"/>
              </a:lnTo>
              <a:lnTo>
                <a:pt x="644652" y="1560576"/>
              </a:lnTo>
              <a:lnTo>
                <a:pt x="644652" y="1242060"/>
              </a:lnTo>
              <a:close/>
            </a:path>
            <a:path w="645160" h="1560830">
              <a:moveTo>
                <a:pt x="644652" y="1034796"/>
              </a:moveTo>
              <a:lnTo>
                <a:pt x="0" y="1034796"/>
              </a:lnTo>
              <a:lnTo>
                <a:pt x="0" y="1239012"/>
              </a:lnTo>
              <a:lnTo>
                <a:pt x="644652" y="1239012"/>
              </a:lnTo>
              <a:lnTo>
                <a:pt x="644652" y="1034796"/>
              </a:lnTo>
              <a:close/>
            </a:path>
            <a:path w="645160" h="1560830">
              <a:moveTo>
                <a:pt x="644652" y="827532"/>
              </a:moveTo>
              <a:lnTo>
                <a:pt x="0" y="827532"/>
              </a:lnTo>
              <a:lnTo>
                <a:pt x="0" y="1031748"/>
              </a:lnTo>
              <a:lnTo>
                <a:pt x="644652" y="1031748"/>
              </a:lnTo>
              <a:lnTo>
                <a:pt x="644652" y="827532"/>
              </a:lnTo>
              <a:close/>
            </a:path>
            <a:path w="645160" h="1560830">
              <a:moveTo>
                <a:pt x="644652" y="621792"/>
              </a:moveTo>
              <a:lnTo>
                <a:pt x="0" y="621792"/>
              </a:lnTo>
              <a:lnTo>
                <a:pt x="0" y="824484"/>
              </a:lnTo>
              <a:lnTo>
                <a:pt x="644652" y="824484"/>
              </a:lnTo>
              <a:lnTo>
                <a:pt x="644652" y="621792"/>
              </a:lnTo>
              <a:close/>
            </a:path>
            <a:path w="645160" h="1560830">
              <a:moveTo>
                <a:pt x="644652" y="414528"/>
              </a:moveTo>
              <a:lnTo>
                <a:pt x="0" y="414528"/>
              </a:lnTo>
              <a:lnTo>
                <a:pt x="0" y="618744"/>
              </a:lnTo>
              <a:lnTo>
                <a:pt x="644652" y="618744"/>
              </a:lnTo>
              <a:lnTo>
                <a:pt x="644652" y="414528"/>
              </a:lnTo>
              <a:close/>
            </a:path>
            <a:path w="645160" h="1560830">
              <a:moveTo>
                <a:pt x="644652" y="207264"/>
              </a:moveTo>
              <a:lnTo>
                <a:pt x="0" y="207264"/>
              </a:lnTo>
              <a:lnTo>
                <a:pt x="0" y="411480"/>
              </a:lnTo>
              <a:lnTo>
                <a:pt x="644652" y="411480"/>
              </a:lnTo>
              <a:lnTo>
                <a:pt x="644652" y="207264"/>
              </a:lnTo>
              <a:close/>
            </a:path>
            <a:path w="645160" h="1560830">
              <a:moveTo>
                <a:pt x="644652" y="0"/>
              </a:moveTo>
              <a:lnTo>
                <a:pt x="0" y="0"/>
              </a:lnTo>
              <a:lnTo>
                <a:pt x="0" y="204216"/>
              </a:lnTo>
              <a:lnTo>
                <a:pt x="644652" y="204216"/>
              </a:lnTo>
              <a:lnTo>
                <a:pt x="644652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27CCE-8B9D-4EC3-9667-EB39029D5B3A}">
  <dimension ref="A1:AH280"/>
  <sheetViews>
    <sheetView topLeftCell="T32" workbookViewId="0">
      <selection activeCell="Y48" sqref="Y48"/>
    </sheetView>
  </sheetViews>
  <sheetFormatPr defaultRowHeight="13.2" x14ac:dyDescent="0.25"/>
  <cols>
    <col min="1" max="3" width="6" bestFit="1" customWidth="1"/>
    <col min="4" max="4" width="10.77734375" bestFit="1" customWidth="1"/>
    <col min="5" max="5" width="5.77734375" bestFit="1" customWidth="1"/>
    <col min="6" max="10" width="4" bestFit="1" customWidth="1"/>
    <col min="11" max="11" width="7" bestFit="1" customWidth="1"/>
    <col min="12" max="14" width="6" bestFit="1" customWidth="1"/>
    <col min="15" max="15" width="7.33203125" bestFit="1" customWidth="1"/>
  </cols>
  <sheetData>
    <row r="1" spans="1:34" x14ac:dyDescent="0.25">
      <c r="A1" s="22" t="s">
        <v>259</v>
      </c>
      <c r="B1" s="22" t="s">
        <v>260</v>
      </c>
      <c r="C1" s="22" t="s">
        <v>261</v>
      </c>
      <c r="D1" s="22" t="s">
        <v>262</v>
      </c>
      <c r="E1" s="22" t="s">
        <v>263</v>
      </c>
      <c r="F1" s="24" t="s">
        <v>363</v>
      </c>
      <c r="G1" s="24" t="s">
        <v>364</v>
      </c>
      <c r="H1" s="24" t="s">
        <v>365</v>
      </c>
      <c r="I1" s="24" t="s">
        <v>366</v>
      </c>
      <c r="J1" s="24" t="s">
        <v>367</v>
      </c>
      <c r="K1" s="24" t="s">
        <v>368</v>
      </c>
      <c r="L1" s="24" t="s">
        <v>369</v>
      </c>
      <c r="M1" s="24" t="s">
        <v>370</v>
      </c>
      <c r="N1" s="24" t="s">
        <v>371</v>
      </c>
      <c r="O1" s="24" t="s">
        <v>372</v>
      </c>
    </row>
    <row r="2" spans="1:34" x14ac:dyDescent="0.25">
      <c r="A2" s="23">
        <v>0.64066852367688021</v>
      </c>
      <c r="B2" s="23">
        <v>6.4066852367688026E-2</v>
      </c>
      <c r="C2" s="23">
        <v>0.28133704735376047</v>
      </c>
      <c r="D2" s="23">
        <v>5.5710306406685237E-3</v>
      </c>
      <c r="E2" s="23">
        <v>5.5710306406685237E-3</v>
      </c>
      <c r="F2" s="24">
        <v>93</v>
      </c>
      <c r="G2" s="24">
        <v>348</v>
      </c>
      <c r="H2" s="24">
        <v>8</v>
      </c>
      <c r="I2" s="24">
        <v>1</v>
      </c>
      <c r="J2" s="24">
        <v>450</v>
      </c>
      <c r="K2" s="27">
        <v>0.20666666666666667</v>
      </c>
      <c r="L2" s="27">
        <v>0.77333333333333332</v>
      </c>
      <c r="M2" s="27">
        <v>1.7777777777777778E-2</v>
      </c>
      <c r="N2" s="27">
        <v>2.2222222222222222E-3</v>
      </c>
      <c r="O2" s="25">
        <v>65.806666666666672</v>
      </c>
      <c r="Q2" s="29" t="s">
        <v>139</v>
      </c>
    </row>
    <row r="3" spans="1:34" x14ac:dyDescent="0.25">
      <c r="A3" s="23">
        <v>0.70351758793969854</v>
      </c>
      <c r="B3" s="23">
        <v>9.7989949748743713E-2</v>
      </c>
      <c r="C3" s="23">
        <v>0.17839195979899497</v>
      </c>
      <c r="D3" s="23">
        <v>2.5125628140703518E-3</v>
      </c>
      <c r="E3" s="23">
        <v>0</v>
      </c>
      <c r="F3" s="24">
        <v>108</v>
      </c>
      <c r="G3" s="24">
        <v>364</v>
      </c>
      <c r="H3" s="24">
        <v>7</v>
      </c>
      <c r="I3" s="24">
        <v>0</v>
      </c>
      <c r="J3" s="24">
        <v>479</v>
      </c>
      <c r="K3" s="27">
        <v>0.22546972860125261</v>
      </c>
      <c r="L3" s="27">
        <v>0.75991649269311068</v>
      </c>
      <c r="M3" s="27">
        <v>1.4613778705636743E-2</v>
      </c>
      <c r="N3" s="27">
        <v>0</v>
      </c>
      <c r="O3" s="25">
        <v>45.396659707724424</v>
      </c>
    </row>
    <row r="4" spans="1:34" x14ac:dyDescent="0.25">
      <c r="A4" s="23">
        <v>0.65151515151515149</v>
      </c>
      <c r="B4" s="23">
        <v>0.19191919191919191</v>
      </c>
      <c r="C4" s="23">
        <v>0.15151515151515152</v>
      </c>
      <c r="D4" s="23">
        <v>2.5252525252525255E-3</v>
      </c>
      <c r="E4" s="23">
        <v>0</v>
      </c>
      <c r="F4" s="24">
        <v>163</v>
      </c>
      <c r="G4" s="24">
        <v>297</v>
      </c>
      <c r="H4" s="24">
        <v>16</v>
      </c>
      <c r="I4" s="24">
        <v>3</v>
      </c>
      <c r="J4" s="24">
        <v>479</v>
      </c>
      <c r="K4" s="27">
        <v>0.34029227557411273</v>
      </c>
      <c r="L4" s="27">
        <v>0.62004175365344472</v>
      </c>
      <c r="M4" s="27">
        <v>3.3402922755741124E-2</v>
      </c>
      <c r="N4" s="27">
        <v>6.2630480167014616E-3</v>
      </c>
      <c r="O4" s="25">
        <v>27.064718162839249</v>
      </c>
    </row>
    <row r="5" spans="1:34" x14ac:dyDescent="0.25">
      <c r="A5" s="23">
        <v>0.44551282051282054</v>
      </c>
      <c r="B5" s="23">
        <v>7.371794871794872E-2</v>
      </c>
      <c r="C5" s="23">
        <v>0.40705128205128205</v>
      </c>
      <c r="D5" s="23">
        <v>1.6025641025641024E-2</v>
      </c>
      <c r="E5" s="23">
        <v>9.6153846153846159E-3</v>
      </c>
      <c r="F5" s="24">
        <v>175</v>
      </c>
      <c r="G5" s="24">
        <v>156</v>
      </c>
      <c r="H5" s="24">
        <v>77</v>
      </c>
      <c r="I5" s="24">
        <v>42</v>
      </c>
      <c r="J5" s="24">
        <v>450</v>
      </c>
      <c r="K5" s="27">
        <v>0.3888888888888889</v>
      </c>
      <c r="L5" s="27">
        <v>0.34666666666666668</v>
      </c>
      <c r="M5" s="27">
        <v>0.1711111111111111</v>
      </c>
      <c r="N5" s="27">
        <v>9.3333333333333338E-2</v>
      </c>
      <c r="O5" s="25">
        <v>69.962222222222223</v>
      </c>
    </row>
    <row r="6" spans="1:34" x14ac:dyDescent="0.25">
      <c r="A6" s="23">
        <v>0.46022727272727271</v>
      </c>
      <c r="B6" s="23">
        <v>0.13068181818181818</v>
      </c>
      <c r="C6" s="23">
        <v>0.39204545454545453</v>
      </c>
      <c r="D6" s="23">
        <v>1.1363636363636364E-2</v>
      </c>
      <c r="E6" s="23">
        <v>0</v>
      </c>
      <c r="F6" s="24">
        <v>169</v>
      </c>
      <c r="G6" s="24">
        <v>139</v>
      </c>
      <c r="H6" s="24">
        <v>67</v>
      </c>
      <c r="I6" s="24">
        <v>75</v>
      </c>
      <c r="J6" s="24">
        <v>450</v>
      </c>
      <c r="K6" s="27">
        <v>0.37555555555555553</v>
      </c>
      <c r="L6" s="27">
        <v>0.30888888888888888</v>
      </c>
      <c r="M6" s="27">
        <v>0.14888888888888888</v>
      </c>
      <c r="N6" s="27">
        <v>0.16666666666666666</v>
      </c>
      <c r="O6" s="25">
        <v>54.604444444444447</v>
      </c>
    </row>
    <row r="7" spans="1:34" x14ac:dyDescent="0.25">
      <c r="A7" s="23">
        <v>0.41330645161290325</v>
      </c>
      <c r="B7" s="23">
        <v>0.24193548387096775</v>
      </c>
      <c r="C7" s="23">
        <v>0.33669354838709675</v>
      </c>
      <c r="D7" s="23">
        <v>0</v>
      </c>
      <c r="E7" s="23">
        <v>0</v>
      </c>
      <c r="F7" s="24">
        <v>302</v>
      </c>
      <c r="G7" s="24">
        <v>156</v>
      </c>
      <c r="H7" s="24">
        <v>87</v>
      </c>
      <c r="I7" s="24">
        <v>136</v>
      </c>
      <c r="J7" s="24">
        <v>681</v>
      </c>
      <c r="K7" s="27">
        <v>0.44346549192364171</v>
      </c>
      <c r="L7" s="27">
        <v>0.22907488986784141</v>
      </c>
      <c r="M7" s="27">
        <v>0.1277533039647577</v>
      </c>
      <c r="N7" s="27">
        <v>0.19970631424375918</v>
      </c>
      <c r="O7" s="25">
        <v>40.022026431718061</v>
      </c>
      <c r="Y7" s="29" t="s">
        <v>374</v>
      </c>
      <c r="AH7" s="29" t="s">
        <v>377</v>
      </c>
    </row>
    <row r="8" spans="1:34" x14ac:dyDescent="0.25">
      <c r="A8" s="23">
        <v>0.36093418259023352</v>
      </c>
      <c r="B8" s="23">
        <v>0.29087048832271761</v>
      </c>
      <c r="C8" s="23">
        <v>0.33757961783439489</v>
      </c>
      <c r="D8" s="23">
        <v>0</v>
      </c>
      <c r="E8" s="23">
        <v>0</v>
      </c>
      <c r="F8" s="24">
        <v>424</v>
      </c>
      <c r="G8" s="24">
        <v>141</v>
      </c>
      <c r="H8" s="24">
        <v>89</v>
      </c>
      <c r="I8" s="24">
        <v>28</v>
      </c>
      <c r="J8" s="24">
        <v>682</v>
      </c>
      <c r="K8" s="27">
        <v>0.6217008797653959</v>
      </c>
      <c r="L8" s="27">
        <v>0.20674486803519063</v>
      </c>
      <c r="M8" s="27">
        <v>0.13049853372434017</v>
      </c>
      <c r="N8" s="27">
        <v>4.1055718475073312E-2</v>
      </c>
      <c r="O8" s="25">
        <v>25.920821114369502</v>
      </c>
    </row>
    <row r="9" spans="1:34" x14ac:dyDescent="0.25">
      <c r="A9" s="23">
        <v>0.1876750700280112</v>
      </c>
      <c r="B9" s="23">
        <v>0.17647058823529413</v>
      </c>
      <c r="C9" s="23">
        <v>0.58823529411764708</v>
      </c>
      <c r="D9" s="23">
        <v>2.8011204481792718E-2</v>
      </c>
      <c r="E9" s="23">
        <v>1.680672268907563E-2</v>
      </c>
      <c r="F9" s="24">
        <v>390</v>
      </c>
      <c r="G9" s="24">
        <v>5</v>
      </c>
      <c r="H9" s="24">
        <v>53</v>
      </c>
      <c r="I9" s="24">
        <v>2</v>
      </c>
      <c r="J9" s="24">
        <v>450</v>
      </c>
      <c r="K9" s="27">
        <v>0.8666666666666667</v>
      </c>
      <c r="L9" s="27">
        <v>1.1111111111111112E-2</v>
      </c>
      <c r="M9" s="27">
        <v>0.11777777777777777</v>
      </c>
      <c r="N9" s="27">
        <v>4.4444444444444444E-3</v>
      </c>
      <c r="O9" s="25">
        <v>67.331111111111113</v>
      </c>
      <c r="Y9" s="30">
        <f>-0.6765+0.887</f>
        <v>0.21050000000000002</v>
      </c>
      <c r="AH9" s="32">
        <f>0.737+0.2891</f>
        <v>1.0261</v>
      </c>
    </row>
    <row r="10" spans="1:34" x14ac:dyDescent="0.25">
      <c r="A10" s="23">
        <v>0.16142557651991615</v>
      </c>
      <c r="B10" s="23">
        <v>0.40461215932914046</v>
      </c>
      <c r="C10" s="23">
        <v>0.41299790356394128</v>
      </c>
      <c r="D10" s="23">
        <v>1.6771488469601678E-2</v>
      </c>
      <c r="E10" s="23">
        <v>2.0964360587002098E-3</v>
      </c>
      <c r="F10" s="24">
        <v>526</v>
      </c>
      <c r="G10" s="24">
        <v>5</v>
      </c>
      <c r="H10" s="24">
        <v>30</v>
      </c>
      <c r="I10" s="24">
        <v>1</v>
      </c>
      <c r="J10" s="24">
        <v>562</v>
      </c>
      <c r="K10" s="27">
        <v>0.93594306049822062</v>
      </c>
      <c r="L10" s="27">
        <v>8.8967971530249119E-3</v>
      </c>
      <c r="M10" s="27">
        <v>5.3380782918149468E-2</v>
      </c>
      <c r="N10" s="27">
        <v>1.7793594306049821E-3</v>
      </c>
      <c r="O10" s="25">
        <v>45.439501779359432</v>
      </c>
    </row>
    <row r="11" spans="1:34" x14ac:dyDescent="0.25">
      <c r="A11" s="23">
        <v>0.17558886509635974</v>
      </c>
      <c r="B11" s="23">
        <v>0.50107066381156318</v>
      </c>
      <c r="C11" s="23">
        <v>0.30406852248394006</v>
      </c>
      <c r="D11" s="23">
        <v>8.5653104925053538E-3</v>
      </c>
      <c r="E11" s="23">
        <v>4.2826552462526769E-3</v>
      </c>
      <c r="F11" s="24">
        <v>553</v>
      </c>
      <c r="G11" s="24">
        <v>6</v>
      </c>
      <c r="H11" s="24">
        <v>4</v>
      </c>
      <c r="I11" s="24">
        <v>0</v>
      </c>
      <c r="J11" s="24">
        <v>563</v>
      </c>
      <c r="K11" s="27">
        <v>0.98223801065719363</v>
      </c>
      <c r="L11" s="27">
        <v>1.0657193605683837E-2</v>
      </c>
      <c r="M11" s="27">
        <v>7.104795737122558E-3</v>
      </c>
      <c r="N11" s="27">
        <v>0</v>
      </c>
      <c r="O11" s="25">
        <v>25.811722912966253</v>
      </c>
    </row>
    <row r="12" spans="1:34" x14ac:dyDescent="0.25">
      <c r="A12" s="23">
        <v>0.12680115273775217</v>
      </c>
      <c r="B12" s="23">
        <v>0.2334293948126801</v>
      </c>
      <c r="C12" s="23">
        <v>0.61095100864553309</v>
      </c>
      <c r="D12" s="23">
        <v>0</v>
      </c>
      <c r="E12" s="23">
        <v>2.881844380403458E-3</v>
      </c>
      <c r="F12" s="24">
        <v>436</v>
      </c>
      <c r="G12" s="24">
        <v>2</v>
      </c>
      <c r="H12" s="24">
        <v>10</v>
      </c>
      <c r="I12" s="24">
        <v>2</v>
      </c>
      <c r="J12" s="24">
        <v>450</v>
      </c>
      <c r="K12" s="27">
        <v>0.96888888888888891</v>
      </c>
      <c r="L12" s="27">
        <v>4.4444444444444444E-3</v>
      </c>
      <c r="M12" s="27">
        <v>2.2222222222222223E-2</v>
      </c>
      <c r="N12" s="27">
        <v>4.4444444444444444E-3</v>
      </c>
      <c r="O12" s="25">
        <v>67.62222222222222</v>
      </c>
    </row>
    <row r="13" spans="1:34" x14ac:dyDescent="0.25">
      <c r="A13" s="23">
        <v>0.16666666666666666</v>
      </c>
      <c r="B13" s="23">
        <v>0.39803921568627448</v>
      </c>
      <c r="C13" s="23">
        <v>0.41764705882352943</v>
      </c>
      <c r="D13" s="23">
        <v>9.8039215686274508E-3</v>
      </c>
      <c r="E13" s="23">
        <v>5.8823529411764705E-3</v>
      </c>
      <c r="F13" s="24">
        <v>590</v>
      </c>
      <c r="G13" s="24">
        <v>4</v>
      </c>
      <c r="H13" s="24">
        <v>7</v>
      </c>
      <c r="I13" s="24">
        <v>2</v>
      </c>
      <c r="J13" s="24">
        <v>603</v>
      </c>
      <c r="K13" s="27">
        <v>0.97844112769485903</v>
      </c>
      <c r="L13" s="27">
        <v>6.6334991708126038E-3</v>
      </c>
      <c r="M13" s="27">
        <v>1.1608623548922056E-2</v>
      </c>
      <c r="N13" s="27">
        <v>3.3167495854063019E-3</v>
      </c>
      <c r="O13" s="25">
        <v>47.266998341625204</v>
      </c>
    </row>
    <row r="14" spans="1:34" x14ac:dyDescent="0.25">
      <c r="A14" s="23">
        <v>0.1194331983805668</v>
      </c>
      <c r="B14" s="23">
        <v>0.52834008097165996</v>
      </c>
      <c r="C14" s="23">
        <v>0.34615384615384615</v>
      </c>
      <c r="D14" s="23">
        <v>2.0242914979757085E-3</v>
      </c>
      <c r="E14" s="23">
        <v>2.0242914979757085E-3</v>
      </c>
      <c r="F14" s="24">
        <v>588</v>
      </c>
      <c r="G14" s="24">
        <v>6</v>
      </c>
      <c r="H14" s="24">
        <v>8</v>
      </c>
      <c r="I14" s="24">
        <v>1</v>
      </c>
      <c r="J14" s="24">
        <v>603</v>
      </c>
      <c r="K14" s="27">
        <v>0.97512437810945274</v>
      </c>
      <c r="L14" s="27">
        <v>9.9502487562189053E-3</v>
      </c>
      <c r="M14" s="27">
        <v>1.3266998341625208E-2</v>
      </c>
      <c r="N14" s="27">
        <v>1.658374792703151E-3</v>
      </c>
      <c r="O14" s="25">
        <v>26.601990049751244</v>
      </c>
    </row>
    <row r="15" spans="1:34" x14ac:dyDescent="0.25">
      <c r="A15" s="23">
        <v>0.31321839080459768</v>
      </c>
      <c r="B15" s="23">
        <v>0.19827586206896552</v>
      </c>
      <c r="C15" s="23">
        <v>0.4454022988505747</v>
      </c>
      <c r="D15" s="23">
        <v>1.1494252873563218E-2</v>
      </c>
      <c r="E15" s="23">
        <v>5.7471264367816091E-3</v>
      </c>
      <c r="F15" s="24">
        <v>352</v>
      </c>
      <c r="G15" s="24">
        <v>86</v>
      </c>
      <c r="H15" s="24">
        <v>11</v>
      </c>
      <c r="I15" s="24">
        <v>1</v>
      </c>
      <c r="J15" s="24">
        <v>450</v>
      </c>
      <c r="K15" s="27">
        <v>0.78222222222222226</v>
      </c>
      <c r="L15" s="27">
        <v>0.19111111111111112</v>
      </c>
      <c r="M15" s="27">
        <v>2.4444444444444446E-2</v>
      </c>
      <c r="N15" s="27">
        <v>2.2222222222222222E-3</v>
      </c>
      <c r="O15" s="25">
        <v>61.782222222222224</v>
      </c>
    </row>
    <row r="16" spans="1:34" x14ac:dyDescent="0.25">
      <c r="A16" s="23">
        <v>0.26030927835051548</v>
      </c>
      <c r="B16" s="23">
        <v>0.43814432989690721</v>
      </c>
      <c r="C16" s="23">
        <v>0.29123711340206188</v>
      </c>
      <c r="D16" s="23">
        <v>5.1546391752577319E-3</v>
      </c>
      <c r="E16" s="23">
        <v>2.5773195876288659E-3</v>
      </c>
      <c r="F16" s="24">
        <v>421</v>
      </c>
      <c r="G16" s="24">
        <v>60</v>
      </c>
      <c r="H16" s="24">
        <v>17</v>
      </c>
      <c r="I16" s="24">
        <v>0</v>
      </c>
      <c r="J16" s="24">
        <v>498</v>
      </c>
      <c r="K16" s="27">
        <v>0.84538152610441764</v>
      </c>
      <c r="L16" s="27">
        <v>0.12048192771084337</v>
      </c>
      <c r="M16" s="27">
        <v>3.4136546184738957E-2</v>
      </c>
      <c r="N16" s="27">
        <v>0</v>
      </c>
      <c r="O16" s="25">
        <v>34.365461847389561</v>
      </c>
    </row>
    <row r="17" spans="1:25" x14ac:dyDescent="0.25">
      <c r="A17" s="23">
        <v>0.11178247734138973</v>
      </c>
      <c r="B17" s="23">
        <v>0.24471299093655588</v>
      </c>
      <c r="C17" s="23">
        <v>0.59818731117824775</v>
      </c>
      <c r="D17" s="23">
        <v>1.5105740181268883E-2</v>
      </c>
      <c r="E17" s="23">
        <v>0</v>
      </c>
      <c r="F17" s="24">
        <v>444</v>
      </c>
      <c r="G17" s="24">
        <v>1</v>
      </c>
      <c r="H17" s="24">
        <v>3</v>
      </c>
      <c r="I17" s="24">
        <v>2</v>
      </c>
      <c r="J17" s="24">
        <v>450</v>
      </c>
      <c r="K17" s="27">
        <v>0.98666666666666669</v>
      </c>
      <c r="L17" s="27">
        <v>2.2222222222222222E-3</v>
      </c>
      <c r="M17" s="27">
        <v>6.6666666666666671E-3</v>
      </c>
      <c r="N17" s="27">
        <v>4.4444444444444444E-3</v>
      </c>
      <c r="O17" s="25">
        <v>66.766666666666666</v>
      </c>
    </row>
    <row r="18" spans="1:25" x14ac:dyDescent="0.25">
      <c r="A18" s="23">
        <v>0.17782426778242677</v>
      </c>
      <c r="B18" s="23">
        <v>0.35774058577405859</v>
      </c>
      <c r="C18" s="23">
        <v>0.44560669456066948</v>
      </c>
      <c r="D18" s="23">
        <v>1.0460251046025104E-2</v>
      </c>
      <c r="E18" s="23">
        <v>2.0920502092050207E-3</v>
      </c>
      <c r="F18" s="24">
        <v>552</v>
      </c>
      <c r="G18" s="24">
        <v>0</v>
      </c>
      <c r="H18" s="24">
        <v>2</v>
      </c>
      <c r="I18" s="24">
        <v>4</v>
      </c>
      <c r="J18" s="24">
        <v>558</v>
      </c>
      <c r="K18" s="27">
        <v>0.989247311827957</v>
      </c>
      <c r="L18" s="27">
        <v>0</v>
      </c>
      <c r="M18" s="27">
        <v>3.5842293906810036E-3</v>
      </c>
      <c r="N18" s="27">
        <v>7.1684587813620072E-3</v>
      </c>
      <c r="O18" s="25">
        <v>51.043010752688168</v>
      </c>
    </row>
    <row r="19" spans="1:25" x14ac:dyDescent="0.25">
      <c r="A19" s="23">
        <v>0.13053613053613053</v>
      </c>
      <c r="B19" s="23">
        <v>0.51515151515151514</v>
      </c>
      <c r="C19" s="23">
        <v>0.33799533799533799</v>
      </c>
      <c r="D19" s="23">
        <v>1.3986013986013986E-2</v>
      </c>
      <c r="E19" s="23">
        <v>0</v>
      </c>
      <c r="F19" s="24">
        <v>555</v>
      </c>
      <c r="G19" s="24">
        <v>1</v>
      </c>
      <c r="H19" s="24">
        <v>0</v>
      </c>
      <c r="I19" s="24">
        <v>2</v>
      </c>
      <c r="J19" s="24">
        <v>558</v>
      </c>
      <c r="K19" s="27">
        <v>0.9946236559139785</v>
      </c>
      <c r="L19" s="27">
        <v>1.7921146953405018E-3</v>
      </c>
      <c r="M19" s="27">
        <v>0</v>
      </c>
      <c r="N19" s="27">
        <v>3.5842293906810036E-3</v>
      </c>
      <c r="O19" s="25">
        <v>34.804659498207883</v>
      </c>
    </row>
    <row r="20" spans="1:25" x14ac:dyDescent="0.25">
      <c r="A20" s="23">
        <v>0.14767932489451477</v>
      </c>
      <c r="B20" s="23">
        <v>0.50843881856540085</v>
      </c>
      <c r="C20" s="23">
        <v>0.3270042194092827</v>
      </c>
      <c r="D20" s="23">
        <v>6.3291139240506328E-3</v>
      </c>
      <c r="E20" s="23">
        <v>2.1097046413502108E-3</v>
      </c>
      <c r="F20" s="24">
        <v>559</v>
      </c>
      <c r="G20" s="24">
        <v>0</v>
      </c>
      <c r="H20" s="24">
        <v>0</v>
      </c>
      <c r="I20" s="24">
        <v>0</v>
      </c>
      <c r="J20" s="24">
        <v>559</v>
      </c>
      <c r="K20" s="27">
        <v>1</v>
      </c>
      <c r="L20" s="27">
        <v>0</v>
      </c>
      <c r="M20" s="27">
        <v>0</v>
      </c>
      <c r="N20" s="27">
        <v>0</v>
      </c>
      <c r="O20" s="25">
        <v>23.493738819320214</v>
      </c>
    </row>
    <row r="21" spans="1:25" x14ac:dyDescent="0.25">
      <c r="A21" s="23">
        <v>0.24773413897280966</v>
      </c>
      <c r="B21" s="23">
        <v>0.22054380664652568</v>
      </c>
      <c r="C21" s="23">
        <v>0.4380664652567976</v>
      </c>
      <c r="D21" s="23">
        <v>9.0634441087613302E-3</v>
      </c>
      <c r="E21" s="23">
        <v>1.2084592145015106E-2</v>
      </c>
      <c r="F21" s="24">
        <v>378</v>
      </c>
      <c r="G21" s="24">
        <v>35</v>
      </c>
      <c r="H21" s="24">
        <v>23</v>
      </c>
      <c r="I21" s="24">
        <v>14</v>
      </c>
      <c r="J21" s="24">
        <v>450</v>
      </c>
      <c r="K21" s="27">
        <v>0.84</v>
      </c>
      <c r="L21" s="27">
        <v>7.7777777777777779E-2</v>
      </c>
      <c r="M21" s="27">
        <v>5.1111111111111114E-2</v>
      </c>
      <c r="N21" s="27">
        <v>3.111111111111111E-2</v>
      </c>
      <c r="O21" s="25">
        <v>67.099999999999994</v>
      </c>
    </row>
    <row r="22" spans="1:25" x14ac:dyDescent="0.25">
      <c r="A22" s="23">
        <v>0.28199566160520606</v>
      </c>
      <c r="B22" s="23">
        <v>0.30151843817787416</v>
      </c>
      <c r="C22" s="23">
        <v>0.37744034707158353</v>
      </c>
      <c r="D22" s="23">
        <v>1.0845986984815618E-2</v>
      </c>
      <c r="E22" s="23">
        <v>6.5075921908893707E-3</v>
      </c>
      <c r="F22" s="24">
        <v>429</v>
      </c>
      <c r="G22" s="24">
        <v>55</v>
      </c>
      <c r="H22" s="24">
        <v>45</v>
      </c>
      <c r="I22" s="24">
        <v>25</v>
      </c>
      <c r="J22" s="24">
        <v>554</v>
      </c>
      <c r="K22" s="27">
        <v>0.77436823104693142</v>
      </c>
      <c r="L22" s="27">
        <v>9.9277978339350176E-2</v>
      </c>
      <c r="M22" s="27">
        <v>8.1227436823104696E-2</v>
      </c>
      <c r="N22" s="27">
        <v>4.5126353790613721E-2</v>
      </c>
      <c r="O22" s="25">
        <v>55.366425992779781</v>
      </c>
      <c r="Q22" s="29" t="s">
        <v>143</v>
      </c>
    </row>
    <row r="23" spans="1:25" x14ac:dyDescent="0.25">
      <c r="A23" s="23">
        <v>0.28162291169451076</v>
      </c>
      <c r="B23" s="23">
        <v>0.41050119331742241</v>
      </c>
      <c r="C23" s="23">
        <v>0.2935560859188544</v>
      </c>
      <c r="D23" s="23">
        <v>7.1599045346062056E-3</v>
      </c>
      <c r="E23" s="23">
        <v>0</v>
      </c>
      <c r="F23" s="24">
        <v>383</v>
      </c>
      <c r="G23" s="24">
        <v>91</v>
      </c>
      <c r="H23" s="24">
        <v>45</v>
      </c>
      <c r="I23" s="24">
        <v>35</v>
      </c>
      <c r="J23" s="24">
        <v>554</v>
      </c>
      <c r="K23" s="27">
        <v>0.69133574007220222</v>
      </c>
      <c r="L23" s="27">
        <v>0.16425992779783394</v>
      </c>
      <c r="M23" s="27">
        <v>8.1227436823104696E-2</v>
      </c>
      <c r="N23" s="27">
        <v>6.3176895306859202E-2</v>
      </c>
      <c r="O23" s="25">
        <v>42.601083032490976</v>
      </c>
    </row>
    <row r="24" spans="1:25" x14ac:dyDescent="0.25">
      <c r="A24" s="23">
        <v>0.23741007194244604</v>
      </c>
      <c r="B24" s="23">
        <v>0.47482014388489208</v>
      </c>
      <c r="C24" s="23">
        <v>0.25179856115107913</v>
      </c>
      <c r="D24" s="23">
        <v>1.4388489208633094E-2</v>
      </c>
      <c r="E24" s="23">
        <v>4.7961630695443642E-3</v>
      </c>
      <c r="F24" s="24">
        <v>443</v>
      </c>
      <c r="G24" s="24">
        <v>49</v>
      </c>
      <c r="H24" s="24">
        <v>33</v>
      </c>
      <c r="I24" s="24">
        <v>30</v>
      </c>
      <c r="J24" s="24">
        <v>555</v>
      </c>
      <c r="K24" s="27">
        <v>0.79819819819819815</v>
      </c>
      <c r="L24" s="27">
        <v>8.8288288288288289E-2</v>
      </c>
      <c r="M24" s="27">
        <v>5.9459459459459463E-2</v>
      </c>
      <c r="N24" s="27">
        <v>5.4054054054054057E-2</v>
      </c>
      <c r="O24" s="25">
        <v>32.736936936936935</v>
      </c>
    </row>
    <row r="25" spans="1:25" x14ac:dyDescent="0.25">
      <c r="A25" s="23">
        <v>0.28103044496487117</v>
      </c>
      <c r="B25" s="23">
        <v>0.41451990632318503</v>
      </c>
      <c r="C25" s="23">
        <v>0.2857142857142857</v>
      </c>
      <c r="D25" s="23">
        <v>1.405152224824356E-2</v>
      </c>
      <c r="E25" s="23">
        <v>0</v>
      </c>
      <c r="F25" s="24">
        <v>468</v>
      </c>
      <c r="G25" s="24">
        <v>33</v>
      </c>
      <c r="H25" s="24">
        <v>40</v>
      </c>
      <c r="I25" s="24">
        <v>14</v>
      </c>
      <c r="J25" s="24">
        <v>555</v>
      </c>
      <c r="K25" s="27">
        <v>0.84324324324324329</v>
      </c>
      <c r="L25" s="27">
        <v>5.9459459459459463E-2</v>
      </c>
      <c r="M25" s="27">
        <v>7.2072072072072071E-2</v>
      </c>
      <c r="N25" s="27">
        <v>2.5225225225225224E-2</v>
      </c>
      <c r="O25" s="25">
        <v>23.257657657657656</v>
      </c>
    </row>
    <row r="26" spans="1:25" x14ac:dyDescent="0.25">
      <c r="A26" s="23">
        <v>0.40160642570281124</v>
      </c>
      <c r="B26" s="23">
        <v>0.16867469879518071</v>
      </c>
      <c r="C26" s="23">
        <v>0.40562248995983935</v>
      </c>
      <c r="D26" s="23">
        <v>1.6064257028112448E-2</v>
      </c>
      <c r="E26" s="23">
        <v>4.0160642570281121E-3</v>
      </c>
      <c r="F26" s="24">
        <v>199</v>
      </c>
      <c r="G26" s="24">
        <v>104</v>
      </c>
      <c r="H26" s="24">
        <v>28</v>
      </c>
      <c r="I26" s="24">
        <v>1</v>
      </c>
      <c r="J26" s="24">
        <v>332</v>
      </c>
      <c r="K26" s="27">
        <v>0.5993975903614458</v>
      </c>
      <c r="L26" s="27">
        <v>0.31325301204819278</v>
      </c>
      <c r="M26" s="27">
        <v>8.4337349397590355E-2</v>
      </c>
      <c r="N26" s="27">
        <v>3.0120481927710845E-3</v>
      </c>
      <c r="O26" s="25">
        <v>67.768072289156621</v>
      </c>
      <c r="Y26" s="29" t="s">
        <v>375</v>
      </c>
    </row>
    <row r="27" spans="1:25" x14ac:dyDescent="0.25">
      <c r="A27" s="23">
        <v>0.3203125</v>
      </c>
      <c r="B27" s="23">
        <v>0.38671875</v>
      </c>
      <c r="C27" s="23">
        <v>0.24609375</v>
      </c>
      <c r="D27" s="23">
        <v>2.734375E-2</v>
      </c>
      <c r="E27" s="23">
        <v>7.8125E-3</v>
      </c>
      <c r="F27" s="24">
        <v>246</v>
      </c>
      <c r="G27" s="24">
        <v>31</v>
      </c>
      <c r="H27" s="24">
        <v>52</v>
      </c>
      <c r="I27" s="24">
        <v>4</v>
      </c>
      <c r="J27" s="24">
        <v>333</v>
      </c>
      <c r="K27" s="27">
        <v>0.73873873873873874</v>
      </c>
      <c r="L27" s="27">
        <v>9.3093093093093091E-2</v>
      </c>
      <c r="M27" s="27">
        <v>0.15615615615615616</v>
      </c>
      <c r="N27" s="27">
        <v>1.2012012012012012E-2</v>
      </c>
      <c r="O27" s="25">
        <v>40.336336336336338</v>
      </c>
    </row>
    <row r="28" spans="1:25" x14ac:dyDescent="0.25">
      <c r="A28" s="23">
        <v>0.24148606811145512</v>
      </c>
      <c r="B28" s="23">
        <v>0.18885448916408668</v>
      </c>
      <c r="C28" s="23">
        <v>0.53869969040247678</v>
      </c>
      <c r="D28" s="23">
        <v>2.1671826625386997E-2</v>
      </c>
      <c r="E28" s="23">
        <v>6.1919504643962852E-3</v>
      </c>
      <c r="F28" s="24">
        <v>137</v>
      </c>
      <c r="G28" s="24">
        <v>305</v>
      </c>
      <c r="H28" s="24">
        <v>8</v>
      </c>
      <c r="I28" s="24">
        <v>0</v>
      </c>
      <c r="J28" s="24">
        <v>450</v>
      </c>
      <c r="K28" s="27">
        <v>0.30444444444444446</v>
      </c>
      <c r="L28" s="27">
        <v>0.67777777777777781</v>
      </c>
      <c r="M28" s="27">
        <v>1.7777777777777778E-2</v>
      </c>
      <c r="N28" s="27">
        <v>0</v>
      </c>
      <c r="O28" s="25">
        <v>67.724444444444444</v>
      </c>
      <c r="Y28" s="31">
        <f>0.4332+0.0184</f>
        <v>0.4516</v>
      </c>
    </row>
    <row r="29" spans="1:25" x14ac:dyDescent="0.25">
      <c r="A29" s="23">
        <v>0.20259740259740261</v>
      </c>
      <c r="B29" s="23">
        <v>0.37142857142857144</v>
      </c>
      <c r="C29" s="23">
        <v>0.38701298701298703</v>
      </c>
      <c r="D29" s="23">
        <v>2.3376623376623377E-2</v>
      </c>
      <c r="E29" s="23">
        <v>2.5974025974025974E-3</v>
      </c>
      <c r="F29" s="24">
        <v>194</v>
      </c>
      <c r="G29" s="24">
        <v>248</v>
      </c>
      <c r="H29" s="24">
        <v>6</v>
      </c>
      <c r="I29" s="24">
        <v>2</v>
      </c>
      <c r="J29" s="24">
        <v>450</v>
      </c>
      <c r="K29" s="27">
        <v>0.43111111111111111</v>
      </c>
      <c r="L29" s="27">
        <v>0.55111111111111111</v>
      </c>
      <c r="M29" s="27">
        <v>1.3333333333333334E-2</v>
      </c>
      <c r="N29" s="27">
        <v>4.4444444444444444E-3</v>
      </c>
      <c r="O29" s="25">
        <v>55.402222222222221</v>
      </c>
    </row>
    <row r="30" spans="1:25" x14ac:dyDescent="0.25">
      <c r="A30" s="23">
        <v>0.27918781725888325</v>
      </c>
      <c r="B30" s="23">
        <v>0.37817258883248733</v>
      </c>
      <c r="C30" s="23">
        <v>0.31472081218274112</v>
      </c>
      <c r="D30" s="23">
        <v>2.030456852791878E-2</v>
      </c>
      <c r="E30" s="23">
        <v>2.5380710659898475E-3</v>
      </c>
      <c r="F30" s="24">
        <v>290</v>
      </c>
      <c r="G30" s="24">
        <v>250</v>
      </c>
      <c r="H30" s="24">
        <v>13</v>
      </c>
      <c r="I30" s="24">
        <v>0</v>
      </c>
      <c r="J30" s="24">
        <v>553</v>
      </c>
      <c r="K30" s="27">
        <v>0.5244122965641953</v>
      </c>
      <c r="L30" s="27">
        <v>0.45207956600361665</v>
      </c>
      <c r="M30" s="27">
        <v>2.3508137432188065E-2</v>
      </c>
      <c r="N30" s="27">
        <v>0</v>
      </c>
      <c r="O30" s="25">
        <v>41.848101265822784</v>
      </c>
    </row>
    <row r="31" spans="1:25" x14ac:dyDescent="0.25">
      <c r="A31" s="23">
        <v>0.27932960893854747</v>
      </c>
      <c r="B31" s="23">
        <v>0.42271880819366853</v>
      </c>
      <c r="C31" s="23">
        <v>0.27001862197392923</v>
      </c>
      <c r="D31" s="23">
        <v>1.86219739292365E-2</v>
      </c>
      <c r="E31" s="23">
        <v>3.7243947858472998E-3</v>
      </c>
      <c r="F31" s="24">
        <v>416</v>
      </c>
      <c r="G31" s="24">
        <v>124</v>
      </c>
      <c r="H31" s="24">
        <v>12</v>
      </c>
      <c r="I31" s="24">
        <v>2</v>
      </c>
      <c r="J31" s="24">
        <v>554</v>
      </c>
      <c r="K31" s="27">
        <v>0.75090252707581229</v>
      </c>
      <c r="L31" s="27">
        <v>0.22382671480144403</v>
      </c>
      <c r="M31" s="27">
        <v>2.1660649819494584E-2</v>
      </c>
      <c r="N31" s="27">
        <v>3.6101083032490976E-3</v>
      </c>
      <c r="O31" s="25">
        <v>29.267148014440433</v>
      </c>
    </row>
    <row r="32" spans="1:25" x14ac:dyDescent="0.25">
      <c r="A32" s="23">
        <v>0.19801980198019803</v>
      </c>
      <c r="B32" s="23">
        <v>0.50495049504950495</v>
      </c>
      <c r="C32" s="23">
        <v>0.28712871287128711</v>
      </c>
      <c r="D32" s="23">
        <v>7.9207920792079209E-3</v>
      </c>
      <c r="E32" s="23">
        <v>0</v>
      </c>
      <c r="F32" s="24">
        <v>458</v>
      </c>
      <c r="G32" s="24">
        <v>82</v>
      </c>
      <c r="H32" s="24">
        <v>14</v>
      </c>
      <c r="I32" s="24">
        <v>0</v>
      </c>
      <c r="J32" s="24">
        <v>554</v>
      </c>
      <c r="K32" s="27">
        <v>0.8267148014440433</v>
      </c>
      <c r="L32" s="27">
        <v>0.14801444043321299</v>
      </c>
      <c r="M32" s="27">
        <v>2.5270758122743681E-2</v>
      </c>
      <c r="N32" s="27">
        <v>0</v>
      </c>
      <c r="O32" s="25">
        <v>21.604693140794225</v>
      </c>
    </row>
    <row r="33" spans="1:25" x14ac:dyDescent="0.25">
      <c r="A33" s="23">
        <v>0.20321931589537223</v>
      </c>
      <c r="B33" s="23">
        <v>0.50704225352112675</v>
      </c>
      <c r="C33" s="23">
        <v>0.25754527162977869</v>
      </c>
      <c r="D33" s="23">
        <v>2.6156941649899398E-2</v>
      </c>
      <c r="E33" s="23">
        <v>6.0362173038229373E-3</v>
      </c>
      <c r="F33" s="24">
        <v>377</v>
      </c>
      <c r="G33" s="24">
        <v>40</v>
      </c>
      <c r="H33" s="24">
        <v>31</v>
      </c>
      <c r="I33" s="24">
        <v>2</v>
      </c>
      <c r="J33" s="24">
        <v>450</v>
      </c>
      <c r="K33" s="27">
        <v>0.83777777777777773</v>
      </c>
      <c r="L33" s="27">
        <v>8.8888888888888892E-2</v>
      </c>
      <c r="M33" s="27">
        <v>6.8888888888888888E-2</v>
      </c>
      <c r="N33" s="27">
        <v>4.4444444444444444E-3</v>
      </c>
      <c r="O33" s="25">
        <v>66.406666666666666</v>
      </c>
    </row>
    <row r="34" spans="1:25" x14ac:dyDescent="0.25">
      <c r="A34" s="23">
        <v>0.25887265135699372</v>
      </c>
      <c r="B34" s="23">
        <v>0.4801670146137787</v>
      </c>
      <c r="C34" s="23">
        <v>0.23382045929018788</v>
      </c>
      <c r="D34" s="23">
        <v>2.0876826722338204E-2</v>
      </c>
      <c r="E34" s="23">
        <v>6.2630480167014616E-3</v>
      </c>
      <c r="F34" s="24">
        <v>420</v>
      </c>
      <c r="G34" s="24">
        <v>14</v>
      </c>
      <c r="H34" s="24">
        <v>15</v>
      </c>
      <c r="I34" s="24">
        <v>1</v>
      </c>
      <c r="J34" s="24">
        <v>450</v>
      </c>
      <c r="K34" s="27">
        <v>0.93333333333333335</v>
      </c>
      <c r="L34" s="27">
        <v>3.111111111111111E-2</v>
      </c>
      <c r="M34" s="27">
        <v>3.3333333333333333E-2</v>
      </c>
      <c r="N34" s="27">
        <v>2.2222222222222222E-3</v>
      </c>
      <c r="O34" s="25">
        <v>63.713333333333331</v>
      </c>
    </row>
    <row r="35" spans="1:25" x14ac:dyDescent="0.25">
      <c r="A35" s="23">
        <v>0.31225296442687744</v>
      </c>
      <c r="B35" s="23">
        <v>0.48221343873517786</v>
      </c>
      <c r="C35" s="23">
        <v>0.18379446640316205</v>
      </c>
      <c r="D35" s="23">
        <v>1.5810276679841896E-2</v>
      </c>
      <c r="E35" s="23">
        <v>3.952569169960474E-3</v>
      </c>
      <c r="F35" s="24">
        <v>395</v>
      </c>
      <c r="G35" s="24">
        <v>30</v>
      </c>
      <c r="H35" s="24">
        <v>23</v>
      </c>
      <c r="I35" s="24">
        <v>2</v>
      </c>
      <c r="J35" s="24">
        <v>450</v>
      </c>
      <c r="K35" s="27">
        <v>0.87777777777777777</v>
      </c>
      <c r="L35" s="27">
        <v>6.6666666666666666E-2</v>
      </c>
      <c r="M35" s="27">
        <v>5.1111111111111114E-2</v>
      </c>
      <c r="N35" s="27">
        <v>4.4444444444444444E-3</v>
      </c>
      <c r="O35" s="25">
        <v>57.511111111111113</v>
      </c>
    </row>
    <row r="36" spans="1:25" x14ac:dyDescent="0.25">
      <c r="A36" s="23">
        <v>0.36822429906542054</v>
      </c>
      <c r="B36" s="23">
        <v>0.39813084112149533</v>
      </c>
      <c r="C36" s="23">
        <v>0.21869158878504674</v>
      </c>
      <c r="D36" s="23">
        <v>1.3084112149532711E-2</v>
      </c>
      <c r="E36" s="23">
        <v>1.869158878504673E-3</v>
      </c>
      <c r="F36" s="24">
        <v>543</v>
      </c>
      <c r="G36" s="24">
        <v>60</v>
      </c>
      <c r="H36" s="24">
        <v>46</v>
      </c>
      <c r="I36" s="24">
        <v>2</v>
      </c>
      <c r="J36" s="24">
        <v>651</v>
      </c>
      <c r="K36" s="27">
        <v>0.83410138248847931</v>
      </c>
      <c r="L36" s="27">
        <v>9.2165898617511524E-2</v>
      </c>
      <c r="M36" s="27">
        <v>7.0660522273425494E-2</v>
      </c>
      <c r="N36" s="27">
        <v>3.0721966205837174E-3</v>
      </c>
      <c r="O36" s="25">
        <v>49.789554531490012</v>
      </c>
    </row>
    <row r="37" spans="1:25" x14ac:dyDescent="0.25">
      <c r="A37" s="23">
        <v>0.2966252220248668</v>
      </c>
      <c r="B37" s="23">
        <v>0.49023090586145646</v>
      </c>
      <c r="C37" s="23">
        <v>0.20071047957371227</v>
      </c>
      <c r="D37" s="23">
        <v>1.0657193605683837E-2</v>
      </c>
      <c r="E37" s="23">
        <v>1.7761989342806395E-3</v>
      </c>
      <c r="F37" s="24">
        <v>581</v>
      </c>
      <c r="G37" s="24">
        <v>33</v>
      </c>
      <c r="H37" s="24">
        <v>30</v>
      </c>
      <c r="I37" s="24">
        <v>7</v>
      </c>
      <c r="J37" s="24">
        <v>651</v>
      </c>
      <c r="K37" s="27">
        <v>0.89247311827956988</v>
      </c>
      <c r="L37" s="27">
        <v>5.0691244239631339E-2</v>
      </c>
      <c r="M37" s="27">
        <v>4.6082949308755762E-2</v>
      </c>
      <c r="N37" s="27">
        <v>1.0752688172043012E-2</v>
      </c>
      <c r="O37" s="25">
        <v>41.462365591397848</v>
      </c>
    </row>
    <row r="38" spans="1:25" x14ac:dyDescent="0.25">
      <c r="A38" s="23">
        <v>0.31626506024096385</v>
      </c>
      <c r="B38" s="23">
        <v>0.23795180722891565</v>
      </c>
      <c r="C38" s="23">
        <v>0.40963855421686746</v>
      </c>
      <c r="D38" s="23">
        <v>2.1084337349397589E-2</v>
      </c>
      <c r="E38" s="23">
        <v>0</v>
      </c>
      <c r="F38" s="24">
        <v>625</v>
      </c>
      <c r="G38" s="24">
        <v>9</v>
      </c>
      <c r="H38" s="24">
        <v>17</v>
      </c>
      <c r="I38" s="24">
        <v>0</v>
      </c>
      <c r="J38" s="24">
        <v>651</v>
      </c>
      <c r="K38" s="27">
        <v>0.96006144393241166</v>
      </c>
      <c r="L38" s="27">
        <v>1.3824884792626729E-2</v>
      </c>
      <c r="M38" s="27">
        <v>2.6113671274961597E-2</v>
      </c>
      <c r="N38" s="27">
        <v>0</v>
      </c>
      <c r="O38" s="25">
        <v>35.846390168970814</v>
      </c>
    </row>
    <row r="39" spans="1:25" x14ac:dyDescent="0.25">
      <c r="A39" s="23">
        <v>0.33064516129032256</v>
      </c>
      <c r="B39" s="23">
        <v>0.32258064516129031</v>
      </c>
      <c r="C39" s="23">
        <v>0.33064516129032256</v>
      </c>
      <c r="D39" s="23">
        <v>8.0645161290322578E-3</v>
      </c>
      <c r="E39" s="23">
        <v>0</v>
      </c>
      <c r="F39" s="24">
        <v>623</v>
      </c>
      <c r="G39" s="24">
        <v>11</v>
      </c>
      <c r="H39" s="24">
        <v>17</v>
      </c>
      <c r="I39" s="24">
        <v>0</v>
      </c>
      <c r="J39" s="24">
        <v>651</v>
      </c>
      <c r="K39" s="27">
        <v>0.956989247311828</v>
      </c>
      <c r="L39" s="27">
        <v>1.6897081413210446E-2</v>
      </c>
      <c r="M39" s="27">
        <v>2.6113671274961597E-2</v>
      </c>
      <c r="N39" s="27">
        <v>0</v>
      </c>
      <c r="O39" s="25">
        <v>31.682027649769584</v>
      </c>
    </row>
    <row r="40" spans="1:25" x14ac:dyDescent="0.25">
      <c r="A40" s="23">
        <v>0.33675213675213678</v>
      </c>
      <c r="B40" s="23">
        <v>0.4</v>
      </c>
      <c r="C40" s="23">
        <v>0.2376068376068376</v>
      </c>
      <c r="D40" s="23">
        <v>1.0256410256410256E-2</v>
      </c>
      <c r="E40" s="23">
        <v>1.7094017094017094E-3</v>
      </c>
      <c r="F40" s="24">
        <v>626</v>
      </c>
      <c r="G40" s="24">
        <v>7</v>
      </c>
      <c r="H40" s="24">
        <v>17</v>
      </c>
      <c r="I40" s="24">
        <v>1</v>
      </c>
      <c r="J40" s="24">
        <v>651</v>
      </c>
      <c r="K40" s="27">
        <v>0.96159754224270355</v>
      </c>
      <c r="L40" s="27">
        <v>1.0752688172043012E-2</v>
      </c>
      <c r="M40" s="27">
        <v>2.6113671274961597E-2</v>
      </c>
      <c r="N40" s="27">
        <v>1.5360983102918587E-3</v>
      </c>
      <c r="O40" s="25">
        <v>27.989247311827956</v>
      </c>
    </row>
    <row r="41" spans="1:25" x14ac:dyDescent="0.25">
      <c r="A41" s="23">
        <v>0.40227703984819735</v>
      </c>
      <c r="B41" s="23">
        <v>0.37571157495256169</v>
      </c>
      <c r="C41" s="23">
        <v>0.20872865275142316</v>
      </c>
      <c r="D41" s="23">
        <v>5.6925996204933585E-3</v>
      </c>
      <c r="E41" s="23">
        <v>3.7950664136622392E-3</v>
      </c>
      <c r="F41" s="24">
        <v>616</v>
      </c>
      <c r="G41" s="24">
        <v>11</v>
      </c>
      <c r="H41" s="24">
        <v>25</v>
      </c>
      <c r="I41" s="24">
        <v>0</v>
      </c>
      <c r="J41" s="24">
        <v>652</v>
      </c>
      <c r="K41" s="27">
        <v>0.94478527607361962</v>
      </c>
      <c r="L41" s="27">
        <v>1.6871165644171779E-2</v>
      </c>
      <c r="M41" s="27">
        <v>3.834355828220859E-2</v>
      </c>
      <c r="N41" s="27">
        <v>0</v>
      </c>
      <c r="O41" s="25">
        <v>24.354294478527606</v>
      </c>
    </row>
    <row r="42" spans="1:25" x14ac:dyDescent="0.25">
      <c r="A42" s="23">
        <v>0.33643122676579923</v>
      </c>
      <c r="B42" s="23">
        <v>0.43308550185873607</v>
      </c>
      <c r="C42" s="23">
        <v>0.20631970260223048</v>
      </c>
      <c r="D42" s="23">
        <v>1.4869888475836431E-2</v>
      </c>
      <c r="E42" s="23">
        <v>3.7174721189591076E-3</v>
      </c>
      <c r="F42" s="24">
        <v>614</v>
      </c>
      <c r="G42" s="24">
        <v>12</v>
      </c>
      <c r="H42" s="24">
        <v>26</v>
      </c>
      <c r="I42" s="24">
        <v>0</v>
      </c>
      <c r="J42" s="24">
        <v>652</v>
      </c>
      <c r="K42" s="27">
        <v>0.94171779141104295</v>
      </c>
      <c r="L42" s="27">
        <v>1.8404907975460124E-2</v>
      </c>
      <c r="M42" s="27">
        <v>3.9877300613496931E-2</v>
      </c>
      <c r="N42" s="27">
        <v>0</v>
      </c>
      <c r="O42" s="25">
        <v>20.207055214723926</v>
      </c>
      <c r="Q42" s="29" t="s">
        <v>141</v>
      </c>
    </row>
    <row r="43" spans="1:25" x14ac:dyDescent="0.25">
      <c r="A43" s="23">
        <v>0.39761092150170646</v>
      </c>
      <c r="B43" s="23">
        <v>0.4112627986348123</v>
      </c>
      <c r="C43" s="23">
        <v>0.15870307167235495</v>
      </c>
      <c r="D43" s="23">
        <v>1.1945392491467578E-2</v>
      </c>
      <c r="E43" s="23">
        <v>6.8259385665529011E-3</v>
      </c>
      <c r="F43" s="24">
        <v>318</v>
      </c>
      <c r="G43" s="24">
        <v>80</v>
      </c>
      <c r="H43" s="24">
        <v>50</v>
      </c>
      <c r="I43" s="24">
        <v>2</v>
      </c>
      <c r="J43" s="24">
        <v>450</v>
      </c>
      <c r="K43" s="27">
        <v>0.70666666666666667</v>
      </c>
      <c r="L43" s="27">
        <v>0.17777777777777778</v>
      </c>
      <c r="M43" s="27">
        <v>0.1111111111111111</v>
      </c>
      <c r="N43" s="27">
        <v>4.4444444444444444E-3</v>
      </c>
      <c r="O43" s="25">
        <v>62.902222222222221</v>
      </c>
    </row>
    <row r="44" spans="1:25" x14ac:dyDescent="0.25">
      <c r="A44" s="23">
        <v>0.41638225255972694</v>
      </c>
      <c r="B44" s="23">
        <v>0.39590443686006827</v>
      </c>
      <c r="C44" s="23">
        <v>0.17576791808873721</v>
      </c>
      <c r="D44" s="23">
        <v>1.1945392491467578E-2</v>
      </c>
      <c r="E44" s="23">
        <v>0</v>
      </c>
      <c r="F44" s="24">
        <v>362</v>
      </c>
      <c r="G44" s="24">
        <v>52</v>
      </c>
      <c r="H44" s="24">
        <v>35</v>
      </c>
      <c r="I44" s="24">
        <v>1</v>
      </c>
      <c r="J44" s="24">
        <v>450</v>
      </c>
      <c r="K44" s="27">
        <v>0.80444444444444441</v>
      </c>
      <c r="L44" s="27">
        <v>0.11555555555555555</v>
      </c>
      <c r="M44" s="27">
        <v>7.7777777777777779E-2</v>
      </c>
      <c r="N44" s="27">
        <v>2.2222222222222222E-3</v>
      </c>
      <c r="O44" s="25">
        <v>57.428888888888892</v>
      </c>
    </row>
    <row r="45" spans="1:25" x14ac:dyDescent="0.25">
      <c r="A45" s="23">
        <v>0.3294314381270903</v>
      </c>
      <c r="B45" s="23">
        <v>0.46153846153846156</v>
      </c>
      <c r="C45" s="23">
        <v>0.19230769230769232</v>
      </c>
      <c r="D45" s="23">
        <v>1.5050167224080268E-2</v>
      </c>
      <c r="E45" s="23">
        <v>1.6722408026755853E-3</v>
      </c>
      <c r="F45" s="24">
        <v>517</v>
      </c>
      <c r="G45" s="24">
        <v>119</v>
      </c>
      <c r="H45" s="24">
        <v>67</v>
      </c>
      <c r="I45" s="24">
        <v>5</v>
      </c>
      <c r="J45" s="24">
        <v>708</v>
      </c>
      <c r="K45" s="27">
        <v>0.73022598870056499</v>
      </c>
      <c r="L45" s="27">
        <v>0.16807909604519775</v>
      </c>
      <c r="M45" s="27">
        <v>9.4632768361581923E-2</v>
      </c>
      <c r="N45" s="27">
        <v>7.0621468926553672E-3</v>
      </c>
      <c r="O45" s="25">
        <v>48.870056497175142</v>
      </c>
    </row>
    <row r="46" spans="1:25" x14ac:dyDescent="0.25">
      <c r="A46" s="23">
        <v>0.67341040462427748</v>
      </c>
      <c r="B46" s="23">
        <v>8.0924855491329481E-2</v>
      </c>
      <c r="C46" s="23">
        <v>0.20231213872832371</v>
      </c>
      <c r="D46" s="23">
        <v>1.1560693641618497E-2</v>
      </c>
      <c r="E46" s="23">
        <v>8.670520231213872E-3</v>
      </c>
      <c r="F46" s="24">
        <v>490</v>
      </c>
      <c r="G46" s="24">
        <v>155</v>
      </c>
      <c r="H46" s="24">
        <v>59</v>
      </c>
      <c r="I46" s="24">
        <v>4</v>
      </c>
      <c r="J46" s="24">
        <v>708</v>
      </c>
      <c r="K46" s="27">
        <v>0.69209039548022599</v>
      </c>
      <c r="L46" s="27">
        <v>0.21892655367231639</v>
      </c>
      <c r="M46" s="27">
        <v>8.3333333333333329E-2</v>
      </c>
      <c r="N46" s="27">
        <v>5.6497175141242938E-3</v>
      </c>
      <c r="O46" s="25">
        <v>39.309322033898304</v>
      </c>
      <c r="Y46" s="29" t="s">
        <v>376</v>
      </c>
    </row>
    <row r="47" spans="1:25" x14ac:dyDescent="0.25">
      <c r="A47" s="23">
        <v>0.59452054794520548</v>
      </c>
      <c r="B47" s="23">
        <v>0.18904109589041096</v>
      </c>
      <c r="C47" s="23">
        <v>0.18904109589041096</v>
      </c>
      <c r="D47" s="23">
        <v>1.3698630136986301E-2</v>
      </c>
      <c r="E47" s="23">
        <v>0</v>
      </c>
      <c r="F47" s="24">
        <v>563</v>
      </c>
      <c r="G47" s="24">
        <v>100</v>
      </c>
      <c r="H47" s="24">
        <v>43</v>
      </c>
      <c r="I47" s="24">
        <v>2</v>
      </c>
      <c r="J47" s="24">
        <v>708</v>
      </c>
      <c r="K47" s="27">
        <v>0.79519774011299438</v>
      </c>
      <c r="L47" s="27">
        <v>0.14124293785310735</v>
      </c>
      <c r="M47" s="27">
        <v>6.0734463276836161E-2</v>
      </c>
      <c r="N47" s="27">
        <v>2.8248587570621469E-3</v>
      </c>
      <c r="O47" s="25">
        <v>32.144067796610166</v>
      </c>
    </row>
    <row r="48" spans="1:25" x14ac:dyDescent="0.25">
      <c r="A48" s="23">
        <v>0.57272727272727275</v>
      </c>
      <c r="B48" s="23">
        <v>0.27954545454545454</v>
      </c>
      <c r="C48" s="23">
        <v>0.13409090909090909</v>
      </c>
      <c r="D48" s="23">
        <v>1.1363636363636364E-2</v>
      </c>
      <c r="E48" s="23">
        <v>2.2727272727272726E-3</v>
      </c>
      <c r="F48" s="24">
        <v>593</v>
      </c>
      <c r="G48" s="24">
        <v>81</v>
      </c>
      <c r="H48" s="24">
        <v>33</v>
      </c>
      <c r="I48" s="24">
        <v>1</v>
      </c>
      <c r="J48" s="24">
        <v>708</v>
      </c>
      <c r="K48" s="27">
        <v>0.83757062146892658</v>
      </c>
      <c r="L48" s="27">
        <v>0.11440677966101695</v>
      </c>
      <c r="M48" s="27">
        <v>4.6610169491525424E-2</v>
      </c>
      <c r="N48" s="27">
        <v>1.4124293785310734E-3</v>
      </c>
      <c r="O48" s="25">
        <v>27.021186440677965</v>
      </c>
      <c r="Y48" s="30">
        <f>0.2331+0.0778</f>
        <v>0.31090000000000001</v>
      </c>
    </row>
    <row r="49" spans="1:15" x14ac:dyDescent="0.25">
      <c r="A49" s="23">
        <v>0.44680851063829785</v>
      </c>
      <c r="B49" s="23">
        <v>0.34515366430260047</v>
      </c>
      <c r="C49" s="23">
        <v>0.19148936170212766</v>
      </c>
      <c r="D49" s="23">
        <v>7.0921985815602835E-3</v>
      </c>
      <c r="E49" s="23">
        <v>4.7281323877068557E-3</v>
      </c>
      <c r="F49" s="24">
        <v>615</v>
      </c>
      <c r="G49" s="24">
        <v>57</v>
      </c>
      <c r="H49" s="24">
        <v>37</v>
      </c>
      <c r="I49" s="24">
        <v>0</v>
      </c>
      <c r="J49" s="24">
        <v>709</v>
      </c>
      <c r="K49" s="27">
        <v>0.86741889985895626</v>
      </c>
      <c r="L49" s="27">
        <v>8.0394922425952045E-2</v>
      </c>
      <c r="M49" s="27">
        <v>5.2186177715091681E-2</v>
      </c>
      <c r="N49" s="27">
        <v>0</v>
      </c>
      <c r="O49" s="25">
        <v>23.286318758815234</v>
      </c>
    </row>
    <row r="50" spans="1:15" x14ac:dyDescent="0.25">
      <c r="A50" s="23">
        <v>0.35836909871244638</v>
      </c>
      <c r="B50" s="23">
        <v>0.47854077253218885</v>
      </c>
      <c r="C50" s="23">
        <v>0.15236051502145923</v>
      </c>
      <c r="D50" s="23">
        <v>0</v>
      </c>
      <c r="E50" s="23">
        <v>4.2918454935622317E-3</v>
      </c>
      <c r="F50" s="24">
        <v>612</v>
      </c>
      <c r="G50" s="24">
        <v>61</v>
      </c>
      <c r="H50" s="24">
        <v>35</v>
      </c>
      <c r="I50" s="24">
        <v>1</v>
      </c>
      <c r="J50" s="24">
        <v>709</v>
      </c>
      <c r="K50" s="27">
        <v>0.86318758815232721</v>
      </c>
      <c r="L50" s="27">
        <v>8.6036671368124124E-2</v>
      </c>
      <c r="M50" s="27">
        <v>4.9365303244005641E-2</v>
      </c>
      <c r="N50" s="27">
        <v>1.4104372355430183E-3</v>
      </c>
      <c r="O50" s="25">
        <v>19.689703808180536</v>
      </c>
    </row>
    <row r="51" spans="1:15" x14ac:dyDescent="0.25">
      <c r="A51" s="23">
        <v>0.74454828660436134</v>
      </c>
      <c r="B51" s="23">
        <v>9.0342679127725853E-2</v>
      </c>
      <c r="C51" s="23">
        <v>0.13707165109034267</v>
      </c>
      <c r="D51" s="23">
        <v>6.2305295950155761E-3</v>
      </c>
      <c r="E51" s="23">
        <v>9.3457943925233638E-3</v>
      </c>
      <c r="F51" s="24">
        <v>115</v>
      </c>
      <c r="G51" s="24">
        <v>210</v>
      </c>
      <c r="H51" s="24">
        <v>123</v>
      </c>
      <c r="I51" s="24">
        <v>2</v>
      </c>
      <c r="J51" s="24">
        <v>450</v>
      </c>
      <c r="K51" s="27">
        <v>0.25555555555555554</v>
      </c>
      <c r="L51" s="27">
        <v>0.46666666666666667</v>
      </c>
      <c r="M51" s="27">
        <v>0.27333333333333332</v>
      </c>
      <c r="N51" s="27">
        <v>4.4444444444444444E-3</v>
      </c>
      <c r="O51" s="25">
        <v>68.24444444444444</v>
      </c>
    </row>
    <row r="52" spans="1:15" x14ac:dyDescent="0.25">
      <c r="A52" s="23">
        <v>0.65048543689320393</v>
      </c>
      <c r="B52" s="23">
        <v>0.22524271844660193</v>
      </c>
      <c r="C52" s="23">
        <v>0.10097087378640776</v>
      </c>
      <c r="D52" s="23">
        <v>9.7087378640776691E-3</v>
      </c>
      <c r="E52" s="23">
        <v>1.9417475728155339E-3</v>
      </c>
      <c r="F52" s="24">
        <v>138</v>
      </c>
      <c r="G52" s="24">
        <v>230</v>
      </c>
      <c r="H52" s="24">
        <v>104</v>
      </c>
      <c r="I52" s="24">
        <v>2</v>
      </c>
      <c r="J52" s="24">
        <v>474</v>
      </c>
      <c r="K52" s="27">
        <v>0.29113924050632911</v>
      </c>
      <c r="L52" s="27">
        <v>0.48523206751054854</v>
      </c>
      <c r="M52" s="27">
        <v>0.21940928270042195</v>
      </c>
      <c r="N52" s="27">
        <v>4.2194092827004216E-3</v>
      </c>
      <c r="O52" s="25">
        <v>52.12658227848101</v>
      </c>
    </row>
    <row r="53" spans="1:15" x14ac:dyDescent="0.25">
      <c r="A53" s="23">
        <v>0.60640732265446229</v>
      </c>
      <c r="B53" s="23">
        <v>0.27459954233409611</v>
      </c>
      <c r="C53" s="23">
        <v>0.10755148741418764</v>
      </c>
      <c r="D53" s="23">
        <v>1.1441647597254004E-2</v>
      </c>
      <c r="E53" s="23">
        <v>0</v>
      </c>
      <c r="F53" s="24">
        <v>197</v>
      </c>
      <c r="G53" s="24">
        <v>171</v>
      </c>
      <c r="H53" s="24">
        <v>103</v>
      </c>
      <c r="I53" s="24">
        <v>3</v>
      </c>
      <c r="J53" s="24">
        <v>474</v>
      </c>
      <c r="K53" s="27">
        <v>0.41561181434599154</v>
      </c>
      <c r="L53" s="27">
        <v>0.36075949367088606</v>
      </c>
      <c r="M53" s="27">
        <v>0.21729957805907174</v>
      </c>
      <c r="N53" s="27">
        <v>6.3291139240506328E-3</v>
      </c>
      <c r="O53" s="25">
        <v>38.803797468354432</v>
      </c>
    </row>
    <row r="54" spans="1:15" x14ac:dyDescent="0.25">
      <c r="A54" s="23">
        <v>0.45492662473794548</v>
      </c>
      <c r="B54" s="23">
        <v>0.44025157232704404</v>
      </c>
      <c r="C54" s="23">
        <v>0.10272536687631027</v>
      </c>
      <c r="D54" s="23">
        <v>2.0964360587002098E-3</v>
      </c>
      <c r="E54" s="23">
        <v>0</v>
      </c>
      <c r="F54" s="24">
        <v>209</v>
      </c>
      <c r="G54" s="24">
        <v>135</v>
      </c>
      <c r="H54" s="24">
        <v>130</v>
      </c>
      <c r="I54" s="24">
        <v>1</v>
      </c>
      <c r="J54" s="24">
        <v>475</v>
      </c>
      <c r="K54" s="27">
        <v>0.44</v>
      </c>
      <c r="L54" s="27">
        <v>0.28421052631578947</v>
      </c>
      <c r="M54" s="27">
        <v>0.27368421052631581</v>
      </c>
      <c r="N54" s="27">
        <v>2.1052631578947368E-3</v>
      </c>
      <c r="O54" s="25">
        <v>25.602105263157895</v>
      </c>
    </row>
    <row r="55" spans="1:15" x14ac:dyDescent="0.25">
      <c r="A55" s="23">
        <v>0.34869739478957917</v>
      </c>
      <c r="B55" s="23">
        <v>0.53707414829659317</v>
      </c>
      <c r="C55" s="23">
        <v>0.10020040080160321</v>
      </c>
      <c r="D55" s="23">
        <v>6.0120240480961923E-3</v>
      </c>
      <c r="E55" s="23">
        <v>2.004008016032064E-3</v>
      </c>
      <c r="F55" s="24">
        <v>76</v>
      </c>
      <c r="G55" s="24">
        <v>327</v>
      </c>
      <c r="H55" s="24">
        <v>46</v>
      </c>
      <c r="I55" s="24">
        <v>1</v>
      </c>
      <c r="J55" s="24">
        <v>450</v>
      </c>
      <c r="K55" s="27">
        <v>0.16888888888888889</v>
      </c>
      <c r="L55" s="27">
        <v>0.72666666666666668</v>
      </c>
      <c r="M55" s="27">
        <v>0.10222222222222223</v>
      </c>
      <c r="N55" s="27">
        <v>2.2222222222222222E-3</v>
      </c>
      <c r="O55" s="25">
        <v>64.771111111111111</v>
      </c>
    </row>
    <row r="56" spans="1:15" x14ac:dyDescent="0.25">
      <c r="A56" s="23">
        <v>0.66876971608832803</v>
      </c>
      <c r="B56" s="23">
        <v>0.1167192429022082</v>
      </c>
      <c r="C56" s="23">
        <v>0.18296529968454259</v>
      </c>
      <c r="D56" s="23">
        <v>1.5772870662460567E-2</v>
      </c>
      <c r="E56" s="23">
        <v>6.3091482649842269E-3</v>
      </c>
      <c r="F56" s="24">
        <v>212</v>
      </c>
      <c r="G56" s="24">
        <v>300</v>
      </c>
      <c r="H56" s="24">
        <v>84</v>
      </c>
      <c r="I56" s="24">
        <v>2</v>
      </c>
      <c r="J56" s="24">
        <v>598</v>
      </c>
      <c r="K56" s="27">
        <v>0.35451505016722407</v>
      </c>
      <c r="L56" s="27">
        <v>0.50167224080267558</v>
      </c>
      <c r="M56" s="27">
        <v>0.14046822742474915</v>
      </c>
      <c r="N56" s="27">
        <v>3.3444816053511705E-3</v>
      </c>
      <c r="O56" s="25">
        <v>50.394648829431439</v>
      </c>
    </row>
    <row r="57" spans="1:15" x14ac:dyDescent="0.25">
      <c r="A57" s="23">
        <v>0.65891472868217049</v>
      </c>
      <c r="B57" s="23">
        <v>0.16020671834625322</v>
      </c>
      <c r="C57" s="23">
        <v>0.16537467700258399</v>
      </c>
      <c r="D57" s="23">
        <v>7.7519379844961239E-3</v>
      </c>
      <c r="E57" s="23">
        <v>0</v>
      </c>
      <c r="F57" s="24">
        <v>259</v>
      </c>
      <c r="G57" s="24">
        <v>219</v>
      </c>
      <c r="H57" s="24">
        <v>112</v>
      </c>
      <c r="I57" s="24">
        <v>8</v>
      </c>
      <c r="J57" s="24">
        <v>598</v>
      </c>
      <c r="K57" s="27">
        <v>0.43311036789297658</v>
      </c>
      <c r="L57" s="27">
        <v>0.36622073578595316</v>
      </c>
      <c r="M57" s="27">
        <v>0.18729096989966554</v>
      </c>
      <c r="N57" s="27">
        <v>1.3377926421404682E-2</v>
      </c>
      <c r="O57" s="25">
        <v>36.754180602006691</v>
      </c>
    </row>
    <row r="58" spans="1:15" x14ac:dyDescent="0.25">
      <c r="A58" s="23">
        <v>0.63440860215053763</v>
      </c>
      <c r="B58" s="23">
        <v>0.19892473118279569</v>
      </c>
      <c r="C58" s="23">
        <v>0.15053763440860216</v>
      </c>
      <c r="D58" s="23">
        <v>1.0752688172043012E-2</v>
      </c>
      <c r="E58" s="23">
        <v>0</v>
      </c>
      <c r="F58" s="24">
        <v>376</v>
      </c>
      <c r="G58" s="24">
        <v>121</v>
      </c>
      <c r="H58" s="24">
        <v>98</v>
      </c>
      <c r="I58" s="24">
        <v>3</v>
      </c>
      <c r="J58" s="24">
        <v>598</v>
      </c>
      <c r="K58" s="27">
        <v>0.62876254180602009</v>
      </c>
      <c r="L58" s="27">
        <v>0.20234113712374582</v>
      </c>
      <c r="M58" s="27">
        <v>0.16387959866220736</v>
      </c>
      <c r="N58" s="27">
        <v>5.016722408026756E-3</v>
      </c>
      <c r="O58" s="25">
        <v>26.588628762541806</v>
      </c>
    </row>
    <row r="59" spans="1:15" x14ac:dyDescent="0.25">
      <c r="A59" s="23">
        <v>0.61658031088082899</v>
      </c>
      <c r="B59" s="23">
        <v>0.23056994818652848</v>
      </c>
      <c r="C59" s="23">
        <v>0.14766839378238342</v>
      </c>
      <c r="D59" s="23">
        <v>0</v>
      </c>
      <c r="E59" s="23">
        <v>2.5906735751295338E-3</v>
      </c>
      <c r="F59" s="24">
        <v>465</v>
      </c>
      <c r="G59" s="24">
        <v>59</v>
      </c>
      <c r="H59" s="24">
        <v>74</v>
      </c>
      <c r="I59" s="24">
        <v>1</v>
      </c>
      <c r="J59" s="24">
        <v>599</v>
      </c>
      <c r="K59" s="27">
        <v>0.77629382303839733</v>
      </c>
      <c r="L59" s="27">
        <v>9.849749582637729E-2</v>
      </c>
      <c r="M59" s="27">
        <v>0.12353923205342238</v>
      </c>
      <c r="N59" s="27">
        <v>1.6694490818030051E-3</v>
      </c>
      <c r="O59" s="25">
        <v>20.582637729549248</v>
      </c>
    </row>
    <row r="60" spans="1:15" x14ac:dyDescent="0.25">
      <c r="A60" s="23">
        <v>0.34957020057306593</v>
      </c>
      <c r="B60" s="23">
        <v>0.19197707736389685</v>
      </c>
      <c r="C60" s="23">
        <v>0.38395415472779371</v>
      </c>
      <c r="D60" s="23">
        <v>1.4326647564469915E-2</v>
      </c>
      <c r="E60" s="23">
        <v>1.4326647564469915E-2</v>
      </c>
      <c r="F60" s="24">
        <v>228</v>
      </c>
      <c r="G60" s="24">
        <v>32</v>
      </c>
      <c r="H60" s="24">
        <v>177</v>
      </c>
      <c r="I60" s="24">
        <v>13</v>
      </c>
      <c r="J60" s="24">
        <v>450</v>
      </c>
      <c r="K60" s="27">
        <v>0.50666666666666671</v>
      </c>
      <c r="L60" s="27">
        <v>7.1111111111111111E-2</v>
      </c>
      <c r="M60" s="27">
        <v>0.39333333333333331</v>
      </c>
      <c r="N60" s="27">
        <v>2.8888888888888888E-2</v>
      </c>
      <c r="O60" s="25">
        <v>65.644444444444446</v>
      </c>
    </row>
    <row r="61" spans="1:15" x14ac:dyDescent="0.25">
      <c r="A61" s="23">
        <v>0.44191919191919193</v>
      </c>
      <c r="B61" s="23">
        <v>0.23232323232323232</v>
      </c>
      <c r="C61" s="23">
        <v>0.30303030303030304</v>
      </c>
      <c r="D61" s="23">
        <v>1.5151515151515152E-2</v>
      </c>
      <c r="E61" s="23">
        <v>2.5252525252525255E-3</v>
      </c>
      <c r="F61" s="24">
        <v>242</v>
      </c>
      <c r="G61" s="24">
        <v>38</v>
      </c>
      <c r="H61" s="24">
        <v>150</v>
      </c>
      <c r="I61" s="24">
        <v>20</v>
      </c>
      <c r="J61" s="24">
        <v>450</v>
      </c>
      <c r="K61" s="27">
        <v>0.5377777777777778</v>
      </c>
      <c r="L61" s="27">
        <v>8.4444444444444447E-2</v>
      </c>
      <c r="M61" s="27">
        <v>0.33333333333333331</v>
      </c>
      <c r="N61" s="27">
        <v>4.4444444444444446E-2</v>
      </c>
      <c r="O61" s="25">
        <v>54.208888888888886</v>
      </c>
    </row>
    <row r="62" spans="1:15" x14ac:dyDescent="0.25">
      <c r="A62" s="23">
        <v>0.45359019264448336</v>
      </c>
      <c r="B62" s="23">
        <v>0.3309982486865149</v>
      </c>
      <c r="C62" s="23">
        <v>0.20140105078809106</v>
      </c>
      <c r="D62" s="23">
        <v>1.0507880910683012E-2</v>
      </c>
      <c r="E62" s="23">
        <v>1.7513134851138354E-3</v>
      </c>
      <c r="F62" s="24">
        <v>394</v>
      </c>
      <c r="G62" s="24">
        <v>75</v>
      </c>
      <c r="H62" s="24">
        <v>188</v>
      </c>
      <c r="I62" s="24">
        <v>27</v>
      </c>
      <c r="J62" s="24">
        <v>684</v>
      </c>
      <c r="K62" s="27">
        <v>0.57602339181286555</v>
      </c>
      <c r="L62" s="27">
        <v>0.10964912280701754</v>
      </c>
      <c r="M62" s="27">
        <v>0.27485380116959063</v>
      </c>
      <c r="N62" s="27">
        <v>3.9473684210526314E-2</v>
      </c>
      <c r="O62" s="25">
        <v>42.254385964912281</v>
      </c>
    </row>
    <row r="63" spans="1:15" x14ac:dyDescent="0.25">
      <c r="A63" s="23">
        <v>0.45028142589118197</v>
      </c>
      <c r="B63" s="23">
        <v>0.3696060037523452</v>
      </c>
      <c r="C63" s="23">
        <v>0.16135084427767354</v>
      </c>
      <c r="D63" s="23">
        <v>1.50093808630394E-2</v>
      </c>
      <c r="E63" s="23">
        <v>3.7523452157598499E-3</v>
      </c>
      <c r="F63" s="24">
        <v>464</v>
      </c>
      <c r="G63" s="24">
        <v>48</v>
      </c>
      <c r="H63" s="24">
        <v>153</v>
      </c>
      <c r="I63" s="24">
        <v>19</v>
      </c>
      <c r="J63" s="24">
        <v>684</v>
      </c>
      <c r="K63" s="27">
        <v>0.67836257309941517</v>
      </c>
      <c r="L63" s="27">
        <v>7.0175438596491224E-2</v>
      </c>
      <c r="M63" s="27">
        <v>0.22368421052631579</v>
      </c>
      <c r="N63" s="27">
        <v>2.7777777777777776E-2</v>
      </c>
      <c r="O63" s="25">
        <v>30.760233918128655</v>
      </c>
    </row>
    <row r="64" spans="1:15" x14ac:dyDescent="0.25">
      <c r="A64" s="23">
        <v>0.36197440585009139</v>
      </c>
      <c r="B64" s="23">
        <v>0.45703839122486289</v>
      </c>
      <c r="C64" s="23">
        <v>0.16087751371115175</v>
      </c>
      <c r="D64" s="23">
        <v>3.6563071297989031E-3</v>
      </c>
      <c r="E64" s="23">
        <v>1.2797074954296161E-2</v>
      </c>
      <c r="F64" s="24">
        <v>527</v>
      </c>
      <c r="G64" s="24">
        <v>33</v>
      </c>
      <c r="H64" s="24">
        <v>124</v>
      </c>
      <c r="I64" s="24">
        <v>1</v>
      </c>
      <c r="J64" s="24">
        <v>685</v>
      </c>
      <c r="K64" s="27">
        <v>0.76934306569343069</v>
      </c>
      <c r="L64" s="27">
        <v>4.8175182481751823E-2</v>
      </c>
      <c r="M64" s="27">
        <v>0.18102189781021899</v>
      </c>
      <c r="N64" s="27">
        <v>1.4598540145985401E-3</v>
      </c>
      <c r="O64" s="25">
        <v>21.747445255474453</v>
      </c>
    </row>
    <row r="65" spans="1:15" x14ac:dyDescent="0.25">
      <c r="A65" s="23">
        <v>0.75</v>
      </c>
      <c r="B65" s="23">
        <v>5.5232558139534885E-2</v>
      </c>
      <c r="C65" s="23">
        <v>0.14244186046511628</v>
      </c>
      <c r="D65" s="23">
        <v>8.7209302325581394E-3</v>
      </c>
      <c r="E65" s="23">
        <v>8.7209302325581394E-3</v>
      </c>
      <c r="F65" s="24">
        <v>20</v>
      </c>
      <c r="G65" s="24">
        <v>332</v>
      </c>
      <c r="H65" s="24">
        <v>97</v>
      </c>
      <c r="I65" s="24">
        <v>1</v>
      </c>
      <c r="J65" s="24">
        <v>450</v>
      </c>
      <c r="K65" s="27">
        <v>4.4444444444444446E-2</v>
      </c>
      <c r="L65" s="27">
        <v>0.73777777777777775</v>
      </c>
      <c r="M65" s="27">
        <v>0.21555555555555556</v>
      </c>
      <c r="N65" s="27">
        <v>2.2222222222222222E-3</v>
      </c>
      <c r="O65" s="25">
        <v>66.935555555555553</v>
      </c>
    </row>
    <row r="66" spans="1:15" x14ac:dyDescent="0.25">
      <c r="A66" s="23">
        <v>0.84024896265560167</v>
      </c>
      <c r="B66" s="23">
        <v>6.8464730290456438E-2</v>
      </c>
      <c r="C66" s="23">
        <v>8.0912863070539423E-2</v>
      </c>
      <c r="D66" s="23">
        <v>2.0746887966804979E-3</v>
      </c>
      <c r="E66" s="23">
        <v>2.0746887966804979E-3</v>
      </c>
      <c r="F66" s="24">
        <v>64</v>
      </c>
      <c r="G66" s="24">
        <v>346</v>
      </c>
      <c r="H66" s="24">
        <v>168</v>
      </c>
      <c r="I66" s="24">
        <v>3</v>
      </c>
      <c r="J66" s="24">
        <v>581</v>
      </c>
      <c r="K66" s="27">
        <v>0.11015490533562823</v>
      </c>
      <c r="L66" s="27">
        <v>0.59552495697074015</v>
      </c>
      <c r="M66" s="27">
        <v>0.28915662650602408</v>
      </c>
      <c r="N66" s="27">
        <v>5.1635111876075735E-3</v>
      </c>
      <c r="O66" s="25">
        <v>47.633390705679865</v>
      </c>
    </row>
    <row r="67" spans="1:15" x14ac:dyDescent="0.25">
      <c r="A67" s="23">
        <v>0.71218487394957986</v>
      </c>
      <c r="B67" s="23">
        <v>0.17436974789915966</v>
      </c>
      <c r="C67" s="23">
        <v>9.2436974789915971E-2</v>
      </c>
      <c r="D67" s="23">
        <v>6.3025210084033615E-3</v>
      </c>
      <c r="E67" s="23">
        <v>4.2016806722689074E-3</v>
      </c>
      <c r="F67" s="24">
        <v>210</v>
      </c>
      <c r="G67" s="24">
        <v>190</v>
      </c>
      <c r="H67" s="24">
        <v>178</v>
      </c>
      <c r="I67" s="24">
        <v>3</v>
      </c>
      <c r="J67" s="24">
        <v>581</v>
      </c>
      <c r="K67" s="27">
        <v>0.36144578313253012</v>
      </c>
      <c r="L67" s="27">
        <v>0.32702237521514632</v>
      </c>
      <c r="M67" s="27">
        <v>0.30636833046471601</v>
      </c>
      <c r="N67" s="27">
        <v>5.1635111876075735E-3</v>
      </c>
      <c r="O67" s="25">
        <v>27.342512908777969</v>
      </c>
    </row>
    <row r="68" spans="1:15" x14ac:dyDescent="0.25">
      <c r="A68" s="23">
        <v>0.35072463768115941</v>
      </c>
      <c r="B68" s="23">
        <v>0.19130434782608696</v>
      </c>
      <c r="C68" s="23">
        <v>0.41449275362318838</v>
      </c>
      <c r="D68" s="23">
        <v>1.7391304347826087E-2</v>
      </c>
      <c r="E68" s="23">
        <v>2.8985507246376812E-3</v>
      </c>
      <c r="F68" s="24">
        <v>255</v>
      </c>
      <c r="G68" s="24">
        <v>51</v>
      </c>
      <c r="H68" s="24">
        <v>133</v>
      </c>
      <c r="I68" s="24">
        <v>11</v>
      </c>
      <c r="J68" s="24">
        <v>450</v>
      </c>
      <c r="K68" s="27">
        <v>0.56666666666666665</v>
      </c>
      <c r="L68" s="27">
        <v>0.11333333333333333</v>
      </c>
      <c r="M68" s="27">
        <v>0.29555555555555557</v>
      </c>
      <c r="N68" s="27">
        <v>2.4444444444444446E-2</v>
      </c>
      <c r="O68" s="25">
        <v>64.588888888888889</v>
      </c>
    </row>
    <row r="69" spans="1:15" x14ac:dyDescent="0.25">
      <c r="A69" s="23">
        <v>0.30204081632653063</v>
      </c>
      <c r="B69" s="23">
        <v>0.4</v>
      </c>
      <c r="C69" s="23">
        <v>0.27346938775510204</v>
      </c>
      <c r="D69" s="23">
        <v>1.2244897959183673E-2</v>
      </c>
      <c r="E69" s="23">
        <v>4.0816326530612249E-3</v>
      </c>
      <c r="F69" s="24">
        <v>499</v>
      </c>
      <c r="G69" s="24">
        <v>48</v>
      </c>
      <c r="H69" s="24">
        <v>70</v>
      </c>
      <c r="I69" s="24">
        <v>22</v>
      </c>
      <c r="J69" s="24">
        <v>639</v>
      </c>
      <c r="K69" s="27">
        <v>0.78090766823161184</v>
      </c>
      <c r="L69" s="27">
        <v>7.5117370892018781E-2</v>
      </c>
      <c r="M69" s="27">
        <v>0.10954616588419405</v>
      </c>
      <c r="N69" s="27">
        <v>3.4428794992175271E-2</v>
      </c>
      <c r="O69" s="25">
        <v>40.350547730829419</v>
      </c>
    </row>
    <row r="70" spans="1:15" x14ac:dyDescent="0.25">
      <c r="A70" s="23">
        <v>0.30339321357285431</v>
      </c>
      <c r="B70" s="23">
        <v>0.44111776447105788</v>
      </c>
      <c r="C70" s="23">
        <v>0.2315369261477046</v>
      </c>
      <c r="D70" s="23">
        <v>1.5968063872255488E-2</v>
      </c>
      <c r="E70" s="23">
        <v>3.9920159680638719E-3</v>
      </c>
      <c r="F70" s="24">
        <v>526</v>
      </c>
      <c r="G70" s="24">
        <v>53</v>
      </c>
      <c r="H70" s="24">
        <v>59</v>
      </c>
      <c r="I70" s="24">
        <v>1</v>
      </c>
      <c r="J70" s="24">
        <v>639</v>
      </c>
      <c r="K70" s="27">
        <v>0.82316118935837246</v>
      </c>
      <c r="L70" s="27">
        <v>8.2942097026604072E-2</v>
      </c>
      <c r="M70" s="27">
        <v>9.2331768388106417E-2</v>
      </c>
      <c r="N70" s="27">
        <v>1.5649452269170579E-3</v>
      </c>
      <c r="O70" s="25">
        <v>23.369327073552427</v>
      </c>
    </row>
    <row r="71" spans="1:15" x14ac:dyDescent="0.25">
      <c r="A71" s="23">
        <v>0.70253164556962022</v>
      </c>
      <c r="B71" s="23">
        <v>8.2278481012658222E-2</v>
      </c>
      <c r="C71" s="23">
        <v>0.15822784810126583</v>
      </c>
      <c r="D71" s="23">
        <v>1.8987341772151899E-2</v>
      </c>
      <c r="E71" s="23">
        <v>6.3291139240506328E-3</v>
      </c>
      <c r="F71" s="24">
        <v>81</v>
      </c>
      <c r="G71" s="24">
        <v>291</v>
      </c>
      <c r="H71" s="24">
        <v>72</v>
      </c>
      <c r="I71" s="24">
        <v>6</v>
      </c>
      <c r="J71" s="24">
        <v>450</v>
      </c>
      <c r="K71" s="27">
        <v>0.18</v>
      </c>
      <c r="L71" s="27">
        <v>0.64666666666666661</v>
      </c>
      <c r="M71" s="27">
        <v>0.16</v>
      </c>
      <c r="N71" s="27">
        <v>1.3333333333333334E-2</v>
      </c>
      <c r="O71" s="25">
        <v>66.722222222222229</v>
      </c>
    </row>
    <row r="72" spans="1:15" x14ac:dyDescent="0.25">
      <c r="A72" s="23">
        <v>0.59928443649373886</v>
      </c>
      <c r="B72" s="23">
        <v>0.23971377459749552</v>
      </c>
      <c r="C72" s="23">
        <v>0.14311270125223613</v>
      </c>
      <c r="D72" s="23">
        <v>5.3667262969588547E-3</v>
      </c>
      <c r="E72" s="23">
        <v>7.1556350626118068E-3</v>
      </c>
      <c r="F72" s="24">
        <v>304</v>
      </c>
      <c r="G72" s="24">
        <v>279</v>
      </c>
      <c r="H72" s="24">
        <v>122</v>
      </c>
      <c r="I72" s="24">
        <v>12</v>
      </c>
      <c r="J72" s="24">
        <v>717</v>
      </c>
      <c r="K72" s="27">
        <v>0.42398884239888424</v>
      </c>
      <c r="L72" s="27">
        <v>0.38912133891213391</v>
      </c>
      <c r="M72" s="27">
        <v>0.1701534170153417</v>
      </c>
      <c r="N72" s="27">
        <v>1.6736401673640166E-2</v>
      </c>
      <c r="O72" s="25">
        <v>42.216178521617849</v>
      </c>
    </row>
    <row r="73" spans="1:15" x14ac:dyDescent="0.25">
      <c r="A73" s="23">
        <v>0.32798573975044565</v>
      </c>
      <c r="B73" s="23">
        <v>0.45632798573975042</v>
      </c>
      <c r="C73" s="23">
        <v>0.20499108734402852</v>
      </c>
      <c r="D73" s="23">
        <v>1.7825311942959001E-3</v>
      </c>
      <c r="E73" s="23">
        <v>5.3475935828877002E-3</v>
      </c>
      <c r="F73" s="24">
        <v>544</v>
      </c>
      <c r="G73" s="24">
        <v>71</v>
      </c>
      <c r="H73" s="24">
        <v>96</v>
      </c>
      <c r="I73" s="24">
        <v>7</v>
      </c>
      <c r="J73" s="24">
        <v>718</v>
      </c>
      <c r="K73" s="27">
        <v>0.75766016713091922</v>
      </c>
      <c r="L73" s="27">
        <v>9.8885793871866301E-2</v>
      </c>
      <c r="M73" s="27">
        <v>0.13370473537604458</v>
      </c>
      <c r="N73" s="27">
        <v>9.7493036211699167E-3</v>
      </c>
      <c r="O73" s="25">
        <v>23.394150417827298</v>
      </c>
    </row>
    <row r="74" spans="1:15" x14ac:dyDescent="0.25">
      <c r="A74" s="23">
        <v>0.83586626139817632</v>
      </c>
      <c r="B74" s="23">
        <v>6.0790273556231003E-3</v>
      </c>
      <c r="C74" s="23">
        <v>0.1337386018237082</v>
      </c>
      <c r="D74" s="23">
        <v>9.11854103343465E-3</v>
      </c>
      <c r="E74" s="23">
        <v>9.11854103343465E-3</v>
      </c>
      <c r="F74" s="24">
        <v>11</v>
      </c>
      <c r="G74" s="24">
        <v>417</v>
      </c>
      <c r="H74" s="24">
        <v>12</v>
      </c>
      <c r="I74" s="24">
        <v>0</v>
      </c>
      <c r="J74" s="24">
        <v>440</v>
      </c>
      <c r="K74" s="27">
        <v>2.5000000000000001E-2</v>
      </c>
      <c r="L74" s="27">
        <v>0.94772727272727275</v>
      </c>
      <c r="M74" s="27">
        <v>2.7272727272727271E-2</v>
      </c>
      <c r="N74" s="27">
        <v>0</v>
      </c>
      <c r="O74" s="25">
        <v>72.427272727272722</v>
      </c>
    </row>
    <row r="75" spans="1:15" x14ac:dyDescent="0.25">
      <c r="A75" s="23">
        <v>0.87323943661971826</v>
      </c>
      <c r="B75" s="23">
        <v>1.1267605633802818E-2</v>
      </c>
      <c r="C75" s="23">
        <v>0.10140845070422536</v>
      </c>
      <c r="D75" s="23">
        <v>0</v>
      </c>
      <c r="E75" s="23">
        <v>2.8169014084507044E-3</v>
      </c>
      <c r="F75" s="24">
        <v>18</v>
      </c>
      <c r="G75" s="24">
        <v>400</v>
      </c>
      <c r="H75" s="24">
        <v>29</v>
      </c>
      <c r="I75" s="24">
        <v>1</v>
      </c>
      <c r="J75" s="24">
        <v>448</v>
      </c>
      <c r="K75" s="27">
        <v>4.0178571428571432E-2</v>
      </c>
      <c r="L75" s="27">
        <v>0.8928571428571429</v>
      </c>
      <c r="M75" s="27">
        <v>6.4732142857142863E-2</v>
      </c>
      <c r="N75" s="27">
        <v>2.232142857142857E-3</v>
      </c>
      <c r="O75" s="25">
        <v>54.5625</v>
      </c>
    </row>
    <row r="76" spans="1:15" x14ac:dyDescent="0.25">
      <c r="A76" s="23">
        <v>0.89221556886227549</v>
      </c>
      <c r="B76" s="23">
        <v>2.0958083832335328E-2</v>
      </c>
      <c r="C76" s="23">
        <v>8.3832335329341312E-2</v>
      </c>
      <c r="D76" s="23">
        <v>0</v>
      </c>
      <c r="E76" s="23">
        <v>0</v>
      </c>
      <c r="F76" s="24">
        <v>31</v>
      </c>
      <c r="G76" s="24">
        <v>357</v>
      </c>
      <c r="H76" s="24">
        <v>59</v>
      </c>
      <c r="I76" s="24">
        <v>1</v>
      </c>
      <c r="J76" s="24">
        <v>448</v>
      </c>
      <c r="K76" s="27">
        <v>6.9196428571428575E-2</v>
      </c>
      <c r="L76" s="27">
        <v>0.796875</v>
      </c>
      <c r="M76" s="27">
        <v>0.13169642857142858</v>
      </c>
      <c r="N76" s="27">
        <v>2.232142857142857E-3</v>
      </c>
      <c r="O76" s="25">
        <v>39.433035714285715</v>
      </c>
    </row>
    <row r="77" spans="1:15" x14ac:dyDescent="0.25">
      <c r="A77" s="23">
        <v>0.88323353293413176</v>
      </c>
      <c r="B77" s="23">
        <v>3.5928143712574849E-2</v>
      </c>
      <c r="C77" s="23">
        <v>7.7844311377245512E-2</v>
      </c>
      <c r="D77" s="23">
        <v>0</v>
      </c>
      <c r="E77" s="23">
        <v>0</v>
      </c>
      <c r="F77" s="24">
        <v>28</v>
      </c>
      <c r="G77" s="24">
        <v>342</v>
      </c>
      <c r="H77" s="24">
        <v>77</v>
      </c>
      <c r="I77" s="24">
        <v>1</v>
      </c>
      <c r="J77" s="24">
        <v>448</v>
      </c>
      <c r="K77" s="27">
        <v>6.25E-2</v>
      </c>
      <c r="L77" s="27">
        <v>0.7633928571428571</v>
      </c>
      <c r="M77" s="27">
        <v>0.171875</v>
      </c>
      <c r="N77" s="27">
        <v>2.232142857142857E-3</v>
      </c>
      <c r="O77" s="25">
        <v>24.642857142857142</v>
      </c>
    </row>
    <row r="78" spans="1:15" x14ac:dyDescent="0.25">
      <c r="A78" s="23">
        <v>0.78260869565217395</v>
      </c>
      <c r="B78" s="23">
        <v>3.6231884057971016E-2</v>
      </c>
      <c r="C78" s="23">
        <v>0.17028985507246377</v>
      </c>
      <c r="D78" s="23">
        <v>3.6231884057971015E-3</v>
      </c>
      <c r="E78" s="23">
        <v>3.6231884057971015E-3</v>
      </c>
      <c r="F78" s="24">
        <v>41</v>
      </c>
      <c r="G78" s="24">
        <v>192</v>
      </c>
      <c r="H78" s="24">
        <v>162</v>
      </c>
      <c r="I78" s="24">
        <v>5</v>
      </c>
      <c r="J78" s="24">
        <v>400</v>
      </c>
      <c r="K78" s="27">
        <v>0.10249999999999999</v>
      </c>
      <c r="L78" s="27">
        <v>0.48</v>
      </c>
      <c r="M78" s="27">
        <v>0.40500000000000003</v>
      </c>
      <c r="N78" s="27">
        <v>1.2500000000000001E-2</v>
      </c>
      <c r="O78" s="25">
        <v>53.59</v>
      </c>
    </row>
    <row r="79" spans="1:15" x14ac:dyDescent="0.25">
      <c r="A79" s="23">
        <v>0.8101983002832861</v>
      </c>
      <c r="B79" s="23">
        <v>2.5495750708215296E-2</v>
      </c>
      <c r="C79" s="23">
        <v>0.15297450424929179</v>
      </c>
      <c r="D79" s="23">
        <v>0</v>
      </c>
      <c r="E79" s="23">
        <v>2.8328611898016999E-3</v>
      </c>
      <c r="F79" s="24">
        <v>35</v>
      </c>
      <c r="G79" s="24">
        <v>210</v>
      </c>
      <c r="H79" s="24">
        <v>173</v>
      </c>
      <c r="I79" s="24">
        <v>0</v>
      </c>
      <c r="J79" s="24">
        <v>418</v>
      </c>
      <c r="K79" s="27">
        <v>8.3732057416267949E-2</v>
      </c>
      <c r="L79" s="27">
        <v>0.50239234449760761</v>
      </c>
      <c r="M79" s="27">
        <v>0.4138755980861244</v>
      </c>
      <c r="N79" s="27">
        <v>0</v>
      </c>
      <c r="O79" s="25">
        <v>37.28708133971292</v>
      </c>
    </row>
    <row r="80" spans="1:15" x14ac:dyDescent="0.25">
      <c r="A80" s="23">
        <v>0.83557951482479786</v>
      </c>
      <c r="B80" s="23">
        <v>3.5040431266846361E-2</v>
      </c>
      <c r="C80" s="23">
        <v>0.10242587601078167</v>
      </c>
      <c r="D80" s="23">
        <v>8.0862533692722376E-3</v>
      </c>
      <c r="E80" s="23">
        <v>8.0862533692722376E-3</v>
      </c>
      <c r="F80" s="24">
        <v>70</v>
      </c>
      <c r="G80" s="24">
        <v>190</v>
      </c>
      <c r="H80" s="24">
        <v>158</v>
      </c>
      <c r="I80" s="24">
        <v>0</v>
      </c>
      <c r="J80" s="24">
        <v>418</v>
      </c>
      <c r="K80" s="27">
        <v>0.1674641148325359</v>
      </c>
      <c r="L80" s="27">
        <v>0.45454545454545453</v>
      </c>
      <c r="M80" s="27">
        <v>0.37799043062200954</v>
      </c>
      <c r="N80" s="27">
        <v>0</v>
      </c>
      <c r="O80" s="25">
        <v>24.157894736842106</v>
      </c>
    </row>
    <row r="81" spans="1:15" x14ac:dyDescent="0.25">
      <c r="A81" s="23">
        <v>0.84210526315789469</v>
      </c>
      <c r="B81" s="23">
        <v>4.3557168784029036E-2</v>
      </c>
      <c r="C81" s="23">
        <v>0.10344827586206896</v>
      </c>
      <c r="D81" s="23">
        <v>0</v>
      </c>
      <c r="E81" s="23">
        <v>1.8148820326678765E-3</v>
      </c>
      <c r="F81" s="24">
        <v>38</v>
      </c>
      <c r="G81" s="24">
        <v>372</v>
      </c>
      <c r="H81" s="24">
        <v>39</v>
      </c>
      <c r="I81" s="24">
        <v>1</v>
      </c>
      <c r="J81" s="24">
        <v>450</v>
      </c>
      <c r="K81" s="27">
        <v>8.4444444444444447E-2</v>
      </c>
      <c r="L81" s="27">
        <v>0.82666666666666666</v>
      </c>
      <c r="M81" s="27">
        <v>8.666666666666667E-2</v>
      </c>
      <c r="N81" s="27">
        <v>2.2222222222222222E-3</v>
      </c>
      <c r="O81" s="25">
        <v>74.444444444444443</v>
      </c>
    </row>
    <row r="82" spans="1:15" x14ac:dyDescent="0.25">
      <c r="A82" s="23">
        <v>0.82032667876588017</v>
      </c>
      <c r="B82" s="23">
        <v>8.1669691470054442E-2</v>
      </c>
      <c r="C82" s="23">
        <v>8.3484573502722328E-2</v>
      </c>
      <c r="D82" s="23">
        <v>3.629764065335753E-3</v>
      </c>
      <c r="E82" s="23">
        <v>0</v>
      </c>
      <c r="F82" s="24">
        <v>41</v>
      </c>
      <c r="G82" s="24">
        <v>370</v>
      </c>
      <c r="H82" s="24">
        <v>39</v>
      </c>
      <c r="I82" s="24">
        <v>0</v>
      </c>
      <c r="J82" s="24">
        <v>450</v>
      </c>
      <c r="K82" s="27">
        <v>9.1111111111111115E-2</v>
      </c>
      <c r="L82" s="27">
        <v>0.82222222222222219</v>
      </c>
      <c r="M82" s="27">
        <v>8.666666666666667E-2</v>
      </c>
      <c r="N82" s="27">
        <v>0</v>
      </c>
      <c r="O82" s="25">
        <v>66.371111111111105</v>
      </c>
    </row>
    <row r="83" spans="1:15" x14ac:dyDescent="0.25">
      <c r="A83" s="23">
        <v>0.80705009276437845</v>
      </c>
      <c r="B83" s="23">
        <v>7.9777365491651209E-2</v>
      </c>
      <c r="C83" s="23">
        <v>0.10760667903525047</v>
      </c>
      <c r="D83" s="23">
        <v>3.7105751391465678E-3</v>
      </c>
      <c r="E83" s="23">
        <v>0</v>
      </c>
      <c r="F83" s="24">
        <v>46</v>
      </c>
      <c r="G83" s="24">
        <v>350</v>
      </c>
      <c r="H83" s="24">
        <v>52</v>
      </c>
      <c r="I83" s="24">
        <v>2</v>
      </c>
      <c r="J83" s="24">
        <v>450</v>
      </c>
      <c r="K83" s="27">
        <v>0.10222222222222223</v>
      </c>
      <c r="L83" s="27">
        <v>0.77777777777777779</v>
      </c>
      <c r="M83" s="27">
        <v>0.11555555555555555</v>
      </c>
      <c r="N83" s="27">
        <v>4.4444444444444444E-3</v>
      </c>
      <c r="O83" s="25">
        <v>58.571111111111108</v>
      </c>
    </row>
    <row r="84" spans="1:15" x14ac:dyDescent="0.25">
      <c r="A84" s="23">
        <v>0.77490774907749083</v>
      </c>
      <c r="B84" s="23">
        <v>0.14022140221402213</v>
      </c>
      <c r="C84" s="23">
        <v>8.3025830258302583E-2</v>
      </c>
      <c r="D84" s="23">
        <v>0</v>
      </c>
      <c r="E84" s="23">
        <v>0</v>
      </c>
      <c r="F84" s="24">
        <v>75</v>
      </c>
      <c r="G84" s="24">
        <v>495</v>
      </c>
      <c r="H84" s="24">
        <v>105</v>
      </c>
      <c r="I84" s="24">
        <v>9</v>
      </c>
      <c r="J84" s="24">
        <v>684</v>
      </c>
      <c r="K84" s="27">
        <v>0.10964912280701754</v>
      </c>
      <c r="L84" s="27">
        <v>0.72368421052631582</v>
      </c>
      <c r="M84" s="27">
        <v>0.15350877192982457</v>
      </c>
      <c r="N84" s="27">
        <v>1.3157894736842105E-2</v>
      </c>
      <c r="O84" s="25">
        <v>50.001461988304094</v>
      </c>
    </row>
    <row r="85" spans="1:15" x14ac:dyDescent="0.25">
      <c r="A85" s="23">
        <v>0.77014925373134324</v>
      </c>
      <c r="B85" s="23">
        <v>6.8656716417910449E-2</v>
      </c>
      <c r="C85" s="23">
        <v>0.12238805970149254</v>
      </c>
      <c r="D85" s="23">
        <v>5.9701492537313433E-3</v>
      </c>
      <c r="E85" s="23">
        <v>5.9701492537313433E-3</v>
      </c>
      <c r="F85" s="24">
        <v>110</v>
      </c>
      <c r="G85" s="24">
        <v>430</v>
      </c>
      <c r="H85" s="24">
        <v>138</v>
      </c>
      <c r="I85" s="24">
        <v>6</v>
      </c>
      <c r="J85" s="24">
        <v>684</v>
      </c>
      <c r="K85" s="27">
        <v>0.16081871345029239</v>
      </c>
      <c r="L85" s="27">
        <v>0.62865497076023391</v>
      </c>
      <c r="M85" s="27">
        <v>0.20175438596491227</v>
      </c>
      <c r="N85" s="27">
        <v>8.771929824561403E-3</v>
      </c>
      <c r="O85" s="25">
        <v>40.320175438596493</v>
      </c>
    </row>
    <row r="86" spans="1:15" x14ac:dyDescent="0.25">
      <c r="A86" s="23">
        <v>0.88988095238095233</v>
      </c>
      <c r="B86" s="23">
        <v>4.1666666666666664E-2</v>
      </c>
      <c r="C86" s="23">
        <v>6.5476190476190479E-2</v>
      </c>
      <c r="D86" s="23">
        <v>0</v>
      </c>
      <c r="E86" s="23">
        <v>2.976190476190476E-3</v>
      </c>
      <c r="F86" s="24">
        <v>116</v>
      </c>
      <c r="G86" s="24">
        <v>414</v>
      </c>
      <c r="H86" s="24">
        <v>152</v>
      </c>
      <c r="I86" s="24">
        <v>2</v>
      </c>
      <c r="J86" s="24">
        <v>684</v>
      </c>
      <c r="K86" s="27">
        <v>0.16959064327485379</v>
      </c>
      <c r="L86" s="27">
        <v>0.60526315789473684</v>
      </c>
      <c r="M86" s="27">
        <v>0.22222222222222221</v>
      </c>
      <c r="N86" s="27">
        <v>2.9239766081871343E-3</v>
      </c>
      <c r="O86" s="25">
        <v>31.619883040935672</v>
      </c>
    </row>
    <row r="87" spans="1:15" x14ac:dyDescent="0.25">
      <c r="A87" s="23">
        <v>0.79939209726443772</v>
      </c>
      <c r="B87" s="23">
        <v>8.8145896656534953E-2</v>
      </c>
      <c r="C87" s="23">
        <v>0.10638297872340426</v>
      </c>
      <c r="D87" s="23">
        <v>0</v>
      </c>
      <c r="E87" s="23">
        <v>6.0790273556231003E-3</v>
      </c>
      <c r="F87" s="24">
        <v>182</v>
      </c>
      <c r="G87" s="24">
        <v>368</v>
      </c>
      <c r="H87" s="24">
        <v>134</v>
      </c>
      <c r="I87" s="24">
        <v>0</v>
      </c>
      <c r="J87" s="24">
        <v>684</v>
      </c>
      <c r="K87" s="27">
        <v>0.26608187134502925</v>
      </c>
      <c r="L87" s="27">
        <v>0.53801169590643272</v>
      </c>
      <c r="M87" s="27">
        <v>0.195906432748538</v>
      </c>
      <c r="N87" s="27">
        <v>0</v>
      </c>
      <c r="O87" s="25">
        <v>22.359649122807017</v>
      </c>
    </row>
    <row r="88" spans="1:15" x14ac:dyDescent="0.25">
      <c r="A88" s="23">
        <v>0.62202380952380953</v>
      </c>
      <c r="B88" s="23">
        <v>6.25E-2</v>
      </c>
      <c r="C88" s="23">
        <v>0.26488095238095238</v>
      </c>
      <c r="D88" s="23">
        <v>5.9523809523809521E-3</v>
      </c>
      <c r="E88" s="23">
        <v>2.0833333333333332E-2</v>
      </c>
      <c r="F88" s="24">
        <v>106</v>
      </c>
      <c r="G88" s="24">
        <v>202</v>
      </c>
      <c r="H88" s="24">
        <v>132</v>
      </c>
      <c r="I88" s="24">
        <v>10</v>
      </c>
      <c r="J88" s="24">
        <v>450</v>
      </c>
      <c r="K88" s="27">
        <v>0.23555555555555555</v>
      </c>
      <c r="L88" s="27">
        <v>0.44888888888888889</v>
      </c>
      <c r="M88" s="27">
        <v>0.29333333333333333</v>
      </c>
      <c r="N88" s="27">
        <v>2.2222222222222223E-2</v>
      </c>
      <c r="O88" s="25">
        <v>63.855555555555554</v>
      </c>
    </row>
    <row r="89" spans="1:15" x14ac:dyDescent="0.25">
      <c r="A89" s="23">
        <v>0.77596741344195519</v>
      </c>
      <c r="B89" s="23">
        <v>7.128309572301425E-2</v>
      </c>
      <c r="C89" s="23">
        <v>0.13645621181262729</v>
      </c>
      <c r="D89" s="23">
        <v>4.0733197556008143E-3</v>
      </c>
      <c r="E89" s="23">
        <v>2.0366598778004071E-3</v>
      </c>
      <c r="F89" s="24">
        <v>89</v>
      </c>
      <c r="G89" s="24">
        <v>288</v>
      </c>
      <c r="H89" s="24">
        <v>188</v>
      </c>
      <c r="I89" s="24">
        <v>4</v>
      </c>
      <c r="J89" s="24">
        <v>569</v>
      </c>
      <c r="K89" s="27">
        <v>0.15641476274165203</v>
      </c>
      <c r="L89" s="27">
        <v>0.5061511423550088</v>
      </c>
      <c r="M89" s="27">
        <v>0.33040421792618629</v>
      </c>
      <c r="N89" s="27">
        <v>7.0298769771528994E-3</v>
      </c>
      <c r="O89" s="25">
        <v>48.945518453427063</v>
      </c>
    </row>
    <row r="90" spans="1:15" x14ac:dyDescent="0.25">
      <c r="A90" s="23">
        <v>0.73835920177383596</v>
      </c>
      <c r="B90" s="23">
        <v>0.10643015521064302</v>
      </c>
      <c r="C90" s="23">
        <v>0.14855875831485588</v>
      </c>
      <c r="D90" s="23">
        <v>0</v>
      </c>
      <c r="E90" s="23">
        <v>0</v>
      </c>
      <c r="F90" s="24">
        <v>132</v>
      </c>
      <c r="G90" s="24">
        <v>249</v>
      </c>
      <c r="H90" s="24">
        <v>186</v>
      </c>
      <c r="I90" s="24">
        <v>2</v>
      </c>
      <c r="J90" s="24">
        <v>569</v>
      </c>
      <c r="K90" s="27">
        <v>0.23198594024604569</v>
      </c>
      <c r="L90" s="27">
        <v>0.43760984182776802</v>
      </c>
      <c r="M90" s="27">
        <v>0.32688927943760981</v>
      </c>
      <c r="N90" s="27">
        <v>3.5149384885764497E-3</v>
      </c>
      <c r="O90" s="25">
        <v>37.328646748681898</v>
      </c>
    </row>
    <row r="91" spans="1:15" x14ac:dyDescent="0.25">
      <c r="A91" s="23">
        <v>0.72584269662921352</v>
      </c>
      <c r="B91" s="23">
        <v>0.15730337078651685</v>
      </c>
      <c r="C91" s="23">
        <v>0.10337078651685393</v>
      </c>
      <c r="D91" s="23">
        <v>4.4943820224719105E-3</v>
      </c>
      <c r="E91" s="23">
        <v>2.2471910112359553E-3</v>
      </c>
      <c r="F91" s="24">
        <v>145</v>
      </c>
      <c r="G91" s="24">
        <v>229</v>
      </c>
      <c r="H91" s="24">
        <v>194</v>
      </c>
      <c r="I91" s="24">
        <v>1</v>
      </c>
      <c r="J91" s="24">
        <v>569</v>
      </c>
      <c r="K91" s="27">
        <v>0.25483304042179261</v>
      </c>
      <c r="L91" s="27">
        <v>0.4024604569420035</v>
      </c>
      <c r="M91" s="27">
        <v>0.34094903339191562</v>
      </c>
      <c r="N91" s="27">
        <v>1.7574692442882249E-3</v>
      </c>
      <c r="O91" s="25">
        <v>25.022847100175746</v>
      </c>
    </row>
    <row r="92" spans="1:15" x14ac:dyDescent="0.25">
      <c r="A92" s="23">
        <v>0.78073089700996678</v>
      </c>
      <c r="B92" s="23">
        <v>2.3255813953488372E-2</v>
      </c>
      <c r="C92" s="23">
        <v>0.15946843853820597</v>
      </c>
      <c r="D92" s="23">
        <v>6.6445182724252493E-3</v>
      </c>
      <c r="E92" s="23">
        <v>1.3289036544850499E-2</v>
      </c>
      <c r="F92" s="24">
        <v>24</v>
      </c>
      <c r="G92" s="24">
        <v>355</v>
      </c>
      <c r="H92" s="24">
        <v>69</v>
      </c>
      <c r="I92" s="24">
        <v>2</v>
      </c>
      <c r="J92" s="24">
        <v>450</v>
      </c>
      <c r="K92" s="27">
        <v>5.3333333333333337E-2</v>
      </c>
      <c r="L92" s="27">
        <v>0.78888888888888886</v>
      </c>
      <c r="M92" s="27">
        <v>0.15333333333333332</v>
      </c>
      <c r="N92" s="27">
        <v>4.4444444444444444E-3</v>
      </c>
      <c r="O92" s="25">
        <v>69.353333333333339</v>
      </c>
    </row>
    <row r="93" spans="1:15" x14ac:dyDescent="0.25">
      <c r="A93" s="23">
        <v>0.82561307901907355</v>
      </c>
      <c r="B93" s="23">
        <v>3.2697547683923703E-2</v>
      </c>
      <c r="C93" s="23">
        <v>0.13623978201634879</v>
      </c>
      <c r="D93" s="23">
        <v>0</v>
      </c>
      <c r="E93" s="23">
        <v>0</v>
      </c>
      <c r="F93" s="24">
        <v>47</v>
      </c>
      <c r="G93" s="24">
        <v>305</v>
      </c>
      <c r="H93" s="24">
        <v>95</v>
      </c>
      <c r="I93" s="24">
        <v>3</v>
      </c>
      <c r="J93" s="24">
        <v>450</v>
      </c>
      <c r="K93" s="27">
        <v>0.10444444444444445</v>
      </c>
      <c r="L93" s="27">
        <v>0.67777777777777781</v>
      </c>
      <c r="M93" s="27">
        <v>0.21111111111111111</v>
      </c>
      <c r="N93" s="27">
        <v>6.6666666666666671E-3</v>
      </c>
      <c r="O93" s="25">
        <v>55.453333333333333</v>
      </c>
    </row>
    <row r="94" spans="1:15" x14ac:dyDescent="0.25">
      <c r="A94" s="23">
        <v>0.84931506849315064</v>
      </c>
      <c r="B94" s="23">
        <v>7.8767123287671229E-2</v>
      </c>
      <c r="C94" s="23">
        <v>6.1643835616438353E-2</v>
      </c>
      <c r="D94" s="23">
        <v>6.8493150684931503E-3</v>
      </c>
      <c r="E94" s="23">
        <v>3.4246575342465752E-3</v>
      </c>
      <c r="F94" s="24">
        <v>92</v>
      </c>
      <c r="G94" s="24">
        <v>410</v>
      </c>
      <c r="H94" s="24">
        <v>239</v>
      </c>
      <c r="I94" s="24">
        <v>2</v>
      </c>
      <c r="J94" s="24">
        <v>743</v>
      </c>
      <c r="K94" s="27">
        <v>0.12382234185733512</v>
      </c>
      <c r="L94" s="27">
        <v>0.55181695827725441</v>
      </c>
      <c r="M94" s="27">
        <v>0.32166890982503366</v>
      </c>
      <c r="N94" s="27">
        <v>2.6917900403768506E-3</v>
      </c>
      <c r="O94" s="25">
        <v>40.495289367429343</v>
      </c>
    </row>
    <row r="95" spans="1:15" x14ac:dyDescent="0.25">
      <c r="A95" s="23">
        <v>0.7696245733788396</v>
      </c>
      <c r="B95" s="23">
        <v>0.15187713310580206</v>
      </c>
      <c r="C95" s="23">
        <v>5.6313993174061432E-2</v>
      </c>
      <c r="D95" s="23">
        <v>1.7064846416382253E-3</v>
      </c>
      <c r="E95" s="23">
        <v>1.7064846416382253E-3</v>
      </c>
      <c r="F95" s="24">
        <v>169</v>
      </c>
      <c r="G95" s="24">
        <v>307</v>
      </c>
      <c r="H95" s="24">
        <v>265</v>
      </c>
      <c r="I95" s="24">
        <v>3</v>
      </c>
      <c r="J95" s="24">
        <v>744</v>
      </c>
      <c r="K95" s="27">
        <v>0.22715053763440859</v>
      </c>
      <c r="L95" s="27">
        <v>0.41263440860215056</v>
      </c>
      <c r="M95" s="27">
        <v>0.35618279569892475</v>
      </c>
      <c r="N95" s="27">
        <v>4.0322580645161289E-3</v>
      </c>
      <c r="O95" s="25">
        <v>24.587365591397848</v>
      </c>
    </row>
    <row r="96" spans="1:15" x14ac:dyDescent="0.25">
      <c r="A96" s="23">
        <v>0.1226158038147139</v>
      </c>
      <c r="B96" s="23">
        <v>0.16621253405994552</v>
      </c>
      <c r="C96" s="23">
        <v>0.69482288828337879</v>
      </c>
      <c r="D96" s="23">
        <v>1.0899182561307902E-2</v>
      </c>
      <c r="E96" s="23">
        <v>0</v>
      </c>
      <c r="F96" s="24">
        <v>395</v>
      </c>
      <c r="G96" s="24">
        <v>14</v>
      </c>
      <c r="H96" s="24">
        <v>31</v>
      </c>
      <c r="I96" s="24">
        <v>10</v>
      </c>
      <c r="J96" s="24">
        <v>450</v>
      </c>
      <c r="K96" s="27">
        <v>0.87777777777777777</v>
      </c>
      <c r="L96" s="27">
        <v>3.111111111111111E-2</v>
      </c>
      <c r="M96" s="27">
        <v>6.8888888888888888E-2</v>
      </c>
      <c r="N96" s="27">
        <v>2.2222222222222223E-2</v>
      </c>
      <c r="O96" s="25">
        <v>62.111111111111114</v>
      </c>
    </row>
    <row r="97" spans="1:15" x14ac:dyDescent="0.25">
      <c r="A97" s="23">
        <v>0.22538293216630198</v>
      </c>
      <c r="B97" s="23">
        <v>0.32166301969365424</v>
      </c>
      <c r="C97" s="23">
        <v>0.42231947483588622</v>
      </c>
      <c r="D97" s="23">
        <v>1.9693654266958426E-2</v>
      </c>
      <c r="E97" s="23">
        <v>4.3763676148796497E-3</v>
      </c>
      <c r="F97" s="24">
        <v>424</v>
      </c>
      <c r="G97" s="24">
        <v>56</v>
      </c>
      <c r="H97" s="24">
        <v>42</v>
      </c>
      <c r="I97" s="24">
        <v>31</v>
      </c>
      <c r="J97" s="24">
        <v>553</v>
      </c>
      <c r="K97" s="27">
        <v>0.76672694394213381</v>
      </c>
      <c r="L97" s="27">
        <v>0.10126582278481013</v>
      </c>
      <c r="M97" s="27">
        <v>7.5949367088607597E-2</v>
      </c>
      <c r="N97" s="27">
        <v>5.6057866184448461E-2</v>
      </c>
      <c r="O97" s="25">
        <v>46.634719710669074</v>
      </c>
    </row>
    <row r="98" spans="1:15" x14ac:dyDescent="0.25">
      <c r="A98" s="23">
        <v>0.22717149220489977</v>
      </c>
      <c r="B98" s="23">
        <v>0.38975501113585748</v>
      </c>
      <c r="C98" s="23">
        <v>0.37416481069042318</v>
      </c>
      <c r="D98" s="23">
        <v>6.6815144766146995E-3</v>
      </c>
      <c r="E98" s="23">
        <v>2.2271714922048997E-3</v>
      </c>
      <c r="F98" s="24">
        <v>461</v>
      </c>
      <c r="G98" s="24">
        <v>42</v>
      </c>
      <c r="H98" s="24">
        <v>36</v>
      </c>
      <c r="I98" s="24">
        <v>14</v>
      </c>
      <c r="J98" s="24">
        <v>553</v>
      </c>
      <c r="K98" s="27">
        <v>0.83363471971066905</v>
      </c>
      <c r="L98" s="27">
        <v>7.5949367088607597E-2</v>
      </c>
      <c r="M98" s="27">
        <v>6.50994575045208E-2</v>
      </c>
      <c r="N98" s="27">
        <v>2.5316455696202531E-2</v>
      </c>
      <c r="O98" s="25">
        <v>31.78119349005425</v>
      </c>
    </row>
    <row r="99" spans="1:15" x14ac:dyDescent="0.25">
      <c r="A99" s="23">
        <v>0.21987315010570824</v>
      </c>
      <c r="B99" s="23">
        <v>0.49682875264270615</v>
      </c>
      <c r="C99" s="23">
        <v>0.27695560253699791</v>
      </c>
      <c r="D99" s="23">
        <v>4.2283298097251587E-3</v>
      </c>
      <c r="E99" s="23">
        <v>2.1141649048625794E-3</v>
      </c>
      <c r="F99" s="24">
        <v>481</v>
      </c>
      <c r="G99" s="24">
        <v>30</v>
      </c>
      <c r="H99" s="24">
        <v>44</v>
      </c>
      <c r="I99" s="24">
        <v>0</v>
      </c>
      <c r="J99" s="24">
        <v>555</v>
      </c>
      <c r="K99" s="27">
        <v>0.8666666666666667</v>
      </c>
      <c r="L99" s="27">
        <v>5.4054054054054057E-2</v>
      </c>
      <c r="M99" s="27">
        <v>7.9279279279279274E-2</v>
      </c>
      <c r="N99" s="27">
        <v>0</v>
      </c>
      <c r="O99" s="25">
        <v>22.272072072072071</v>
      </c>
    </row>
    <row r="100" spans="1:15" x14ac:dyDescent="0.25">
      <c r="A100" s="23">
        <v>0.57232704402515722</v>
      </c>
      <c r="B100" s="23">
        <v>0.20125786163522014</v>
      </c>
      <c r="C100" s="23">
        <v>0.16037735849056603</v>
      </c>
      <c r="D100" s="23">
        <v>3.1446540880503145E-2</v>
      </c>
      <c r="E100" s="23">
        <v>9.433962264150943E-3</v>
      </c>
      <c r="F100" s="24">
        <v>211</v>
      </c>
      <c r="G100" s="24">
        <v>128</v>
      </c>
      <c r="H100" s="24">
        <v>104</v>
      </c>
      <c r="I100" s="24">
        <v>7</v>
      </c>
      <c r="J100" s="24">
        <v>450</v>
      </c>
      <c r="K100" s="27">
        <v>0.46888888888888891</v>
      </c>
      <c r="L100" s="27">
        <v>0.28444444444444444</v>
      </c>
      <c r="M100" s="27">
        <v>0.2311111111111111</v>
      </c>
      <c r="N100" s="27">
        <v>1.5555555555555555E-2</v>
      </c>
      <c r="O100" s="25">
        <v>61.515555555555558</v>
      </c>
    </row>
    <row r="101" spans="1:15" x14ac:dyDescent="0.25">
      <c r="A101" s="23">
        <v>0.53846153846153844</v>
      </c>
      <c r="B101" s="23">
        <v>0.3156498673740053</v>
      </c>
      <c r="C101" s="23">
        <v>0.1273209549071618</v>
      </c>
      <c r="D101" s="23">
        <v>1.0610079575596816E-2</v>
      </c>
      <c r="E101" s="23">
        <v>2.6525198938992041E-3</v>
      </c>
      <c r="F101" s="24">
        <v>351</v>
      </c>
      <c r="G101" s="24">
        <v>180</v>
      </c>
      <c r="H101" s="24">
        <v>136</v>
      </c>
      <c r="I101" s="24">
        <v>15</v>
      </c>
      <c r="J101" s="24">
        <v>682</v>
      </c>
      <c r="K101" s="27">
        <v>0.51466275659824046</v>
      </c>
      <c r="L101" s="27">
        <v>0.26392961876832843</v>
      </c>
      <c r="M101" s="27">
        <v>0.19941348973607037</v>
      </c>
      <c r="N101" s="27">
        <v>2.1994134897360705E-2</v>
      </c>
      <c r="O101" s="25">
        <v>50.112903225806448</v>
      </c>
    </row>
    <row r="102" spans="1:15" x14ac:dyDescent="0.25">
      <c r="A102" s="23">
        <v>0.51711711711711716</v>
      </c>
      <c r="B102" s="23">
        <v>0.36756756756756759</v>
      </c>
      <c r="C102" s="23">
        <v>9.3693693693693694E-2</v>
      </c>
      <c r="D102" s="23">
        <v>1.9819819819819819E-2</v>
      </c>
      <c r="E102" s="23">
        <v>1.8018018018018018E-3</v>
      </c>
      <c r="F102" s="24">
        <v>351</v>
      </c>
      <c r="G102" s="24">
        <v>184</v>
      </c>
      <c r="H102" s="24">
        <v>139</v>
      </c>
      <c r="I102" s="24">
        <v>8</v>
      </c>
      <c r="J102" s="24">
        <v>682</v>
      </c>
      <c r="K102" s="27">
        <v>0.51466275659824046</v>
      </c>
      <c r="L102" s="27">
        <v>0.26979472140762462</v>
      </c>
      <c r="M102" s="27">
        <v>0.20381231671554254</v>
      </c>
      <c r="N102" s="27">
        <v>1.1730205278592375E-2</v>
      </c>
      <c r="O102" s="25">
        <v>39.995601173020525</v>
      </c>
    </row>
    <row r="103" spans="1:15" x14ac:dyDescent="0.25">
      <c r="A103" s="23">
        <v>0.53921568627450978</v>
      </c>
      <c r="B103" s="23">
        <v>0.34509803921568627</v>
      </c>
      <c r="C103" s="23">
        <v>9.6078431372549025E-2</v>
      </c>
      <c r="D103" s="23">
        <v>9.8039215686274508E-3</v>
      </c>
      <c r="E103" s="23">
        <v>5.8823529411764705E-3</v>
      </c>
      <c r="F103" s="24">
        <v>378</v>
      </c>
      <c r="G103" s="24">
        <v>182</v>
      </c>
      <c r="H103" s="24">
        <v>116</v>
      </c>
      <c r="I103" s="24">
        <v>6</v>
      </c>
      <c r="J103" s="24">
        <v>682</v>
      </c>
      <c r="K103" s="27">
        <v>0.55425219941348969</v>
      </c>
      <c r="L103" s="27">
        <v>0.26686217008797652</v>
      </c>
      <c r="M103" s="27">
        <v>0.17008797653958943</v>
      </c>
      <c r="N103" s="27">
        <v>8.7976539589442824E-3</v>
      </c>
      <c r="O103" s="25">
        <v>31.227272727272727</v>
      </c>
    </row>
    <row r="104" spans="1:15" x14ac:dyDescent="0.25">
      <c r="A104" s="23">
        <v>0.56809338521400776</v>
      </c>
      <c r="B104" s="23">
        <v>0.33073929961089493</v>
      </c>
      <c r="C104" s="23">
        <v>7.9766536964980539E-2</v>
      </c>
      <c r="D104" s="23">
        <v>1.7509727626459144E-2</v>
      </c>
      <c r="E104" s="23">
        <v>1.9455252918287938E-3</v>
      </c>
      <c r="F104" s="24">
        <v>407</v>
      </c>
      <c r="G104" s="24">
        <v>166</v>
      </c>
      <c r="H104" s="24">
        <v>107</v>
      </c>
      <c r="I104" s="24">
        <v>2</v>
      </c>
      <c r="J104" s="24">
        <v>682</v>
      </c>
      <c r="K104" s="27">
        <v>0.59677419354838712</v>
      </c>
      <c r="L104" s="27">
        <v>0.24340175953079179</v>
      </c>
      <c r="M104" s="27">
        <v>0.15689149560117302</v>
      </c>
      <c r="N104" s="27">
        <v>2.9325513196480938E-3</v>
      </c>
      <c r="O104" s="25">
        <v>26.067448680351905</v>
      </c>
    </row>
    <row r="105" spans="1:15" x14ac:dyDescent="0.25">
      <c r="A105" s="23">
        <v>0.53805309734513274</v>
      </c>
      <c r="B105" s="23">
        <v>0.36460176991150445</v>
      </c>
      <c r="C105" s="23">
        <v>7.9646017699115043E-2</v>
      </c>
      <c r="D105" s="23">
        <v>8.8495575221238937E-3</v>
      </c>
      <c r="E105" s="23">
        <v>7.0796460176991149E-3</v>
      </c>
      <c r="F105" s="24">
        <v>430</v>
      </c>
      <c r="G105" s="24">
        <v>162</v>
      </c>
      <c r="H105" s="24">
        <v>90</v>
      </c>
      <c r="I105" s="24">
        <v>0</v>
      </c>
      <c r="J105" s="24">
        <v>682</v>
      </c>
      <c r="K105" s="27">
        <v>0.63049853372434017</v>
      </c>
      <c r="L105" s="27">
        <v>0.23753665689149561</v>
      </c>
      <c r="M105" s="27">
        <v>0.13196480938416422</v>
      </c>
      <c r="N105" s="27">
        <v>0</v>
      </c>
      <c r="O105" s="25">
        <v>22.439882697947215</v>
      </c>
    </row>
    <row r="106" spans="1:15" x14ac:dyDescent="0.25">
      <c r="A106" s="23">
        <v>0.38938053097345132</v>
      </c>
      <c r="B106" s="23">
        <v>0.49734513274336284</v>
      </c>
      <c r="C106" s="23">
        <v>9.7345132743362831E-2</v>
      </c>
      <c r="D106" s="23">
        <v>1.415929203539823E-2</v>
      </c>
      <c r="E106" s="23">
        <v>1.7699115044247787E-3</v>
      </c>
      <c r="F106" s="24">
        <v>457</v>
      </c>
      <c r="G106" s="24">
        <v>138</v>
      </c>
      <c r="H106" s="24">
        <v>86</v>
      </c>
      <c r="I106" s="24">
        <v>3</v>
      </c>
      <c r="J106" s="24">
        <v>684</v>
      </c>
      <c r="K106" s="27">
        <v>0.66812865497076024</v>
      </c>
      <c r="L106" s="27">
        <v>0.20175438596491227</v>
      </c>
      <c r="M106" s="27">
        <v>0.12573099415204678</v>
      </c>
      <c r="N106" s="27">
        <v>4.3859649122807015E-3</v>
      </c>
      <c r="O106" s="25">
        <v>19.345029239766081</v>
      </c>
    </row>
    <row r="107" spans="1:15" x14ac:dyDescent="0.25">
      <c r="A107" s="23">
        <v>0.4985754985754986</v>
      </c>
      <c r="B107" s="23">
        <v>0.27635327635327633</v>
      </c>
      <c r="C107" s="23">
        <v>0.17663817663817663</v>
      </c>
      <c r="D107" s="23">
        <v>3.7037037037037035E-2</v>
      </c>
      <c r="E107" s="23">
        <v>0</v>
      </c>
      <c r="F107" s="24">
        <v>225</v>
      </c>
      <c r="G107" s="24">
        <v>82</v>
      </c>
      <c r="H107" s="24">
        <v>134</v>
      </c>
      <c r="I107" s="24">
        <v>9</v>
      </c>
      <c r="J107" s="24">
        <v>450</v>
      </c>
      <c r="K107" s="27">
        <v>0.5</v>
      </c>
      <c r="L107" s="27">
        <v>0.18222222222222223</v>
      </c>
      <c r="M107" s="27">
        <v>0.29777777777777775</v>
      </c>
      <c r="N107" s="27">
        <v>0.02</v>
      </c>
      <c r="O107" s="25">
        <v>62.673333333333332</v>
      </c>
    </row>
    <row r="108" spans="1:15" x14ac:dyDescent="0.25">
      <c r="A108" s="23">
        <v>0.48533333333333334</v>
      </c>
      <c r="B108" s="23">
        <v>0.28799999999999998</v>
      </c>
      <c r="C108" s="23">
        <v>0.19466666666666665</v>
      </c>
      <c r="D108" s="23">
        <v>1.6E-2</v>
      </c>
      <c r="E108" s="23">
        <v>0</v>
      </c>
      <c r="F108" s="24">
        <v>238</v>
      </c>
      <c r="G108" s="24">
        <v>89</v>
      </c>
      <c r="H108" s="24">
        <v>117</v>
      </c>
      <c r="I108" s="24">
        <v>6</v>
      </c>
      <c r="J108" s="24">
        <v>450</v>
      </c>
      <c r="K108" s="27">
        <v>0.52888888888888885</v>
      </c>
      <c r="L108" s="27">
        <v>0.19777777777777777</v>
      </c>
      <c r="M108" s="27">
        <v>0.26</v>
      </c>
      <c r="N108" s="27">
        <v>1.3333333333333334E-2</v>
      </c>
      <c r="O108" s="25">
        <v>56.404444444444444</v>
      </c>
    </row>
    <row r="109" spans="1:15" x14ac:dyDescent="0.25">
      <c r="A109" s="23">
        <v>0.54039497307001794</v>
      </c>
      <c r="B109" s="23">
        <v>0.31418312387791741</v>
      </c>
      <c r="C109" s="23">
        <v>0.12567324955116696</v>
      </c>
      <c r="D109" s="23">
        <v>8.9766606822262122E-3</v>
      </c>
      <c r="E109" s="23">
        <v>5.3859964093357273E-3</v>
      </c>
      <c r="F109" s="24">
        <v>364</v>
      </c>
      <c r="G109" s="24">
        <v>138</v>
      </c>
      <c r="H109" s="24">
        <v>201</v>
      </c>
      <c r="I109" s="24">
        <v>12</v>
      </c>
      <c r="J109" s="24">
        <v>715</v>
      </c>
      <c r="K109" s="27">
        <v>0.50909090909090904</v>
      </c>
      <c r="L109" s="27">
        <v>0.19300699300699301</v>
      </c>
      <c r="M109" s="27">
        <v>0.28111888111888111</v>
      </c>
      <c r="N109" s="27">
        <v>1.6783216783216783E-2</v>
      </c>
      <c r="O109" s="25">
        <v>48.485314685314684</v>
      </c>
    </row>
    <row r="110" spans="1:15" x14ac:dyDescent="0.25">
      <c r="A110" s="23">
        <v>0.53321364452423703</v>
      </c>
      <c r="B110" s="23">
        <v>0.33931777378815081</v>
      </c>
      <c r="C110" s="23">
        <v>9.8743267504488336E-2</v>
      </c>
      <c r="D110" s="23">
        <v>2.5134649910233394E-2</v>
      </c>
      <c r="E110" s="23">
        <v>1.7953321364452424E-3</v>
      </c>
      <c r="F110" s="24">
        <v>389</v>
      </c>
      <c r="G110" s="24">
        <v>85</v>
      </c>
      <c r="H110" s="24">
        <v>228</v>
      </c>
      <c r="I110" s="24">
        <v>13</v>
      </c>
      <c r="J110" s="24">
        <v>715</v>
      </c>
      <c r="K110" s="27">
        <v>0.54405594405594404</v>
      </c>
      <c r="L110" s="27">
        <v>0.11888111888111888</v>
      </c>
      <c r="M110" s="27">
        <v>0.31888111888111886</v>
      </c>
      <c r="N110" s="27">
        <v>1.8181818181818181E-2</v>
      </c>
      <c r="O110" s="25">
        <v>40.158041958041956</v>
      </c>
    </row>
    <row r="111" spans="1:15" x14ac:dyDescent="0.25">
      <c r="A111" s="23">
        <v>0.52115384615384619</v>
      </c>
      <c r="B111" s="23">
        <v>0.37307692307692308</v>
      </c>
      <c r="C111" s="23">
        <v>7.8846153846153844E-2</v>
      </c>
      <c r="D111" s="23">
        <v>1.7307692307692309E-2</v>
      </c>
      <c r="E111" s="23">
        <v>1.9230769230769232E-3</v>
      </c>
      <c r="F111" s="24">
        <v>450</v>
      </c>
      <c r="G111" s="24">
        <v>75</v>
      </c>
      <c r="H111" s="24">
        <v>180</v>
      </c>
      <c r="I111" s="24">
        <v>10</v>
      </c>
      <c r="J111" s="24">
        <v>715</v>
      </c>
      <c r="K111" s="27">
        <v>0.62937062937062938</v>
      </c>
      <c r="L111" s="27">
        <v>0.1048951048951049</v>
      </c>
      <c r="M111" s="27">
        <v>0.25174825174825177</v>
      </c>
      <c r="N111" s="27">
        <v>1.3986013986013986E-2</v>
      </c>
      <c r="O111" s="25">
        <v>33.229370629370628</v>
      </c>
    </row>
    <row r="112" spans="1:15" x14ac:dyDescent="0.25">
      <c r="A112" s="23">
        <v>0.51537070524412298</v>
      </c>
      <c r="B112" s="23">
        <v>0.36708860759493672</v>
      </c>
      <c r="C112" s="23">
        <v>0.10307414104882459</v>
      </c>
      <c r="D112" s="23">
        <v>9.0415913200723331E-3</v>
      </c>
      <c r="E112" s="23">
        <v>1.8083182640144665E-3</v>
      </c>
      <c r="F112" s="24">
        <v>478</v>
      </c>
      <c r="G112" s="24">
        <v>68</v>
      </c>
      <c r="H112" s="24">
        <v>168</v>
      </c>
      <c r="I112" s="24">
        <v>1</v>
      </c>
      <c r="J112" s="24">
        <v>715</v>
      </c>
      <c r="K112" s="27">
        <v>0.6685314685314685</v>
      </c>
      <c r="L112" s="27">
        <v>9.5104895104895101E-2</v>
      </c>
      <c r="M112" s="27">
        <v>0.23496503496503496</v>
      </c>
      <c r="N112" s="27">
        <v>1.3986013986013986E-3</v>
      </c>
      <c r="O112" s="25">
        <v>27.935664335664335</v>
      </c>
    </row>
    <row r="113" spans="1:15" x14ac:dyDescent="0.25">
      <c r="A113" s="23">
        <v>0.49828178694158076</v>
      </c>
      <c r="B113" s="23">
        <v>0.36597938144329895</v>
      </c>
      <c r="C113" s="23">
        <v>0.12371134020618557</v>
      </c>
      <c r="D113" s="23">
        <v>8.5910652920962206E-3</v>
      </c>
      <c r="E113" s="23">
        <v>1.718213058419244E-3</v>
      </c>
      <c r="F113" s="24">
        <v>526</v>
      </c>
      <c r="G113" s="24">
        <v>46</v>
      </c>
      <c r="H113" s="24">
        <v>144</v>
      </c>
      <c r="I113" s="24">
        <v>0</v>
      </c>
      <c r="J113" s="24">
        <v>716</v>
      </c>
      <c r="K113" s="27">
        <v>0.73463687150837986</v>
      </c>
      <c r="L113" s="27">
        <v>6.4245810055865923E-2</v>
      </c>
      <c r="M113" s="27">
        <v>0.2011173184357542</v>
      </c>
      <c r="N113" s="27">
        <v>0</v>
      </c>
      <c r="O113" s="25">
        <v>23.673184357541899</v>
      </c>
    </row>
    <row r="114" spans="1:15" x14ac:dyDescent="0.25">
      <c r="A114" s="23">
        <v>0.43771043771043772</v>
      </c>
      <c r="B114" s="23">
        <v>0.43434343434343436</v>
      </c>
      <c r="C114" s="23">
        <v>0.1026936026936027</v>
      </c>
      <c r="D114" s="23">
        <v>1.1784511784511785E-2</v>
      </c>
      <c r="E114" s="23">
        <v>6.7340067340067337E-3</v>
      </c>
      <c r="F114" s="24">
        <v>545</v>
      </c>
      <c r="G114" s="24">
        <v>39</v>
      </c>
      <c r="H114" s="24">
        <v>132</v>
      </c>
      <c r="I114" s="24">
        <v>0</v>
      </c>
      <c r="J114" s="24">
        <v>716</v>
      </c>
      <c r="K114" s="27">
        <v>0.76117318435754189</v>
      </c>
      <c r="L114" s="27">
        <v>5.4469273743016758E-2</v>
      </c>
      <c r="M114" s="27">
        <v>0.18435754189944134</v>
      </c>
      <c r="N114" s="27">
        <v>0</v>
      </c>
      <c r="O114" s="25">
        <v>19.773743016759777</v>
      </c>
    </row>
    <row r="115" spans="1:15" x14ac:dyDescent="0.25">
      <c r="A115" s="23">
        <v>0.58677685950413228</v>
      </c>
      <c r="B115" s="23">
        <v>0.2231404958677686</v>
      </c>
      <c r="C115" s="23">
        <v>0.17079889807162535</v>
      </c>
      <c r="D115" s="23">
        <v>1.6528925619834711E-2</v>
      </c>
      <c r="E115" s="23">
        <v>0</v>
      </c>
      <c r="F115" s="24">
        <v>164</v>
      </c>
      <c r="G115" s="24">
        <v>85</v>
      </c>
      <c r="H115" s="24">
        <v>196</v>
      </c>
      <c r="I115" s="24">
        <v>5</v>
      </c>
      <c r="J115" s="24">
        <v>450</v>
      </c>
      <c r="K115" s="27">
        <v>0.36444444444444446</v>
      </c>
      <c r="L115" s="27">
        <v>0.18888888888888888</v>
      </c>
      <c r="M115" s="27">
        <v>0.43555555555555553</v>
      </c>
      <c r="N115" s="27">
        <v>1.1111111111111112E-2</v>
      </c>
      <c r="O115" s="25">
        <v>65.448888888888888</v>
      </c>
    </row>
    <row r="116" spans="1:15" x14ac:dyDescent="0.25">
      <c r="A116" s="23">
        <v>0.53262786596119926</v>
      </c>
      <c r="B116" s="23">
        <v>0.35449735449735448</v>
      </c>
      <c r="C116" s="23">
        <v>8.8183421516754845E-2</v>
      </c>
      <c r="D116" s="23">
        <v>2.1164021164021163E-2</v>
      </c>
      <c r="E116" s="23">
        <v>1.7636684303350969E-3</v>
      </c>
      <c r="F116" s="24">
        <v>213</v>
      </c>
      <c r="G116" s="24">
        <v>81</v>
      </c>
      <c r="H116" s="24">
        <v>149</v>
      </c>
      <c r="I116" s="24">
        <v>7</v>
      </c>
      <c r="J116" s="24">
        <v>450</v>
      </c>
      <c r="K116" s="27">
        <v>0.47333333333333333</v>
      </c>
      <c r="L116" s="27">
        <v>0.18</v>
      </c>
      <c r="M116" s="27">
        <v>0.33111111111111113</v>
      </c>
      <c r="N116" s="27">
        <v>1.5555555555555555E-2</v>
      </c>
      <c r="O116" s="25">
        <v>54.37777777777778</v>
      </c>
    </row>
    <row r="117" spans="1:15" x14ac:dyDescent="0.25">
      <c r="A117" s="23">
        <v>0.57760314341846763</v>
      </c>
      <c r="B117" s="23">
        <v>0.32416502946954812</v>
      </c>
      <c r="C117" s="23">
        <v>8.0550098231827114E-2</v>
      </c>
      <c r="D117" s="23">
        <v>5.893909626719057E-3</v>
      </c>
      <c r="E117" s="23">
        <v>9.823182711198428E-3</v>
      </c>
      <c r="F117" s="24">
        <v>369</v>
      </c>
      <c r="G117" s="24">
        <v>86</v>
      </c>
      <c r="H117" s="24">
        <v>216</v>
      </c>
      <c r="I117" s="24">
        <v>14</v>
      </c>
      <c r="J117" s="24">
        <v>685</v>
      </c>
      <c r="K117" s="27">
        <v>0.53868613138686128</v>
      </c>
      <c r="L117" s="27">
        <v>0.12554744525547445</v>
      </c>
      <c r="M117" s="27">
        <v>0.31532846715328466</v>
      </c>
      <c r="N117" s="27">
        <v>2.0437956204379562E-2</v>
      </c>
      <c r="O117" s="25">
        <v>45.268613138686135</v>
      </c>
    </row>
    <row r="118" spans="1:15" x14ac:dyDescent="0.25">
      <c r="A118" s="23">
        <v>0.5757575757575758</v>
      </c>
      <c r="B118" s="23">
        <v>0.32727272727272727</v>
      </c>
      <c r="C118" s="23">
        <v>7.8787878787878782E-2</v>
      </c>
      <c r="D118" s="23">
        <v>1.6161616161616162E-2</v>
      </c>
      <c r="E118" s="23">
        <v>2.0202020202020202E-3</v>
      </c>
      <c r="F118" s="24">
        <v>374</v>
      </c>
      <c r="G118" s="24">
        <v>106</v>
      </c>
      <c r="H118" s="24">
        <v>195</v>
      </c>
      <c r="I118" s="24">
        <v>10</v>
      </c>
      <c r="J118" s="24">
        <v>685</v>
      </c>
      <c r="K118" s="27">
        <v>0.54598540145985397</v>
      </c>
      <c r="L118" s="27">
        <v>0.15474452554744525</v>
      </c>
      <c r="M118" s="27">
        <v>0.28467153284671531</v>
      </c>
      <c r="N118" s="27">
        <v>1.4598540145985401E-2</v>
      </c>
      <c r="O118" s="25">
        <v>36.801459854014595</v>
      </c>
    </row>
    <row r="119" spans="1:15" x14ac:dyDescent="0.25">
      <c r="A119" s="23">
        <v>0.63229571984435795</v>
      </c>
      <c r="B119" s="23">
        <v>0.27042801556420232</v>
      </c>
      <c r="C119" s="23">
        <v>8.171206225680934E-2</v>
      </c>
      <c r="D119" s="23">
        <v>1.1673151750972763E-2</v>
      </c>
      <c r="E119" s="23">
        <v>1.9455252918287938E-3</v>
      </c>
      <c r="F119" s="24">
        <v>432</v>
      </c>
      <c r="G119" s="24">
        <v>75</v>
      </c>
      <c r="H119" s="24">
        <v>173</v>
      </c>
      <c r="I119" s="24">
        <v>5</v>
      </c>
      <c r="J119" s="24">
        <v>685</v>
      </c>
      <c r="K119" s="27">
        <v>0.63065693430656933</v>
      </c>
      <c r="L119" s="27">
        <v>0.10948905109489052</v>
      </c>
      <c r="M119" s="27">
        <v>0.25255474452554744</v>
      </c>
      <c r="N119" s="27">
        <v>7.2992700729927005E-3</v>
      </c>
      <c r="O119" s="25">
        <v>28.446715328467153</v>
      </c>
    </row>
    <row r="120" spans="1:15" x14ac:dyDescent="0.25">
      <c r="A120" s="23">
        <v>0.59001782531194291</v>
      </c>
      <c r="B120" s="23">
        <v>0.32976827094474154</v>
      </c>
      <c r="C120" s="23">
        <v>6.5953654188948302E-2</v>
      </c>
      <c r="D120" s="23">
        <v>7.1301247771836003E-3</v>
      </c>
      <c r="E120" s="23">
        <v>7.1301247771836003E-3</v>
      </c>
      <c r="F120" s="24">
        <v>454</v>
      </c>
      <c r="G120" s="24">
        <v>67</v>
      </c>
      <c r="H120" s="24">
        <v>164</v>
      </c>
      <c r="I120" s="24">
        <v>0</v>
      </c>
      <c r="J120" s="24">
        <v>685</v>
      </c>
      <c r="K120" s="27">
        <v>0.66277372262773726</v>
      </c>
      <c r="L120" s="27">
        <v>9.7810218978102187E-2</v>
      </c>
      <c r="M120" s="27">
        <v>0.23941605839416058</v>
      </c>
      <c r="N120" s="27">
        <v>0</v>
      </c>
      <c r="O120" s="25">
        <v>23.15182481751825</v>
      </c>
    </row>
    <row r="121" spans="1:15" x14ac:dyDescent="0.25">
      <c r="A121" s="23">
        <v>0.52982456140350875</v>
      </c>
      <c r="B121" s="23">
        <v>0.4</v>
      </c>
      <c r="C121" s="23">
        <v>5.9649122807017542E-2</v>
      </c>
      <c r="D121" s="23">
        <v>5.263157894736842E-3</v>
      </c>
      <c r="E121" s="23">
        <v>3.5087719298245615E-3</v>
      </c>
      <c r="F121" s="24">
        <v>524</v>
      </c>
      <c r="G121" s="24">
        <v>53</v>
      </c>
      <c r="H121" s="24">
        <v>106</v>
      </c>
      <c r="I121" s="24">
        <v>2</v>
      </c>
      <c r="J121" s="24">
        <v>685</v>
      </c>
      <c r="K121" s="27">
        <v>0.76496350364963506</v>
      </c>
      <c r="L121" s="27">
        <v>7.7372262773722625E-2</v>
      </c>
      <c r="M121" s="27">
        <v>0.15474452554744525</v>
      </c>
      <c r="N121" s="27">
        <v>2.9197080291970801E-3</v>
      </c>
      <c r="O121" s="25">
        <v>19.439416058394162</v>
      </c>
    </row>
    <row r="122" spans="1:15" x14ac:dyDescent="0.25">
      <c r="A122" s="23">
        <v>0.75806451612903225</v>
      </c>
      <c r="B122" s="23">
        <v>2.5806451612903226E-2</v>
      </c>
      <c r="C122" s="23">
        <v>0.16451612903225807</v>
      </c>
      <c r="D122" s="23">
        <v>3.2258064516129032E-3</v>
      </c>
      <c r="E122" s="23">
        <v>3.2258064516129032E-3</v>
      </c>
      <c r="F122" s="24">
        <v>47</v>
      </c>
      <c r="G122" s="24">
        <v>222</v>
      </c>
      <c r="H122" s="24">
        <v>166</v>
      </c>
      <c r="I122" s="24">
        <v>15</v>
      </c>
      <c r="J122" s="24">
        <v>450</v>
      </c>
      <c r="K122" s="27">
        <v>0.10444444444444445</v>
      </c>
      <c r="L122" s="27">
        <v>0.49333333333333335</v>
      </c>
      <c r="M122" s="27">
        <v>0.36888888888888888</v>
      </c>
      <c r="N122" s="27">
        <v>3.3333333333333333E-2</v>
      </c>
      <c r="O122" s="25">
        <v>66.900000000000006</v>
      </c>
    </row>
    <row r="123" spans="1:15" x14ac:dyDescent="0.25">
      <c r="A123" s="23">
        <v>0.7438692098092643</v>
      </c>
      <c r="B123" s="23">
        <v>4.632152588555858E-2</v>
      </c>
      <c r="C123" s="23">
        <v>0.18256130790190736</v>
      </c>
      <c r="D123" s="23">
        <v>1.0899182561307902E-2</v>
      </c>
      <c r="E123" s="23">
        <v>0</v>
      </c>
      <c r="F123" s="24">
        <v>63</v>
      </c>
      <c r="G123" s="24">
        <v>171</v>
      </c>
      <c r="H123" s="24">
        <v>194</v>
      </c>
      <c r="I123" s="24">
        <v>22</v>
      </c>
      <c r="J123" s="24">
        <v>450</v>
      </c>
      <c r="K123" s="27">
        <v>0.14000000000000001</v>
      </c>
      <c r="L123" s="27">
        <v>0.38</v>
      </c>
      <c r="M123" s="27">
        <v>0.43111111111111111</v>
      </c>
      <c r="N123" s="27">
        <v>4.8888888888888891E-2</v>
      </c>
      <c r="O123" s="25">
        <v>59.728888888888889</v>
      </c>
    </row>
    <row r="124" spans="1:15" x14ac:dyDescent="0.25">
      <c r="A124" s="23">
        <v>0.88139059304703471</v>
      </c>
      <c r="B124" s="23">
        <v>3.4764826175869123E-2</v>
      </c>
      <c r="C124" s="23">
        <v>7.3619631901840496E-2</v>
      </c>
      <c r="D124" s="23">
        <v>2.0449897750511249E-3</v>
      </c>
      <c r="E124" s="23">
        <v>4.0899795501022499E-3</v>
      </c>
      <c r="F124" s="24">
        <v>48</v>
      </c>
      <c r="G124" s="24">
        <v>311</v>
      </c>
      <c r="H124" s="24">
        <v>238</v>
      </c>
      <c r="I124" s="24">
        <v>28</v>
      </c>
      <c r="J124" s="24">
        <v>625</v>
      </c>
      <c r="K124" s="27">
        <v>7.6799999999999993E-2</v>
      </c>
      <c r="L124" s="27">
        <v>0.49759999999999999</v>
      </c>
      <c r="M124" s="27">
        <v>0.38080000000000003</v>
      </c>
      <c r="N124" s="27">
        <v>4.48E-2</v>
      </c>
      <c r="O124" s="25">
        <v>50.776000000000003</v>
      </c>
    </row>
    <row r="125" spans="1:15" x14ac:dyDescent="0.25">
      <c r="A125" s="23">
        <v>0.87447698744769875</v>
      </c>
      <c r="B125" s="23">
        <v>3.1380753138075312E-2</v>
      </c>
      <c r="C125" s="23">
        <v>9.2050209205020925E-2</v>
      </c>
      <c r="D125" s="23">
        <v>0</v>
      </c>
      <c r="E125" s="23">
        <v>0</v>
      </c>
      <c r="F125" s="24">
        <v>41</v>
      </c>
      <c r="G125" s="24">
        <v>304</v>
      </c>
      <c r="H125" s="24">
        <v>238</v>
      </c>
      <c r="I125" s="24">
        <v>42</v>
      </c>
      <c r="J125" s="24">
        <v>625</v>
      </c>
      <c r="K125" s="27">
        <v>6.5600000000000006E-2</v>
      </c>
      <c r="L125" s="27">
        <v>0.4864</v>
      </c>
      <c r="M125" s="27">
        <v>0.38080000000000003</v>
      </c>
      <c r="N125" s="27">
        <v>6.7199999999999996E-2</v>
      </c>
      <c r="O125" s="25">
        <v>42.887999999999998</v>
      </c>
    </row>
    <row r="126" spans="1:15" x14ac:dyDescent="0.25">
      <c r="A126" s="23">
        <v>0.84861407249466947</v>
      </c>
      <c r="B126" s="23">
        <v>4.6908315565031986E-2</v>
      </c>
      <c r="C126" s="23">
        <v>9.3816631130063971E-2</v>
      </c>
      <c r="D126" s="23">
        <v>4.2643923240938165E-3</v>
      </c>
      <c r="E126" s="23">
        <v>2.1321961620469083E-3</v>
      </c>
      <c r="F126" s="24">
        <v>56</v>
      </c>
      <c r="G126" s="24">
        <v>254</v>
      </c>
      <c r="H126" s="24">
        <v>269</v>
      </c>
      <c r="I126" s="24">
        <v>46</v>
      </c>
      <c r="J126" s="24">
        <v>625</v>
      </c>
      <c r="K126" s="27">
        <v>8.9599999999999999E-2</v>
      </c>
      <c r="L126" s="27">
        <v>0.40639999999999998</v>
      </c>
      <c r="M126" s="27">
        <v>0.4304</v>
      </c>
      <c r="N126" s="27">
        <v>7.3599999999999999E-2</v>
      </c>
      <c r="O126" s="25">
        <v>36.1584</v>
      </c>
    </row>
    <row r="127" spans="1:15" x14ac:dyDescent="0.25">
      <c r="A127" s="23">
        <v>0.8123620309050773</v>
      </c>
      <c r="B127" s="23">
        <v>8.6092715231788075E-2</v>
      </c>
      <c r="C127" s="23">
        <v>0.10154525386313466</v>
      </c>
      <c r="D127" s="23">
        <v>0</v>
      </c>
      <c r="E127" s="23">
        <v>0</v>
      </c>
      <c r="F127" s="24">
        <v>114</v>
      </c>
      <c r="G127" s="24">
        <v>241</v>
      </c>
      <c r="H127" s="24">
        <v>260</v>
      </c>
      <c r="I127" s="24">
        <v>10</v>
      </c>
      <c r="J127" s="24">
        <v>625</v>
      </c>
      <c r="K127" s="27">
        <v>0.18240000000000001</v>
      </c>
      <c r="L127" s="27">
        <v>0.3856</v>
      </c>
      <c r="M127" s="27">
        <v>0.41599999999999998</v>
      </c>
      <c r="N127" s="27">
        <v>1.6E-2</v>
      </c>
      <c r="O127" s="25">
        <v>29.52</v>
      </c>
    </row>
    <row r="128" spans="1:15" x14ac:dyDescent="0.25">
      <c r="A128" s="23">
        <v>0.81366459627329191</v>
      </c>
      <c r="B128" s="23">
        <v>9.5238095238095233E-2</v>
      </c>
      <c r="C128" s="23">
        <v>8.4886128364389232E-2</v>
      </c>
      <c r="D128" s="23">
        <v>0</v>
      </c>
      <c r="E128" s="23">
        <v>0</v>
      </c>
      <c r="F128" s="24">
        <v>131</v>
      </c>
      <c r="G128" s="24">
        <v>227</v>
      </c>
      <c r="H128" s="24">
        <v>262</v>
      </c>
      <c r="I128" s="24">
        <v>5</v>
      </c>
      <c r="J128" s="24">
        <v>625</v>
      </c>
      <c r="K128" s="27">
        <v>0.20960000000000001</v>
      </c>
      <c r="L128" s="27">
        <v>0.36320000000000002</v>
      </c>
      <c r="M128" s="27">
        <v>0.41920000000000002</v>
      </c>
      <c r="N128" s="27">
        <v>8.0000000000000002E-3</v>
      </c>
      <c r="O128" s="25">
        <v>21.9968</v>
      </c>
    </row>
    <row r="129" spans="1:15" x14ac:dyDescent="0.25">
      <c r="A129" s="23">
        <v>0.87903225806451613</v>
      </c>
      <c r="B129" s="23">
        <v>2.8225806451612902E-2</v>
      </c>
      <c r="C129" s="23">
        <v>6.4516129032258063E-2</v>
      </c>
      <c r="D129" s="23">
        <v>1.2096774193548387E-2</v>
      </c>
      <c r="E129" s="23">
        <v>0</v>
      </c>
      <c r="F129" s="24">
        <v>4</v>
      </c>
      <c r="G129" s="24">
        <v>347</v>
      </c>
      <c r="H129" s="24">
        <v>98</v>
      </c>
      <c r="I129" s="24">
        <v>1</v>
      </c>
      <c r="J129" s="24">
        <v>450</v>
      </c>
      <c r="K129" s="27">
        <v>8.8888888888888889E-3</v>
      </c>
      <c r="L129" s="27">
        <v>0.77111111111111108</v>
      </c>
      <c r="M129" s="27">
        <v>0.21777777777777776</v>
      </c>
      <c r="N129" s="27">
        <v>2.2222222222222222E-3</v>
      </c>
      <c r="O129" s="25">
        <v>75.691111111111113</v>
      </c>
    </row>
    <row r="130" spans="1:15" x14ac:dyDescent="0.25">
      <c r="A130" s="23">
        <v>0.90462427745664742</v>
      </c>
      <c r="B130" s="23">
        <v>8.670520231213872E-3</v>
      </c>
      <c r="C130" s="23">
        <v>7.2254335260115612E-2</v>
      </c>
      <c r="D130" s="23">
        <v>2.8901734104046241E-3</v>
      </c>
      <c r="E130" s="23">
        <v>0</v>
      </c>
      <c r="F130" s="24">
        <v>2</v>
      </c>
      <c r="G130" s="24">
        <v>337</v>
      </c>
      <c r="H130" s="24">
        <v>110</v>
      </c>
      <c r="I130" s="24">
        <v>1</v>
      </c>
      <c r="J130" s="24">
        <v>450</v>
      </c>
      <c r="K130" s="27">
        <v>4.4444444444444444E-3</v>
      </c>
      <c r="L130" s="27">
        <v>0.74888888888888894</v>
      </c>
      <c r="M130" s="27">
        <v>0.24444444444444444</v>
      </c>
      <c r="N130" s="27">
        <v>2.2222222222222222E-3</v>
      </c>
      <c r="O130" s="25">
        <v>68.968888888888884</v>
      </c>
    </row>
    <row r="131" spans="1:15" x14ac:dyDescent="0.25">
      <c r="A131" s="23">
        <v>0.89344262295081966</v>
      </c>
      <c r="B131" s="23">
        <v>1.092896174863388E-2</v>
      </c>
      <c r="C131" s="23">
        <v>6.5573770491803282E-2</v>
      </c>
      <c r="D131" s="23">
        <v>2.7322404371584699E-3</v>
      </c>
      <c r="E131" s="23">
        <v>0</v>
      </c>
      <c r="F131" s="24">
        <v>7</v>
      </c>
      <c r="G131" s="24">
        <v>350</v>
      </c>
      <c r="H131" s="24">
        <v>92</v>
      </c>
      <c r="I131" s="24">
        <v>1</v>
      </c>
      <c r="J131" s="24">
        <v>450</v>
      </c>
      <c r="K131" s="27">
        <v>1.5555555555555555E-2</v>
      </c>
      <c r="L131" s="27">
        <v>0.77777777777777779</v>
      </c>
      <c r="M131" s="27">
        <v>0.20444444444444446</v>
      </c>
      <c r="N131" s="27">
        <v>2.2222222222222222E-3</v>
      </c>
      <c r="O131" s="25">
        <v>62.184444444444445</v>
      </c>
    </row>
    <row r="132" spans="1:15" x14ac:dyDescent="0.25">
      <c r="A132" s="23">
        <v>0.89211618257261416</v>
      </c>
      <c r="B132" s="23">
        <v>1.6597510373443983E-2</v>
      </c>
      <c r="C132" s="23">
        <v>7.2614107883817433E-2</v>
      </c>
      <c r="D132" s="23">
        <v>2.0746887966804979E-3</v>
      </c>
      <c r="E132" s="23">
        <v>4.1493775933609959E-3</v>
      </c>
      <c r="F132" s="24">
        <v>21</v>
      </c>
      <c r="G132" s="24">
        <v>430</v>
      </c>
      <c r="H132" s="24">
        <v>122</v>
      </c>
      <c r="I132" s="24">
        <v>4</v>
      </c>
      <c r="J132" s="24">
        <v>577</v>
      </c>
      <c r="K132" s="27">
        <v>3.6395147313691506E-2</v>
      </c>
      <c r="L132" s="27">
        <v>0.74523396880415949</v>
      </c>
      <c r="M132" s="27">
        <v>0.21143847487001732</v>
      </c>
      <c r="N132" s="27">
        <v>6.9324090121317154E-3</v>
      </c>
      <c r="O132" s="25">
        <v>55.852686308492203</v>
      </c>
    </row>
    <row r="133" spans="1:15" x14ac:dyDescent="0.25">
      <c r="A133" s="23">
        <v>0.91555555555555557</v>
      </c>
      <c r="B133" s="23">
        <v>1.5555555555555555E-2</v>
      </c>
      <c r="C133" s="23">
        <v>6.222222222222222E-2</v>
      </c>
      <c r="D133" s="23">
        <v>2.2222222222222222E-3</v>
      </c>
      <c r="E133" s="23">
        <v>0</v>
      </c>
      <c r="F133" s="24">
        <v>26</v>
      </c>
      <c r="G133" s="24">
        <v>425</v>
      </c>
      <c r="H133" s="24">
        <v>119</v>
      </c>
      <c r="I133" s="24">
        <v>7</v>
      </c>
      <c r="J133" s="24">
        <v>577</v>
      </c>
      <c r="K133" s="27">
        <v>4.5060658578856154E-2</v>
      </c>
      <c r="L133" s="27">
        <v>0.7365684575389948</v>
      </c>
      <c r="M133" s="27">
        <v>0.20623916811091855</v>
      </c>
      <c r="N133" s="27">
        <v>1.2131715771230503E-2</v>
      </c>
      <c r="O133" s="25">
        <v>48.802426343154245</v>
      </c>
    </row>
    <row r="134" spans="1:15" x14ac:dyDescent="0.25">
      <c r="A134" s="23">
        <v>0.9360730593607306</v>
      </c>
      <c r="B134" s="23">
        <v>1.8264840182648401E-2</v>
      </c>
      <c r="C134" s="23">
        <v>3.6529680365296802E-2</v>
      </c>
      <c r="D134" s="23">
        <v>0</v>
      </c>
      <c r="E134" s="23">
        <v>2.2831050228310501E-3</v>
      </c>
      <c r="F134" s="24">
        <v>14</v>
      </c>
      <c r="G134" s="24">
        <v>434</v>
      </c>
      <c r="H134" s="24">
        <v>126</v>
      </c>
      <c r="I134" s="24">
        <v>3</v>
      </c>
      <c r="J134" s="24">
        <v>577</v>
      </c>
      <c r="K134" s="27">
        <v>2.4263431542461005E-2</v>
      </c>
      <c r="L134" s="27">
        <v>0.75216637781629114</v>
      </c>
      <c r="M134" s="27">
        <v>0.21837088388214904</v>
      </c>
      <c r="N134" s="27">
        <v>5.1993067590987872E-3</v>
      </c>
      <c r="O134" s="25">
        <v>42.133448873483538</v>
      </c>
    </row>
    <row r="135" spans="1:15" x14ac:dyDescent="0.25">
      <c r="A135" s="23">
        <v>0.92749999999999999</v>
      </c>
      <c r="B135" s="23">
        <v>2.2499999999999999E-2</v>
      </c>
      <c r="C135" s="23">
        <v>0.05</v>
      </c>
      <c r="D135" s="23">
        <v>0</v>
      </c>
      <c r="E135" s="23">
        <v>0</v>
      </c>
      <c r="F135" s="24">
        <v>36</v>
      </c>
      <c r="G135" s="24">
        <v>406</v>
      </c>
      <c r="H135" s="24">
        <v>132</v>
      </c>
      <c r="I135" s="24">
        <v>3</v>
      </c>
      <c r="J135" s="24">
        <v>577</v>
      </c>
      <c r="K135" s="27">
        <v>6.2391681109185443E-2</v>
      </c>
      <c r="L135" s="27">
        <v>0.7036395147313691</v>
      </c>
      <c r="M135" s="27">
        <v>0.22876949740034663</v>
      </c>
      <c r="N135" s="27">
        <v>5.1993067590987872E-3</v>
      </c>
      <c r="O135" s="25">
        <v>36.048526863084923</v>
      </c>
    </row>
    <row r="136" spans="1:15" x14ac:dyDescent="0.25">
      <c r="A136" s="23">
        <v>0.90104166666666663</v>
      </c>
      <c r="B136" s="23">
        <v>3.6458333333333336E-2</v>
      </c>
      <c r="C136" s="23">
        <v>4.6875E-2</v>
      </c>
      <c r="D136" s="23">
        <v>0</v>
      </c>
      <c r="E136" s="23">
        <v>0</v>
      </c>
      <c r="F136" s="24">
        <v>40</v>
      </c>
      <c r="G136" s="24">
        <v>410</v>
      </c>
      <c r="H136" s="24">
        <v>125</v>
      </c>
      <c r="I136" s="24">
        <v>2</v>
      </c>
      <c r="J136" s="24">
        <v>577</v>
      </c>
      <c r="K136" s="27">
        <v>6.9324090121317156E-2</v>
      </c>
      <c r="L136" s="27">
        <v>0.71057192374350087</v>
      </c>
      <c r="M136" s="27">
        <v>0.21663778162911612</v>
      </c>
      <c r="N136" s="27">
        <v>3.4662045060658577E-3</v>
      </c>
      <c r="O136" s="25">
        <v>29.535528596187174</v>
      </c>
    </row>
    <row r="137" spans="1:15" x14ac:dyDescent="0.25">
      <c r="A137" s="23">
        <v>0.93058568329718006</v>
      </c>
      <c r="B137" s="23">
        <v>1.5184381778741865E-2</v>
      </c>
      <c r="C137" s="23">
        <v>3.6876355748373099E-2</v>
      </c>
      <c r="D137" s="23">
        <v>0</v>
      </c>
      <c r="E137" s="23">
        <v>2.1691973969631237E-3</v>
      </c>
      <c r="F137" s="24">
        <v>29</v>
      </c>
      <c r="G137" s="24">
        <v>401</v>
      </c>
      <c r="H137" s="24">
        <v>146</v>
      </c>
      <c r="I137" s="24">
        <v>2</v>
      </c>
      <c r="J137" s="24">
        <v>578</v>
      </c>
      <c r="K137" s="27">
        <v>5.0173010380622836E-2</v>
      </c>
      <c r="L137" s="27">
        <v>0.69377162629757783</v>
      </c>
      <c r="M137" s="27">
        <v>0.25259515570934254</v>
      </c>
      <c r="N137" s="27">
        <v>3.4602076124567475E-3</v>
      </c>
      <c r="O137" s="25">
        <v>22.044982698961938</v>
      </c>
    </row>
    <row r="138" spans="1:15" x14ac:dyDescent="0.25">
      <c r="A138" s="23">
        <v>0.86885245901639341</v>
      </c>
      <c r="B138" s="23">
        <v>2.4590163934426229E-2</v>
      </c>
      <c r="C138" s="23">
        <v>9.0163934426229511E-2</v>
      </c>
      <c r="D138" s="23">
        <v>8.1967213114754103E-3</v>
      </c>
      <c r="E138" s="23">
        <v>0</v>
      </c>
      <c r="F138" s="24">
        <v>8</v>
      </c>
      <c r="G138" s="24">
        <v>335</v>
      </c>
      <c r="H138" s="24">
        <v>99</v>
      </c>
      <c r="I138" s="24">
        <v>8</v>
      </c>
      <c r="J138" s="24">
        <v>450</v>
      </c>
      <c r="K138" s="27">
        <v>1.7777777777777778E-2</v>
      </c>
      <c r="L138" s="27">
        <v>0.74444444444444446</v>
      </c>
      <c r="M138" s="27">
        <v>0.22</v>
      </c>
      <c r="N138" s="27">
        <v>1.7777777777777778E-2</v>
      </c>
      <c r="O138" s="25">
        <v>77.58</v>
      </c>
    </row>
    <row r="139" spans="1:15" x14ac:dyDescent="0.25">
      <c r="A139" s="23">
        <v>0.86376811594202896</v>
      </c>
      <c r="B139" s="23">
        <v>1.4492753623188406E-2</v>
      </c>
      <c r="C139" s="23">
        <v>8.1159420289855067E-2</v>
      </c>
      <c r="D139" s="23">
        <v>1.1594202898550725E-2</v>
      </c>
      <c r="E139" s="23">
        <v>8.6956521739130436E-3</v>
      </c>
      <c r="F139" s="24">
        <v>6</v>
      </c>
      <c r="G139" s="24">
        <v>342</v>
      </c>
      <c r="H139" s="24">
        <v>99</v>
      </c>
      <c r="I139" s="24">
        <v>3</v>
      </c>
      <c r="J139" s="24">
        <v>450</v>
      </c>
      <c r="K139" s="27">
        <v>1.3333333333333334E-2</v>
      </c>
      <c r="L139" s="27">
        <v>0.76</v>
      </c>
      <c r="M139" s="27">
        <v>0.22</v>
      </c>
      <c r="N139" s="27">
        <v>6.6666666666666671E-3</v>
      </c>
      <c r="O139" s="25">
        <v>67.186666666666667</v>
      </c>
    </row>
    <row r="140" spans="1:15" x14ac:dyDescent="0.25">
      <c r="A140" s="23">
        <v>0.91761363636363635</v>
      </c>
      <c r="B140" s="23">
        <v>1.7045454545454544E-2</v>
      </c>
      <c r="C140" s="23">
        <v>5.113636363636364E-2</v>
      </c>
      <c r="D140" s="23">
        <v>0</v>
      </c>
      <c r="E140" s="23">
        <v>0</v>
      </c>
      <c r="F140" s="24">
        <v>3</v>
      </c>
      <c r="G140" s="24">
        <v>342</v>
      </c>
      <c r="H140" s="24">
        <v>105</v>
      </c>
      <c r="I140" s="24">
        <v>0</v>
      </c>
      <c r="J140" s="24">
        <v>450</v>
      </c>
      <c r="K140" s="27">
        <v>6.6666666666666671E-3</v>
      </c>
      <c r="L140" s="27">
        <v>0.76</v>
      </c>
      <c r="M140" s="27">
        <v>0.23333333333333334</v>
      </c>
      <c r="N140" s="27">
        <v>0</v>
      </c>
      <c r="O140" s="25">
        <v>58.44</v>
      </c>
    </row>
    <row r="141" spans="1:15" x14ac:dyDescent="0.25">
      <c r="A141" s="23">
        <v>0.93333333333333335</v>
      </c>
      <c r="B141" s="23">
        <v>8.8888888888888889E-3</v>
      </c>
      <c r="C141" s="23">
        <v>5.3333333333333337E-2</v>
      </c>
      <c r="D141" s="23">
        <v>0</v>
      </c>
      <c r="E141" s="23">
        <v>0</v>
      </c>
      <c r="F141" s="24">
        <v>15</v>
      </c>
      <c r="G141" s="24">
        <v>461</v>
      </c>
      <c r="H141" s="24">
        <v>97</v>
      </c>
      <c r="I141" s="24">
        <v>3</v>
      </c>
      <c r="J141" s="24">
        <v>576</v>
      </c>
      <c r="K141" s="27">
        <v>2.6041666666666668E-2</v>
      </c>
      <c r="L141" s="27">
        <v>0.80034722222222221</v>
      </c>
      <c r="M141" s="27">
        <v>0.16840277777777779</v>
      </c>
      <c r="N141" s="27">
        <v>5.208333333333333E-3</v>
      </c>
      <c r="O141" s="25">
        <v>46.246527777777779</v>
      </c>
    </row>
    <row r="142" spans="1:15" x14ac:dyDescent="0.25">
      <c r="A142" s="23">
        <v>0.91552511415525117</v>
      </c>
      <c r="B142" s="23">
        <v>3.4246575342465752E-2</v>
      </c>
      <c r="C142" s="23">
        <v>4.7945205479452052E-2</v>
      </c>
      <c r="D142" s="23">
        <v>0</v>
      </c>
      <c r="E142" s="23">
        <v>0</v>
      </c>
      <c r="F142" s="24">
        <v>33</v>
      </c>
      <c r="G142" s="24">
        <v>407</v>
      </c>
      <c r="H142" s="24">
        <v>134</v>
      </c>
      <c r="I142" s="24">
        <v>3</v>
      </c>
      <c r="J142" s="24">
        <v>577</v>
      </c>
      <c r="K142" s="27">
        <v>5.7192374350086658E-2</v>
      </c>
      <c r="L142" s="27">
        <v>0.70537261698440212</v>
      </c>
      <c r="M142" s="27">
        <v>0.23223570190641249</v>
      </c>
      <c r="N142" s="27">
        <v>5.1993067590987872E-3</v>
      </c>
      <c r="O142" s="25">
        <v>29.759098786828424</v>
      </c>
    </row>
    <row r="143" spans="1:15" x14ac:dyDescent="0.25">
      <c r="A143" s="23">
        <v>0.88518518518518519</v>
      </c>
      <c r="B143" s="23">
        <v>1.1111111111111112E-2</v>
      </c>
      <c r="C143" s="23">
        <v>8.5185185185185183E-2</v>
      </c>
      <c r="D143" s="23">
        <v>3.7037037037037038E-3</v>
      </c>
      <c r="E143" s="23">
        <v>7.4074074074074077E-3</v>
      </c>
      <c r="F143" s="24">
        <v>14</v>
      </c>
      <c r="G143" s="24">
        <v>389</v>
      </c>
      <c r="H143" s="24">
        <v>43</v>
      </c>
      <c r="I143" s="24">
        <v>4</v>
      </c>
      <c r="J143" s="24">
        <v>450</v>
      </c>
      <c r="K143" s="27">
        <v>3.111111111111111E-2</v>
      </c>
      <c r="L143" s="27">
        <v>0.86444444444444446</v>
      </c>
      <c r="M143" s="27">
        <v>9.555555555555556E-2</v>
      </c>
      <c r="N143" s="27">
        <v>8.8888888888888889E-3</v>
      </c>
      <c r="O143" s="25">
        <v>74.63333333333334</v>
      </c>
    </row>
    <row r="144" spans="1:15" x14ac:dyDescent="0.25">
      <c r="A144" s="23">
        <v>0.88953488372093026</v>
      </c>
      <c r="B144" s="23">
        <v>1.4534883720930232E-2</v>
      </c>
      <c r="C144" s="23">
        <v>7.8488372093023256E-2</v>
      </c>
      <c r="D144" s="23">
        <v>0</v>
      </c>
      <c r="E144" s="23">
        <v>5.8139534883720929E-3</v>
      </c>
      <c r="F144" s="24">
        <v>9</v>
      </c>
      <c r="G144" s="24">
        <v>392</v>
      </c>
      <c r="H144" s="24">
        <v>43</v>
      </c>
      <c r="I144" s="24">
        <v>6</v>
      </c>
      <c r="J144" s="24">
        <v>450</v>
      </c>
      <c r="K144" s="27">
        <v>0.02</v>
      </c>
      <c r="L144" s="27">
        <v>0.87111111111111106</v>
      </c>
      <c r="M144" s="27">
        <v>9.555555555555556E-2</v>
      </c>
      <c r="N144" s="27">
        <v>1.3333333333333334E-2</v>
      </c>
      <c r="O144" s="25">
        <v>68.271111111111111</v>
      </c>
    </row>
    <row r="145" spans="1:15" x14ac:dyDescent="0.25">
      <c r="A145" s="23">
        <v>0.90313390313390318</v>
      </c>
      <c r="B145" s="23">
        <v>1.7094017094017096E-2</v>
      </c>
      <c r="C145" s="23">
        <v>5.6980056980056981E-2</v>
      </c>
      <c r="D145" s="23">
        <v>5.6980056980056983E-3</v>
      </c>
      <c r="E145" s="23">
        <v>2.8490028490028491E-3</v>
      </c>
      <c r="F145" s="24">
        <v>9</v>
      </c>
      <c r="G145" s="24">
        <v>370</v>
      </c>
      <c r="H145" s="24">
        <v>69</v>
      </c>
      <c r="I145" s="24">
        <v>2</v>
      </c>
      <c r="J145" s="24">
        <v>450</v>
      </c>
      <c r="K145" s="27">
        <v>0.02</v>
      </c>
      <c r="L145" s="27">
        <v>0.82222222222222219</v>
      </c>
      <c r="M145" s="27">
        <v>0.15333333333333332</v>
      </c>
      <c r="N145" s="27">
        <v>4.4444444444444444E-3</v>
      </c>
      <c r="O145" s="25">
        <v>60.488888888888887</v>
      </c>
    </row>
    <row r="146" spans="1:15" x14ac:dyDescent="0.25">
      <c r="A146" s="23">
        <v>0.92647058823529416</v>
      </c>
      <c r="B146" s="23">
        <v>9.1911764705882356E-3</v>
      </c>
      <c r="C146" s="23">
        <v>5.6985294117647058E-2</v>
      </c>
      <c r="D146" s="23">
        <v>3.6764705882352941E-3</v>
      </c>
      <c r="E146" s="23">
        <v>0</v>
      </c>
      <c r="F146" s="24">
        <v>26</v>
      </c>
      <c r="G146" s="24">
        <v>552</v>
      </c>
      <c r="H146" s="24">
        <v>140</v>
      </c>
      <c r="I146" s="24">
        <v>3</v>
      </c>
      <c r="J146" s="24">
        <v>721</v>
      </c>
      <c r="K146" s="27">
        <v>3.6061026352288486E-2</v>
      </c>
      <c r="L146" s="27">
        <v>0.76560332871012482</v>
      </c>
      <c r="M146" s="27">
        <v>0.1941747572815534</v>
      </c>
      <c r="N146" s="27">
        <v>4.160887656033287E-3</v>
      </c>
      <c r="O146" s="25">
        <v>51.08876560332871</v>
      </c>
    </row>
    <row r="147" spans="1:15" x14ac:dyDescent="0.25">
      <c r="A147" s="23">
        <v>0.92910447761194026</v>
      </c>
      <c r="B147" s="23">
        <v>2.4253731343283583E-2</v>
      </c>
      <c r="C147" s="23">
        <v>4.2910447761194029E-2</v>
      </c>
      <c r="D147" s="23">
        <v>0</v>
      </c>
      <c r="E147" s="23">
        <v>0</v>
      </c>
      <c r="F147" s="24">
        <v>40</v>
      </c>
      <c r="G147" s="24">
        <v>563</v>
      </c>
      <c r="H147" s="24">
        <v>114</v>
      </c>
      <c r="I147" s="24">
        <v>4</v>
      </c>
      <c r="J147" s="24">
        <v>721</v>
      </c>
      <c r="K147" s="27">
        <v>5.5478502080443831E-2</v>
      </c>
      <c r="L147" s="27">
        <v>0.78085991678224687</v>
      </c>
      <c r="M147" s="27">
        <v>0.15811373092926492</v>
      </c>
      <c r="N147" s="27">
        <v>5.5478502080443829E-3</v>
      </c>
      <c r="O147" s="25">
        <v>41.471567267683774</v>
      </c>
    </row>
    <row r="148" spans="1:15" x14ac:dyDescent="0.25">
      <c r="A148" s="23">
        <v>0.92063492063492058</v>
      </c>
      <c r="B148" s="23">
        <v>2.3809523809523808E-2</v>
      </c>
      <c r="C148" s="23">
        <v>5.3571428571428568E-2</v>
      </c>
      <c r="D148" s="23">
        <v>0</v>
      </c>
      <c r="E148" s="23">
        <v>0</v>
      </c>
      <c r="F148" s="24">
        <v>50</v>
      </c>
      <c r="G148" s="24">
        <v>541</v>
      </c>
      <c r="H148" s="24">
        <v>128</v>
      </c>
      <c r="I148" s="24">
        <v>2</v>
      </c>
      <c r="J148" s="24">
        <v>721</v>
      </c>
      <c r="K148" s="27">
        <v>6.9348127600554782E-2</v>
      </c>
      <c r="L148" s="27">
        <v>0.75034674063800277</v>
      </c>
      <c r="M148" s="27">
        <v>0.17753120665742025</v>
      </c>
      <c r="N148" s="27">
        <v>2.7739251040221915E-3</v>
      </c>
      <c r="O148" s="25">
        <v>33.277392510402223</v>
      </c>
    </row>
    <row r="149" spans="1:15" x14ac:dyDescent="0.25">
      <c r="A149" s="23">
        <v>0.90558766859344897</v>
      </c>
      <c r="B149" s="23">
        <v>3.2755298651252408E-2</v>
      </c>
      <c r="C149" s="23">
        <v>5.5876685934489405E-2</v>
      </c>
      <c r="D149" s="23">
        <v>0</v>
      </c>
      <c r="E149" s="23">
        <v>3.8535645472061657E-3</v>
      </c>
      <c r="F149" s="24">
        <v>53</v>
      </c>
      <c r="G149" s="24">
        <v>542</v>
      </c>
      <c r="H149" s="24">
        <v>127</v>
      </c>
      <c r="I149" s="24">
        <v>0</v>
      </c>
      <c r="J149" s="24">
        <v>722</v>
      </c>
      <c r="K149" s="27">
        <v>7.3407202216066489E-2</v>
      </c>
      <c r="L149" s="27">
        <v>0.75069252077562332</v>
      </c>
      <c r="M149" s="27">
        <v>0.17590027700831026</v>
      </c>
      <c r="N149" s="27">
        <v>0</v>
      </c>
      <c r="O149" s="25">
        <v>23.70360110803324</v>
      </c>
    </row>
    <row r="150" spans="1:15" x14ac:dyDescent="0.25">
      <c r="A150" s="23">
        <v>0.83177570093457942</v>
      </c>
      <c r="B150" s="23">
        <v>2.8037383177570093E-2</v>
      </c>
      <c r="C150" s="23">
        <v>0.10280373831775701</v>
      </c>
      <c r="D150" s="23">
        <v>9.3457943925233638E-3</v>
      </c>
      <c r="E150" s="23">
        <v>9.3457943925233638E-3</v>
      </c>
      <c r="F150" s="24">
        <v>8</v>
      </c>
      <c r="G150" s="24">
        <v>416</v>
      </c>
      <c r="H150" s="24">
        <v>26</v>
      </c>
      <c r="I150" s="24">
        <v>0</v>
      </c>
      <c r="J150" s="24">
        <v>450</v>
      </c>
      <c r="K150" s="27">
        <v>1.7777777777777778E-2</v>
      </c>
      <c r="L150" s="27">
        <v>0.9244444444444444</v>
      </c>
      <c r="M150" s="27">
        <v>5.7777777777777775E-2</v>
      </c>
      <c r="N150" s="27">
        <v>0</v>
      </c>
      <c r="O150" s="25">
        <v>80.295555555555552</v>
      </c>
    </row>
    <row r="151" spans="1:15" x14ac:dyDescent="0.25">
      <c r="A151" s="23">
        <v>0.89440993788819878</v>
      </c>
      <c r="B151" s="23">
        <v>9.316770186335404E-3</v>
      </c>
      <c r="C151" s="23">
        <v>6.8322981366459631E-2</v>
      </c>
      <c r="D151" s="23">
        <v>0</v>
      </c>
      <c r="E151" s="23">
        <v>3.105590062111801E-3</v>
      </c>
      <c r="F151" s="24">
        <v>3</v>
      </c>
      <c r="G151" s="24">
        <v>420</v>
      </c>
      <c r="H151" s="24">
        <v>27</v>
      </c>
      <c r="I151" s="24">
        <v>0</v>
      </c>
      <c r="J151" s="24">
        <v>450</v>
      </c>
      <c r="K151" s="27">
        <v>6.6666666666666671E-3</v>
      </c>
      <c r="L151" s="27">
        <v>0.93333333333333335</v>
      </c>
      <c r="M151" s="27">
        <v>0.06</v>
      </c>
      <c r="N151" s="27">
        <v>0</v>
      </c>
      <c r="O151" s="25">
        <v>73.355555555555554</v>
      </c>
    </row>
    <row r="152" spans="1:15" x14ac:dyDescent="0.25">
      <c r="A152" s="23">
        <v>0.92879256965944268</v>
      </c>
      <c r="B152" s="23">
        <v>6.1919504643962852E-3</v>
      </c>
      <c r="C152" s="23">
        <v>4.9535603715170282E-2</v>
      </c>
      <c r="D152" s="23">
        <v>3.0959752321981426E-3</v>
      </c>
      <c r="E152" s="23">
        <v>6.1919504643962852E-3</v>
      </c>
      <c r="F152" s="24">
        <v>8</v>
      </c>
      <c r="G152" s="24">
        <v>412</v>
      </c>
      <c r="H152" s="24">
        <v>28</v>
      </c>
      <c r="I152" s="24">
        <v>2</v>
      </c>
      <c r="J152" s="24">
        <v>450</v>
      </c>
      <c r="K152" s="27">
        <v>1.7777777777777778E-2</v>
      </c>
      <c r="L152" s="27">
        <v>0.91555555555555557</v>
      </c>
      <c r="M152" s="27">
        <v>6.222222222222222E-2</v>
      </c>
      <c r="N152" s="27">
        <v>4.4444444444444444E-3</v>
      </c>
      <c r="O152" s="25">
        <v>67.077777777777783</v>
      </c>
    </row>
    <row r="153" spans="1:15" x14ac:dyDescent="0.25">
      <c r="A153" s="23">
        <v>0.91988950276243098</v>
      </c>
      <c r="B153" s="23">
        <v>1.3812154696132596E-2</v>
      </c>
      <c r="C153" s="23">
        <v>6.3535911602209949E-2</v>
      </c>
      <c r="D153" s="23">
        <v>0</v>
      </c>
      <c r="E153" s="23">
        <v>2.7624309392265192E-3</v>
      </c>
      <c r="F153" s="24">
        <v>4</v>
      </c>
      <c r="G153" s="24">
        <v>411</v>
      </c>
      <c r="H153" s="24">
        <v>37</v>
      </c>
      <c r="I153" s="24">
        <v>3</v>
      </c>
      <c r="J153" s="24">
        <v>455</v>
      </c>
      <c r="K153" s="27">
        <v>8.7912087912087912E-3</v>
      </c>
      <c r="L153" s="27">
        <v>0.90329670329670331</v>
      </c>
      <c r="M153" s="27">
        <v>8.1318681318681321E-2</v>
      </c>
      <c r="N153" s="27">
        <v>6.5934065934065934E-3</v>
      </c>
      <c r="O153" s="25">
        <v>62.098901098901102</v>
      </c>
    </row>
    <row r="154" spans="1:15" x14ac:dyDescent="0.25">
      <c r="A154" s="23">
        <v>0.91885441527446299</v>
      </c>
      <c r="B154" s="23">
        <v>9.5465393794749408E-3</v>
      </c>
      <c r="C154" s="23">
        <v>6.205250596658711E-2</v>
      </c>
      <c r="D154" s="23">
        <v>2.3866348448687352E-3</v>
      </c>
      <c r="E154" s="23">
        <v>0</v>
      </c>
      <c r="F154" s="24">
        <v>12</v>
      </c>
      <c r="G154" s="24">
        <v>455</v>
      </c>
      <c r="H154" s="24">
        <v>42</v>
      </c>
      <c r="I154" s="24">
        <v>3</v>
      </c>
      <c r="J154" s="24">
        <v>512</v>
      </c>
      <c r="K154" s="27">
        <v>2.34375E-2</v>
      </c>
      <c r="L154" s="27">
        <v>0.888671875</v>
      </c>
      <c r="M154" s="27">
        <v>8.203125E-2</v>
      </c>
      <c r="N154" s="27">
        <v>5.859375E-3</v>
      </c>
      <c r="O154" s="25">
        <v>56.52734375</v>
      </c>
    </row>
    <row r="155" spans="1:15" x14ac:dyDescent="0.25">
      <c r="A155" s="23">
        <v>0.93450881612090675</v>
      </c>
      <c r="B155" s="23">
        <v>1.0075566750629723E-2</v>
      </c>
      <c r="C155" s="23">
        <v>4.7858942065491183E-2</v>
      </c>
      <c r="D155" s="23">
        <v>2.5188916876574307E-3</v>
      </c>
      <c r="E155" s="23">
        <v>0</v>
      </c>
      <c r="F155" s="24">
        <v>20</v>
      </c>
      <c r="G155" s="24">
        <v>461</v>
      </c>
      <c r="H155" s="24">
        <v>30</v>
      </c>
      <c r="I155" s="24">
        <v>1</v>
      </c>
      <c r="J155" s="24">
        <v>512</v>
      </c>
      <c r="K155" s="27">
        <v>3.90625E-2</v>
      </c>
      <c r="L155" s="27">
        <v>0.900390625</v>
      </c>
      <c r="M155" s="27">
        <v>5.859375E-2</v>
      </c>
      <c r="N155" s="27">
        <v>1.953125E-3</v>
      </c>
      <c r="O155" s="25">
        <v>49.05859375</v>
      </c>
    </row>
    <row r="156" spans="1:15" x14ac:dyDescent="0.25">
      <c r="A156" s="23">
        <v>0.94808743169398912</v>
      </c>
      <c r="B156" s="23">
        <v>1.6393442622950821E-2</v>
      </c>
      <c r="C156" s="23">
        <v>3.2786885245901641E-2</v>
      </c>
      <c r="D156" s="23">
        <v>2.7322404371584699E-3</v>
      </c>
      <c r="E156" s="23">
        <v>0</v>
      </c>
      <c r="F156" s="24">
        <v>25</v>
      </c>
      <c r="G156" s="24">
        <v>421</v>
      </c>
      <c r="H156" s="24">
        <v>66</v>
      </c>
      <c r="I156" s="24">
        <v>0</v>
      </c>
      <c r="J156" s="24">
        <v>512</v>
      </c>
      <c r="K156" s="27">
        <v>4.8828125E-2</v>
      </c>
      <c r="L156" s="27">
        <v>0.822265625</v>
      </c>
      <c r="M156" s="27">
        <v>0.12890625</v>
      </c>
      <c r="N156" s="27">
        <v>0</v>
      </c>
      <c r="O156" s="25">
        <v>39.755859375</v>
      </c>
    </row>
    <row r="157" spans="1:15" x14ac:dyDescent="0.25">
      <c r="A157" s="23">
        <v>0.9064171122994652</v>
      </c>
      <c r="B157" s="23">
        <v>4.2780748663101602E-2</v>
      </c>
      <c r="C157" s="23">
        <v>4.5454545454545456E-2</v>
      </c>
      <c r="D157" s="23">
        <v>2.6737967914438501E-3</v>
      </c>
      <c r="E157" s="23">
        <v>2.6737967914438501E-3</v>
      </c>
      <c r="F157" s="24">
        <v>56</v>
      </c>
      <c r="G157" s="24">
        <v>406</v>
      </c>
      <c r="H157" s="24">
        <v>50</v>
      </c>
      <c r="I157" s="24">
        <v>0</v>
      </c>
      <c r="J157" s="24">
        <v>512</v>
      </c>
      <c r="K157" s="27">
        <v>0.109375</v>
      </c>
      <c r="L157" s="27">
        <v>0.79296875</v>
      </c>
      <c r="M157" s="27">
        <v>9.765625E-2</v>
      </c>
      <c r="N157" s="27">
        <v>0</v>
      </c>
      <c r="O157" s="25">
        <v>26.494140625</v>
      </c>
    </row>
    <row r="158" spans="1:15" x14ac:dyDescent="0.25">
      <c r="A158" s="23">
        <v>0.87398373983739841</v>
      </c>
      <c r="B158" s="23">
        <v>1.6260162601626018E-2</v>
      </c>
      <c r="C158" s="23">
        <v>6.5040650406504072E-2</v>
      </c>
      <c r="D158" s="23">
        <v>2.4390243902439025E-2</v>
      </c>
      <c r="E158" s="23">
        <v>8.130081300813009E-3</v>
      </c>
      <c r="F158" s="24">
        <v>8</v>
      </c>
      <c r="G158" s="24">
        <v>384</v>
      </c>
      <c r="H158" s="24">
        <v>57</v>
      </c>
      <c r="I158" s="24">
        <v>1</v>
      </c>
      <c r="J158" s="24">
        <v>450</v>
      </c>
      <c r="K158" s="27">
        <v>1.7777777777777778E-2</v>
      </c>
      <c r="L158" s="27">
        <v>0.85333333333333339</v>
      </c>
      <c r="M158" s="27">
        <v>0.12666666666666668</v>
      </c>
      <c r="N158" s="27">
        <v>2.2222222222222222E-3</v>
      </c>
      <c r="O158" s="25">
        <v>74.933333333333337</v>
      </c>
    </row>
    <row r="159" spans="1:15" x14ac:dyDescent="0.25">
      <c r="A159" s="23">
        <v>0.93859649122807021</v>
      </c>
      <c r="B159" s="23">
        <v>5.8479532163742687E-3</v>
      </c>
      <c r="C159" s="23">
        <v>5.2631578947368418E-2</v>
      </c>
      <c r="D159" s="23">
        <v>0</v>
      </c>
      <c r="E159" s="23">
        <v>0</v>
      </c>
      <c r="F159" s="24">
        <v>5</v>
      </c>
      <c r="G159" s="24">
        <v>397</v>
      </c>
      <c r="H159" s="24">
        <v>44</v>
      </c>
      <c r="I159" s="24">
        <v>4</v>
      </c>
      <c r="J159" s="24">
        <v>450</v>
      </c>
      <c r="K159" s="27">
        <v>1.1111111111111112E-2</v>
      </c>
      <c r="L159" s="27">
        <v>0.88222222222222224</v>
      </c>
      <c r="M159" s="27">
        <v>9.7777777777777783E-2</v>
      </c>
      <c r="N159" s="27">
        <v>8.8888888888888889E-3</v>
      </c>
      <c r="O159" s="25">
        <v>69.208888888888893</v>
      </c>
    </row>
    <row r="160" spans="1:15" x14ac:dyDescent="0.25">
      <c r="A160" s="23">
        <v>0.90858725761772852</v>
      </c>
      <c r="B160" s="23">
        <v>2.4930747922437674E-2</v>
      </c>
      <c r="C160" s="23">
        <v>5.2631578947368418E-2</v>
      </c>
      <c r="D160" s="23">
        <v>2.7700831024930748E-3</v>
      </c>
      <c r="E160" s="23">
        <v>0</v>
      </c>
      <c r="F160" s="24">
        <v>18</v>
      </c>
      <c r="G160" s="24">
        <v>350</v>
      </c>
      <c r="H160" s="24">
        <v>79</v>
      </c>
      <c r="I160" s="24">
        <v>3</v>
      </c>
      <c r="J160" s="24">
        <v>450</v>
      </c>
      <c r="K160" s="27">
        <v>0.04</v>
      </c>
      <c r="L160" s="27">
        <v>0.77777777777777779</v>
      </c>
      <c r="M160" s="27">
        <v>0.17555555555555555</v>
      </c>
      <c r="N160" s="27">
        <v>6.6666666666666671E-3</v>
      </c>
      <c r="O160" s="25">
        <v>59.535555555555554</v>
      </c>
    </row>
    <row r="161" spans="1:15" x14ac:dyDescent="0.25">
      <c r="A161" s="23">
        <v>0.90981963927855714</v>
      </c>
      <c r="B161" s="23">
        <v>1.8036072144288578E-2</v>
      </c>
      <c r="C161" s="23">
        <v>6.4128256513026047E-2</v>
      </c>
      <c r="D161" s="23">
        <v>4.0080160320641279E-3</v>
      </c>
      <c r="E161" s="23">
        <v>0</v>
      </c>
      <c r="F161" s="24">
        <v>14</v>
      </c>
      <c r="G161" s="24">
        <v>482</v>
      </c>
      <c r="H161" s="24">
        <v>120</v>
      </c>
      <c r="I161" s="24">
        <v>4</v>
      </c>
      <c r="J161" s="24">
        <v>620</v>
      </c>
      <c r="K161" s="27">
        <v>2.2580645161290321E-2</v>
      </c>
      <c r="L161" s="27">
        <v>0.77741935483870972</v>
      </c>
      <c r="M161" s="27">
        <v>0.19354838709677419</v>
      </c>
      <c r="N161" s="27">
        <v>6.4516129032258064E-3</v>
      </c>
      <c r="O161" s="25">
        <v>49.624193548387098</v>
      </c>
    </row>
    <row r="162" spans="1:15" x14ac:dyDescent="0.25">
      <c r="A162" s="23">
        <v>0.92903225806451617</v>
      </c>
      <c r="B162" s="23">
        <v>2.3655913978494623E-2</v>
      </c>
      <c r="C162" s="23">
        <v>3.870967741935484E-2</v>
      </c>
      <c r="D162" s="23">
        <v>4.3010752688172043E-3</v>
      </c>
      <c r="E162" s="23">
        <v>2.1505376344086021E-3</v>
      </c>
      <c r="F162" s="24">
        <v>35</v>
      </c>
      <c r="G162" s="24">
        <v>418</v>
      </c>
      <c r="H162" s="24">
        <v>164</v>
      </c>
      <c r="I162" s="24">
        <v>3</v>
      </c>
      <c r="J162" s="24">
        <v>620</v>
      </c>
      <c r="K162" s="27">
        <v>5.6451612903225805E-2</v>
      </c>
      <c r="L162" s="27">
        <v>0.67419354838709677</v>
      </c>
      <c r="M162" s="27">
        <v>0.26451612903225807</v>
      </c>
      <c r="N162" s="27">
        <v>4.8387096774193551E-3</v>
      </c>
      <c r="O162" s="25">
        <v>40.972580645161287</v>
      </c>
    </row>
    <row r="163" spans="1:15" x14ac:dyDescent="0.25">
      <c r="A163" s="23">
        <v>0.92417061611374407</v>
      </c>
      <c r="B163" s="23">
        <v>1.1848341232227487E-2</v>
      </c>
      <c r="C163" s="23">
        <v>5.6872037914691941E-2</v>
      </c>
      <c r="D163" s="23">
        <v>2.3696682464454978E-3</v>
      </c>
      <c r="E163" s="23">
        <v>2.3696682464454978E-3</v>
      </c>
      <c r="F163" s="24">
        <v>35</v>
      </c>
      <c r="G163" s="24">
        <v>427</v>
      </c>
      <c r="H163" s="24">
        <v>153</v>
      </c>
      <c r="I163" s="24">
        <v>5</v>
      </c>
      <c r="J163" s="24">
        <v>620</v>
      </c>
      <c r="K163" s="27">
        <v>5.6451612903225805E-2</v>
      </c>
      <c r="L163" s="27">
        <v>0.68870967741935485</v>
      </c>
      <c r="M163" s="27">
        <v>0.24677419354838709</v>
      </c>
      <c r="N163" s="27">
        <v>8.0645161290322578E-3</v>
      </c>
      <c r="O163" s="25">
        <v>32.951612903225808</v>
      </c>
    </row>
    <row r="164" spans="1:15" x14ac:dyDescent="0.25">
      <c r="A164" s="23">
        <v>0.93205944798301488</v>
      </c>
      <c r="B164" s="23">
        <v>3.6093418259023353E-2</v>
      </c>
      <c r="C164" s="23">
        <v>2.5477707006369428E-2</v>
      </c>
      <c r="D164" s="23">
        <v>0</v>
      </c>
      <c r="E164" s="23">
        <v>4.246284501061571E-3</v>
      </c>
      <c r="F164" s="24">
        <v>34</v>
      </c>
      <c r="G164" s="24">
        <v>433</v>
      </c>
      <c r="H164" s="24">
        <v>152</v>
      </c>
      <c r="I164" s="24">
        <v>1</v>
      </c>
      <c r="J164" s="24">
        <v>620</v>
      </c>
      <c r="K164" s="27">
        <v>5.4838709677419356E-2</v>
      </c>
      <c r="L164" s="27">
        <v>0.69838709677419353</v>
      </c>
      <c r="M164" s="27">
        <v>0.24516129032258063</v>
      </c>
      <c r="N164" s="27">
        <v>1.6129032258064516E-3</v>
      </c>
      <c r="O164" s="25">
        <v>23.629032258064516</v>
      </c>
    </row>
    <row r="165" spans="1:15" x14ac:dyDescent="0.25">
      <c r="A165" s="23">
        <v>0.52583586626139822</v>
      </c>
      <c r="B165" s="23">
        <v>0.14285714285714285</v>
      </c>
      <c r="C165" s="23">
        <v>0.29483282674772038</v>
      </c>
      <c r="D165" s="23">
        <v>1.82370820668693E-2</v>
      </c>
      <c r="E165" s="23">
        <v>6.0790273556231003E-3</v>
      </c>
      <c r="F165" s="24">
        <v>230</v>
      </c>
      <c r="G165" s="24">
        <v>93</v>
      </c>
      <c r="H165" s="24">
        <v>121</v>
      </c>
      <c r="I165" s="24">
        <v>6</v>
      </c>
      <c r="J165" s="24">
        <v>450</v>
      </c>
      <c r="K165" s="27">
        <v>0.51111111111111107</v>
      </c>
      <c r="L165" s="27">
        <v>0.20666666666666667</v>
      </c>
      <c r="M165" s="27">
        <v>0.2688888888888889</v>
      </c>
      <c r="N165" s="27">
        <v>1.3333333333333334E-2</v>
      </c>
      <c r="O165" s="25">
        <v>68.319999999999993</v>
      </c>
    </row>
    <row r="166" spans="1:15" x14ac:dyDescent="0.25">
      <c r="A166" s="23">
        <v>0.45429362880886426</v>
      </c>
      <c r="B166" s="23">
        <v>0.2077562326869806</v>
      </c>
      <c r="C166" s="23">
        <v>0.29916897506925205</v>
      </c>
      <c r="D166" s="23">
        <v>2.7700831024930747E-2</v>
      </c>
      <c r="E166" s="23">
        <v>0</v>
      </c>
      <c r="F166" s="24">
        <v>238</v>
      </c>
      <c r="G166" s="24">
        <v>96</v>
      </c>
      <c r="H166" s="24">
        <v>111</v>
      </c>
      <c r="I166" s="24">
        <v>5</v>
      </c>
      <c r="J166" s="24">
        <v>450</v>
      </c>
      <c r="K166" s="27">
        <v>0.52888888888888885</v>
      </c>
      <c r="L166" s="27">
        <v>0.21333333333333335</v>
      </c>
      <c r="M166" s="27">
        <v>0.24666666666666667</v>
      </c>
      <c r="N166" s="27">
        <v>1.1111111111111112E-2</v>
      </c>
      <c r="O166" s="25">
        <v>64.142222222222216</v>
      </c>
    </row>
    <row r="167" spans="1:15" x14ac:dyDescent="0.25">
      <c r="A167" s="23">
        <v>0.51883561643835618</v>
      </c>
      <c r="B167" s="23">
        <v>0.23287671232876711</v>
      </c>
      <c r="C167" s="23">
        <v>0.20547945205479451</v>
      </c>
      <c r="D167" s="23">
        <v>2.9109589041095889E-2</v>
      </c>
      <c r="E167" s="23">
        <v>5.1369863013698627E-3</v>
      </c>
      <c r="F167" s="24">
        <v>366</v>
      </c>
      <c r="G167" s="24">
        <v>150</v>
      </c>
      <c r="H167" s="24">
        <v>219</v>
      </c>
      <c r="I167" s="24">
        <v>13</v>
      </c>
      <c r="J167" s="24">
        <v>748</v>
      </c>
      <c r="K167" s="27">
        <v>0.48930481283422461</v>
      </c>
      <c r="L167" s="27">
        <v>0.20053475935828877</v>
      </c>
      <c r="M167" s="27">
        <v>0.29278074866310161</v>
      </c>
      <c r="N167" s="27">
        <v>1.7379679144385027E-2</v>
      </c>
      <c r="O167" s="25">
        <v>51.308823529411768</v>
      </c>
    </row>
    <row r="168" spans="1:15" x14ac:dyDescent="0.25">
      <c r="A168" s="23">
        <v>0.40842490842490842</v>
      </c>
      <c r="B168" s="23">
        <v>0.33516483516483514</v>
      </c>
      <c r="C168" s="23">
        <v>0.2216117216117216</v>
      </c>
      <c r="D168" s="23">
        <v>2.3809523809523808E-2</v>
      </c>
      <c r="E168" s="23">
        <v>7.326007326007326E-3</v>
      </c>
      <c r="F168" s="24">
        <v>489</v>
      </c>
      <c r="G168" s="24">
        <v>117</v>
      </c>
      <c r="H168" s="24">
        <v>130</v>
      </c>
      <c r="I168" s="24">
        <v>12</v>
      </c>
      <c r="J168" s="24">
        <v>748</v>
      </c>
      <c r="K168" s="27">
        <v>0.65374331550802134</v>
      </c>
      <c r="L168" s="27">
        <v>0.15641711229946523</v>
      </c>
      <c r="M168" s="27">
        <v>0.17379679144385027</v>
      </c>
      <c r="N168" s="27">
        <v>1.6042780748663103E-2</v>
      </c>
      <c r="O168" s="25">
        <v>41.054812834224599</v>
      </c>
    </row>
    <row r="169" spans="1:15" x14ac:dyDescent="0.25">
      <c r="A169" s="23">
        <v>0.44606946983546619</v>
      </c>
      <c r="B169" s="23">
        <v>0.34734917733089582</v>
      </c>
      <c r="C169" s="23">
        <v>0.1773308957952468</v>
      </c>
      <c r="D169" s="23">
        <v>2.5594149908592323E-2</v>
      </c>
      <c r="E169" s="23">
        <v>3.6563071297989031E-3</v>
      </c>
      <c r="F169" s="24">
        <v>492</v>
      </c>
      <c r="G169" s="24">
        <v>105</v>
      </c>
      <c r="H169" s="24">
        <v>139</v>
      </c>
      <c r="I169" s="24">
        <v>13</v>
      </c>
      <c r="J169" s="24">
        <v>749</v>
      </c>
      <c r="K169" s="27">
        <v>0.6568758344459279</v>
      </c>
      <c r="L169" s="27">
        <v>0.14018691588785046</v>
      </c>
      <c r="M169" s="27">
        <v>0.1855807743658211</v>
      </c>
      <c r="N169" s="27">
        <v>1.7356475300400534E-2</v>
      </c>
      <c r="O169" s="25">
        <v>33.742323097463284</v>
      </c>
    </row>
    <row r="170" spans="1:15" x14ac:dyDescent="0.25">
      <c r="A170" s="23">
        <v>0.49503311258278143</v>
      </c>
      <c r="B170" s="23">
        <v>0.31953642384105962</v>
      </c>
      <c r="C170" s="23">
        <v>0.16225165562913907</v>
      </c>
      <c r="D170" s="23">
        <v>1.9867549668874173E-2</v>
      </c>
      <c r="E170" s="23">
        <v>3.3112582781456954E-3</v>
      </c>
      <c r="F170" s="24">
        <v>530</v>
      </c>
      <c r="G170" s="24">
        <v>63</v>
      </c>
      <c r="H170" s="24">
        <v>151</v>
      </c>
      <c r="I170" s="24">
        <v>5</v>
      </c>
      <c r="J170" s="24">
        <v>749</v>
      </c>
      <c r="K170" s="27">
        <v>0.70761014686248336</v>
      </c>
      <c r="L170" s="27">
        <v>8.4112149532710276E-2</v>
      </c>
      <c r="M170" s="27">
        <v>0.20160213618157544</v>
      </c>
      <c r="N170" s="27">
        <v>6.6755674232309749E-3</v>
      </c>
      <c r="O170" s="25">
        <v>24.65954606141522</v>
      </c>
    </row>
    <row r="171" spans="1:15" x14ac:dyDescent="0.25">
      <c r="A171" s="23">
        <v>0.72888888888888892</v>
      </c>
      <c r="B171" s="23">
        <v>3.111111111111111E-2</v>
      </c>
      <c r="C171" s="23">
        <v>0.19111111111111112</v>
      </c>
      <c r="D171" s="23">
        <v>8.8888888888888889E-3</v>
      </c>
      <c r="E171" s="23">
        <v>4.4444444444444444E-3</v>
      </c>
      <c r="F171" s="24">
        <v>82</v>
      </c>
      <c r="G171" s="24">
        <v>308</v>
      </c>
      <c r="H171" s="24">
        <v>57</v>
      </c>
      <c r="I171" s="24">
        <v>3</v>
      </c>
      <c r="J171" s="24">
        <v>450</v>
      </c>
      <c r="K171" s="27">
        <v>0.18222222222222223</v>
      </c>
      <c r="L171" s="27">
        <v>0.68444444444444441</v>
      </c>
      <c r="M171" s="27">
        <v>0.12666666666666668</v>
      </c>
      <c r="N171" s="27">
        <v>6.6666666666666671E-3</v>
      </c>
      <c r="O171" s="25">
        <v>72.995555555555555</v>
      </c>
    </row>
    <row r="172" spans="1:15" x14ac:dyDescent="0.25">
      <c r="A172" s="23">
        <v>0.78674351585014413</v>
      </c>
      <c r="B172" s="23">
        <v>3.1700288184438041E-2</v>
      </c>
      <c r="C172" s="23">
        <v>0.15850144092219021</v>
      </c>
      <c r="D172" s="23">
        <v>0</v>
      </c>
      <c r="E172" s="23">
        <v>5.763688760806916E-3</v>
      </c>
      <c r="F172" s="24">
        <v>56</v>
      </c>
      <c r="G172" s="24">
        <v>339</v>
      </c>
      <c r="H172" s="24">
        <v>46</v>
      </c>
      <c r="I172" s="24">
        <v>9</v>
      </c>
      <c r="J172" s="24">
        <v>450</v>
      </c>
      <c r="K172" s="27">
        <v>0.12444444444444444</v>
      </c>
      <c r="L172" s="27">
        <v>0.7533333333333333</v>
      </c>
      <c r="M172" s="27">
        <v>0.10222222222222223</v>
      </c>
      <c r="N172" s="27">
        <v>0.02</v>
      </c>
      <c r="O172" s="25">
        <v>70.888888888888886</v>
      </c>
    </row>
    <row r="173" spans="1:15" x14ac:dyDescent="0.25">
      <c r="A173" s="23">
        <v>0.79629629629629628</v>
      </c>
      <c r="B173" s="23">
        <v>4.6296296296296294E-2</v>
      </c>
      <c r="C173" s="23">
        <v>0.13425925925925927</v>
      </c>
      <c r="D173" s="23">
        <v>1.1574074074074073E-2</v>
      </c>
      <c r="E173" s="23">
        <v>6.9444444444444441E-3</v>
      </c>
      <c r="F173" s="24">
        <v>79</v>
      </c>
      <c r="G173" s="24">
        <v>403</v>
      </c>
      <c r="H173" s="24">
        <v>67</v>
      </c>
      <c r="I173" s="24">
        <v>3</v>
      </c>
      <c r="J173" s="24">
        <v>552</v>
      </c>
      <c r="K173" s="27">
        <v>0.1431159420289855</v>
      </c>
      <c r="L173" s="27">
        <v>0.73007246376811596</v>
      </c>
      <c r="M173" s="27">
        <v>0.1213768115942029</v>
      </c>
      <c r="N173" s="27">
        <v>5.434782608695652E-3</v>
      </c>
      <c r="O173" s="25">
        <v>63.371376811594203</v>
      </c>
    </row>
    <row r="174" spans="1:15" x14ac:dyDescent="0.25">
      <c r="A174" s="23">
        <v>0.78538812785388123</v>
      </c>
      <c r="B174" s="23">
        <v>7.3059360730593603E-2</v>
      </c>
      <c r="C174" s="23">
        <v>0.13698630136986301</v>
      </c>
      <c r="D174" s="23">
        <v>2.2831050228310501E-3</v>
      </c>
      <c r="E174" s="23">
        <v>0</v>
      </c>
      <c r="F174" s="24">
        <v>105</v>
      </c>
      <c r="G174" s="24">
        <v>367</v>
      </c>
      <c r="H174" s="24">
        <v>76</v>
      </c>
      <c r="I174" s="24">
        <v>5</v>
      </c>
      <c r="J174" s="24">
        <v>553</v>
      </c>
      <c r="K174" s="27">
        <v>0.189873417721519</v>
      </c>
      <c r="L174" s="27">
        <v>0.66365280289330919</v>
      </c>
      <c r="M174" s="27">
        <v>0.13743218806509946</v>
      </c>
      <c r="N174" s="27">
        <v>9.0415913200723331E-3</v>
      </c>
      <c r="O174" s="25">
        <v>55.396021699819165</v>
      </c>
    </row>
    <row r="175" spans="1:15" x14ac:dyDescent="0.25">
      <c r="A175" s="23">
        <v>0.73598130841121501</v>
      </c>
      <c r="B175" s="23">
        <v>0.11214953271028037</v>
      </c>
      <c r="C175" s="23">
        <v>0.14485981308411214</v>
      </c>
      <c r="D175" s="23">
        <v>2.3364485981308409E-3</v>
      </c>
      <c r="E175" s="23">
        <v>2.3364485981308409E-3</v>
      </c>
      <c r="F175" s="24">
        <v>136</v>
      </c>
      <c r="G175" s="24">
        <v>324</v>
      </c>
      <c r="H175" s="24">
        <v>88</v>
      </c>
      <c r="I175" s="24">
        <v>5</v>
      </c>
      <c r="J175" s="24">
        <v>553</v>
      </c>
      <c r="K175" s="27">
        <v>0.24593128390596744</v>
      </c>
      <c r="L175" s="27">
        <v>0.58589511754068713</v>
      </c>
      <c r="M175" s="27">
        <v>0.15913200723327306</v>
      </c>
      <c r="N175" s="27">
        <v>9.0415913200723331E-3</v>
      </c>
      <c r="O175" s="25">
        <v>46.224231464737791</v>
      </c>
    </row>
    <row r="176" spans="1:15" x14ac:dyDescent="0.25">
      <c r="A176" s="23">
        <v>0.66417910447761197</v>
      </c>
      <c r="B176" s="23">
        <v>0.15920398009950248</v>
      </c>
      <c r="C176" s="23">
        <v>0.17164179104477612</v>
      </c>
      <c r="D176" s="23">
        <v>2.4875621890547263E-3</v>
      </c>
      <c r="E176" s="23">
        <v>0</v>
      </c>
      <c r="F176" s="24">
        <v>194</v>
      </c>
      <c r="G176" s="24">
        <v>260</v>
      </c>
      <c r="H176" s="24">
        <v>91</v>
      </c>
      <c r="I176" s="24">
        <v>8</v>
      </c>
      <c r="J176" s="24">
        <v>553</v>
      </c>
      <c r="K176" s="27">
        <v>0.35081374321880648</v>
      </c>
      <c r="L176" s="27">
        <v>0.47016274864376129</v>
      </c>
      <c r="M176" s="27">
        <v>0.16455696202531644</v>
      </c>
      <c r="N176" s="27">
        <v>1.4466546112115732E-2</v>
      </c>
      <c r="O176" s="25">
        <v>37.142857142857146</v>
      </c>
    </row>
    <row r="177" spans="1:15" x14ac:dyDescent="0.25">
      <c r="A177" s="23">
        <v>0.64039408866995073</v>
      </c>
      <c r="B177" s="23">
        <v>0.21921182266009853</v>
      </c>
      <c r="C177" s="23">
        <v>0.12561576354679804</v>
      </c>
      <c r="D177" s="23">
        <v>1.2315270935960592E-2</v>
      </c>
      <c r="E177" s="23">
        <v>0</v>
      </c>
      <c r="F177" s="24">
        <v>236</v>
      </c>
      <c r="G177" s="24">
        <v>240</v>
      </c>
      <c r="H177" s="24">
        <v>68</v>
      </c>
      <c r="I177" s="24">
        <v>9</v>
      </c>
      <c r="J177" s="24">
        <v>553</v>
      </c>
      <c r="K177" s="27">
        <v>0.4267631103074141</v>
      </c>
      <c r="L177" s="27">
        <v>0.43399638336347196</v>
      </c>
      <c r="M177" s="27">
        <v>0.12296564195298372</v>
      </c>
      <c r="N177" s="27">
        <v>1.62748643761302E-2</v>
      </c>
      <c r="O177" s="25">
        <v>29.132007233273058</v>
      </c>
    </row>
    <row r="178" spans="1:15" x14ac:dyDescent="0.25">
      <c r="A178" s="23">
        <v>0.66371681415929207</v>
      </c>
      <c r="B178" s="23">
        <v>0.23230088495575221</v>
      </c>
      <c r="C178" s="23">
        <v>9.9557522123893807E-2</v>
      </c>
      <c r="D178" s="23">
        <v>2.2123893805309734E-3</v>
      </c>
      <c r="E178" s="23">
        <v>2.2123893805309734E-3</v>
      </c>
      <c r="F178" s="24">
        <v>247</v>
      </c>
      <c r="G178" s="24">
        <v>246</v>
      </c>
      <c r="H178" s="24">
        <v>59</v>
      </c>
      <c r="I178" s="24">
        <v>1</v>
      </c>
      <c r="J178" s="24">
        <v>553</v>
      </c>
      <c r="K178" s="27">
        <v>0.44665461121157324</v>
      </c>
      <c r="L178" s="27">
        <v>0.44484629294755879</v>
      </c>
      <c r="M178" s="27">
        <v>0.10669077757685352</v>
      </c>
      <c r="N178" s="27">
        <v>1.8083182640144665E-3</v>
      </c>
      <c r="O178" s="25">
        <v>21.430379746835442</v>
      </c>
    </row>
    <row r="179" spans="1:15" x14ac:dyDescent="0.25">
      <c r="A179" s="23">
        <v>0.89824561403508774</v>
      </c>
      <c r="B179" s="23">
        <v>1.4035087719298246E-2</v>
      </c>
      <c r="C179" s="23">
        <v>7.0175438596491224E-2</v>
      </c>
      <c r="D179" s="23">
        <v>3.5087719298245615E-3</v>
      </c>
      <c r="E179" s="23">
        <v>0</v>
      </c>
      <c r="F179" s="24">
        <v>5</v>
      </c>
      <c r="G179" s="24">
        <v>433</v>
      </c>
      <c r="H179" s="24">
        <v>12</v>
      </c>
      <c r="I179" s="24">
        <v>0</v>
      </c>
      <c r="J179" s="24">
        <v>450</v>
      </c>
      <c r="K179" s="27">
        <v>1.1111111111111112E-2</v>
      </c>
      <c r="L179" s="27">
        <v>0.9622222222222222</v>
      </c>
      <c r="M179" s="27">
        <v>2.6666666666666668E-2</v>
      </c>
      <c r="N179" s="27">
        <v>0</v>
      </c>
      <c r="O179" s="25">
        <v>75.72</v>
      </c>
    </row>
    <row r="180" spans="1:15" x14ac:dyDescent="0.25">
      <c r="A180" s="23">
        <v>0.9080779944289693</v>
      </c>
      <c r="B180" s="23">
        <v>0</v>
      </c>
      <c r="C180" s="23">
        <v>6.6852367688022288E-2</v>
      </c>
      <c r="D180" s="23">
        <v>2.7855153203342618E-3</v>
      </c>
      <c r="E180" s="23">
        <v>0</v>
      </c>
      <c r="F180" s="24">
        <v>7</v>
      </c>
      <c r="G180" s="24">
        <v>430</v>
      </c>
      <c r="H180" s="24">
        <v>12</v>
      </c>
      <c r="I180" s="24">
        <v>1</v>
      </c>
      <c r="J180" s="24">
        <v>450</v>
      </c>
      <c r="K180" s="27">
        <v>1.5555555555555555E-2</v>
      </c>
      <c r="L180" s="27">
        <v>0.9555555555555556</v>
      </c>
      <c r="M180" s="27">
        <v>2.6666666666666668E-2</v>
      </c>
      <c r="N180" s="27">
        <v>2.2222222222222222E-3</v>
      </c>
      <c r="O180" s="25">
        <v>61.937777777777775</v>
      </c>
    </row>
    <row r="181" spans="1:15" x14ac:dyDescent="0.25">
      <c r="A181" s="23">
        <v>0.8972868217054264</v>
      </c>
      <c r="B181" s="23">
        <v>1.937984496124031E-2</v>
      </c>
      <c r="C181" s="23">
        <v>7.5581395348837205E-2</v>
      </c>
      <c r="D181" s="23">
        <v>1.937984496124031E-3</v>
      </c>
      <c r="E181" s="23">
        <v>0</v>
      </c>
      <c r="F181" s="24">
        <v>34</v>
      </c>
      <c r="G181" s="24">
        <v>592</v>
      </c>
      <c r="H181" s="24">
        <v>44</v>
      </c>
      <c r="I181" s="24">
        <v>0</v>
      </c>
      <c r="J181" s="24">
        <v>670</v>
      </c>
      <c r="K181" s="27">
        <v>5.0746268656716415E-2</v>
      </c>
      <c r="L181" s="27">
        <v>0.88358208955223883</v>
      </c>
      <c r="M181" s="27">
        <v>6.5671641791044774E-2</v>
      </c>
      <c r="N181" s="27">
        <v>0</v>
      </c>
      <c r="O181" s="25">
        <v>41.325373134328359</v>
      </c>
    </row>
    <row r="182" spans="1:15" x14ac:dyDescent="0.25">
      <c r="A182" s="23">
        <v>0.55378486055776888</v>
      </c>
      <c r="B182" s="23">
        <v>0.11952191235059761</v>
      </c>
      <c r="C182" s="23">
        <v>0.30278884462151395</v>
      </c>
      <c r="D182" s="23">
        <v>1.1952191235059761E-2</v>
      </c>
      <c r="E182" s="23">
        <v>0</v>
      </c>
      <c r="F182" s="24">
        <v>157</v>
      </c>
      <c r="G182" s="24">
        <v>199</v>
      </c>
      <c r="H182" s="24">
        <v>89</v>
      </c>
      <c r="I182" s="24">
        <v>5</v>
      </c>
      <c r="J182" s="24">
        <v>450</v>
      </c>
      <c r="K182" s="27">
        <v>0.34888888888888892</v>
      </c>
      <c r="L182" s="27">
        <v>0.44222222222222224</v>
      </c>
      <c r="M182" s="27">
        <v>0.19777777777777777</v>
      </c>
      <c r="N182" s="27">
        <v>1.1111111111111112E-2</v>
      </c>
      <c r="O182" s="25">
        <v>69.011111111111106</v>
      </c>
    </row>
    <row r="183" spans="1:15" x14ac:dyDescent="0.25">
      <c r="A183" s="23">
        <v>0.5330073349633252</v>
      </c>
      <c r="B183" s="23">
        <v>0.22004889975550121</v>
      </c>
      <c r="C183" s="23">
        <v>0.23471882640586797</v>
      </c>
      <c r="D183" s="23">
        <v>9.7799511002444987E-3</v>
      </c>
      <c r="E183" s="23">
        <v>0</v>
      </c>
      <c r="F183" s="24">
        <v>291</v>
      </c>
      <c r="G183" s="24">
        <v>249</v>
      </c>
      <c r="H183" s="24">
        <v>102</v>
      </c>
      <c r="I183" s="24">
        <v>13</v>
      </c>
      <c r="J183" s="24">
        <v>655</v>
      </c>
      <c r="K183" s="27">
        <v>0.44427480916030532</v>
      </c>
      <c r="L183" s="27">
        <v>0.3801526717557252</v>
      </c>
      <c r="M183" s="27">
        <v>0.15572519083969466</v>
      </c>
      <c r="N183" s="27">
        <v>1.984732824427481E-2</v>
      </c>
      <c r="O183" s="25">
        <v>42.531297709923663</v>
      </c>
    </row>
    <row r="184" spans="1:15" x14ac:dyDescent="0.25">
      <c r="A184" s="23">
        <v>0.82889733840304181</v>
      </c>
      <c r="B184" s="23">
        <v>4.9429657794676805E-2</v>
      </c>
      <c r="C184" s="23">
        <v>8.7452471482889732E-2</v>
      </c>
      <c r="D184" s="23">
        <v>3.8022813688212928E-3</v>
      </c>
      <c r="E184" s="23">
        <v>7.6045627376425855E-3</v>
      </c>
      <c r="F184" s="24">
        <v>52</v>
      </c>
      <c r="G184" s="24">
        <v>334</v>
      </c>
      <c r="H184" s="24">
        <v>40</v>
      </c>
      <c r="I184" s="24">
        <v>6</v>
      </c>
      <c r="J184" s="24">
        <v>432</v>
      </c>
      <c r="K184" s="27">
        <v>0.12037037037037036</v>
      </c>
      <c r="L184" s="27">
        <v>0.77314814814814814</v>
      </c>
      <c r="M184" s="27">
        <v>9.2592592592592587E-2</v>
      </c>
      <c r="N184" s="27">
        <v>1.3888888888888888E-2</v>
      </c>
      <c r="O184" s="25">
        <v>70.710648148148152</v>
      </c>
    </row>
    <row r="185" spans="1:15" x14ac:dyDescent="0.25">
      <c r="A185" s="23">
        <v>0.83183183183183185</v>
      </c>
      <c r="B185" s="23">
        <v>6.9069069069069067E-2</v>
      </c>
      <c r="C185" s="23">
        <v>9.3093093093093091E-2</v>
      </c>
      <c r="D185" s="23">
        <v>6.006006006006006E-3</v>
      </c>
      <c r="E185" s="23">
        <v>0</v>
      </c>
      <c r="F185" s="24">
        <v>81</v>
      </c>
      <c r="G185" s="24">
        <v>297</v>
      </c>
      <c r="H185" s="24">
        <v>51</v>
      </c>
      <c r="I185" s="24">
        <v>3</v>
      </c>
      <c r="J185" s="24">
        <v>432</v>
      </c>
      <c r="K185" s="27">
        <v>0.1875</v>
      </c>
      <c r="L185" s="27">
        <v>0.6875</v>
      </c>
      <c r="M185" s="27">
        <v>0.11805555555555555</v>
      </c>
      <c r="N185" s="27">
        <v>6.9444444444444441E-3</v>
      </c>
      <c r="O185" s="25">
        <v>55.712962962962962</v>
      </c>
    </row>
    <row r="186" spans="1:15" x14ac:dyDescent="0.25">
      <c r="A186" s="23">
        <v>0.632996632996633</v>
      </c>
      <c r="B186" s="23">
        <v>0.22895622895622897</v>
      </c>
      <c r="C186" s="23">
        <v>0.13468013468013468</v>
      </c>
      <c r="D186" s="23">
        <v>0</v>
      </c>
      <c r="E186" s="23">
        <v>0</v>
      </c>
      <c r="F186" s="24">
        <v>166</v>
      </c>
      <c r="G186" s="24">
        <v>193</v>
      </c>
      <c r="H186" s="24">
        <v>72</v>
      </c>
      <c r="I186" s="24">
        <v>1</v>
      </c>
      <c r="J186" s="24">
        <v>432</v>
      </c>
      <c r="K186" s="27">
        <v>0.38425925925925924</v>
      </c>
      <c r="L186" s="27">
        <v>0.44675925925925924</v>
      </c>
      <c r="M186" s="27">
        <v>0.16666666666666666</v>
      </c>
      <c r="N186" s="27">
        <v>2.3148148148148147E-3</v>
      </c>
      <c r="O186" s="25">
        <v>33.030092592592595</v>
      </c>
    </row>
    <row r="187" spans="1:15" x14ac:dyDescent="0.25">
      <c r="A187" s="23">
        <v>0.25316455696202533</v>
      </c>
      <c r="B187" s="23">
        <v>0.23734177215189872</v>
      </c>
      <c r="C187" s="23">
        <v>0.47784810126582278</v>
      </c>
      <c r="D187" s="23">
        <v>1.2658227848101266E-2</v>
      </c>
      <c r="E187" s="23">
        <v>3.1645569620253164E-3</v>
      </c>
      <c r="F187" s="24">
        <v>441</v>
      </c>
      <c r="G187" s="24">
        <v>3</v>
      </c>
      <c r="H187" s="24">
        <v>2</v>
      </c>
      <c r="I187" s="24">
        <v>4</v>
      </c>
      <c r="J187" s="24">
        <v>450</v>
      </c>
      <c r="K187" s="27">
        <v>0.98</v>
      </c>
      <c r="L187" s="27">
        <v>6.6666666666666671E-3</v>
      </c>
      <c r="M187" s="27">
        <v>4.4444444444444444E-3</v>
      </c>
      <c r="N187" s="27">
        <v>8.8888888888888889E-3</v>
      </c>
      <c r="O187" s="25">
        <v>60.22</v>
      </c>
    </row>
    <row r="188" spans="1:15" x14ac:dyDescent="0.25">
      <c r="A188" s="23">
        <v>0.24935732647814909</v>
      </c>
      <c r="B188" s="23">
        <v>0.29820051413881749</v>
      </c>
      <c r="C188" s="23">
        <v>0.43958868894601544</v>
      </c>
      <c r="D188" s="23">
        <v>1.0282776349614395E-2</v>
      </c>
      <c r="E188" s="23">
        <v>0</v>
      </c>
      <c r="F188" s="24">
        <v>452</v>
      </c>
      <c r="G188" s="24">
        <v>2</v>
      </c>
      <c r="H188" s="24">
        <v>4</v>
      </c>
      <c r="I188" s="24">
        <v>1</v>
      </c>
      <c r="J188" s="24">
        <v>459</v>
      </c>
      <c r="K188" s="27">
        <v>0.98474945533769065</v>
      </c>
      <c r="L188" s="27">
        <v>4.3572984749455342E-3</v>
      </c>
      <c r="M188" s="27">
        <v>8.7145969498910684E-3</v>
      </c>
      <c r="N188" s="27">
        <v>2.1786492374727671E-3</v>
      </c>
      <c r="O188" s="25">
        <v>39.583877995642702</v>
      </c>
    </row>
    <row r="189" spans="1:15" x14ac:dyDescent="0.25">
      <c r="A189" s="23">
        <v>0.32180851063829785</v>
      </c>
      <c r="B189" s="23">
        <v>0.31648936170212766</v>
      </c>
      <c r="C189" s="23">
        <v>0.3271276595744681</v>
      </c>
      <c r="D189" s="23">
        <v>2.3936170212765957E-2</v>
      </c>
      <c r="E189" s="23">
        <v>2.6595744680851063E-3</v>
      </c>
      <c r="F189" s="24">
        <v>458</v>
      </c>
      <c r="G189" s="24">
        <v>0</v>
      </c>
      <c r="H189" s="24">
        <v>1</v>
      </c>
      <c r="I189" s="24">
        <v>1</v>
      </c>
      <c r="J189" s="24">
        <v>460</v>
      </c>
      <c r="K189" s="27">
        <v>0.9956521739130435</v>
      </c>
      <c r="L189" s="27">
        <v>0</v>
      </c>
      <c r="M189" s="27">
        <v>2.1739130434782609E-3</v>
      </c>
      <c r="N189" s="27">
        <v>2.1739130434782609E-3</v>
      </c>
      <c r="O189" s="25">
        <v>30.263043478260869</v>
      </c>
    </row>
    <row r="190" spans="1:15" x14ac:dyDescent="0.25">
      <c r="A190" s="23">
        <v>0.26217228464419473</v>
      </c>
      <c r="B190" s="23">
        <v>0.44756554307116103</v>
      </c>
      <c r="C190" s="23">
        <v>0.25093632958801498</v>
      </c>
      <c r="D190" s="23">
        <v>2.9962546816479401E-2</v>
      </c>
      <c r="E190" s="23">
        <v>3.7453183520599251E-3</v>
      </c>
      <c r="F190" s="24">
        <v>459</v>
      </c>
      <c r="G190" s="24">
        <v>0</v>
      </c>
      <c r="H190" s="24">
        <v>1</v>
      </c>
      <c r="I190" s="24">
        <v>0</v>
      </c>
      <c r="J190" s="24">
        <v>460</v>
      </c>
      <c r="K190" s="27">
        <v>0.99782608695652175</v>
      </c>
      <c r="L190" s="27">
        <v>0</v>
      </c>
      <c r="M190" s="27">
        <v>2.1739130434782609E-3</v>
      </c>
      <c r="N190" s="27">
        <v>0</v>
      </c>
      <c r="O190" s="25">
        <v>22.39782608695652</v>
      </c>
    </row>
    <row r="191" spans="1:15" x14ac:dyDescent="0.25">
      <c r="A191" s="23">
        <v>0.26653696498054474</v>
      </c>
      <c r="B191" s="23">
        <v>0.45136186770428016</v>
      </c>
      <c r="C191" s="23">
        <v>0.23929961089494164</v>
      </c>
      <c r="D191" s="23">
        <v>3.5019455252918288E-2</v>
      </c>
      <c r="E191" s="23">
        <v>5.8365758754863814E-3</v>
      </c>
      <c r="F191" s="24">
        <v>386</v>
      </c>
      <c r="G191" s="24">
        <v>20</v>
      </c>
      <c r="H191" s="24">
        <v>40</v>
      </c>
      <c r="I191" s="24">
        <v>4</v>
      </c>
      <c r="J191" s="24">
        <v>450</v>
      </c>
      <c r="K191" s="27">
        <v>0.85777777777777775</v>
      </c>
      <c r="L191" s="27">
        <v>4.4444444444444446E-2</v>
      </c>
      <c r="M191" s="27">
        <v>8.8888888888888892E-2</v>
      </c>
      <c r="N191" s="27">
        <v>8.8888888888888889E-3</v>
      </c>
      <c r="O191" s="25">
        <v>73.551111111111112</v>
      </c>
    </row>
    <row r="192" spans="1:15" x14ac:dyDescent="0.25">
      <c r="A192" s="23">
        <v>0.25100401606425704</v>
      </c>
      <c r="B192" s="23">
        <v>0.41767068273092367</v>
      </c>
      <c r="C192" s="23">
        <v>0.28915662650602408</v>
      </c>
      <c r="D192" s="23">
        <v>2.6104417670682729E-2</v>
      </c>
      <c r="E192" s="23">
        <v>4.0160642570281121E-3</v>
      </c>
      <c r="F192" s="24">
        <v>416</v>
      </c>
      <c r="G192" s="24">
        <v>14</v>
      </c>
      <c r="H192" s="24">
        <v>17</v>
      </c>
      <c r="I192" s="24">
        <v>3</v>
      </c>
      <c r="J192" s="24">
        <v>450</v>
      </c>
      <c r="K192" s="27">
        <v>0.9244444444444444</v>
      </c>
      <c r="L192" s="27">
        <v>3.111111111111111E-2</v>
      </c>
      <c r="M192" s="27">
        <v>3.7777777777777778E-2</v>
      </c>
      <c r="N192" s="27">
        <v>6.6666666666666671E-3</v>
      </c>
      <c r="O192" s="25">
        <v>68.908888888888896</v>
      </c>
    </row>
    <row r="193" spans="1:15" x14ac:dyDescent="0.25">
      <c r="A193" s="23">
        <v>0.34630350194552528</v>
      </c>
      <c r="B193" s="23">
        <v>0.39494163424124512</v>
      </c>
      <c r="C193" s="23">
        <v>0.23735408560311283</v>
      </c>
      <c r="D193" s="23">
        <v>1.556420233463035E-2</v>
      </c>
      <c r="E193" s="23">
        <v>3.8910505836575876E-3</v>
      </c>
      <c r="F193" s="24">
        <v>416</v>
      </c>
      <c r="G193" s="24">
        <v>6</v>
      </c>
      <c r="H193" s="24">
        <v>23</v>
      </c>
      <c r="I193" s="24">
        <v>5</v>
      </c>
      <c r="J193" s="24">
        <v>450</v>
      </c>
      <c r="K193" s="27">
        <v>0.9244444444444444</v>
      </c>
      <c r="L193" s="27">
        <v>1.3333333333333334E-2</v>
      </c>
      <c r="M193" s="27">
        <v>5.1111111111111114E-2</v>
      </c>
      <c r="N193" s="27">
        <v>1.1111111111111112E-2</v>
      </c>
      <c r="O193" s="25">
        <v>61.108888888888892</v>
      </c>
    </row>
    <row r="194" spans="1:15" x14ac:dyDescent="0.25">
      <c r="A194" s="23">
        <v>0.33455882352941174</v>
      </c>
      <c r="B194" s="23">
        <v>0.41176470588235292</v>
      </c>
      <c r="C194" s="23">
        <v>0.23529411764705882</v>
      </c>
      <c r="D194" s="23">
        <v>1.1029411764705883E-2</v>
      </c>
      <c r="E194" s="23">
        <v>1.838235294117647E-3</v>
      </c>
      <c r="F194" s="24">
        <v>596</v>
      </c>
      <c r="G194" s="24">
        <v>13</v>
      </c>
      <c r="H194" s="24">
        <v>37</v>
      </c>
      <c r="I194" s="24">
        <v>5</v>
      </c>
      <c r="J194" s="24">
        <v>651</v>
      </c>
      <c r="K194" s="27">
        <v>0.91551459293394777</v>
      </c>
      <c r="L194" s="27">
        <v>1.9969278033794162E-2</v>
      </c>
      <c r="M194" s="27">
        <v>5.683563748079877E-2</v>
      </c>
      <c r="N194" s="27">
        <v>7.6804915514592934E-3</v>
      </c>
      <c r="O194" s="25">
        <v>51.485407066052225</v>
      </c>
    </row>
    <row r="195" spans="1:15" x14ac:dyDescent="0.25">
      <c r="A195" s="23">
        <v>0.21657754010695188</v>
      </c>
      <c r="B195" s="23">
        <v>0.40106951871657753</v>
      </c>
      <c r="C195" s="23">
        <v>0.33957219251336901</v>
      </c>
      <c r="D195" s="23">
        <v>3.2085561497326207E-2</v>
      </c>
      <c r="E195" s="23">
        <v>2.6737967914438501E-3</v>
      </c>
      <c r="F195" s="24">
        <v>606</v>
      </c>
      <c r="G195" s="24">
        <v>18</v>
      </c>
      <c r="H195" s="24">
        <v>24</v>
      </c>
      <c r="I195" s="24">
        <v>4</v>
      </c>
      <c r="J195" s="24">
        <v>652</v>
      </c>
      <c r="K195" s="27">
        <v>0.92944785276073616</v>
      </c>
      <c r="L195" s="27">
        <v>2.7607361963190184E-2</v>
      </c>
      <c r="M195" s="27">
        <v>3.6809815950920248E-2</v>
      </c>
      <c r="N195" s="27">
        <v>6.1349693251533744E-3</v>
      </c>
      <c r="O195" s="25">
        <v>43.915644171779142</v>
      </c>
    </row>
    <row r="196" spans="1:15" x14ac:dyDescent="0.25">
      <c r="A196" s="23">
        <v>0.21008403361344538</v>
      </c>
      <c r="B196" s="23">
        <v>0.50980392156862742</v>
      </c>
      <c r="C196" s="23">
        <v>0.24369747899159663</v>
      </c>
      <c r="D196" s="23">
        <v>2.8011204481792718E-2</v>
      </c>
      <c r="E196" s="23">
        <v>2.8011204481792717E-3</v>
      </c>
      <c r="F196" s="24">
        <v>616</v>
      </c>
      <c r="G196" s="24">
        <v>16</v>
      </c>
      <c r="H196" s="24">
        <v>19</v>
      </c>
      <c r="I196" s="24">
        <v>1</v>
      </c>
      <c r="J196" s="24">
        <v>652</v>
      </c>
      <c r="K196" s="27">
        <v>0.94478527607361962</v>
      </c>
      <c r="L196" s="27">
        <v>2.4539877300613498E-2</v>
      </c>
      <c r="M196" s="27">
        <v>2.9141104294478526E-2</v>
      </c>
      <c r="N196" s="27">
        <v>1.5337423312883436E-3</v>
      </c>
      <c r="O196" s="25">
        <v>38.335889570552148</v>
      </c>
    </row>
    <row r="197" spans="1:15" x14ac:dyDescent="0.25">
      <c r="A197" s="23">
        <v>0.3108108108108108</v>
      </c>
      <c r="B197" s="23">
        <v>0.48378378378378378</v>
      </c>
      <c r="C197" s="23">
        <v>0.18378378378378379</v>
      </c>
      <c r="D197" s="23">
        <v>1.6216216216216217E-2</v>
      </c>
      <c r="E197" s="23">
        <v>5.4054054054054057E-3</v>
      </c>
      <c r="F197" s="24">
        <v>627</v>
      </c>
      <c r="G197" s="24">
        <v>6</v>
      </c>
      <c r="H197" s="24">
        <v>19</v>
      </c>
      <c r="I197" s="24">
        <v>0</v>
      </c>
      <c r="J197" s="24">
        <v>652</v>
      </c>
      <c r="K197" s="27">
        <v>0.96165644171779141</v>
      </c>
      <c r="L197" s="27">
        <v>9.202453987730062E-3</v>
      </c>
      <c r="M197" s="27">
        <v>2.9141104294478526E-2</v>
      </c>
      <c r="N197" s="27">
        <v>0</v>
      </c>
      <c r="O197" s="25">
        <v>32.138036809815951</v>
      </c>
    </row>
    <row r="198" spans="1:15" x14ac:dyDescent="0.25">
      <c r="A198" s="23">
        <v>0.28900255754475701</v>
      </c>
      <c r="B198" s="23">
        <v>0.45012787723785164</v>
      </c>
      <c r="C198" s="23">
        <v>0.24296675191815856</v>
      </c>
      <c r="D198" s="23">
        <v>1.278772378516624E-2</v>
      </c>
      <c r="E198" s="23">
        <v>2.5575447570332483E-3</v>
      </c>
      <c r="F198" s="24">
        <v>633</v>
      </c>
      <c r="G198" s="24">
        <v>2</v>
      </c>
      <c r="H198" s="24">
        <v>17</v>
      </c>
      <c r="I198" s="24">
        <v>0</v>
      </c>
      <c r="J198" s="24">
        <v>652</v>
      </c>
      <c r="K198" s="27">
        <v>0.97085889570552142</v>
      </c>
      <c r="L198" s="27">
        <v>3.0674846625766872E-3</v>
      </c>
      <c r="M198" s="27">
        <v>2.6073619631901839E-2</v>
      </c>
      <c r="N198" s="27">
        <v>0</v>
      </c>
      <c r="O198" s="25">
        <v>23.225460122699385</v>
      </c>
    </row>
    <row r="199" spans="1:15" x14ac:dyDescent="0.25">
      <c r="A199" s="23">
        <v>0.66972477064220182</v>
      </c>
      <c r="B199" s="23">
        <v>6.7278287461773695E-2</v>
      </c>
      <c r="C199" s="23">
        <v>0.22324159021406728</v>
      </c>
      <c r="D199" s="23">
        <v>1.2232415902140673E-2</v>
      </c>
      <c r="E199" s="23">
        <v>1.2232415902140673E-2</v>
      </c>
      <c r="F199" s="24">
        <v>87</v>
      </c>
      <c r="G199" s="24">
        <v>345</v>
      </c>
      <c r="H199" s="24">
        <v>16</v>
      </c>
      <c r="I199" s="24">
        <v>2</v>
      </c>
      <c r="J199" s="24">
        <v>450</v>
      </c>
      <c r="K199" s="27">
        <v>0.19333333333333333</v>
      </c>
      <c r="L199" s="27">
        <v>0.76666666666666672</v>
      </c>
      <c r="M199" s="27">
        <v>3.5555555555555556E-2</v>
      </c>
      <c r="N199" s="27">
        <v>4.4444444444444444E-3</v>
      </c>
      <c r="O199" s="25">
        <v>71.724444444444444</v>
      </c>
    </row>
    <row r="200" spans="1:15" x14ac:dyDescent="0.25">
      <c r="A200" s="23">
        <v>0.71352785145888598</v>
      </c>
      <c r="B200" s="23">
        <v>6.1007957559681698E-2</v>
      </c>
      <c r="C200" s="23">
        <v>0.1856763925729443</v>
      </c>
      <c r="D200" s="23">
        <v>2.1220159151193633E-2</v>
      </c>
      <c r="E200" s="23">
        <v>2.6525198938992041E-3</v>
      </c>
      <c r="F200" s="24">
        <v>114</v>
      </c>
      <c r="G200" s="24">
        <v>319</v>
      </c>
      <c r="H200" s="24">
        <v>12</v>
      </c>
      <c r="I200" s="24">
        <v>5</v>
      </c>
      <c r="J200" s="24">
        <v>450</v>
      </c>
      <c r="K200" s="27">
        <v>0.25333333333333335</v>
      </c>
      <c r="L200" s="27">
        <v>0.7088888888888889</v>
      </c>
      <c r="M200" s="27">
        <v>2.6666666666666668E-2</v>
      </c>
      <c r="N200" s="27">
        <v>1.1111111111111112E-2</v>
      </c>
      <c r="O200" s="25">
        <v>61.26</v>
      </c>
    </row>
    <row r="201" spans="1:15" x14ac:dyDescent="0.25">
      <c r="A201" s="23">
        <v>0.79133858267716539</v>
      </c>
      <c r="B201" s="23">
        <v>0.1062992125984252</v>
      </c>
      <c r="C201" s="23">
        <v>9.055118110236221E-2</v>
      </c>
      <c r="D201" s="23">
        <v>7.874015748031496E-3</v>
      </c>
      <c r="E201" s="23">
        <v>0</v>
      </c>
      <c r="F201" s="24">
        <v>136</v>
      </c>
      <c r="G201" s="24">
        <v>477</v>
      </c>
      <c r="H201" s="24">
        <v>8</v>
      </c>
      <c r="I201" s="24">
        <v>1</v>
      </c>
      <c r="J201" s="24">
        <v>622</v>
      </c>
      <c r="K201" s="27">
        <v>0.21864951768488747</v>
      </c>
      <c r="L201" s="27">
        <v>0.76688102893890675</v>
      </c>
      <c r="M201" s="27">
        <v>1.2861736334405145E-2</v>
      </c>
      <c r="N201" s="27">
        <v>1.6077170418006431E-3</v>
      </c>
      <c r="O201" s="25">
        <v>50.926045016077168</v>
      </c>
    </row>
    <row r="202" spans="1:15" x14ac:dyDescent="0.25">
      <c r="A202" s="23">
        <v>0.71047227926078027</v>
      </c>
      <c r="B202" s="23">
        <v>0.16016427104722791</v>
      </c>
      <c r="C202" s="23">
        <v>0.11704312114989733</v>
      </c>
      <c r="D202" s="23">
        <v>4.1067761806981521E-3</v>
      </c>
      <c r="E202" s="23">
        <v>0</v>
      </c>
      <c r="F202" s="24">
        <v>190</v>
      </c>
      <c r="G202" s="24">
        <v>405</v>
      </c>
      <c r="H202" s="24">
        <v>25</v>
      </c>
      <c r="I202" s="24">
        <v>2</v>
      </c>
      <c r="J202" s="24">
        <v>622</v>
      </c>
      <c r="K202" s="27">
        <v>0.30546623794212219</v>
      </c>
      <c r="L202" s="27">
        <v>0.65112540192926049</v>
      </c>
      <c r="M202" s="27">
        <v>4.0192926045016078E-2</v>
      </c>
      <c r="N202" s="27">
        <v>3.2154340836012861E-3</v>
      </c>
      <c r="O202" s="25">
        <v>38.9935691318328</v>
      </c>
    </row>
    <row r="203" spans="1:15" x14ac:dyDescent="0.25">
      <c r="A203" s="23">
        <v>0.54661016949152541</v>
      </c>
      <c r="B203" s="23">
        <v>0.26271186440677968</v>
      </c>
      <c r="C203" s="23">
        <v>0.18432203389830509</v>
      </c>
      <c r="D203" s="23">
        <v>2.1186440677966102E-3</v>
      </c>
      <c r="E203" s="23">
        <v>2.1186440677966102E-3</v>
      </c>
      <c r="F203" s="24">
        <v>314</v>
      </c>
      <c r="G203" s="24">
        <v>280</v>
      </c>
      <c r="H203" s="24">
        <v>24</v>
      </c>
      <c r="I203" s="24">
        <v>4</v>
      </c>
      <c r="J203" s="24">
        <v>622</v>
      </c>
      <c r="K203" s="27">
        <v>0.50482315112540188</v>
      </c>
      <c r="L203" s="27">
        <v>0.45016077170418006</v>
      </c>
      <c r="M203" s="27">
        <v>3.8585209003215437E-2</v>
      </c>
      <c r="N203" s="27">
        <v>6.4308681672025723E-3</v>
      </c>
      <c r="O203" s="25">
        <v>24.340836012861736</v>
      </c>
    </row>
    <row r="204" spans="1:15" x14ac:dyDescent="0.25">
      <c r="A204" s="23">
        <v>0.33242506811989103</v>
      </c>
      <c r="B204" s="23">
        <v>0.28610354223433243</v>
      </c>
      <c r="C204" s="23">
        <v>0.34877384196185285</v>
      </c>
      <c r="D204" s="23">
        <v>1.0899182561307902E-2</v>
      </c>
      <c r="E204" s="23">
        <v>8.1743869209809257E-3</v>
      </c>
      <c r="F204" s="24">
        <v>333</v>
      </c>
      <c r="G204" s="24">
        <v>72</v>
      </c>
      <c r="H204" s="24">
        <v>44</v>
      </c>
      <c r="I204" s="24">
        <v>1</v>
      </c>
      <c r="J204" s="24">
        <v>450</v>
      </c>
      <c r="K204" s="27">
        <v>0.74</v>
      </c>
      <c r="L204" s="27">
        <v>0.16</v>
      </c>
      <c r="M204" s="27">
        <v>9.7777777777777783E-2</v>
      </c>
      <c r="N204" s="27">
        <v>2.2222222222222222E-3</v>
      </c>
      <c r="O204" s="25">
        <v>65.202222222222218</v>
      </c>
    </row>
    <row r="205" spans="1:15" x14ac:dyDescent="0.25">
      <c r="A205" s="23">
        <v>0.2871536523929471</v>
      </c>
      <c r="B205" s="23">
        <v>0.4282115869017632</v>
      </c>
      <c r="C205" s="23">
        <v>0.24937027707808565</v>
      </c>
      <c r="D205" s="23">
        <v>2.5188916876574308E-2</v>
      </c>
      <c r="E205" s="23">
        <v>5.0377833753148613E-3</v>
      </c>
      <c r="F205" s="24">
        <v>358</v>
      </c>
      <c r="G205" s="24">
        <v>61</v>
      </c>
      <c r="H205" s="24">
        <v>29</v>
      </c>
      <c r="I205" s="24">
        <v>2</v>
      </c>
      <c r="J205" s="24">
        <v>450</v>
      </c>
      <c r="K205" s="27">
        <v>0.79555555555555557</v>
      </c>
      <c r="L205" s="27">
        <v>0.13555555555555557</v>
      </c>
      <c r="M205" s="27">
        <v>6.4444444444444443E-2</v>
      </c>
      <c r="N205" s="27">
        <v>4.4444444444444444E-3</v>
      </c>
      <c r="O205" s="25">
        <v>55.204444444444441</v>
      </c>
    </row>
    <row r="206" spans="1:15" x14ac:dyDescent="0.25">
      <c r="A206" s="23">
        <v>0.33072407045009783</v>
      </c>
      <c r="B206" s="23">
        <v>0.48336594911937375</v>
      </c>
      <c r="C206" s="23">
        <v>0.17025440313111545</v>
      </c>
      <c r="D206" s="23">
        <v>7.8277886497064575E-3</v>
      </c>
      <c r="E206" s="23">
        <v>5.8708414872798431E-3</v>
      </c>
      <c r="F206" s="24">
        <v>492</v>
      </c>
      <c r="G206" s="24">
        <v>107</v>
      </c>
      <c r="H206" s="24">
        <v>29</v>
      </c>
      <c r="I206" s="24">
        <v>5</v>
      </c>
      <c r="J206" s="24">
        <v>633</v>
      </c>
      <c r="K206" s="27">
        <v>0.77725118483412325</v>
      </c>
      <c r="L206" s="27">
        <v>0.16903633491311215</v>
      </c>
      <c r="M206" s="27">
        <v>4.5813586097946286E-2</v>
      </c>
      <c r="N206" s="27">
        <v>7.8988941548183249E-3</v>
      </c>
      <c r="O206" s="25">
        <v>44.606635071090047</v>
      </c>
    </row>
    <row r="207" spans="1:15" x14ac:dyDescent="0.25">
      <c r="A207" s="23">
        <v>0.30497925311203322</v>
      </c>
      <c r="B207" s="23">
        <v>0.49792531120331951</v>
      </c>
      <c r="C207" s="23">
        <v>0.17842323651452283</v>
      </c>
      <c r="D207" s="23">
        <v>8.2987551867219917E-3</v>
      </c>
      <c r="E207" s="23">
        <v>4.1493775933609959E-3</v>
      </c>
      <c r="F207" s="24">
        <v>509</v>
      </c>
      <c r="G207" s="24">
        <v>89</v>
      </c>
      <c r="H207" s="24">
        <v>35</v>
      </c>
      <c r="I207" s="24">
        <v>0</v>
      </c>
      <c r="J207" s="24">
        <v>633</v>
      </c>
      <c r="K207" s="27">
        <v>0.80410742496050558</v>
      </c>
      <c r="L207" s="27">
        <v>0.14060031595576619</v>
      </c>
      <c r="M207" s="27">
        <v>5.5292259083728278E-2</v>
      </c>
      <c r="N207" s="27">
        <v>0</v>
      </c>
      <c r="O207" s="25">
        <v>36.650868878357031</v>
      </c>
    </row>
    <row r="208" spans="1:15" x14ac:dyDescent="0.25">
      <c r="A208" s="23">
        <v>0.39411764705882352</v>
      </c>
      <c r="B208" s="23">
        <v>0.396078431372549</v>
      </c>
      <c r="C208" s="23">
        <v>0.19215686274509805</v>
      </c>
      <c r="D208" s="23">
        <v>1.3725490196078431E-2</v>
      </c>
      <c r="E208" s="23">
        <v>1.9607843137254902E-3</v>
      </c>
      <c r="F208" s="24">
        <v>534</v>
      </c>
      <c r="G208" s="24">
        <v>60</v>
      </c>
      <c r="H208" s="24">
        <v>38</v>
      </c>
      <c r="I208" s="24">
        <v>1</v>
      </c>
      <c r="J208" s="24">
        <v>633</v>
      </c>
      <c r="K208" s="27">
        <v>0.84360189573459721</v>
      </c>
      <c r="L208" s="27">
        <v>9.4786729857819899E-2</v>
      </c>
      <c r="M208" s="27">
        <v>6.0031595576619273E-2</v>
      </c>
      <c r="N208" s="27">
        <v>1.5797788309636651E-3</v>
      </c>
      <c r="O208" s="25">
        <v>29.723538704581358</v>
      </c>
    </row>
    <row r="209" spans="1:15" x14ac:dyDescent="0.25">
      <c r="A209" s="23">
        <v>0.41745730550284632</v>
      </c>
      <c r="B209" s="23">
        <v>0.396584440227704</v>
      </c>
      <c r="C209" s="23">
        <v>0.16129032258064516</v>
      </c>
      <c r="D209" s="23">
        <v>1.7077798861480076E-2</v>
      </c>
      <c r="E209" s="23">
        <v>5.6925996204933585E-3</v>
      </c>
      <c r="F209" s="24">
        <v>556</v>
      </c>
      <c r="G209" s="24">
        <v>56</v>
      </c>
      <c r="H209" s="24">
        <v>22</v>
      </c>
      <c r="I209" s="24">
        <v>0</v>
      </c>
      <c r="J209" s="24">
        <v>634</v>
      </c>
      <c r="K209" s="27">
        <v>0.87697160883280756</v>
      </c>
      <c r="L209" s="27">
        <v>8.8328075709779186E-2</v>
      </c>
      <c r="M209" s="27">
        <v>3.4700315457413249E-2</v>
      </c>
      <c r="N209" s="27">
        <v>0</v>
      </c>
      <c r="O209" s="25">
        <v>24.347003154574132</v>
      </c>
    </row>
    <row r="210" spans="1:15" x14ac:dyDescent="0.25">
      <c r="A210" s="23">
        <v>0.32789855072463769</v>
      </c>
      <c r="B210" s="23">
        <v>0.52173913043478259</v>
      </c>
      <c r="C210" s="23">
        <v>0.12681159420289856</v>
      </c>
      <c r="D210" s="23">
        <v>1.6304347826086956E-2</v>
      </c>
      <c r="E210" s="23">
        <v>3.6231884057971015E-3</v>
      </c>
      <c r="F210" s="24">
        <v>570</v>
      </c>
      <c r="G210" s="24">
        <v>45</v>
      </c>
      <c r="H210" s="24">
        <v>19</v>
      </c>
      <c r="I210" s="24">
        <v>0</v>
      </c>
      <c r="J210" s="24">
        <v>634</v>
      </c>
      <c r="K210" s="27">
        <v>0.89905362776025233</v>
      </c>
      <c r="L210" s="27">
        <v>7.0977917981072558E-2</v>
      </c>
      <c r="M210" s="27">
        <v>2.996845425867508E-2</v>
      </c>
      <c r="N210" s="27">
        <v>0</v>
      </c>
      <c r="O210" s="25">
        <v>19.962145110410095</v>
      </c>
    </row>
    <row r="211" spans="1:15" x14ac:dyDescent="0.25">
      <c r="A211" s="23">
        <v>0.625</v>
      </c>
      <c r="B211" s="23">
        <v>0.10975609756097561</v>
      </c>
      <c r="C211" s="23">
        <v>0.19817073170731708</v>
      </c>
      <c r="D211" s="23">
        <v>1.524390243902439E-2</v>
      </c>
      <c r="E211" s="23">
        <v>6.0975609756097563E-3</v>
      </c>
      <c r="F211" s="24">
        <v>148</v>
      </c>
      <c r="G211" s="24">
        <v>200</v>
      </c>
      <c r="H211" s="24">
        <v>98</v>
      </c>
      <c r="I211" s="24">
        <v>4</v>
      </c>
      <c r="J211" s="24">
        <v>450</v>
      </c>
      <c r="K211" s="27">
        <v>0.3288888888888889</v>
      </c>
      <c r="L211" s="27">
        <v>0.44444444444444442</v>
      </c>
      <c r="M211" s="27">
        <v>0.21777777777777776</v>
      </c>
      <c r="N211" s="27">
        <v>8.8888888888888889E-3</v>
      </c>
      <c r="O211" s="25">
        <v>65.353333333333339</v>
      </c>
    </row>
    <row r="212" spans="1:15" x14ac:dyDescent="0.25">
      <c r="A212" s="23">
        <v>0.49479166666666669</v>
      </c>
      <c r="B212" s="23">
        <v>0.15885416666666666</v>
      </c>
      <c r="C212" s="23">
        <v>0.31770833333333331</v>
      </c>
      <c r="D212" s="23">
        <v>1.8229166666666668E-2</v>
      </c>
      <c r="E212" s="23">
        <v>5.208333333333333E-3</v>
      </c>
      <c r="F212" s="24">
        <v>216</v>
      </c>
      <c r="G212" s="24">
        <v>169</v>
      </c>
      <c r="H212" s="24">
        <v>61</v>
      </c>
      <c r="I212" s="24">
        <v>4</v>
      </c>
      <c r="J212" s="24">
        <v>450</v>
      </c>
      <c r="K212" s="27">
        <v>0.48</v>
      </c>
      <c r="L212" s="27">
        <v>0.37555555555555553</v>
      </c>
      <c r="M212" s="27">
        <v>0.13555555555555557</v>
      </c>
      <c r="N212" s="27">
        <v>8.8888888888888889E-3</v>
      </c>
      <c r="O212" s="25">
        <v>61.548888888888889</v>
      </c>
    </row>
    <row r="213" spans="1:15" x14ac:dyDescent="0.25">
      <c r="A213" s="23">
        <v>0.52631578947368418</v>
      </c>
      <c r="B213" s="23">
        <v>0.24319419237749546</v>
      </c>
      <c r="C213" s="23">
        <v>0.21052631578947367</v>
      </c>
      <c r="D213" s="23">
        <v>7.2595281306715061E-3</v>
      </c>
      <c r="E213" s="23">
        <v>0</v>
      </c>
      <c r="F213" s="24">
        <v>317</v>
      </c>
      <c r="G213" s="24">
        <v>260</v>
      </c>
      <c r="H213" s="24">
        <v>83</v>
      </c>
      <c r="I213" s="24">
        <v>6</v>
      </c>
      <c r="J213" s="24">
        <v>666</v>
      </c>
      <c r="K213" s="27">
        <v>0.47597597597597596</v>
      </c>
      <c r="L213" s="27">
        <v>0.39039039039039036</v>
      </c>
      <c r="M213" s="27">
        <v>0.12462462462462462</v>
      </c>
      <c r="N213" s="27">
        <v>9.0090090090090089E-3</v>
      </c>
      <c r="O213" s="25">
        <v>52.996996996996998</v>
      </c>
    </row>
    <row r="214" spans="1:15" x14ac:dyDescent="0.25">
      <c r="A214" s="23">
        <v>0.57471264367816088</v>
      </c>
      <c r="B214" s="23">
        <v>0.22988505747126436</v>
      </c>
      <c r="C214" s="23">
        <v>0.17624521072796934</v>
      </c>
      <c r="D214" s="23">
        <v>1.1494252873563218E-2</v>
      </c>
      <c r="E214" s="23">
        <v>1.9157088122605363E-3</v>
      </c>
      <c r="F214" s="24">
        <v>304</v>
      </c>
      <c r="G214" s="24">
        <v>252</v>
      </c>
      <c r="H214" s="24">
        <v>99</v>
      </c>
      <c r="I214" s="24">
        <v>11</v>
      </c>
      <c r="J214" s="24">
        <v>666</v>
      </c>
      <c r="K214" s="27">
        <v>0.45645645645645644</v>
      </c>
      <c r="L214" s="27">
        <v>0.3783783783783784</v>
      </c>
      <c r="M214" s="27">
        <v>0.14864864864864866</v>
      </c>
      <c r="N214" s="27">
        <v>1.6516516516516516E-2</v>
      </c>
      <c r="O214" s="25">
        <v>44.195195195195197</v>
      </c>
    </row>
    <row r="215" spans="1:15" x14ac:dyDescent="0.25">
      <c r="A215" s="23">
        <v>0.524896265560166</v>
      </c>
      <c r="B215" s="23">
        <v>0.2863070539419087</v>
      </c>
      <c r="C215" s="23">
        <v>0.17012448132780084</v>
      </c>
      <c r="D215" s="23">
        <v>8.2987551867219917E-3</v>
      </c>
      <c r="E215" s="23">
        <v>6.2240663900414933E-3</v>
      </c>
      <c r="F215" s="24">
        <v>344</v>
      </c>
      <c r="G215" s="24">
        <v>229</v>
      </c>
      <c r="H215" s="24">
        <v>90</v>
      </c>
      <c r="I215" s="24">
        <v>3</v>
      </c>
      <c r="J215" s="24">
        <v>666</v>
      </c>
      <c r="K215" s="27">
        <v>0.51651651651651653</v>
      </c>
      <c r="L215" s="27">
        <v>0.34384384384384387</v>
      </c>
      <c r="M215" s="27">
        <v>0.13513513513513514</v>
      </c>
      <c r="N215" s="27">
        <v>4.5045045045045045E-3</v>
      </c>
      <c r="O215" s="25">
        <v>37.475975975975977</v>
      </c>
    </row>
    <row r="216" spans="1:15" x14ac:dyDescent="0.25">
      <c r="A216" s="23">
        <v>0.48697394789579157</v>
      </c>
      <c r="B216" s="23">
        <v>0.34268537074148298</v>
      </c>
      <c r="C216" s="23">
        <v>0.16232464929859719</v>
      </c>
      <c r="D216" s="23">
        <v>8.0160320641282558E-3</v>
      </c>
      <c r="E216" s="23">
        <v>0</v>
      </c>
      <c r="F216" s="24">
        <v>379</v>
      </c>
      <c r="G216" s="24">
        <v>196</v>
      </c>
      <c r="H216" s="24">
        <v>88</v>
      </c>
      <c r="I216" s="24">
        <v>3</v>
      </c>
      <c r="J216" s="24">
        <v>666</v>
      </c>
      <c r="K216" s="27">
        <v>0.56906906906906907</v>
      </c>
      <c r="L216" s="27">
        <v>0.29429429429429427</v>
      </c>
      <c r="M216" s="27">
        <v>0.13213213213213212</v>
      </c>
      <c r="N216" s="27">
        <v>4.5045045045045045E-3</v>
      </c>
      <c r="O216" s="25">
        <v>31.84984984984985</v>
      </c>
    </row>
    <row r="217" spans="1:15" x14ac:dyDescent="0.25">
      <c r="A217" s="23">
        <v>0.45309381237524948</v>
      </c>
      <c r="B217" s="23">
        <v>0.3532934131736527</v>
      </c>
      <c r="C217" s="23">
        <v>0.17764471057884232</v>
      </c>
      <c r="D217" s="23">
        <v>1.1976047904191617E-2</v>
      </c>
      <c r="E217" s="23">
        <v>1.996007984031936E-3</v>
      </c>
      <c r="F217" s="24">
        <v>428</v>
      </c>
      <c r="G217" s="24">
        <v>171</v>
      </c>
      <c r="H217" s="24">
        <v>67</v>
      </c>
      <c r="I217" s="24">
        <v>0</v>
      </c>
      <c r="J217" s="24">
        <v>666</v>
      </c>
      <c r="K217" s="27">
        <v>0.64264264264264259</v>
      </c>
      <c r="L217" s="27">
        <v>0.25675675675675674</v>
      </c>
      <c r="M217" s="27">
        <v>0.1006006006006006</v>
      </c>
      <c r="N217" s="27">
        <v>0</v>
      </c>
      <c r="O217" s="25">
        <v>27.208708708708709</v>
      </c>
    </row>
    <row r="218" spans="1:15" x14ac:dyDescent="0.25">
      <c r="A218" s="23">
        <v>0.48766603415559773</v>
      </c>
      <c r="B218" s="23">
        <v>0.3776091081593928</v>
      </c>
      <c r="C218" s="23">
        <v>0.13282732447817835</v>
      </c>
      <c r="D218" s="23">
        <v>1.8975332068311196E-3</v>
      </c>
      <c r="E218" s="23">
        <v>0</v>
      </c>
      <c r="F218" s="24">
        <v>435</v>
      </c>
      <c r="G218" s="24">
        <v>153</v>
      </c>
      <c r="H218" s="24">
        <v>79</v>
      </c>
      <c r="I218" s="24">
        <v>0</v>
      </c>
      <c r="J218" s="24">
        <v>667</v>
      </c>
      <c r="K218" s="27">
        <v>0.65217391304347827</v>
      </c>
      <c r="L218" s="27">
        <v>0.22938530734632684</v>
      </c>
      <c r="M218" s="27">
        <v>0.1184407796101949</v>
      </c>
      <c r="N218" s="27">
        <v>0</v>
      </c>
      <c r="O218" s="25">
        <v>23.469265367316343</v>
      </c>
    </row>
    <row r="219" spans="1:15" x14ac:dyDescent="0.25">
      <c r="A219" s="23">
        <v>0.3688073394495413</v>
      </c>
      <c r="B219" s="23">
        <v>0.44220183486238535</v>
      </c>
      <c r="C219" s="23">
        <v>0.1798165137614679</v>
      </c>
      <c r="D219" s="23">
        <v>1.834862385321101E-3</v>
      </c>
      <c r="E219" s="23">
        <v>1.834862385321101E-3</v>
      </c>
      <c r="F219" s="24">
        <v>478</v>
      </c>
      <c r="G219" s="24">
        <v>124</v>
      </c>
      <c r="H219" s="24">
        <v>65</v>
      </c>
      <c r="I219" s="24">
        <v>0</v>
      </c>
      <c r="J219" s="24">
        <v>667</v>
      </c>
      <c r="K219" s="27">
        <v>0.71664167916041976</v>
      </c>
      <c r="L219" s="27">
        <v>0.18590704647676162</v>
      </c>
      <c r="M219" s="27">
        <v>9.7451274362818585E-2</v>
      </c>
      <c r="N219" s="27">
        <v>0</v>
      </c>
      <c r="O219" s="25">
        <v>19.751124437781108</v>
      </c>
    </row>
    <row r="220" spans="1:15" x14ac:dyDescent="0.25">
      <c r="A220" s="23">
        <v>0.44554455445544555</v>
      </c>
      <c r="B220" s="23">
        <v>0.13531353135313531</v>
      </c>
      <c r="C220" s="23">
        <v>0.36303630363036304</v>
      </c>
      <c r="D220" s="23">
        <v>1.65016501650165E-2</v>
      </c>
      <c r="E220" s="23">
        <v>6.6006600660066007E-3</v>
      </c>
      <c r="F220" s="24">
        <v>263</v>
      </c>
      <c r="G220" s="24">
        <v>83</v>
      </c>
      <c r="H220" s="24">
        <v>94</v>
      </c>
      <c r="I220" s="24">
        <v>10</v>
      </c>
      <c r="J220" s="24">
        <v>450</v>
      </c>
      <c r="K220" s="27">
        <v>0.58444444444444443</v>
      </c>
      <c r="L220" s="27">
        <v>0.18444444444444444</v>
      </c>
      <c r="M220" s="27">
        <v>0.2088888888888889</v>
      </c>
      <c r="N220" s="27">
        <v>2.2222222222222223E-2</v>
      </c>
      <c r="O220" s="25">
        <v>72.204444444444448</v>
      </c>
    </row>
    <row r="221" spans="1:15" x14ac:dyDescent="0.25">
      <c r="A221" s="23">
        <v>0.449438202247191</v>
      </c>
      <c r="B221" s="23">
        <v>0.14325842696629212</v>
      </c>
      <c r="C221" s="23">
        <v>0.37359550561797755</v>
      </c>
      <c r="D221" s="23">
        <v>8.4269662921348312E-3</v>
      </c>
      <c r="E221" s="23">
        <v>0</v>
      </c>
      <c r="F221" s="24">
        <v>271</v>
      </c>
      <c r="G221" s="24">
        <v>80</v>
      </c>
      <c r="H221" s="24">
        <v>98</v>
      </c>
      <c r="I221" s="24">
        <v>1</v>
      </c>
      <c r="J221" s="24">
        <v>450</v>
      </c>
      <c r="K221" s="27">
        <v>0.60222222222222221</v>
      </c>
      <c r="L221" s="27">
        <v>0.17777777777777778</v>
      </c>
      <c r="M221" s="27">
        <v>0.21777777777777776</v>
      </c>
      <c r="N221" s="27">
        <v>2.2222222222222222E-3</v>
      </c>
      <c r="O221" s="25">
        <v>64.562222222222218</v>
      </c>
    </row>
    <row r="222" spans="1:15" x14ac:dyDescent="0.25">
      <c r="A222" s="23">
        <v>0.43846153846153846</v>
      </c>
      <c r="B222" s="23">
        <v>0.23846153846153847</v>
      </c>
      <c r="C222" s="23">
        <v>0.27948717948717949</v>
      </c>
      <c r="D222" s="23">
        <v>3.0769230769230771E-2</v>
      </c>
      <c r="E222" s="23">
        <v>2.5641025641025641E-3</v>
      </c>
      <c r="F222" s="24">
        <v>310</v>
      </c>
      <c r="G222" s="24">
        <v>101</v>
      </c>
      <c r="H222" s="24">
        <v>79</v>
      </c>
      <c r="I222" s="24">
        <v>3</v>
      </c>
      <c r="J222" s="24">
        <v>493</v>
      </c>
      <c r="K222" s="27">
        <v>0.62880324543610544</v>
      </c>
      <c r="L222" s="27">
        <v>0.20486815415821502</v>
      </c>
      <c r="M222" s="27">
        <v>0.16024340770791076</v>
      </c>
      <c r="N222" s="27">
        <v>6.0851926977687626E-3</v>
      </c>
      <c r="O222" s="25">
        <v>53.997971602434077</v>
      </c>
    </row>
    <row r="223" spans="1:15" x14ac:dyDescent="0.25">
      <c r="A223" s="23">
        <v>0.3960674157303371</v>
      </c>
      <c r="B223" s="23">
        <v>0.3342696629213483</v>
      </c>
      <c r="C223" s="23">
        <v>0.25</v>
      </c>
      <c r="D223" s="23">
        <v>1.1235955056179775E-2</v>
      </c>
      <c r="E223" s="23">
        <v>2.8089887640449437E-3</v>
      </c>
      <c r="F223" s="24">
        <v>344</v>
      </c>
      <c r="G223" s="24">
        <v>79</v>
      </c>
      <c r="H223" s="24">
        <v>63</v>
      </c>
      <c r="I223" s="24">
        <v>7</v>
      </c>
      <c r="J223" s="24">
        <v>493</v>
      </c>
      <c r="K223" s="27">
        <v>0.69776876267748478</v>
      </c>
      <c r="L223" s="27">
        <v>0.16024340770791076</v>
      </c>
      <c r="M223" s="27">
        <v>0.12778904665314403</v>
      </c>
      <c r="N223" s="27">
        <v>1.4198782961460446E-2</v>
      </c>
      <c r="O223" s="25">
        <v>42.807302231237323</v>
      </c>
    </row>
    <row r="224" spans="1:15" x14ac:dyDescent="0.25">
      <c r="A224" s="23">
        <v>0.36639118457300274</v>
      </c>
      <c r="B224" s="23">
        <v>0.39118457300275483</v>
      </c>
      <c r="C224" s="23">
        <v>0.22865013774104684</v>
      </c>
      <c r="D224" s="23">
        <v>8.2644628099173556E-3</v>
      </c>
      <c r="E224" s="23">
        <v>0</v>
      </c>
      <c r="F224" s="24">
        <v>406</v>
      </c>
      <c r="G224" s="24">
        <v>41</v>
      </c>
      <c r="H224" s="24">
        <v>46</v>
      </c>
      <c r="I224" s="24">
        <v>1</v>
      </c>
      <c r="J224" s="24">
        <v>494</v>
      </c>
      <c r="K224" s="27">
        <v>0.82186234817813764</v>
      </c>
      <c r="L224" s="27">
        <v>8.2995951417004055E-2</v>
      </c>
      <c r="M224" s="27">
        <v>9.3117408906882596E-2</v>
      </c>
      <c r="N224" s="27">
        <v>2.0242914979757085E-3</v>
      </c>
      <c r="O224" s="25">
        <v>33.491902834008094</v>
      </c>
    </row>
    <row r="225" spans="1:15" x14ac:dyDescent="0.25">
      <c r="A225" s="23">
        <v>0.36986301369863012</v>
      </c>
      <c r="B225" s="23">
        <v>0.37534246575342467</v>
      </c>
      <c r="C225" s="23">
        <v>0.24109589041095891</v>
      </c>
      <c r="D225" s="23">
        <v>1.0958904109589041E-2</v>
      </c>
      <c r="E225" s="23">
        <v>2.7397260273972603E-3</v>
      </c>
      <c r="F225" s="24">
        <v>409</v>
      </c>
      <c r="G225" s="24">
        <v>42</v>
      </c>
      <c r="H225" s="24">
        <v>41</v>
      </c>
      <c r="I225" s="24">
        <v>2</v>
      </c>
      <c r="J225" s="24">
        <v>494</v>
      </c>
      <c r="K225" s="27">
        <v>0.82793522267206476</v>
      </c>
      <c r="L225" s="27">
        <v>8.5020242914979755E-2</v>
      </c>
      <c r="M225" s="27">
        <v>8.2995951417004055E-2</v>
      </c>
      <c r="N225" s="27">
        <v>4.048582995951417E-3</v>
      </c>
      <c r="O225" s="25">
        <v>23.694331983805668</v>
      </c>
    </row>
    <row r="226" spans="1:15" x14ac:dyDescent="0.25">
      <c r="A226" s="23">
        <v>0.18367346938775511</v>
      </c>
      <c r="B226" s="23">
        <v>0.26239067055393583</v>
      </c>
      <c r="C226" s="23">
        <v>0.52478134110787167</v>
      </c>
      <c r="D226" s="23">
        <v>1.7492711370262391E-2</v>
      </c>
      <c r="E226" s="23">
        <v>0</v>
      </c>
      <c r="F226" s="24">
        <v>281</v>
      </c>
      <c r="G226" s="24">
        <v>88</v>
      </c>
      <c r="H226" s="24">
        <v>78</v>
      </c>
      <c r="I226" s="24">
        <v>3</v>
      </c>
      <c r="J226" s="24">
        <v>450</v>
      </c>
      <c r="K226" s="27">
        <v>0.62444444444444447</v>
      </c>
      <c r="L226" s="27">
        <v>0.19555555555555557</v>
      </c>
      <c r="M226" s="27">
        <v>0.17333333333333334</v>
      </c>
      <c r="N226" s="27">
        <v>6.6666666666666671E-3</v>
      </c>
      <c r="O226" s="25">
        <v>60.453333333333333</v>
      </c>
    </row>
    <row r="227" spans="1:15" x14ac:dyDescent="0.25">
      <c r="A227" s="23">
        <v>0.20104438642297651</v>
      </c>
      <c r="B227" s="23">
        <v>0.30809399477806787</v>
      </c>
      <c r="C227" s="23">
        <v>0.46736292428198434</v>
      </c>
      <c r="D227" s="23">
        <v>1.3054830287206266E-2</v>
      </c>
      <c r="E227" s="23">
        <v>2.6109660574412533E-3</v>
      </c>
      <c r="F227" s="24">
        <v>497</v>
      </c>
      <c r="G227" s="24">
        <v>174</v>
      </c>
      <c r="H227" s="24">
        <v>72</v>
      </c>
      <c r="I227" s="24">
        <v>6</v>
      </c>
      <c r="J227" s="24">
        <v>749</v>
      </c>
      <c r="K227" s="27">
        <v>0.66355140186915884</v>
      </c>
      <c r="L227" s="27">
        <v>0.23230974632843793</v>
      </c>
      <c r="M227" s="27">
        <v>9.6128170894526035E-2</v>
      </c>
      <c r="N227" s="27">
        <v>8.0106809078771702E-3</v>
      </c>
      <c r="O227" s="25">
        <v>44.762349799732981</v>
      </c>
    </row>
    <row r="228" spans="1:15" x14ac:dyDescent="0.25">
      <c r="A228" s="23">
        <v>0.26857142857142857</v>
      </c>
      <c r="B228" s="23">
        <v>0.41904761904761906</v>
      </c>
      <c r="C228" s="23">
        <v>0.29523809523809524</v>
      </c>
      <c r="D228" s="23">
        <v>1.3333333333333334E-2</v>
      </c>
      <c r="E228" s="23">
        <v>1.9047619047619048E-3</v>
      </c>
      <c r="F228" s="24">
        <v>465</v>
      </c>
      <c r="G228" s="24">
        <v>200</v>
      </c>
      <c r="H228" s="24">
        <v>80</v>
      </c>
      <c r="I228" s="24">
        <v>4</v>
      </c>
      <c r="J228" s="24">
        <v>749</v>
      </c>
      <c r="K228" s="27">
        <v>0.62082777036048065</v>
      </c>
      <c r="L228" s="27">
        <v>0.26702269692923897</v>
      </c>
      <c r="M228" s="27">
        <v>0.1068090787716956</v>
      </c>
      <c r="N228" s="27">
        <v>5.3404539385847796E-3</v>
      </c>
      <c r="O228" s="25">
        <v>32.072096128170891</v>
      </c>
    </row>
    <row r="229" spans="1:15" x14ac:dyDescent="0.25">
      <c r="A229" s="23">
        <v>0.20874751491053678</v>
      </c>
      <c r="B229" s="23">
        <v>0.50894632206759438</v>
      </c>
      <c r="C229" s="23">
        <v>0.26043737574552683</v>
      </c>
      <c r="D229" s="23">
        <v>9.9403578528827041E-3</v>
      </c>
      <c r="E229" s="23">
        <v>1.9880715705765406E-3</v>
      </c>
      <c r="F229" s="24">
        <v>517</v>
      </c>
      <c r="G229" s="24">
        <v>165</v>
      </c>
      <c r="H229" s="24">
        <v>64</v>
      </c>
      <c r="I229" s="24">
        <v>3</v>
      </c>
      <c r="J229" s="24">
        <v>749</v>
      </c>
      <c r="K229" s="27">
        <v>0.69025367156208273</v>
      </c>
      <c r="L229" s="27">
        <v>0.22029372496662217</v>
      </c>
      <c r="M229" s="27">
        <v>8.5447263017356473E-2</v>
      </c>
      <c r="N229" s="27">
        <v>4.0053404539385851E-3</v>
      </c>
      <c r="O229" s="25">
        <v>25.535380507343124</v>
      </c>
    </row>
    <row r="230" spans="1:15" x14ac:dyDescent="0.25">
      <c r="A230" s="23">
        <v>0.17819706498951782</v>
      </c>
      <c r="B230" s="23">
        <v>0.53249475890985321</v>
      </c>
      <c r="C230" s="23">
        <v>0.26834381551362685</v>
      </c>
      <c r="D230" s="23">
        <v>1.4675052410901468E-2</v>
      </c>
      <c r="E230" s="23">
        <v>0</v>
      </c>
      <c r="F230" s="24">
        <v>568</v>
      </c>
      <c r="G230" s="24">
        <v>135</v>
      </c>
      <c r="H230" s="24">
        <v>45</v>
      </c>
      <c r="I230" s="24">
        <v>1</v>
      </c>
      <c r="J230" s="24">
        <v>749</v>
      </c>
      <c r="K230" s="27">
        <v>0.75834445927903871</v>
      </c>
      <c r="L230" s="27">
        <v>0.18024032042723631</v>
      </c>
      <c r="M230" s="27">
        <v>6.008010680907877E-2</v>
      </c>
      <c r="N230" s="27">
        <v>1.3351134846461949E-3</v>
      </c>
      <c r="O230" s="25">
        <v>20.429906542056074</v>
      </c>
    </row>
    <row r="231" spans="1:15" x14ac:dyDescent="0.25">
      <c r="A231" s="23">
        <v>0.21063394683026584</v>
      </c>
      <c r="B231" s="23">
        <v>0.50920245398773001</v>
      </c>
      <c r="C231" s="23">
        <v>0.26789366053169733</v>
      </c>
      <c r="D231" s="23">
        <v>4.0899795501022499E-3</v>
      </c>
      <c r="E231" s="23">
        <v>4.0899795501022499E-3</v>
      </c>
      <c r="F231" s="24">
        <v>408</v>
      </c>
      <c r="G231" s="24">
        <v>24</v>
      </c>
      <c r="H231" s="24">
        <v>17</v>
      </c>
      <c r="I231" s="24">
        <v>1</v>
      </c>
      <c r="J231" s="24">
        <v>450</v>
      </c>
      <c r="K231" s="27">
        <v>0.90666666666666662</v>
      </c>
      <c r="L231" s="27">
        <v>5.3333333333333337E-2</v>
      </c>
      <c r="M231" s="27">
        <v>3.7777777777777778E-2</v>
      </c>
      <c r="N231" s="27">
        <v>2.2222222222222222E-3</v>
      </c>
      <c r="O231" s="25">
        <v>62.684444444444445</v>
      </c>
    </row>
    <row r="232" spans="1:15" x14ac:dyDescent="0.25">
      <c r="A232" s="23">
        <v>0.21984435797665369</v>
      </c>
      <c r="B232" s="23">
        <v>0.53501945525291827</v>
      </c>
      <c r="C232" s="23">
        <v>0.23540856031128404</v>
      </c>
      <c r="D232" s="23">
        <v>7.7821011673151752E-3</v>
      </c>
      <c r="E232" s="23">
        <v>0</v>
      </c>
      <c r="F232" s="24">
        <v>401</v>
      </c>
      <c r="G232" s="24">
        <v>14</v>
      </c>
      <c r="H232" s="24">
        <v>32</v>
      </c>
      <c r="I232" s="24">
        <v>3</v>
      </c>
      <c r="J232" s="24">
        <v>450</v>
      </c>
      <c r="K232" s="27">
        <v>0.89111111111111108</v>
      </c>
      <c r="L232" s="27">
        <v>3.111111111111111E-2</v>
      </c>
      <c r="M232" s="27">
        <v>7.1111111111111111E-2</v>
      </c>
      <c r="N232" s="27">
        <v>6.6666666666666671E-3</v>
      </c>
      <c r="O232" s="25">
        <v>60.528888888888886</v>
      </c>
    </row>
    <row r="233" spans="1:15" x14ac:dyDescent="0.25">
      <c r="A233" s="23">
        <v>0.42222222222222222</v>
      </c>
      <c r="B233" s="23">
        <v>0.27500000000000002</v>
      </c>
      <c r="C233" s="23">
        <v>0.27500000000000002</v>
      </c>
      <c r="D233" s="23">
        <v>1.9444444444444445E-2</v>
      </c>
      <c r="E233" s="23">
        <v>2.7777777777777779E-3</v>
      </c>
      <c r="F233" s="24">
        <v>573</v>
      </c>
      <c r="G233" s="24">
        <v>36</v>
      </c>
      <c r="H233" s="24">
        <v>38</v>
      </c>
      <c r="I233" s="24">
        <v>3</v>
      </c>
      <c r="J233" s="24">
        <v>650</v>
      </c>
      <c r="K233" s="27">
        <v>0.88153846153846149</v>
      </c>
      <c r="L233" s="27">
        <v>5.5384615384615386E-2</v>
      </c>
      <c r="M233" s="27">
        <v>5.8461538461538461E-2</v>
      </c>
      <c r="N233" s="27">
        <v>4.6153846153846158E-3</v>
      </c>
      <c r="O233" s="25">
        <v>49.303076923076922</v>
      </c>
    </row>
    <row r="234" spans="1:15" x14ac:dyDescent="0.25">
      <c r="A234" s="23">
        <v>0.44032258064516128</v>
      </c>
      <c r="B234" s="23">
        <v>0.35806451612903228</v>
      </c>
      <c r="C234" s="23">
        <v>0.18387096774193548</v>
      </c>
      <c r="D234" s="23">
        <v>1.2903225806451613E-2</v>
      </c>
      <c r="E234" s="23">
        <v>0</v>
      </c>
      <c r="F234" s="24">
        <v>593</v>
      </c>
      <c r="G234" s="24">
        <v>27</v>
      </c>
      <c r="H234" s="24">
        <v>29</v>
      </c>
      <c r="I234" s="24">
        <v>1</v>
      </c>
      <c r="J234" s="24">
        <v>650</v>
      </c>
      <c r="K234" s="27">
        <v>0.91230769230769226</v>
      </c>
      <c r="L234" s="27">
        <v>4.1538461538461538E-2</v>
      </c>
      <c r="M234" s="27">
        <v>4.4615384615384612E-2</v>
      </c>
      <c r="N234" s="27">
        <v>1.5384615384615385E-3</v>
      </c>
      <c r="O234" s="25">
        <v>38.970769230769228</v>
      </c>
    </row>
    <row r="235" spans="1:15" x14ac:dyDescent="0.25">
      <c r="A235" s="23">
        <v>0.50751879699248126</v>
      </c>
      <c r="B235" s="23">
        <v>0.35526315789473684</v>
      </c>
      <c r="C235" s="23">
        <v>0.12593984962406016</v>
      </c>
      <c r="D235" s="23">
        <v>7.5187969924812026E-3</v>
      </c>
      <c r="E235" s="23">
        <v>3.7593984962406013E-3</v>
      </c>
      <c r="F235" s="24">
        <v>589</v>
      </c>
      <c r="G235" s="24">
        <v>25</v>
      </c>
      <c r="H235" s="24">
        <v>35</v>
      </c>
      <c r="I235" s="24">
        <v>1</v>
      </c>
      <c r="J235" s="24">
        <v>650</v>
      </c>
      <c r="K235" s="27">
        <v>0.9061538461538462</v>
      </c>
      <c r="L235" s="27">
        <v>3.8461538461538464E-2</v>
      </c>
      <c r="M235" s="27">
        <v>5.3846153846153849E-2</v>
      </c>
      <c r="N235" s="27">
        <v>1.5384615384615385E-3</v>
      </c>
      <c r="O235" s="25">
        <v>33.616923076923079</v>
      </c>
    </row>
    <row r="236" spans="1:15" x14ac:dyDescent="0.25">
      <c r="A236" s="23">
        <v>0.5</v>
      </c>
      <c r="B236" s="23">
        <v>0.35166666666666668</v>
      </c>
      <c r="C236" s="23">
        <v>0.13500000000000001</v>
      </c>
      <c r="D236" s="23">
        <v>1.1666666666666667E-2</v>
      </c>
      <c r="E236" s="23">
        <v>1.6666666666666668E-3</v>
      </c>
      <c r="F236" s="24">
        <v>597</v>
      </c>
      <c r="G236" s="24">
        <v>27</v>
      </c>
      <c r="H236" s="24">
        <v>24</v>
      </c>
      <c r="I236" s="24">
        <v>2</v>
      </c>
      <c r="J236" s="24">
        <v>650</v>
      </c>
      <c r="K236" s="27">
        <v>0.91846153846153844</v>
      </c>
      <c r="L236" s="27">
        <v>4.1538461538461538E-2</v>
      </c>
      <c r="M236" s="27">
        <v>3.6923076923076927E-2</v>
      </c>
      <c r="N236" s="27">
        <v>3.0769230769230769E-3</v>
      </c>
      <c r="O236" s="25">
        <v>28.26</v>
      </c>
    </row>
    <row r="237" spans="1:15" x14ac:dyDescent="0.25">
      <c r="A237" s="23">
        <v>0.44875776397515527</v>
      </c>
      <c r="B237" s="23">
        <v>0.39130434782608697</v>
      </c>
      <c r="C237" s="23">
        <v>0.14285714285714285</v>
      </c>
      <c r="D237" s="23">
        <v>1.2422360248447204E-2</v>
      </c>
      <c r="E237" s="23">
        <v>3.105590062111801E-3</v>
      </c>
      <c r="F237" s="24">
        <v>614</v>
      </c>
      <c r="G237" s="24">
        <v>11</v>
      </c>
      <c r="H237" s="24">
        <v>26</v>
      </c>
      <c r="I237" s="24">
        <v>0</v>
      </c>
      <c r="J237" s="24">
        <v>651</v>
      </c>
      <c r="K237" s="27">
        <v>0.94316436251920122</v>
      </c>
      <c r="L237" s="27">
        <v>1.6897081413210446E-2</v>
      </c>
      <c r="M237" s="27">
        <v>3.9938556067588324E-2</v>
      </c>
      <c r="N237" s="27">
        <v>0</v>
      </c>
      <c r="O237" s="25">
        <v>21.892473118279568</v>
      </c>
    </row>
    <row r="238" spans="1:15" x14ac:dyDescent="0.25">
      <c r="A238" s="23">
        <v>0.5536723163841808</v>
      </c>
      <c r="B238" s="23">
        <v>0.16101694915254236</v>
      </c>
      <c r="C238" s="23">
        <v>0.24858757062146894</v>
      </c>
      <c r="D238" s="23">
        <v>1.977401129943503E-2</v>
      </c>
      <c r="E238" s="23">
        <v>2.8248587570621469E-3</v>
      </c>
      <c r="F238" s="24">
        <v>216</v>
      </c>
      <c r="G238" s="24">
        <v>170</v>
      </c>
      <c r="H238" s="24">
        <v>61</v>
      </c>
      <c r="I238" s="24">
        <v>3</v>
      </c>
      <c r="J238" s="24">
        <v>450</v>
      </c>
      <c r="K238" s="27">
        <v>0.48</v>
      </c>
      <c r="L238" s="27">
        <v>0.37777777777777777</v>
      </c>
      <c r="M238" s="27">
        <v>0.13555555555555557</v>
      </c>
      <c r="N238" s="27">
        <v>6.6666666666666671E-3</v>
      </c>
      <c r="O238" s="25">
        <v>63.153333333333336</v>
      </c>
    </row>
    <row r="239" spans="1:15" x14ac:dyDescent="0.25">
      <c r="A239" s="23">
        <v>0.59603960396039601</v>
      </c>
      <c r="B239" s="23">
        <v>0.22376237623762377</v>
      </c>
      <c r="C239" s="23">
        <v>0.16237623762376238</v>
      </c>
      <c r="D239" s="23">
        <v>7.9207920792079209E-3</v>
      </c>
      <c r="E239" s="23">
        <v>9.9009900990099011E-3</v>
      </c>
      <c r="F239" s="24">
        <v>285</v>
      </c>
      <c r="G239" s="24">
        <v>310</v>
      </c>
      <c r="H239" s="24">
        <v>55</v>
      </c>
      <c r="I239" s="24">
        <v>5</v>
      </c>
      <c r="J239" s="24">
        <v>655</v>
      </c>
      <c r="K239" s="27">
        <v>0.4351145038167939</v>
      </c>
      <c r="L239" s="27">
        <v>0.47328244274809161</v>
      </c>
      <c r="M239" s="27">
        <v>8.3969465648854963E-2</v>
      </c>
      <c r="N239" s="27">
        <v>7.6335877862595417E-3</v>
      </c>
      <c r="O239" s="25">
        <v>47.332824427480915</v>
      </c>
    </row>
    <row r="240" spans="1:15" x14ac:dyDescent="0.25">
      <c r="A240" s="23">
        <v>0.55378486055776888</v>
      </c>
      <c r="B240" s="23">
        <v>0.29880478087649404</v>
      </c>
      <c r="C240" s="23">
        <v>0.13147410358565736</v>
      </c>
      <c r="D240" s="23">
        <v>9.9601593625498006E-3</v>
      </c>
      <c r="E240" s="23">
        <v>5.9760956175298804E-3</v>
      </c>
      <c r="F240" s="24">
        <v>386</v>
      </c>
      <c r="G240" s="24">
        <v>195</v>
      </c>
      <c r="H240" s="24">
        <v>73</v>
      </c>
      <c r="I240" s="24">
        <v>1</v>
      </c>
      <c r="J240" s="24">
        <v>655</v>
      </c>
      <c r="K240" s="27">
        <v>0.58931297709923669</v>
      </c>
      <c r="L240" s="27">
        <v>0.29770992366412213</v>
      </c>
      <c r="M240" s="27">
        <v>0.11145038167938931</v>
      </c>
      <c r="N240" s="27">
        <v>1.5267175572519084E-3</v>
      </c>
      <c r="O240" s="25">
        <v>33.102290076335876</v>
      </c>
    </row>
    <row r="241" spans="1:15" x14ac:dyDescent="0.25">
      <c r="A241" s="23">
        <v>0.44112149532710282</v>
      </c>
      <c r="B241" s="23">
        <v>0.39065420560747666</v>
      </c>
      <c r="C241" s="23">
        <v>0.13457943925233645</v>
      </c>
      <c r="D241" s="23">
        <v>5.6074766355140183E-3</v>
      </c>
      <c r="E241" s="23">
        <v>5.6074766355140183E-3</v>
      </c>
      <c r="F241" s="24">
        <v>466</v>
      </c>
      <c r="G241" s="24">
        <v>129</v>
      </c>
      <c r="H241" s="24">
        <v>59</v>
      </c>
      <c r="I241" s="24">
        <v>1</v>
      </c>
      <c r="J241" s="24">
        <v>655</v>
      </c>
      <c r="K241" s="27">
        <v>0.71145038167938934</v>
      </c>
      <c r="L241" s="27">
        <v>0.19694656488549619</v>
      </c>
      <c r="M241" s="27">
        <v>9.0076335877862596E-2</v>
      </c>
      <c r="N241" s="27">
        <v>1.5267175572519084E-3</v>
      </c>
      <c r="O241" s="25">
        <v>23.279389312977099</v>
      </c>
    </row>
    <row r="242" spans="1:15" x14ac:dyDescent="0.25">
      <c r="A242" s="23">
        <v>0.80519480519480524</v>
      </c>
      <c r="B242" s="23">
        <v>6.9264069264069264E-2</v>
      </c>
      <c r="C242" s="23">
        <v>9.0909090909090912E-2</v>
      </c>
      <c r="D242" s="23">
        <v>8.658008658008658E-3</v>
      </c>
      <c r="E242" s="23">
        <v>4.329004329004329E-3</v>
      </c>
      <c r="F242" s="24">
        <v>71</v>
      </c>
      <c r="G242" s="24">
        <v>255</v>
      </c>
      <c r="H242" s="24">
        <v>117</v>
      </c>
      <c r="I242" s="24">
        <v>7</v>
      </c>
      <c r="J242" s="24">
        <v>450</v>
      </c>
      <c r="K242" s="27">
        <v>0.15777777777777777</v>
      </c>
      <c r="L242" s="27">
        <v>0.56666666666666665</v>
      </c>
      <c r="M242" s="27">
        <v>0.26</v>
      </c>
      <c r="N242" s="27">
        <v>1.5555555555555555E-2</v>
      </c>
      <c r="O242" s="25">
        <v>75.75555555555556</v>
      </c>
    </row>
    <row r="243" spans="1:15" x14ac:dyDescent="0.25">
      <c r="A243" s="23">
        <v>0.76160990712074306</v>
      </c>
      <c r="B243" s="23">
        <v>0.1238390092879257</v>
      </c>
      <c r="C243" s="23">
        <v>8.6687306501547989E-2</v>
      </c>
      <c r="D243" s="23">
        <v>1.5479876160990712E-2</v>
      </c>
      <c r="E243" s="23">
        <v>3.0959752321981426E-3</v>
      </c>
      <c r="F243" s="24">
        <v>111</v>
      </c>
      <c r="G243" s="24">
        <v>237</v>
      </c>
      <c r="H243" s="24">
        <v>96</v>
      </c>
      <c r="I243" s="24">
        <v>6</v>
      </c>
      <c r="J243" s="24">
        <v>450</v>
      </c>
      <c r="K243" s="27">
        <v>0.24666666666666667</v>
      </c>
      <c r="L243" s="27">
        <v>0.52666666666666662</v>
      </c>
      <c r="M243" s="27">
        <v>0.21333333333333335</v>
      </c>
      <c r="N243" s="27">
        <v>1.3333333333333334E-2</v>
      </c>
      <c r="O243" s="25">
        <v>62.104444444444447</v>
      </c>
    </row>
    <row r="244" spans="1:15" x14ac:dyDescent="0.25">
      <c r="A244" s="23">
        <v>0.740506329113924</v>
      </c>
      <c r="B244" s="23">
        <v>0.18037974683544303</v>
      </c>
      <c r="C244" s="23">
        <v>7.2784810126582278E-2</v>
      </c>
      <c r="D244" s="23">
        <v>3.1645569620253164E-3</v>
      </c>
      <c r="E244" s="23">
        <v>3.1645569620253164E-3</v>
      </c>
      <c r="F244" s="24">
        <v>129</v>
      </c>
      <c r="G244" s="24">
        <v>244</v>
      </c>
      <c r="H244" s="24">
        <v>99</v>
      </c>
      <c r="I244" s="24">
        <v>9</v>
      </c>
      <c r="J244" s="24">
        <v>481</v>
      </c>
      <c r="K244" s="27">
        <v>0.26819126819126821</v>
      </c>
      <c r="L244" s="27">
        <v>0.5072765072765073</v>
      </c>
      <c r="M244" s="27">
        <v>0.20582120582120583</v>
      </c>
      <c r="N244" s="27">
        <v>1.8711018711018712E-2</v>
      </c>
      <c r="O244" s="25">
        <v>45.634095634095637</v>
      </c>
    </row>
    <row r="245" spans="1:15" x14ac:dyDescent="0.25">
      <c r="A245" s="23">
        <v>0.76470588235294112</v>
      </c>
      <c r="B245" s="23">
        <v>0.14241486068111456</v>
      </c>
      <c r="C245" s="23">
        <v>8.6687306501547989E-2</v>
      </c>
      <c r="D245" s="23">
        <v>6.1919504643962852E-3</v>
      </c>
      <c r="E245" s="23">
        <v>0</v>
      </c>
      <c r="F245" s="24">
        <v>171</v>
      </c>
      <c r="G245" s="24">
        <v>196</v>
      </c>
      <c r="H245" s="24">
        <v>109</v>
      </c>
      <c r="I245" s="24">
        <v>5</v>
      </c>
      <c r="J245" s="24">
        <v>481</v>
      </c>
      <c r="K245" s="27">
        <v>0.35550935550935553</v>
      </c>
      <c r="L245" s="27">
        <v>0.40748440748440751</v>
      </c>
      <c r="M245" s="27">
        <v>0.22661122661122662</v>
      </c>
      <c r="N245" s="27">
        <v>1.0395010395010396E-2</v>
      </c>
      <c r="O245" s="25">
        <v>27.405405405405407</v>
      </c>
    </row>
    <row r="246" spans="1:15" x14ac:dyDescent="0.25">
      <c r="A246" s="23">
        <v>0.29411764705882354</v>
      </c>
      <c r="B246" s="23">
        <v>0.19934640522875818</v>
      </c>
      <c r="C246" s="23">
        <v>0.48692810457516339</v>
      </c>
      <c r="D246" s="23">
        <v>1.9607843137254902E-2</v>
      </c>
      <c r="E246" s="23">
        <v>0</v>
      </c>
      <c r="F246" s="24">
        <v>397</v>
      </c>
      <c r="G246" s="24">
        <v>33</v>
      </c>
      <c r="H246" s="24">
        <v>18</v>
      </c>
      <c r="I246" s="24">
        <v>2</v>
      </c>
      <c r="J246" s="24">
        <v>450</v>
      </c>
      <c r="K246" s="27">
        <v>0.88222222222222224</v>
      </c>
      <c r="L246" s="27">
        <v>7.3333333333333334E-2</v>
      </c>
      <c r="M246" s="27">
        <v>0.04</v>
      </c>
      <c r="N246" s="27">
        <v>4.4444444444444444E-3</v>
      </c>
      <c r="O246" s="25">
        <v>73.568888888888893</v>
      </c>
    </row>
    <row r="247" spans="1:15" x14ac:dyDescent="0.25">
      <c r="A247" s="23">
        <v>0.26121372031662271</v>
      </c>
      <c r="B247" s="23">
        <v>0.30079155672823221</v>
      </c>
      <c r="C247" s="23">
        <v>0.38258575197889183</v>
      </c>
      <c r="D247" s="23">
        <v>3.430079155672823E-2</v>
      </c>
      <c r="E247" s="23">
        <v>7.9155672823219003E-3</v>
      </c>
      <c r="F247" s="24">
        <v>416</v>
      </c>
      <c r="G247" s="24">
        <v>18</v>
      </c>
      <c r="H247" s="24">
        <v>11</v>
      </c>
      <c r="I247" s="24">
        <v>5</v>
      </c>
      <c r="J247" s="24">
        <v>450</v>
      </c>
      <c r="K247" s="27">
        <v>0.9244444444444444</v>
      </c>
      <c r="L247" s="27">
        <v>0.04</v>
      </c>
      <c r="M247" s="27">
        <v>2.4444444444444446E-2</v>
      </c>
      <c r="N247" s="27">
        <v>1.1111111111111112E-2</v>
      </c>
      <c r="O247" s="25">
        <v>60.842222222222219</v>
      </c>
    </row>
    <row r="248" spans="1:15" x14ac:dyDescent="0.25">
      <c r="A248" s="23">
        <v>0.22680412371134021</v>
      </c>
      <c r="B248" s="23">
        <v>0.44329896907216493</v>
      </c>
      <c r="C248" s="23">
        <v>0.29690721649484536</v>
      </c>
      <c r="D248" s="23">
        <v>2.6804123711340205E-2</v>
      </c>
      <c r="E248" s="23">
        <v>0</v>
      </c>
      <c r="F248" s="24">
        <v>545</v>
      </c>
      <c r="G248" s="24">
        <v>17</v>
      </c>
      <c r="H248" s="24">
        <v>11</v>
      </c>
      <c r="I248" s="24">
        <v>6</v>
      </c>
      <c r="J248" s="24">
        <v>579</v>
      </c>
      <c r="K248" s="27">
        <v>0.94127806563039729</v>
      </c>
      <c r="L248" s="27">
        <v>2.9360967184801381E-2</v>
      </c>
      <c r="M248" s="27">
        <v>1.8998272884283247E-2</v>
      </c>
      <c r="N248" s="27">
        <v>1.0362694300518135E-2</v>
      </c>
      <c r="O248" s="25">
        <v>47.611398963730572</v>
      </c>
    </row>
    <row r="249" spans="1:15" x14ac:dyDescent="0.25">
      <c r="A249" s="23">
        <v>0.31223628691983124</v>
      </c>
      <c r="B249" s="23">
        <v>0.4472573839662447</v>
      </c>
      <c r="C249" s="23">
        <v>0.22573839662447256</v>
      </c>
      <c r="D249" s="23">
        <v>8.4388185654008432E-3</v>
      </c>
      <c r="E249" s="23">
        <v>2.1097046413502108E-3</v>
      </c>
      <c r="F249" s="24">
        <v>557</v>
      </c>
      <c r="G249" s="24">
        <v>16</v>
      </c>
      <c r="H249" s="24">
        <v>5</v>
      </c>
      <c r="I249" s="24">
        <v>2</v>
      </c>
      <c r="J249" s="24">
        <v>580</v>
      </c>
      <c r="K249" s="27">
        <v>0.96034482758620687</v>
      </c>
      <c r="L249" s="27">
        <v>2.7586206896551724E-2</v>
      </c>
      <c r="M249" s="27">
        <v>8.6206896551724137E-3</v>
      </c>
      <c r="N249" s="27">
        <v>3.4482758620689655E-3</v>
      </c>
      <c r="O249" s="25">
        <v>29.010344827586206</v>
      </c>
    </row>
    <row r="250" spans="1:15" x14ac:dyDescent="0.25">
      <c r="A250" s="23">
        <v>0.23300970873786409</v>
      </c>
      <c r="B250" s="23">
        <v>0.28155339805825241</v>
      </c>
      <c r="C250" s="23">
        <v>0.44012944983818769</v>
      </c>
      <c r="D250" s="23">
        <v>2.9126213592233011E-2</v>
      </c>
      <c r="E250" s="23">
        <v>6.4724919093851136E-3</v>
      </c>
      <c r="F250" s="24">
        <v>434</v>
      </c>
      <c r="G250" s="24">
        <v>9</v>
      </c>
      <c r="H250" s="24">
        <v>5</v>
      </c>
      <c r="I250" s="24">
        <v>2</v>
      </c>
      <c r="J250" s="24">
        <v>450</v>
      </c>
      <c r="K250" s="27">
        <v>0.96444444444444444</v>
      </c>
      <c r="L250" s="27">
        <v>0.02</v>
      </c>
      <c r="M250" s="27">
        <v>1.1111111111111112E-2</v>
      </c>
      <c r="N250" s="27">
        <v>4.4444444444444444E-3</v>
      </c>
      <c r="O250" s="25">
        <v>69.011111111111106</v>
      </c>
    </row>
    <row r="251" spans="1:15" x14ac:dyDescent="0.25">
      <c r="A251" s="23">
        <v>0.26631853785900783</v>
      </c>
      <c r="B251" s="23">
        <v>0.33420365535248042</v>
      </c>
      <c r="C251" s="23">
        <v>0.36031331592689297</v>
      </c>
      <c r="D251" s="23">
        <v>2.6109660574412531E-2</v>
      </c>
      <c r="E251" s="23">
        <v>5.2219321148825066E-3</v>
      </c>
      <c r="F251" s="24">
        <v>441</v>
      </c>
      <c r="G251" s="24">
        <v>6</v>
      </c>
      <c r="H251" s="24">
        <v>3</v>
      </c>
      <c r="I251" s="24">
        <v>0</v>
      </c>
      <c r="J251" s="24">
        <v>450</v>
      </c>
      <c r="K251" s="27">
        <v>0.98</v>
      </c>
      <c r="L251" s="27">
        <v>1.3333333333333334E-2</v>
      </c>
      <c r="M251" s="27">
        <v>6.6666666666666671E-3</v>
      </c>
      <c r="N251" s="27">
        <v>0</v>
      </c>
      <c r="O251" s="25">
        <v>62.026666666666664</v>
      </c>
    </row>
    <row r="252" spans="1:15" x14ac:dyDescent="0.25">
      <c r="A252" s="23">
        <v>0.23351158645276293</v>
      </c>
      <c r="B252" s="23">
        <v>0.44385026737967914</v>
      </c>
      <c r="C252" s="23">
        <v>0.28877005347593582</v>
      </c>
      <c r="D252" s="23">
        <v>2.6737967914438502E-2</v>
      </c>
      <c r="E252" s="23">
        <v>5.3475935828877002E-3</v>
      </c>
      <c r="F252" s="24">
        <v>668</v>
      </c>
      <c r="G252" s="24">
        <v>5</v>
      </c>
      <c r="H252" s="24">
        <v>9</v>
      </c>
      <c r="I252" s="24">
        <v>5</v>
      </c>
      <c r="J252" s="24">
        <v>687</v>
      </c>
      <c r="K252" s="27">
        <v>0.97234352256186318</v>
      </c>
      <c r="L252" s="27">
        <v>7.2780203784570596E-3</v>
      </c>
      <c r="M252" s="27">
        <v>1.3100436681222707E-2</v>
      </c>
      <c r="N252" s="27">
        <v>7.2780203784570596E-3</v>
      </c>
      <c r="O252" s="25">
        <v>51.786026200873366</v>
      </c>
    </row>
    <row r="253" spans="1:15" x14ac:dyDescent="0.25">
      <c r="A253" s="23">
        <v>0.26037735849056604</v>
      </c>
      <c r="B253" s="23">
        <v>0.47735849056603774</v>
      </c>
      <c r="C253" s="23">
        <v>0.2339622641509434</v>
      </c>
      <c r="D253" s="23">
        <v>2.0754716981132074E-2</v>
      </c>
      <c r="E253" s="23">
        <v>3.7735849056603774E-3</v>
      </c>
      <c r="F253" s="24">
        <v>681</v>
      </c>
      <c r="G253" s="24">
        <v>0</v>
      </c>
      <c r="H253" s="24">
        <v>3</v>
      </c>
      <c r="I253" s="24">
        <v>3</v>
      </c>
      <c r="J253" s="24">
        <v>687</v>
      </c>
      <c r="K253" s="27">
        <v>0.99126637554585151</v>
      </c>
      <c r="L253" s="27">
        <v>0</v>
      </c>
      <c r="M253" s="27">
        <v>4.3668122270742356E-3</v>
      </c>
      <c r="N253" s="27">
        <v>4.3668122270742356E-3</v>
      </c>
      <c r="O253" s="25">
        <v>41.262008733624455</v>
      </c>
    </row>
    <row r="254" spans="1:15" x14ac:dyDescent="0.25">
      <c r="A254" s="23">
        <v>0.27440147329650094</v>
      </c>
      <c r="B254" s="23">
        <v>0.47697974217311234</v>
      </c>
      <c r="C254" s="23">
        <v>0.21915285451197053</v>
      </c>
      <c r="D254" s="23">
        <v>2.2099447513812154E-2</v>
      </c>
      <c r="E254" s="23">
        <v>3.6832412523020259E-3</v>
      </c>
      <c r="F254" s="24">
        <v>682</v>
      </c>
      <c r="G254" s="24">
        <v>1</v>
      </c>
      <c r="H254" s="24">
        <v>2</v>
      </c>
      <c r="I254" s="24">
        <v>2</v>
      </c>
      <c r="J254" s="24">
        <v>687</v>
      </c>
      <c r="K254" s="27">
        <v>0.99272197962154296</v>
      </c>
      <c r="L254" s="27">
        <v>1.455604075691412E-3</v>
      </c>
      <c r="M254" s="27">
        <v>2.911208151382824E-3</v>
      </c>
      <c r="N254" s="27">
        <v>2.911208151382824E-3</v>
      </c>
      <c r="O254" s="25">
        <v>34.113537117903931</v>
      </c>
    </row>
    <row r="255" spans="1:15" x14ac:dyDescent="0.25">
      <c r="A255" s="23">
        <v>0.39154411764705882</v>
      </c>
      <c r="B255" s="23">
        <v>0.40625</v>
      </c>
      <c r="C255" s="23">
        <v>0.18014705882352941</v>
      </c>
      <c r="D255" s="23">
        <v>1.4705882352941176E-2</v>
      </c>
      <c r="E255" s="23">
        <v>7.3529411764705881E-3</v>
      </c>
      <c r="F255" s="24">
        <v>679</v>
      </c>
      <c r="G255" s="24">
        <v>4</v>
      </c>
      <c r="H255" s="24">
        <v>1</v>
      </c>
      <c r="I255" s="24">
        <v>3</v>
      </c>
      <c r="J255" s="24">
        <v>687</v>
      </c>
      <c r="K255" s="27">
        <v>0.98835516739446871</v>
      </c>
      <c r="L255" s="27">
        <v>5.822416302765648E-3</v>
      </c>
      <c r="M255" s="27">
        <v>1.455604075691412E-3</v>
      </c>
      <c r="N255" s="27">
        <v>4.3668122270742356E-3</v>
      </c>
      <c r="O255" s="25">
        <v>27.895196506550217</v>
      </c>
    </row>
    <row r="256" spans="1:15" x14ac:dyDescent="0.25">
      <c r="A256" s="23">
        <v>0.33102253032928941</v>
      </c>
      <c r="B256" s="23">
        <v>0.46967071057192372</v>
      </c>
      <c r="C256" s="23">
        <v>0.17504332755632582</v>
      </c>
      <c r="D256" s="23">
        <v>1.9064124783362217E-2</v>
      </c>
      <c r="E256" s="23">
        <v>1.7331022530329288E-3</v>
      </c>
      <c r="F256" s="24">
        <v>684</v>
      </c>
      <c r="G256" s="24">
        <v>2</v>
      </c>
      <c r="H256" s="24">
        <v>2</v>
      </c>
      <c r="I256" s="24">
        <v>0</v>
      </c>
      <c r="J256" s="24">
        <v>688</v>
      </c>
      <c r="K256" s="27">
        <v>0.9941860465116279</v>
      </c>
      <c r="L256" s="27">
        <v>2.9069767441860465E-3</v>
      </c>
      <c r="M256" s="27">
        <v>2.9069767441860465E-3</v>
      </c>
      <c r="N256" s="27">
        <v>0</v>
      </c>
      <c r="O256" s="25">
        <v>21.396802325581394</v>
      </c>
    </row>
    <row r="257" spans="1:15" x14ac:dyDescent="0.25">
      <c r="A257" s="23">
        <v>0.21676300578034682</v>
      </c>
      <c r="B257" s="23">
        <v>0.32947976878612717</v>
      </c>
      <c r="C257" s="23">
        <v>0.41040462427745666</v>
      </c>
      <c r="D257" s="23">
        <v>3.4682080924855488E-2</v>
      </c>
      <c r="E257" s="23">
        <v>0</v>
      </c>
      <c r="F257" s="24">
        <v>425</v>
      </c>
      <c r="G257" s="24">
        <v>3</v>
      </c>
      <c r="H257" s="24">
        <v>15</v>
      </c>
      <c r="I257" s="24">
        <v>7</v>
      </c>
      <c r="J257" s="24">
        <v>450</v>
      </c>
      <c r="K257" s="27">
        <v>0.94444444444444442</v>
      </c>
      <c r="L257" s="27">
        <v>6.6666666666666671E-3</v>
      </c>
      <c r="M257" s="27">
        <v>3.3333333333333333E-2</v>
      </c>
      <c r="N257" s="27">
        <v>1.5555555555555555E-2</v>
      </c>
      <c r="O257" s="25">
        <v>64.348888888888894</v>
      </c>
    </row>
    <row r="258" spans="1:15" x14ac:dyDescent="0.25">
      <c r="A258" s="23">
        <v>0.23917995444191345</v>
      </c>
      <c r="B258" s="23">
        <v>0.41230068337129838</v>
      </c>
      <c r="C258" s="23">
        <v>0.32118451025056949</v>
      </c>
      <c r="D258" s="23">
        <v>2.5056947608200455E-2</v>
      </c>
      <c r="E258" s="23">
        <v>2.2779043280182231E-3</v>
      </c>
      <c r="F258" s="24">
        <v>513</v>
      </c>
      <c r="G258" s="24">
        <v>17</v>
      </c>
      <c r="H258" s="24">
        <v>14</v>
      </c>
      <c r="I258" s="24">
        <v>2</v>
      </c>
      <c r="J258" s="24">
        <v>546</v>
      </c>
      <c r="K258" s="27">
        <v>0.93956043956043955</v>
      </c>
      <c r="L258" s="27">
        <v>3.1135531135531136E-2</v>
      </c>
      <c r="M258" s="27">
        <v>2.564102564102564E-2</v>
      </c>
      <c r="N258" s="27">
        <v>3.663003663003663E-3</v>
      </c>
      <c r="O258" s="25">
        <v>47.31318681318681</v>
      </c>
    </row>
    <row r="259" spans="1:15" x14ac:dyDescent="0.25">
      <c r="A259" s="23">
        <v>0.31308411214953269</v>
      </c>
      <c r="B259" s="23">
        <v>0.43457943925233644</v>
      </c>
      <c r="C259" s="23">
        <v>0.22897196261682243</v>
      </c>
      <c r="D259" s="23">
        <v>1.4018691588785047E-2</v>
      </c>
      <c r="E259" s="23">
        <v>7.0093457943925233E-3</v>
      </c>
      <c r="F259" s="24">
        <v>507</v>
      </c>
      <c r="G259" s="24">
        <v>29</v>
      </c>
      <c r="H259" s="24">
        <v>7</v>
      </c>
      <c r="I259" s="24">
        <v>3</v>
      </c>
      <c r="J259" s="24">
        <v>546</v>
      </c>
      <c r="K259" s="27">
        <v>0.9285714285714286</v>
      </c>
      <c r="L259" s="27">
        <v>5.3113553113553112E-2</v>
      </c>
      <c r="M259" s="27">
        <v>1.282051282051282E-2</v>
      </c>
      <c r="N259" s="27">
        <v>5.4945054945054949E-3</v>
      </c>
      <c r="O259" s="25">
        <v>33.734432234432234</v>
      </c>
    </row>
    <row r="260" spans="1:15" x14ac:dyDescent="0.25">
      <c r="A260" s="23">
        <v>0.32420091324200911</v>
      </c>
      <c r="B260" s="23">
        <v>0.4360730593607306</v>
      </c>
      <c r="C260" s="23">
        <v>0.22146118721461186</v>
      </c>
      <c r="D260" s="23">
        <v>1.3698630136986301E-2</v>
      </c>
      <c r="E260" s="23">
        <v>4.5662100456621002E-3</v>
      </c>
      <c r="F260" s="24">
        <v>506</v>
      </c>
      <c r="G260" s="24">
        <v>27</v>
      </c>
      <c r="H260" s="24">
        <v>15</v>
      </c>
      <c r="I260" s="24">
        <v>0</v>
      </c>
      <c r="J260" s="24">
        <v>548</v>
      </c>
      <c r="K260" s="27">
        <v>0.92335766423357668</v>
      </c>
      <c r="L260" s="27">
        <v>4.9270072992700732E-2</v>
      </c>
      <c r="M260" s="27">
        <v>2.7372262773722629E-2</v>
      </c>
      <c r="N260" s="27">
        <v>0</v>
      </c>
      <c r="O260" s="25">
        <v>23.240875912408757</v>
      </c>
    </row>
    <row r="261" spans="1:15" x14ac:dyDescent="0.25">
      <c r="A261" s="23">
        <v>0.43302180685358255</v>
      </c>
      <c r="B261" s="23">
        <v>0.2087227414330218</v>
      </c>
      <c r="C261" s="23">
        <v>0.32087227414330216</v>
      </c>
      <c r="D261" s="23">
        <v>6.2305295950155761E-3</v>
      </c>
      <c r="E261" s="23">
        <v>9.3457943925233638E-3</v>
      </c>
      <c r="F261" s="24">
        <v>270</v>
      </c>
      <c r="G261" s="24">
        <v>107</v>
      </c>
      <c r="H261" s="24">
        <v>68</v>
      </c>
      <c r="I261" s="24">
        <v>5</v>
      </c>
      <c r="J261" s="24">
        <v>450</v>
      </c>
      <c r="K261" s="27">
        <v>0.6</v>
      </c>
      <c r="L261" s="27">
        <v>0.23777777777777778</v>
      </c>
      <c r="M261" s="27">
        <v>0.15111111111111111</v>
      </c>
      <c r="N261" s="27">
        <v>1.1111111111111112E-2</v>
      </c>
      <c r="O261" s="25">
        <v>70.357777777777784</v>
      </c>
    </row>
    <row r="262" spans="1:15" x14ac:dyDescent="0.25">
      <c r="A262" s="23">
        <v>0.55525606469002697</v>
      </c>
      <c r="B262" s="23">
        <v>0.16981132075471697</v>
      </c>
      <c r="C262" s="23">
        <v>0.25336927223719674</v>
      </c>
      <c r="D262" s="23">
        <v>1.3477088948787063E-2</v>
      </c>
      <c r="E262" s="23">
        <v>0</v>
      </c>
      <c r="F262" s="24">
        <v>207</v>
      </c>
      <c r="G262" s="24">
        <v>155</v>
      </c>
      <c r="H262" s="24">
        <v>77</v>
      </c>
      <c r="I262" s="24">
        <v>11</v>
      </c>
      <c r="J262" s="24">
        <v>450</v>
      </c>
      <c r="K262" s="27">
        <v>0.46</v>
      </c>
      <c r="L262" s="27">
        <v>0.34444444444444444</v>
      </c>
      <c r="M262" s="27">
        <v>0.1711111111111111</v>
      </c>
      <c r="N262" s="27">
        <v>2.4444444444444446E-2</v>
      </c>
      <c r="O262" s="25">
        <v>59.31111111111111</v>
      </c>
    </row>
    <row r="263" spans="1:15" x14ac:dyDescent="0.25">
      <c r="A263" s="23">
        <v>0.66153846153846152</v>
      </c>
      <c r="B263" s="23">
        <v>0.1641025641025641</v>
      </c>
      <c r="C263" s="23">
        <v>0.16666666666666666</v>
      </c>
      <c r="D263" s="23">
        <v>5.1282051282051282E-3</v>
      </c>
      <c r="E263" s="23">
        <v>0</v>
      </c>
      <c r="F263" s="24">
        <v>175</v>
      </c>
      <c r="G263" s="24">
        <v>223</v>
      </c>
      <c r="H263" s="24">
        <v>99</v>
      </c>
      <c r="I263" s="24">
        <v>1</v>
      </c>
      <c r="J263" s="24">
        <v>498</v>
      </c>
      <c r="K263" s="27">
        <v>0.35140562248995982</v>
      </c>
      <c r="L263" s="27">
        <v>0.44779116465863456</v>
      </c>
      <c r="M263" s="27">
        <v>0.19879518072289157</v>
      </c>
      <c r="N263" s="27">
        <v>2.008032128514056E-3</v>
      </c>
      <c r="O263" s="25">
        <v>48.556224899598391</v>
      </c>
    </row>
    <row r="264" spans="1:15" x14ac:dyDescent="0.25">
      <c r="A264" s="23">
        <v>0.62169312169312174</v>
      </c>
      <c r="B264" s="23">
        <v>0.22222222222222221</v>
      </c>
      <c r="C264" s="23">
        <v>0.14285714285714285</v>
      </c>
      <c r="D264" s="23">
        <v>0</v>
      </c>
      <c r="E264" s="23">
        <v>0</v>
      </c>
      <c r="F264" s="24">
        <v>220</v>
      </c>
      <c r="G264" s="24">
        <v>178</v>
      </c>
      <c r="H264" s="24">
        <v>99</v>
      </c>
      <c r="I264" s="24">
        <v>2</v>
      </c>
      <c r="J264" s="24">
        <v>499</v>
      </c>
      <c r="K264" s="27">
        <v>0.4408817635270541</v>
      </c>
      <c r="L264" s="27">
        <v>0.35671342685370744</v>
      </c>
      <c r="M264" s="27">
        <v>0.19839679358717435</v>
      </c>
      <c r="N264" s="27">
        <v>4.0080160320641279E-3</v>
      </c>
      <c r="O264" s="25">
        <v>40.146292585170343</v>
      </c>
    </row>
    <row r="265" spans="1:15" x14ac:dyDescent="0.25">
      <c r="A265" s="23">
        <v>0.57567567567567568</v>
      </c>
      <c r="B265" s="23">
        <v>0.24324324324324326</v>
      </c>
      <c r="C265" s="23">
        <v>0.16756756756756758</v>
      </c>
      <c r="D265" s="23">
        <v>1.0810810810810811E-2</v>
      </c>
      <c r="E265" s="23">
        <v>0</v>
      </c>
      <c r="F265" s="24">
        <v>245</v>
      </c>
      <c r="G265" s="24">
        <v>171</v>
      </c>
      <c r="H265" s="24">
        <v>83</v>
      </c>
      <c r="I265" s="24">
        <v>0</v>
      </c>
      <c r="J265" s="24">
        <v>499</v>
      </c>
      <c r="K265" s="27">
        <v>0.4909819639278557</v>
      </c>
      <c r="L265" s="27">
        <v>0.34268537074148298</v>
      </c>
      <c r="M265" s="27">
        <v>0.16633266533066132</v>
      </c>
      <c r="N265" s="27">
        <v>0</v>
      </c>
      <c r="O265" s="25">
        <v>32.198396793587172</v>
      </c>
    </row>
    <row r="266" spans="1:15" x14ac:dyDescent="0.25">
      <c r="A266" s="23">
        <v>0.546875</v>
      </c>
      <c r="B266" s="23">
        <v>0.27083333333333331</v>
      </c>
      <c r="C266" s="23">
        <v>0.17708333333333334</v>
      </c>
      <c r="D266" s="23">
        <v>0</v>
      </c>
      <c r="E266" s="23">
        <v>0</v>
      </c>
      <c r="F266" s="24">
        <v>276</v>
      </c>
      <c r="G266" s="24">
        <v>144</v>
      </c>
      <c r="H266" s="24">
        <v>78</v>
      </c>
      <c r="I266" s="24">
        <v>1</v>
      </c>
      <c r="J266" s="24">
        <v>499</v>
      </c>
      <c r="K266" s="27">
        <v>0.5531062124248497</v>
      </c>
      <c r="L266" s="27">
        <v>0.28857715430861725</v>
      </c>
      <c r="M266" s="27">
        <v>0.15631262525050099</v>
      </c>
      <c r="N266" s="27">
        <v>2.004008016032064E-3</v>
      </c>
      <c r="O266" s="25">
        <v>23.092184368737474</v>
      </c>
    </row>
    <row r="267" spans="1:15" x14ac:dyDescent="0.25">
      <c r="A267" s="23">
        <v>0.59661016949152545</v>
      </c>
      <c r="B267" s="23">
        <v>9.152542372881356E-2</v>
      </c>
      <c r="C267" s="23">
        <v>0.25423728813559321</v>
      </c>
      <c r="D267" s="23">
        <v>1.6949152542372881E-2</v>
      </c>
      <c r="E267" s="23">
        <v>0</v>
      </c>
      <c r="F267" s="24">
        <v>153</v>
      </c>
      <c r="G267" s="24">
        <v>215</v>
      </c>
      <c r="H267" s="24">
        <v>81</v>
      </c>
      <c r="I267" s="24">
        <v>1</v>
      </c>
      <c r="J267" s="24">
        <v>450</v>
      </c>
      <c r="K267" s="27">
        <v>0.34</v>
      </c>
      <c r="L267" s="27">
        <v>0.4777777777777778</v>
      </c>
      <c r="M267" s="27">
        <v>0.18</v>
      </c>
      <c r="N267" s="27">
        <v>2.2222222222222222E-3</v>
      </c>
      <c r="O267" s="25">
        <v>71.048888888888882</v>
      </c>
    </row>
    <row r="268" spans="1:15" x14ac:dyDescent="0.25">
      <c r="A268" s="23">
        <v>0.6</v>
      </c>
      <c r="B268" s="23">
        <v>0.11891891891891893</v>
      </c>
      <c r="C268" s="23">
        <v>0.24594594594594596</v>
      </c>
      <c r="D268" s="23">
        <v>1.3513513513513514E-2</v>
      </c>
      <c r="E268" s="23">
        <v>0</v>
      </c>
      <c r="F268" s="24">
        <v>151</v>
      </c>
      <c r="G268" s="24">
        <v>213</v>
      </c>
      <c r="H268" s="24">
        <v>80</v>
      </c>
      <c r="I268" s="24">
        <v>6</v>
      </c>
      <c r="J268" s="24">
        <v>450</v>
      </c>
      <c r="K268" s="27">
        <v>0.33555555555555555</v>
      </c>
      <c r="L268" s="27">
        <v>0.47333333333333333</v>
      </c>
      <c r="M268" s="27">
        <v>0.17777777777777778</v>
      </c>
      <c r="N268" s="27">
        <v>1.3333333333333334E-2</v>
      </c>
      <c r="O268" s="25">
        <v>63.69777777777778</v>
      </c>
    </row>
    <row r="269" spans="1:15" x14ac:dyDescent="0.25">
      <c r="A269" s="23">
        <v>0.53387533875338755</v>
      </c>
      <c r="B269" s="23">
        <v>0.17886178861788618</v>
      </c>
      <c r="C269" s="23">
        <v>0.26829268292682928</v>
      </c>
      <c r="D269" s="23">
        <v>1.0840108401084011E-2</v>
      </c>
      <c r="E269" s="23">
        <v>0</v>
      </c>
      <c r="F269" s="24">
        <v>213</v>
      </c>
      <c r="G269" s="24">
        <v>171</v>
      </c>
      <c r="H269" s="24">
        <v>60</v>
      </c>
      <c r="I269" s="24">
        <v>6</v>
      </c>
      <c r="J269" s="24">
        <v>450</v>
      </c>
      <c r="K269" s="27">
        <v>0.47333333333333333</v>
      </c>
      <c r="L269" s="27">
        <v>0.38</v>
      </c>
      <c r="M269" s="27">
        <v>0.13333333333333333</v>
      </c>
      <c r="N269" s="27">
        <v>1.3333333333333334E-2</v>
      </c>
      <c r="O269" s="25">
        <v>56.462222222222223</v>
      </c>
    </row>
    <row r="270" spans="1:15" x14ac:dyDescent="0.25">
      <c r="A270" s="23">
        <v>0.52222222222222225</v>
      </c>
      <c r="B270" s="23">
        <v>0.27777777777777779</v>
      </c>
      <c r="C270" s="23">
        <v>0.18</v>
      </c>
      <c r="D270" s="23">
        <v>1.7777777777777778E-2</v>
      </c>
      <c r="E270" s="23">
        <v>0</v>
      </c>
      <c r="F270" s="24">
        <v>297</v>
      </c>
      <c r="G270" s="24">
        <v>169</v>
      </c>
      <c r="H270" s="24">
        <v>95</v>
      </c>
      <c r="I270" s="24">
        <v>2</v>
      </c>
      <c r="J270" s="24">
        <v>563</v>
      </c>
      <c r="K270" s="27">
        <v>0.52753108348134992</v>
      </c>
      <c r="L270" s="27">
        <v>0.30017761989342806</v>
      </c>
      <c r="M270" s="27">
        <v>0.16873889875666073</v>
      </c>
      <c r="N270" s="27">
        <v>3.552397868561279E-3</v>
      </c>
      <c r="O270" s="25">
        <v>47.838365896980463</v>
      </c>
    </row>
    <row r="271" spans="1:15" x14ac:dyDescent="0.25">
      <c r="A271" s="23">
        <v>0.46136363636363636</v>
      </c>
      <c r="B271" s="23">
        <v>0.32727272727272727</v>
      </c>
      <c r="C271" s="23">
        <v>0.20227272727272727</v>
      </c>
      <c r="D271" s="23">
        <v>6.8181818181818179E-3</v>
      </c>
      <c r="E271" s="23">
        <v>2.2727272727272726E-3</v>
      </c>
      <c r="F271" s="24">
        <v>336</v>
      </c>
      <c r="G271" s="24">
        <v>156</v>
      </c>
      <c r="H271" s="24">
        <v>68</v>
      </c>
      <c r="I271" s="24">
        <v>3</v>
      </c>
      <c r="J271" s="24">
        <v>563</v>
      </c>
      <c r="K271" s="27">
        <v>0.5968028419182948</v>
      </c>
      <c r="L271" s="27">
        <v>0.27708703374777977</v>
      </c>
      <c r="M271" s="27">
        <v>0.12078152753108348</v>
      </c>
      <c r="N271" s="27">
        <v>5.3285968028419185E-3</v>
      </c>
      <c r="O271" s="25">
        <v>38.404973357015983</v>
      </c>
    </row>
    <row r="272" spans="1:15" x14ac:dyDescent="0.25">
      <c r="A272" s="23">
        <v>0.46244131455399062</v>
      </c>
      <c r="B272" s="23">
        <v>0.33568075117370894</v>
      </c>
      <c r="C272" s="23">
        <v>0.19014084507042253</v>
      </c>
      <c r="D272" s="23">
        <v>7.0422535211267607E-3</v>
      </c>
      <c r="E272" s="23">
        <v>2.3474178403755869E-3</v>
      </c>
      <c r="F272" s="24">
        <v>347</v>
      </c>
      <c r="G272" s="24">
        <v>133</v>
      </c>
      <c r="H272" s="24">
        <v>79</v>
      </c>
      <c r="I272" s="24">
        <v>4</v>
      </c>
      <c r="J272" s="24">
        <v>563</v>
      </c>
      <c r="K272" s="27">
        <v>0.61634103019538189</v>
      </c>
      <c r="L272" s="27">
        <v>0.23623445825932504</v>
      </c>
      <c r="M272" s="27">
        <v>0.14031971580817051</v>
      </c>
      <c r="N272" s="27">
        <v>7.104795737122558E-3</v>
      </c>
      <c r="O272" s="25">
        <v>30.307282415630549</v>
      </c>
    </row>
    <row r="273" spans="1:15" x14ac:dyDescent="0.25">
      <c r="A273" s="23">
        <v>0.4356223175965665</v>
      </c>
      <c r="B273" s="23">
        <v>0.36909871244635195</v>
      </c>
      <c r="C273" s="23">
        <v>0.19098712446351931</v>
      </c>
      <c r="D273" s="23">
        <v>2.1459227467811159E-3</v>
      </c>
      <c r="E273" s="23">
        <v>2.1459227467811159E-3</v>
      </c>
      <c r="F273" s="24">
        <v>393</v>
      </c>
      <c r="G273" s="24">
        <v>100</v>
      </c>
      <c r="H273" s="24">
        <v>71</v>
      </c>
      <c r="I273" s="24">
        <v>0</v>
      </c>
      <c r="J273" s="24">
        <v>564</v>
      </c>
      <c r="K273" s="27">
        <v>0.69680851063829785</v>
      </c>
      <c r="L273" s="27">
        <v>0.1773049645390071</v>
      </c>
      <c r="M273" s="27">
        <v>0.12588652482269502</v>
      </c>
      <c r="N273" s="27">
        <v>0</v>
      </c>
      <c r="O273" s="25">
        <v>22.382978723404257</v>
      </c>
    </row>
    <row r="274" spans="1:15" x14ac:dyDescent="0.25">
      <c r="A274" s="23">
        <v>0.27051671732522797</v>
      </c>
      <c r="B274" s="23">
        <v>0.24316109422492402</v>
      </c>
      <c r="C274" s="23">
        <v>0.44376899696048633</v>
      </c>
      <c r="D274" s="23">
        <v>2.4316109422492401E-2</v>
      </c>
      <c r="E274" s="23">
        <v>3.0395136778115501E-3</v>
      </c>
      <c r="F274" s="24">
        <v>438</v>
      </c>
      <c r="G274" s="24">
        <v>1</v>
      </c>
      <c r="H274" s="24">
        <v>10</v>
      </c>
      <c r="I274" s="24">
        <v>1</v>
      </c>
      <c r="J274" s="24">
        <v>450</v>
      </c>
      <c r="K274" s="27">
        <v>0.97333333333333338</v>
      </c>
      <c r="L274" s="27">
        <v>2.2222222222222222E-3</v>
      </c>
      <c r="M274" s="27">
        <v>2.2222222222222223E-2</v>
      </c>
      <c r="N274" s="27">
        <v>2.2222222222222222E-3</v>
      </c>
      <c r="O274" s="25">
        <v>61.224444444444444</v>
      </c>
    </row>
    <row r="275" spans="1:15" x14ac:dyDescent="0.25">
      <c r="A275" s="23">
        <v>0.24338624338624337</v>
      </c>
      <c r="B275" s="23">
        <v>0.34126984126984128</v>
      </c>
      <c r="C275" s="23">
        <v>0.37301587301587302</v>
      </c>
      <c r="D275" s="23">
        <v>3.439153439153439E-2</v>
      </c>
      <c r="E275" s="23">
        <v>0</v>
      </c>
      <c r="F275" s="24">
        <v>571</v>
      </c>
      <c r="G275" s="24">
        <v>0</v>
      </c>
      <c r="H275" s="24">
        <v>3</v>
      </c>
      <c r="I275" s="24">
        <v>4</v>
      </c>
      <c r="J275" s="24">
        <v>578</v>
      </c>
      <c r="K275" s="27">
        <v>0.98788927335640142</v>
      </c>
      <c r="L275" s="27">
        <v>0</v>
      </c>
      <c r="M275" s="27">
        <v>5.1903114186851208E-3</v>
      </c>
      <c r="N275" s="27">
        <v>6.920415224913495E-3</v>
      </c>
      <c r="O275" s="25">
        <v>33.48096885813149</v>
      </c>
    </row>
    <row r="276" spans="1:15" x14ac:dyDescent="0.25">
      <c r="A276" s="23">
        <v>0.2111692844677138</v>
      </c>
      <c r="B276" s="23">
        <v>0.46422338568935428</v>
      </c>
      <c r="C276" s="23">
        <v>0.28970331588132636</v>
      </c>
      <c r="D276" s="23">
        <v>2.0942408376963352E-2</v>
      </c>
      <c r="E276" s="23">
        <v>1.7452006980802793E-3</v>
      </c>
      <c r="F276" s="24">
        <v>386</v>
      </c>
      <c r="G276" s="24">
        <v>28</v>
      </c>
      <c r="H276" s="24">
        <v>31</v>
      </c>
      <c r="I276" s="24">
        <v>5</v>
      </c>
      <c r="J276" s="24">
        <v>450</v>
      </c>
      <c r="K276" s="27">
        <v>0.85777777777777775</v>
      </c>
      <c r="L276" s="27">
        <v>6.222222222222222E-2</v>
      </c>
      <c r="M276" s="27">
        <v>6.8888888888888888E-2</v>
      </c>
      <c r="N276" s="27">
        <v>1.1111111111111112E-2</v>
      </c>
      <c r="O276" s="25">
        <v>69.833333333333329</v>
      </c>
    </row>
    <row r="277" spans="1:15" x14ac:dyDescent="0.25">
      <c r="A277" s="23">
        <v>0.17297297297297298</v>
      </c>
      <c r="B277" s="23">
        <v>0.53873873873873879</v>
      </c>
      <c r="C277" s="23">
        <v>0.26306306306306304</v>
      </c>
      <c r="D277" s="23">
        <v>1.8018018018018018E-2</v>
      </c>
      <c r="E277" s="23">
        <v>3.6036036036036037E-3</v>
      </c>
      <c r="F277" s="24">
        <v>400</v>
      </c>
      <c r="G277" s="24">
        <v>22</v>
      </c>
      <c r="H277" s="24">
        <v>26</v>
      </c>
      <c r="I277" s="24">
        <v>2</v>
      </c>
      <c r="J277" s="24">
        <v>450</v>
      </c>
      <c r="K277" s="27">
        <v>0.88888888888888884</v>
      </c>
      <c r="L277" s="27">
        <v>4.8888888888888891E-2</v>
      </c>
      <c r="M277" s="27">
        <v>5.7777777777777775E-2</v>
      </c>
      <c r="N277" s="27">
        <v>4.4444444444444444E-3</v>
      </c>
      <c r="O277" s="25">
        <v>59.717777777777776</v>
      </c>
    </row>
    <row r="278" spans="1:15" x14ac:dyDescent="0.25">
      <c r="A278" s="23">
        <v>0.28166666666666668</v>
      </c>
      <c r="B278" s="23">
        <v>0.5083333333333333</v>
      </c>
      <c r="C278" s="23">
        <v>0.19</v>
      </c>
      <c r="D278" s="23">
        <v>1.1666666666666667E-2</v>
      </c>
      <c r="E278" s="23">
        <v>0</v>
      </c>
      <c r="F278" s="24">
        <v>656</v>
      </c>
      <c r="G278" s="24">
        <v>23</v>
      </c>
      <c r="H278" s="24">
        <v>25</v>
      </c>
      <c r="I278" s="24">
        <v>10</v>
      </c>
      <c r="J278" s="24">
        <v>714</v>
      </c>
      <c r="K278" s="27">
        <v>0.91876750700280108</v>
      </c>
      <c r="L278" s="27">
        <v>3.2212885154061621E-2</v>
      </c>
      <c r="M278" s="27">
        <v>3.5014005602240897E-2</v>
      </c>
      <c r="N278" s="27">
        <v>1.4005602240896359E-2</v>
      </c>
      <c r="O278" s="25">
        <v>48.757703081232492</v>
      </c>
    </row>
    <row r="279" spans="1:15" x14ac:dyDescent="0.25">
      <c r="A279" s="23">
        <v>0.1487603305785124</v>
      </c>
      <c r="B279" s="23">
        <v>0.35261707988980717</v>
      </c>
      <c r="C279" s="23">
        <v>0.44077134986225897</v>
      </c>
      <c r="D279" s="23">
        <v>2.2038567493112948E-2</v>
      </c>
      <c r="E279" s="23">
        <v>2.7548209366391185E-3</v>
      </c>
      <c r="F279" s="24">
        <v>685</v>
      </c>
      <c r="G279" s="24">
        <v>16</v>
      </c>
      <c r="H279" s="24">
        <v>4</v>
      </c>
      <c r="I279" s="24">
        <v>9</v>
      </c>
      <c r="J279" s="24">
        <v>714</v>
      </c>
      <c r="K279" s="27">
        <v>0.95938375350140059</v>
      </c>
      <c r="L279" s="27">
        <v>2.2408963585434174E-2</v>
      </c>
      <c r="M279" s="27">
        <v>5.6022408963585435E-3</v>
      </c>
      <c r="N279" s="27">
        <v>1.2605042016806723E-2</v>
      </c>
      <c r="O279" s="25">
        <v>35.717086834733891</v>
      </c>
    </row>
    <row r="280" spans="1:15" x14ac:dyDescent="0.25">
      <c r="A280" s="23">
        <v>0.2017353579175705</v>
      </c>
      <c r="B280" s="23">
        <v>0.45553145336225598</v>
      </c>
      <c r="C280" s="23">
        <v>0.31670281995661603</v>
      </c>
      <c r="D280" s="23">
        <v>1.735357917570499E-2</v>
      </c>
      <c r="E280" s="23">
        <v>2.1691973969631237E-3</v>
      </c>
      <c r="F280" s="24">
        <v>702</v>
      </c>
      <c r="G280" s="24">
        <v>3</v>
      </c>
      <c r="H280" s="24">
        <v>5</v>
      </c>
      <c r="I280" s="24">
        <v>4</v>
      </c>
      <c r="J280" s="24">
        <v>714</v>
      </c>
      <c r="K280" s="27">
        <v>0.98319327731092432</v>
      </c>
      <c r="L280" s="27">
        <v>4.2016806722689074E-3</v>
      </c>
      <c r="M280" s="27">
        <v>7.0028011204481795E-3</v>
      </c>
      <c r="N280" s="27">
        <v>5.6022408963585435E-3</v>
      </c>
      <c r="O280" s="25">
        <v>24.260504201680671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4967A-0F01-4F72-8F41-5D60DACB07E9}">
  <dimension ref="A1:AD298"/>
  <sheetViews>
    <sheetView workbookViewId="0">
      <pane xSplit="4" ySplit="1" topLeftCell="U173" activePane="bottomRight" state="frozen"/>
      <selection pane="topRight" activeCell="E1" sqref="E1"/>
      <selection pane="bottomLeft" activeCell="A2" sqref="A2"/>
      <selection pane="bottomRight" activeCell="AD173" sqref="AD173:AD194"/>
    </sheetView>
  </sheetViews>
  <sheetFormatPr defaultRowHeight="13.2" x14ac:dyDescent="0.25"/>
  <cols>
    <col min="1" max="1" width="8.44140625" bestFit="1" customWidth="1"/>
    <col min="2" max="2" width="36.21875" bestFit="1" customWidth="1"/>
    <col min="3" max="3" width="76.77734375" bestFit="1" customWidth="1"/>
    <col min="4" max="4" width="6.5546875" bestFit="1" customWidth="1"/>
    <col min="5" max="5" width="24.44140625" bestFit="1" customWidth="1"/>
    <col min="6" max="6" width="6" bestFit="1" customWidth="1"/>
    <col min="7" max="7" width="4.21875" bestFit="1" customWidth="1"/>
    <col min="8" max="8" width="6" bestFit="1" customWidth="1"/>
    <col min="9" max="9" width="9.21875" bestFit="1" customWidth="1"/>
    <col min="10" max="10" width="6" bestFit="1" customWidth="1"/>
    <col min="11" max="11" width="22" bestFit="1" customWidth="1"/>
    <col min="12" max="12" width="29.21875" bestFit="1" customWidth="1"/>
    <col min="13" max="13" width="10.44140625" bestFit="1" customWidth="1"/>
    <col min="14" max="14" width="19.109375" bestFit="1" customWidth="1"/>
    <col min="15" max="17" width="6" bestFit="1" customWidth="1"/>
    <col min="18" max="18" width="10.77734375" bestFit="1" customWidth="1"/>
    <col min="19" max="19" width="5.77734375" bestFit="1" customWidth="1"/>
    <col min="20" max="22" width="6" bestFit="1" customWidth="1"/>
    <col min="23" max="23" width="5" bestFit="1" customWidth="1"/>
    <col min="24" max="25" width="7" bestFit="1" customWidth="1"/>
    <col min="26" max="28" width="6" bestFit="1" customWidth="1"/>
    <col min="29" max="29" width="7.33203125" bestFit="1" customWidth="1"/>
  </cols>
  <sheetData>
    <row r="1" spans="1:30" x14ac:dyDescent="0.25">
      <c r="A1" s="22" t="s">
        <v>144</v>
      </c>
      <c r="B1" s="22" t="s">
        <v>161</v>
      </c>
      <c r="C1" s="22" t="s">
        <v>145</v>
      </c>
      <c r="D1" s="22" t="s">
        <v>162</v>
      </c>
      <c r="E1" s="22" t="s">
        <v>163</v>
      </c>
      <c r="F1" s="22" t="s">
        <v>139</v>
      </c>
      <c r="G1" s="22" t="s">
        <v>140</v>
      </c>
      <c r="H1" s="22" t="s">
        <v>141</v>
      </c>
      <c r="I1" s="22" t="s">
        <v>142</v>
      </c>
      <c r="J1" s="22" t="s">
        <v>143</v>
      </c>
      <c r="K1" s="22" t="s">
        <v>147</v>
      </c>
      <c r="L1" s="22" t="s">
        <v>146</v>
      </c>
      <c r="M1" s="22" t="s">
        <v>258</v>
      </c>
      <c r="N1" s="22" t="s">
        <v>160</v>
      </c>
      <c r="O1" s="22" t="s">
        <v>259</v>
      </c>
      <c r="P1" s="22" t="s">
        <v>260</v>
      </c>
      <c r="Q1" s="22" t="s">
        <v>261</v>
      </c>
      <c r="R1" s="22" t="s">
        <v>262</v>
      </c>
      <c r="S1" s="22" t="s">
        <v>263</v>
      </c>
      <c r="T1" s="24" t="s">
        <v>363</v>
      </c>
      <c r="U1" s="24" t="s">
        <v>364</v>
      </c>
      <c r="V1" s="24" t="s">
        <v>365</v>
      </c>
      <c r="W1" s="24" t="s">
        <v>366</v>
      </c>
      <c r="X1" s="24" t="s">
        <v>367</v>
      </c>
      <c r="Y1" s="24" t="s">
        <v>368</v>
      </c>
      <c r="Z1" s="24" t="s">
        <v>369</v>
      </c>
      <c r="AA1" s="24" t="s">
        <v>370</v>
      </c>
      <c r="AB1" s="24" t="s">
        <v>371</v>
      </c>
      <c r="AC1" s="24" t="s">
        <v>372</v>
      </c>
      <c r="AD1" s="23" t="s">
        <v>378</v>
      </c>
    </row>
    <row r="2" spans="1:30" s="38" customFormat="1" x14ac:dyDescent="0.25">
      <c r="A2" s="33">
        <v>1</v>
      </c>
      <c r="B2" s="33" t="s">
        <v>148</v>
      </c>
      <c r="C2" s="33"/>
      <c r="D2" s="33"/>
      <c r="E2" s="33">
        <v>2632</v>
      </c>
      <c r="F2" s="33">
        <v>669</v>
      </c>
      <c r="G2" s="33">
        <v>11</v>
      </c>
      <c r="H2" s="33">
        <v>529</v>
      </c>
      <c r="I2" s="33">
        <v>33</v>
      </c>
      <c r="J2" s="33">
        <v>852</v>
      </c>
      <c r="K2" s="33">
        <v>2094</v>
      </c>
      <c r="L2" s="33">
        <v>218</v>
      </c>
      <c r="M2" s="33">
        <f>L2+K2</f>
        <v>2312</v>
      </c>
      <c r="N2" s="33">
        <v>320</v>
      </c>
      <c r="O2" s="34">
        <f>F2/M2</f>
        <v>0.28935986159169552</v>
      </c>
      <c r="P2" s="34">
        <f>J2/M2</f>
        <v>0.36851211072664358</v>
      </c>
      <c r="Q2" s="34">
        <f>H2/M2</f>
        <v>0.22880622837370243</v>
      </c>
      <c r="R2" s="34">
        <f>I2/M2</f>
        <v>1.4273356401384083E-2</v>
      </c>
      <c r="S2" s="34">
        <f>G2/M2</f>
        <v>4.7577854671280277E-3</v>
      </c>
      <c r="T2" s="35">
        <v>30</v>
      </c>
      <c r="U2" s="35">
        <v>9</v>
      </c>
      <c r="V2" s="35">
        <v>4</v>
      </c>
      <c r="W2" s="35">
        <v>0</v>
      </c>
      <c r="X2" s="35">
        <v>43</v>
      </c>
      <c r="Y2" s="36">
        <v>0.69767441860465118</v>
      </c>
      <c r="Z2" s="36">
        <v>0.20930232558139536</v>
      </c>
      <c r="AA2" s="36">
        <v>9.3023255813953487E-2</v>
      </c>
      <c r="AB2" s="36">
        <v>0</v>
      </c>
      <c r="AC2" s="37">
        <v>41.415789473684207</v>
      </c>
      <c r="AD2" s="34">
        <f>M2/X2</f>
        <v>53.767441860465119</v>
      </c>
    </row>
    <row r="3" spans="1:30" s="38" customFormat="1" x14ac:dyDescent="0.25">
      <c r="A3" s="33">
        <v>2</v>
      </c>
      <c r="B3" s="33" t="s">
        <v>149</v>
      </c>
      <c r="C3" s="33" t="s">
        <v>150</v>
      </c>
      <c r="D3" s="33">
        <v>1</v>
      </c>
      <c r="E3" s="33">
        <v>53</v>
      </c>
      <c r="F3" s="33">
        <v>4</v>
      </c>
      <c r="G3" s="33">
        <v>0</v>
      </c>
      <c r="H3" s="33">
        <v>27</v>
      </c>
      <c r="I3" s="33">
        <v>0</v>
      </c>
      <c r="J3" s="33">
        <v>22</v>
      </c>
      <c r="K3" s="33">
        <v>53</v>
      </c>
      <c r="L3" s="33">
        <v>0</v>
      </c>
      <c r="M3" s="33">
        <f t="shared" ref="M3:M66" si="0">L3+K3</f>
        <v>53</v>
      </c>
      <c r="N3" s="33">
        <v>0</v>
      </c>
      <c r="O3" s="34">
        <f t="shared" ref="O3:O66" si="1">F3/M3</f>
        <v>7.5471698113207544E-2</v>
      </c>
      <c r="P3" s="34">
        <f t="shared" ref="P3:P66" si="2">J3/M3</f>
        <v>0.41509433962264153</v>
      </c>
      <c r="Q3" s="34">
        <f t="shared" ref="Q3:Q66" si="3">H3/M3</f>
        <v>0.50943396226415094</v>
      </c>
      <c r="R3" s="34">
        <f t="shared" ref="R3:R66" si="4">I3/M3</f>
        <v>0</v>
      </c>
      <c r="S3" s="34">
        <f t="shared" ref="S3:S66" si="5">G3/M3</f>
        <v>0</v>
      </c>
      <c r="T3" s="35">
        <v>50</v>
      </c>
      <c r="U3" s="35">
        <v>0</v>
      </c>
      <c r="V3" s="35">
        <v>3</v>
      </c>
      <c r="W3" s="35">
        <v>5</v>
      </c>
      <c r="X3" s="35">
        <v>58</v>
      </c>
      <c r="Y3" s="36">
        <v>0.86206896551724133</v>
      </c>
      <c r="Z3" s="36">
        <v>0</v>
      </c>
      <c r="AA3" s="36">
        <v>5.1724137931034482E-2</v>
      </c>
      <c r="AB3" s="36">
        <v>8.6206896551724144E-2</v>
      </c>
      <c r="AC3" s="37">
        <v>36.466839574898785</v>
      </c>
      <c r="AD3" s="34">
        <f t="shared" ref="AD3:AD66" si="6">M3/X3</f>
        <v>0.91379310344827591</v>
      </c>
    </row>
    <row r="4" spans="1:30" s="38" customFormat="1" x14ac:dyDescent="0.25">
      <c r="A4" s="33">
        <v>3</v>
      </c>
      <c r="B4" s="33" t="s">
        <v>151</v>
      </c>
      <c r="C4" s="33" t="s">
        <v>152</v>
      </c>
      <c r="D4" s="33">
        <v>1</v>
      </c>
      <c r="E4" s="33">
        <v>329</v>
      </c>
      <c r="F4" s="33">
        <v>18</v>
      </c>
      <c r="G4" s="33">
        <v>1</v>
      </c>
      <c r="H4" s="33">
        <v>179</v>
      </c>
      <c r="I4" s="33">
        <v>4</v>
      </c>
      <c r="J4" s="33">
        <v>125</v>
      </c>
      <c r="K4" s="33">
        <v>327</v>
      </c>
      <c r="L4" s="33">
        <v>2</v>
      </c>
      <c r="M4" s="33">
        <f t="shared" si="0"/>
        <v>329</v>
      </c>
      <c r="N4" s="33">
        <v>0</v>
      </c>
      <c r="O4" s="34">
        <f t="shared" si="1"/>
        <v>5.4711246200607903E-2</v>
      </c>
      <c r="P4" s="34">
        <f t="shared" si="2"/>
        <v>0.37993920972644379</v>
      </c>
      <c r="Q4" s="34">
        <f t="shared" si="3"/>
        <v>0.54407294832826747</v>
      </c>
      <c r="R4" s="34">
        <f t="shared" si="4"/>
        <v>1.2158054711246201E-2</v>
      </c>
      <c r="S4" s="34">
        <f t="shared" si="5"/>
        <v>3.0395136778115501E-3</v>
      </c>
      <c r="T4" s="35">
        <v>332</v>
      </c>
      <c r="U4" s="35">
        <v>2</v>
      </c>
      <c r="V4" s="35">
        <v>9</v>
      </c>
      <c r="W4" s="35">
        <v>22</v>
      </c>
      <c r="X4" s="35">
        <v>365</v>
      </c>
      <c r="Y4" s="36">
        <v>0.90958904109589045</v>
      </c>
      <c r="Z4" s="36">
        <v>5.4794520547945206E-3</v>
      </c>
      <c r="AA4" s="36">
        <v>2.4657534246575342E-2</v>
      </c>
      <c r="AB4" s="36">
        <v>6.0273972602739728E-2</v>
      </c>
      <c r="AC4" s="37">
        <v>38.528470145120195</v>
      </c>
      <c r="AD4" s="34">
        <f t="shared" si="6"/>
        <v>0.90136986301369859</v>
      </c>
    </row>
    <row r="5" spans="1:30" s="38" customFormat="1" x14ac:dyDescent="0.25">
      <c r="A5" s="33"/>
      <c r="B5" s="33"/>
      <c r="C5" s="33" t="s">
        <v>153</v>
      </c>
      <c r="D5" s="33">
        <v>1</v>
      </c>
      <c r="E5" s="33">
        <v>31</v>
      </c>
      <c r="F5" s="33">
        <v>2</v>
      </c>
      <c r="G5" s="33">
        <v>0</v>
      </c>
      <c r="H5" s="33">
        <v>3</v>
      </c>
      <c r="I5" s="33">
        <v>0</v>
      </c>
      <c r="J5" s="33">
        <v>26</v>
      </c>
      <c r="K5" s="33">
        <v>31</v>
      </c>
      <c r="L5" s="33">
        <v>0</v>
      </c>
      <c r="M5" s="33">
        <f t="shared" si="0"/>
        <v>31</v>
      </c>
      <c r="N5" s="33">
        <v>0</v>
      </c>
      <c r="O5" s="34">
        <f t="shared" si="1"/>
        <v>6.4516129032258063E-2</v>
      </c>
      <c r="P5" s="34">
        <f t="shared" si="2"/>
        <v>0.83870967741935487</v>
      </c>
      <c r="Q5" s="34">
        <f t="shared" si="3"/>
        <v>9.6774193548387094E-2</v>
      </c>
      <c r="R5" s="34">
        <f t="shared" si="4"/>
        <v>0</v>
      </c>
      <c r="S5" s="34">
        <f t="shared" si="5"/>
        <v>0</v>
      </c>
      <c r="T5" s="35">
        <v>32</v>
      </c>
      <c r="U5" s="35">
        <v>0</v>
      </c>
      <c r="V5" s="35">
        <v>1</v>
      </c>
      <c r="W5" s="35">
        <v>0</v>
      </c>
      <c r="X5" s="35">
        <v>33</v>
      </c>
      <c r="Y5" s="36">
        <v>0.96969696969696972</v>
      </c>
      <c r="Z5" s="36">
        <v>0</v>
      </c>
      <c r="AA5" s="36">
        <v>3.0303030303030304E-2</v>
      </c>
      <c r="AB5" s="36">
        <v>0</v>
      </c>
      <c r="AC5" s="37">
        <v>34.545454545454547</v>
      </c>
      <c r="AD5" s="34">
        <f t="shared" si="6"/>
        <v>0.93939393939393945</v>
      </c>
    </row>
    <row r="6" spans="1:30" s="38" customFormat="1" x14ac:dyDescent="0.25">
      <c r="A6" s="33">
        <v>4</v>
      </c>
      <c r="B6" s="33" t="s">
        <v>154</v>
      </c>
      <c r="C6" s="33" t="s">
        <v>155</v>
      </c>
      <c r="D6" s="33">
        <v>1</v>
      </c>
      <c r="E6" s="33">
        <v>323</v>
      </c>
      <c r="F6" s="33">
        <v>26</v>
      </c>
      <c r="G6" s="33">
        <v>0</v>
      </c>
      <c r="H6" s="33">
        <v>153</v>
      </c>
      <c r="I6" s="33">
        <v>3</v>
      </c>
      <c r="J6" s="33">
        <v>139</v>
      </c>
      <c r="K6" s="33">
        <v>321</v>
      </c>
      <c r="L6" s="33">
        <v>2</v>
      </c>
      <c r="M6" s="33">
        <f t="shared" si="0"/>
        <v>323</v>
      </c>
      <c r="N6" s="33">
        <v>0</v>
      </c>
      <c r="O6" s="34">
        <f t="shared" si="1"/>
        <v>8.0495356037151702E-2</v>
      </c>
      <c r="P6" s="34">
        <f t="shared" si="2"/>
        <v>0.43034055727554177</v>
      </c>
      <c r="Q6" s="34">
        <f t="shared" si="3"/>
        <v>0.47368421052631576</v>
      </c>
      <c r="R6" s="34">
        <f t="shared" si="4"/>
        <v>9.2879256965944269E-3</v>
      </c>
      <c r="S6" s="34">
        <f t="shared" si="5"/>
        <v>0</v>
      </c>
      <c r="T6" s="35">
        <v>293</v>
      </c>
      <c r="U6" s="35">
        <v>14</v>
      </c>
      <c r="V6" s="35">
        <v>22</v>
      </c>
      <c r="W6" s="35">
        <v>16</v>
      </c>
      <c r="X6" s="35">
        <v>345</v>
      </c>
      <c r="Y6" s="36">
        <v>0.8492753623188406</v>
      </c>
      <c r="Z6" s="36">
        <v>4.0579710144927533E-2</v>
      </c>
      <c r="AA6" s="36">
        <v>6.3768115942028983E-2</v>
      </c>
      <c r="AB6" s="36">
        <v>4.6376811594202899E-2</v>
      </c>
      <c r="AC6" s="37">
        <v>39.127536231884058</v>
      </c>
      <c r="AD6" s="34">
        <f t="shared" si="6"/>
        <v>0.93623188405797098</v>
      </c>
    </row>
    <row r="7" spans="1:30" s="38" customFormat="1" x14ac:dyDescent="0.25">
      <c r="A7" s="33"/>
      <c r="B7" s="33"/>
      <c r="C7" s="33"/>
      <c r="D7" s="33">
        <v>2</v>
      </c>
      <c r="E7" s="33">
        <v>325</v>
      </c>
      <c r="F7" s="33">
        <v>13</v>
      </c>
      <c r="G7" s="33">
        <v>0</v>
      </c>
      <c r="H7" s="33">
        <v>133</v>
      </c>
      <c r="I7" s="33">
        <v>3</v>
      </c>
      <c r="J7" s="33">
        <v>173</v>
      </c>
      <c r="K7" s="33">
        <v>322</v>
      </c>
      <c r="L7" s="33">
        <v>3</v>
      </c>
      <c r="M7" s="33">
        <f t="shared" si="0"/>
        <v>325</v>
      </c>
      <c r="N7" s="33">
        <v>0</v>
      </c>
      <c r="O7" s="34">
        <f t="shared" si="1"/>
        <v>0.04</v>
      </c>
      <c r="P7" s="34">
        <f t="shared" si="2"/>
        <v>0.53230769230769226</v>
      </c>
      <c r="Q7" s="34">
        <f t="shared" si="3"/>
        <v>0.40923076923076923</v>
      </c>
      <c r="R7" s="34">
        <f t="shared" si="4"/>
        <v>9.2307692307692316E-3</v>
      </c>
      <c r="S7" s="34">
        <f t="shared" si="5"/>
        <v>0</v>
      </c>
      <c r="T7" s="35">
        <v>342</v>
      </c>
      <c r="U7" s="35">
        <v>0</v>
      </c>
      <c r="V7" s="35">
        <v>1</v>
      </c>
      <c r="W7" s="35">
        <v>2</v>
      </c>
      <c r="X7" s="35">
        <v>345</v>
      </c>
      <c r="Y7" s="36">
        <v>0.99130434782608701</v>
      </c>
      <c r="Z7" s="36">
        <v>0</v>
      </c>
      <c r="AA7" s="36">
        <v>2.8985507246376812E-3</v>
      </c>
      <c r="AB7" s="36">
        <v>5.7971014492753624E-3</v>
      </c>
      <c r="AC7" s="37">
        <v>35.472463768115944</v>
      </c>
      <c r="AD7" s="34">
        <f t="shared" si="6"/>
        <v>0.94202898550724634</v>
      </c>
    </row>
    <row r="8" spans="1:30" s="38" customFormat="1" x14ac:dyDescent="0.25">
      <c r="A8" s="33"/>
      <c r="B8" s="33"/>
      <c r="C8" s="33"/>
      <c r="D8" s="33">
        <v>3</v>
      </c>
      <c r="E8" s="33">
        <v>320</v>
      </c>
      <c r="F8" s="33">
        <v>16</v>
      </c>
      <c r="G8" s="33">
        <v>1</v>
      </c>
      <c r="H8" s="33">
        <v>168</v>
      </c>
      <c r="I8" s="33">
        <v>3</v>
      </c>
      <c r="J8" s="33">
        <v>130</v>
      </c>
      <c r="K8" s="33">
        <v>318</v>
      </c>
      <c r="L8" s="33">
        <v>2</v>
      </c>
      <c r="M8" s="33">
        <f t="shared" si="0"/>
        <v>320</v>
      </c>
      <c r="N8" s="33">
        <v>0</v>
      </c>
      <c r="O8" s="34">
        <f t="shared" si="1"/>
        <v>0.05</v>
      </c>
      <c r="P8" s="34">
        <f t="shared" si="2"/>
        <v>0.40625</v>
      </c>
      <c r="Q8" s="34">
        <f t="shared" si="3"/>
        <v>0.52500000000000002</v>
      </c>
      <c r="R8" s="34">
        <f t="shared" si="4"/>
        <v>9.3749999999999997E-3</v>
      </c>
      <c r="S8" s="34">
        <f t="shared" si="5"/>
        <v>3.1250000000000002E-3</v>
      </c>
      <c r="T8" s="35">
        <v>307</v>
      </c>
      <c r="U8" s="35">
        <v>7</v>
      </c>
      <c r="V8" s="35">
        <v>24</v>
      </c>
      <c r="W8" s="35">
        <v>7</v>
      </c>
      <c r="X8" s="35">
        <v>345</v>
      </c>
      <c r="Y8" s="36">
        <v>0.88985507246376816</v>
      </c>
      <c r="Z8" s="36">
        <v>2.0289855072463767E-2</v>
      </c>
      <c r="AA8" s="36">
        <v>6.9565217391304349E-2</v>
      </c>
      <c r="AB8" s="36">
        <v>2.0289855072463767E-2</v>
      </c>
      <c r="AC8" s="37">
        <v>39.594202898550726</v>
      </c>
      <c r="AD8" s="34">
        <f t="shared" si="6"/>
        <v>0.92753623188405798</v>
      </c>
    </row>
    <row r="9" spans="1:30" s="38" customFormat="1" x14ac:dyDescent="0.25">
      <c r="A9" s="33">
        <v>5</v>
      </c>
      <c r="B9" s="33" t="s">
        <v>156</v>
      </c>
      <c r="C9" s="33" t="s">
        <v>157</v>
      </c>
      <c r="D9" s="33">
        <v>1</v>
      </c>
      <c r="E9" s="33">
        <v>84</v>
      </c>
      <c r="F9" s="33">
        <v>4</v>
      </c>
      <c r="G9" s="33">
        <v>0</v>
      </c>
      <c r="H9" s="33">
        <v>52</v>
      </c>
      <c r="I9" s="33">
        <v>1</v>
      </c>
      <c r="J9" s="33">
        <v>27</v>
      </c>
      <c r="K9" s="33">
        <v>84</v>
      </c>
      <c r="L9" s="33">
        <v>0</v>
      </c>
      <c r="M9" s="33">
        <f t="shared" si="0"/>
        <v>84</v>
      </c>
      <c r="N9" s="33">
        <v>0</v>
      </c>
      <c r="O9" s="34">
        <f t="shared" si="1"/>
        <v>4.7619047619047616E-2</v>
      </c>
      <c r="P9" s="34">
        <f t="shared" si="2"/>
        <v>0.32142857142857145</v>
      </c>
      <c r="Q9" s="34">
        <f t="shared" si="3"/>
        <v>0.61904761904761907</v>
      </c>
      <c r="R9" s="34">
        <f t="shared" si="4"/>
        <v>1.1904761904761904E-2</v>
      </c>
      <c r="S9" s="34">
        <f t="shared" si="5"/>
        <v>0</v>
      </c>
      <c r="T9" s="35">
        <v>733</v>
      </c>
      <c r="U9" s="35">
        <v>7</v>
      </c>
      <c r="V9" s="35">
        <v>26</v>
      </c>
      <c r="W9" s="35">
        <v>13</v>
      </c>
      <c r="X9" s="35">
        <v>779</v>
      </c>
      <c r="Y9" s="36">
        <v>0.94094993581514763</v>
      </c>
      <c r="Z9" s="36">
        <v>8.9858793324775355E-3</v>
      </c>
      <c r="AA9" s="36">
        <v>3.3376123234916559E-2</v>
      </c>
      <c r="AB9" s="36">
        <v>1.668806161745828E-2</v>
      </c>
      <c r="AC9" s="37">
        <v>36.273571428571429</v>
      </c>
      <c r="AD9" s="34">
        <f t="shared" si="6"/>
        <v>0.10783055198973042</v>
      </c>
    </row>
    <row r="10" spans="1:30" x14ac:dyDescent="0.25">
      <c r="A10" s="22">
        <v>6</v>
      </c>
      <c r="B10" s="22" t="s">
        <v>158</v>
      </c>
      <c r="C10" s="22" t="s">
        <v>159</v>
      </c>
      <c r="D10" s="22">
        <v>1</v>
      </c>
      <c r="E10" s="22">
        <v>359</v>
      </c>
      <c r="F10" s="22">
        <v>230</v>
      </c>
      <c r="G10" s="22">
        <v>2</v>
      </c>
      <c r="H10" s="22">
        <v>101</v>
      </c>
      <c r="I10" s="22">
        <v>2</v>
      </c>
      <c r="J10" s="22">
        <v>23</v>
      </c>
      <c r="K10" s="22">
        <v>358</v>
      </c>
      <c r="L10" s="22">
        <v>1</v>
      </c>
      <c r="M10" s="22">
        <f t="shared" si="0"/>
        <v>359</v>
      </c>
      <c r="N10" s="22">
        <v>0</v>
      </c>
      <c r="O10" s="23">
        <f t="shared" si="1"/>
        <v>0.64066852367688021</v>
      </c>
      <c r="P10" s="23">
        <f t="shared" si="2"/>
        <v>6.4066852367688026E-2</v>
      </c>
      <c r="Q10" s="23">
        <f t="shared" si="3"/>
        <v>0.28133704735376047</v>
      </c>
      <c r="R10" s="23">
        <f t="shared" si="4"/>
        <v>5.5710306406685237E-3</v>
      </c>
      <c r="S10" s="23">
        <f t="shared" si="5"/>
        <v>5.5710306406685237E-3</v>
      </c>
      <c r="T10" s="24">
        <v>93</v>
      </c>
      <c r="U10" s="24">
        <v>348</v>
      </c>
      <c r="V10" s="24">
        <v>8</v>
      </c>
      <c r="W10" s="24">
        <v>1</v>
      </c>
      <c r="X10" s="24">
        <v>450</v>
      </c>
      <c r="Y10" s="27">
        <v>0.20666666666666667</v>
      </c>
      <c r="Z10" s="27">
        <v>0.77333333333333332</v>
      </c>
      <c r="AA10" s="27">
        <v>1.7777777777777778E-2</v>
      </c>
      <c r="AB10" s="27">
        <v>2.2222222222222222E-3</v>
      </c>
      <c r="AC10" s="25">
        <v>65.806666666666672</v>
      </c>
      <c r="AD10" s="23">
        <f t="shared" si="6"/>
        <v>0.79777777777777781</v>
      </c>
    </row>
    <row r="11" spans="1:30" x14ac:dyDescent="0.25">
      <c r="A11" s="22"/>
      <c r="B11" s="22"/>
      <c r="C11" s="22"/>
      <c r="D11" s="22">
        <v>2</v>
      </c>
      <c r="E11" s="22">
        <v>398</v>
      </c>
      <c r="F11" s="22">
        <v>280</v>
      </c>
      <c r="G11" s="22">
        <v>0</v>
      </c>
      <c r="H11" s="22">
        <v>71</v>
      </c>
      <c r="I11" s="22">
        <v>1</v>
      </c>
      <c r="J11" s="22">
        <v>39</v>
      </c>
      <c r="K11" s="22">
        <v>391</v>
      </c>
      <c r="L11" s="22">
        <v>7</v>
      </c>
      <c r="M11" s="22">
        <f t="shared" si="0"/>
        <v>398</v>
      </c>
      <c r="N11" s="22">
        <v>0</v>
      </c>
      <c r="O11" s="23">
        <f t="shared" si="1"/>
        <v>0.70351758793969854</v>
      </c>
      <c r="P11" s="23">
        <f t="shared" si="2"/>
        <v>9.7989949748743713E-2</v>
      </c>
      <c r="Q11" s="23">
        <f t="shared" si="3"/>
        <v>0.17839195979899497</v>
      </c>
      <c r="R11" s="23">
        <f t="shared" si="4"/>
        <v>2.5125628140703518E-3</v>
      </c>
      <c r="S11" s="23">
        <f t="shared" si="5"/>
        <v>0</v>
      </c>
      <c r="T11" s="24">
        <v>108</v>
      </c>
      <c r="U11" s="24">
        <v>364</v>
      </c>
      <c r="V11" s="24">
        <v>7</v>
      </c>
      <c r="W11" s="24">
        <v>0</v>
      </c>
      <c r="X11" s="24">
        <v>479</v>
      </c>
      <c r="Y11" s="27">
        <v>0.22546972860125261</v>
      </c>
      <c r="Z11" s="27">
        <v>0.75991649269311068</v>
      </c>
      <c r="AA11" s="27">
        <v>1.4613778705636743E-2</v>
      </c>
      <c r="AB11" s="27">
        <v>0</v>
      </c>
      <c r="AC11" s="25">
        <v>45.396659707724424</v>
      </c>
      <c r="AD11" s="23">
        <f t="shared" si="6"/>
        <v>0.83089770354906056</v>
      </c>
    </row>
    <row r="12" spans="1:30" x14ac:dyDescent="0.25">
      <c r="A12" s="22"/>
      <c r="B12" s="22"/>
      <c r="C12" s="22"/>
      <c r="D12" s="22">
        <v>3</v>
      </c>
      <c r="E12" s="22">
        <v>396</v>
      </c>
      <c r="F12" s="22">
        <v>258</v>
      </c>
      <c r="G12" s="22">
        <v>0</v>
      </c>
      <c r="H12" s="22">
        <v>60</v>
      </c>
      <c r="I12" s="22">
        <v>1</v>
      </c>
      <c r="J12" s="22">
        <v>76</v>
      </c>
      <c r="K12" s="22">
        <v>395</v>
      </c>
      <c r="L12" s="22">
        <v>1</v>
      </c>
      <c r="M12" s="22">
        <f t="shared" si="0"/>
        <v>396</v>
      </c>
      <c r="N12" s="22">
        <v>0</v>
      </c>
      <c r="O12" s="23">
        <f t="shared" si="1"/>
        <v>0.65151515151515149</v>
      </c>
      <c r="P12" s="23">
        <f t="shared" si="2"/>
        <v>0.19191919191919191</v>
      </c>
      <c r="Q12" s="23">
        <f t="shared" si="3"/>
        <v>0.15151515151515152</v>
      </c>
      <c r="R12" s="23">
        <f t="shared" si="4"/>
        <v>2.5252525252525255E-3</v>
      </c>
      <c r="S12" s="23">
        <f t="shared" si="5"/>
        <v>0</v>
      </c>
      <c r="T12" s="24">
        <v>163</v>
      </c>
      <c r="U12" s="24">
        <v>297</v>
      </c>
      <c r="V12" s="24">
        <v>16</v>
      </c>
      <c r="W12" s="24">
        <v>3</v>
      </c>
      <c r="X12" s="24">
        <v>479</v>
      </c>
      <c r="Y12" s="27">
        <v>0.34029227557411273</v>
      </c>
      <c r="Z12" s="27">
        <v>0.62004175365344472</v>
      </c>
      <c r="AA12" s="27">
        <v>3.3402922755741124E-2</v>
      </c>
      <c r="AB12" s="27">
        <v>6.2630480167014616E-3</v>
      </c>
      <c r="AC12" s="25">
        <v>27.064718162839249</v>
      </c>
      <c r="AD12" s="23">
        <f t="shared" si="6"/>
        <v>0.82672233820459295</v>
      </c>
    </row>
    <row r="13" spans="1:30" x14ac:dyDescent="0.25">
      <c r="A13" s="22">
        <v>7</v>
      </c>
      <c r="B13" s="22" t="s">
        <v>164</v>
      </c>
      <c r="C13" s="22" t="s">
        <v>165</v>
      </c>
      <c r="D13" s="22">
        <v>1</v>
      </c>
      <c r="E13" s="22">
        <v>312</v>
      </c>
      <c r="F13" s="22">
        <v>139</v>
      </c>
      <c r="G13" s="22">
        <v>3</v>
      </c>
      <c r="H13" s="22">
        <v>127</v>
      </c>
      <c r="I13" s="22">
        <v>5</v>
      </c>
      <c r="J13" s="22">
        <v>23</v>
      </c>
      <c r="K13" s="22">
        <v>297</v>
      </c>
      <c r="L13" s="22">
        <v>15</v>
      </c>
      <c r="M13" s="22">
        <f t="shared" si="0"/>
        <v>312</v>
      </c>
      <c r="N13" s="22">
        <v>0</v>
      </c>
      <c r="O13" s="23">
        <f t="shared" si="1"/>
        <v>0.44551282051282054</v>
      </c>
      <c r="P13" s="23">
        <f t="shared" si="2"/>
        <v>7.371794871794872E-2</v>
      </c>
      <c r="Q13" s="23">
        <f t="shared" si="3"/>
        <v>0.40705128205128205</v>
      </c>
      <c r="R13" s="23">
        <f t="shared" si="4"/>
        <v>1.6025641025641024E-2</v>
      </c>
      <c r="S13" s="23">
        <f t="shared" si="5"/>
        <v>9.6153846153846159E-3</v>
      </c>
      <c r="T13" s="24">
        <v>175</v>
      </c>
      <c r="U13" s="24">
        <v>156</v>
      </c>
      <c r="V13" s="24">
        <v>77</v>
      </c>
      <c r="W13" s="24">
        <v>42</v>
      </c>
      <c r="X13" s="24">
        <v>450</v>
      </c>
      <c r="Y13" s="27">
        <v>0.3888888888888889</v>
      </c>
      <c r="Z13" s="27">
        <v>0.34666666666666668</v>
      </c>
      <c r="AA13" s="27">
        <v>0.1711111111111111</v>
      </c>
      <c r="AB13" s="27">
        <v>9.3333333333333338E-2</v>
      </c>
      <c r="AC13" s="25">
        <v>69.962222222222223</v>
      </c>
      <c r="AD13" s="23">
        <f t="shared" si="6"/>
        <v>0.69333333333333336</v>
      </c>
    </row>
    <row r="14" spans="1:30" x14ac:dyDescent="0.25">
      <c r="A14" s="22"/>
      <c r="B14" s="22"/>
      <c r="C14" s="22"/>
      <c r="D14" s="22">
        <v>2</v>
      </c>
      <c r="E14" s="22">
        <v>352</v>
      </c>
      <c r="F14" s="22">
        <v>162</v>
      </c>
      <c r="G14" s="22">
        <v>0</v>
      </c>
      <c r="H14" s="22">
        <v>138</v>
      </c>
      <c r="I14" s="22">
        <v>4</v>
      </c>
      <c r="J14" s="22">
        <v>46</v>
      </c>
      <c r="K14" s="22">
        <v>350</v>
      </c>
      <c r="L14" s="22">
        <v>2</v>
      </c>
      <c r="M14" s="22">
        <f t="shared" si="0"/>
        <v>352</v>
      </c>
      <c r="N14" s="22">
        <v>0</v>
      </c>
      <c r="O14" s="23">
        <f t="shared" si="1"/>
        <v>0.46022727272727271</v>
      </c>
      <c r="P14" s="23">
        <f t="shared" si="2"/>
        <v>0.13068181818181818</v>
      </c>
      <c r="Q14" s="23">
        <f t="shared" si="3"/>
        <v>0.39204545454545453</v>
      </c>
      <c r="R14" s="23">
        <f t="shared" si="4"/>
        <v>1.1363636363636364E-2</v>
      </c>
      <c r="S14" s="23">
        <f t="shared" si="5"/>
        <v>0</v>
      </c>
      <c r="T14" s="24">
        <v>169</v>
      </c>
      <c r="U14" s="24">
        <v>139</v>
      </c>
      <c r="V14" s="24">
        <v>67</v>
      </c>
      <c r="W14" s="24">
        <v>75</v>
      </c>
      <c r="X14" s="24">
        <v>450</v>
      </c>
      <c r="Y14" s="27">
        <v>0.37555555555555553</v>
      </c>
      <c r="Z14" s="27">
        <v>0.30888888888888888</v>
      </c>
      <c r="AA14" s="27">
        <v>0.14888888888888888</v>
      </c>
      <c r="AB14" s="27">
        <v>0.16666666666666666</v>
      </c>
      <c r="AC14" s="25">
        <v>54.604444444444447</v>
      </c>
      <c r="AD14" s="23">
        <f t="shared" si="6"/>
        <v>0.78222222222222226</v>
      </c>
    </row>
    <row r="15" spans="1:30" x14ac:dyDescent="0.25">
      <c r="A15" s="22"/>
      <c r="B15" s="22"/>
      <c r="C15" s="22"/>
      <c r="D15" s="22">
        <v>3</v>
      </c>
      <c r="E15" s="22">
        <v>496</v>
      </c>
      <c r="F15" s="22">
        <v>205</v>
      </c>
      <c r="G15" s="22">
        <v>0</v>
      </c>
      <c r="H15" s="22">
        <v>167</v>
      </c>
      <c r="I15" s="22">
        <v>0</v>
      </c>
      <c r="J15" s="22">
        <v>120</v>
      </c>
      <c r="K15" s="22">
        <v>492</v>
      </c>
      <c r="L15" s="22">
        <v>4</v>
      </c>
      <c r="M15" s="22">
        <f t="shared" si="0"/>
        <v>496</v>
      </c>
      <c r="N15" s="22">
        <v>0</v>
      </c>
      <c r="O15" s="23">
        <f t="shared" si="1"/>
        <v>0.41330645161290325</v>
      </c>
      <c r="P15" s="23">
        <f t="shared" si="2"/>
        <v>0.24193548387096775</v>
      </c>
      <c r="Q15" s="23">
        <f t="shared" si="3"/>
        <v>0.33669354838709675</v>
      </c>
      <c r="R15" s="23">
        <f t="shared" si="4"/>
        <v>0</v>
      </c>
      <c r="S15" s="23">
        <f t="shared" si="5"/>
        <v>0</v>
      </c>
      <c r="T15" s="24">
        <v>302</v>
      </c>
      <c r="U15" s="24">
        <v>156</v>
      </c>
      <c r="V15" s="24">
        <v>87</v>
      </c>
      <c r="W15" s="24">
        <v>136</v>
      </c>
      <c r="X15" s="24">
        <v>681</v>
      </c>
      <c r="Y15" s="27">
        <v>0.44346549192364171</v>
      </c>
      <c r="Z15" s="27">
        <v>0.22907488986784141</v>
      </c>
      <c r="AA15" s="27">
        <v>0.1277533039647577</v>
      </c>
      <c r="AB15" s="27">
        <v>0.19970631424375918</v>
      </c>
      <c r="AC15" s="25">
        <v>40.022026431718061</v>
      </c>
      <c r="AD15" s="23">
        <f t="shared" si="6"/>
        <v>0.72834067547723935</v>
      </c>
    </row>
    <row r="16" spans="1:30" x14ac:dyDescent="0.25">
      <c r="A16" s="22"/>
      <c r="B16" s="22"/>
      <c r="C16" s="22"/>
      <c r="D16" s="22">
        <v>4</v>
      </c>
      <c r="E16" s="22">
        <v>471</v>
      </c>
      <c r="F16" s="22">
        <v>170</v>
      </c>
      <c r="G16" s="22">
        <v>0</v>
      </c>
      <c r="H16" s="22">
        <v>159</v>
      </c>
      <c r="I16" s="22">
        <v>0</v>
      </c>
      <c r="J16" s="22">
        <v>137</v>
      </c>
      <c r="K16" s="22">
        <v>466</v>
      </c>
      <c r="L16" s="22">
        <v>5</v>
      </c>
      <c r="M16" s="22">
        <f t="shared" si="0"/>
        <v>471</v>
      </c>
      <c r="N16" s="22">
        <v>0</v>
      </c>
      <c r="O16" s="23">
        <f t="shared" si="1"/>
        <v>0.36093418259023352</v>
      </c>
      <c r="P16" s="23">
        <f t="shared" si="2"/>
        <v>0.29087048832271761</v>
      </c>
      <c r="Q16" s="23">
        <f t="shared" si="3"/>
        <v>0.33757961783439489</v>
      </c>
      <c r="R16" s="23">
        <f t="shared" si="4"/>
        <v>0</v>
      </c>
      <c r="S16" s="23">
        <f t="shared" si="5"/>
        <v>0</v>
      </c>
      <c r="T16" s="24">
        <v>424</v>
      </c>
      <c r="U16" s="24">
        <v>141</v>
      </c>
      <c r="V16" s="24">
        <v>89</v>
      </c>
      <c r="W16" s="24">
        <v>28</v>
      </c>
      <c r="X16" s="24">
        <v>682</v>
      </c>
      <c r="Y16" s="27">
        <v>0.6217008797653959</v>
      </c>
      <c r="Z16" s="27">
        <v>0.20674486803519063</v>
      </c>
      <c r="AA16" s="27">
        <v>0.13049853372434017</v>
      </c>
      <c r="AB16" s="27">
        <v>4.1055718475073312E-2</v>
      </c>
      <c r="AC16" s="25">
        <v>25.920821114369502</v>
      </c>
      <c r="AD16" s="23">
        <f t="shared" si="6"/>
        <v>0.69061583577712615</v>
      </c>
    </row>
    <row r="17" spans="1:30" x14ac:dyDescent="0.25">
      <c r="A17" s="22">
        <v>8</v>
      </c>
      <c r="B17" s="22" t="s">
        <v>166</v>
      </c>
      <c r="C17" s="22" t="s">
        <v>167</v>
      </c>
      <c r="D17" s="22">
        <v>1</v>
      </c>
      <c r="E17" s="22">
        <v>357</v>
      </c>
      <c r="F17" s="22">
        <v>67</v>
      </c>
      <c r="G17" s="22">
        <v>6</v>
      </c>
      <c r="H17" s="22">
        <v>210</v>
      </c>
      <c r="I17" s="22">
        <v>10</v>
      </c>
      <c r="J17" s="22">
        <v>63</v>
      </c>
      <c r="K17" s="22">
        <v>356</v>
      </c>
      <c r="L17" s="22">
        <v>1</v>
      </c>
      <c r="M17" s="22">
        <f t="shared" si="0"/>
        <v>357</v>
      </c>
      <c r="N17" s="22">
        <v>0</v>
      </c>
      <c r="O17" s="23">
        <f t="shared" si="1"/>
        <v>0.1876750700280112</v>
      </c>
      <c r="P17" s="23">
        <f t="shared" si="2"/>
        <v>0.17647058823529413</v>
      </c>
      <c r="Q17" s="23">
        <f t="shared" si="3"/>
        <v>0.58823529411764708</v>
      </c>
      <c r="R17" s="23">
        <f t="shared" si="4"/>
        <v>2.8011204481792718E-2</v>
      </c>
      <c r="S17" s="23">
        <f t="shared" si="5"/>
        <v>1.680672268907563E-2</v>
      </c>
      <c r="T17" s="24">
        <v>390</v>
      </c>
      <c r="U17" s="24">
        <v>5</v>
      </c>
      <c r="V17" s="24">
        <v>53</v>
      </c>
      <c r="W17" s="24">
        <v>2</v>
      </c>
      <c r="X17" s="24">
        <v>450</v>
      </c>
      <c r="Y17" s="27">
        <v>0.8666666666666667</v>
      </c>
      <c r="Z17" s="27">
        <v>1.1111111111111112E-2</v>
      </c>
      <c r="AA17" s="27">
        <v>0.11777777777777777</v>
      </c>
      <c r="AB17" s="27">
        <v>4.4444444444444444E-3</v>
      </c>
      <c r="AC17" s="25">
        <v>67.331111111111113</v>
      </c>
      <c r="AD17" s="23">
        <f t="shared" si="6"/>
        <v>0.79333333333333333</v>
      </c>
    </row>
    <row r="18" spans="1:30" x14ac:dyDescent="0.25">
      <c r="A18" s="22"/>
      <c r="B18" s="22"/>
      <c r="C18" s="22"/>
      <c r="D18" s="22">
        <v>2</v>
      </c>
      <c r="E18" s="22">
        <v>477</v>
      </c>
      <c r="F18" s="22">
        <v>77</v>
      </c>
      <c r="G18" s="22">
        <v>1</v>
      </c>
      <c r="H18" s="22">
        <v>197</v>
      </c>
      <c r="I18" s="22">
        <v>8</v>
      </c>
      <c r="J18" s="22">
        <v>193</v>
      </c>
      <c r="K18" s="22">
        <v>476</v>
      </c>
      <c r="L18" s="22">
        <v>1</v>
      </c>
      <c r="M18" s="22">
        <f t="shared" si="0"/>
        <v>477</v>
      </c>
      <c r="N18" s="22">
        <v>0</v>
      </c>
      <c r="O18" s="23">
        <f t="shared" si="1"/>
        <v>0.16142557651991615</v>
      </c>
      <c r="P18" s="23">
        <f t="shared" si="2"/>
        <v>0.40461215932914046</v>
      </c>
      <c r="Q18" s="23">
        <f t="shared" si="3"/>
        <v>0.41299790356394128</v>
      </c>
      <c r="R18" s="23">
        <f t="shared" si="4"/>
        <v>1.6771488469601678E-2</v>
      </c>
      <c r="S18" s="23">
        <f t="shared" si="5"/>
        <v>2.0964360587002098E-3</v>
      </c>
      <c r="T18" s="24">
        <v>526</v>
      </c>
      <c r="U18" s="24">
        <v>5</v>
      </c>
      <c r="V18" s="24">
        <v>30</v>
      </c>
      <c r="W18" s="24">
        <v>1</v>
      </c>
      <c r="X18" s="24">
        <v>562</v>
      </c>
      <c r="Y18" s="27">
        <v>0.93594306049822062</v>
      </c>
      <c r="Z18" s="27">
        <v>8.8967971530249119E-3</v>
      </c>
      <c r="AA18" s="27">
        <v>5.3380782918149468E-2</v>
      </c>
      <c r="AB18" s="27">
        <v>1.7793594306049821E-3</v>
      </c>
      <c r="AC18" s="25">
        <v>45.439501779359432</v>
      </c>
      <c r="AD18" s="23">
        <f t="shared" si="6"/>
        <v>0.8487544483985765</v>
      </c>
    </row>
    <row r="19" spans="1:30" x14ac:dyDescent="0.25">
      <c r="A19" s="22"/>
      <c r="B19" s="22"/>
      <c r="C19" s="22"/>
      <c r="D19" s="22">
        <v>3</v>
      </c>
      <c r="E19" s="22">
        <v>467</v>
      </c>
      <c r="F19" s="22">
        <v>82</v>
      </c>
      <c r="G19" s="22">
        <v>2</v>
      </c>
      <c r="H19" s="22">
        <v>142</v>
      </c>
      <c r="I19" s="22">
        <v>4</v>
      </c>
      <c r="J19" s="22">
        <v>234</v>
      </c>
      <c r="K19" s="22">
        <v>464</v>
      </c>
      <c r="L19" s="22">
        <v>3</v>
      </c>
      <c r="M19" s="22">
        <f t="shared" si="0"/>
        <v>467</v>
      </c>
      <c r="N19" s="22">
        <v>0</v>
      </c>
      <c r="O19" s="23">
        <f t="shared" si="1"/>
        <v>0.17558886509635974</v>
      </c>
      <c r="P19" s="23">
        <f t="shared" si="2"/>
        <v>0.50107066381156318</v>
      </c>
      <c r="Q19" s="23">
        <f t="shared" si="3"/>
        <v>0.30406852248394006</v>
      </c>
      <c r="R19" s="23">
        <f t="shared" si="4"/>
        <v>8.5653104925053538E-3</v>
      </c>
      <c r="S19" s="23">
        <f t="shared" si="5"/>
        <v>4.2826552462526769E-3</v>
      </c>
      <c r="T19" s="24">
        <v>553</v>
      </c>
      <c r="U19" s="24">
        <v>6</v>
      </c>
      <c r="V19" s="24">
        <v>4</v>
      </c>
      <c r="W19" s="24">
        <v>0</v>
      </c>
      <c r="X19" s="24">
        <v>563</v>
      </c>
      <c r="Y19" s="27">
        <v>0.98223801065719363</v>
      </c>
      <c r="Z19" s="27">
        <v>1.0657193605683837E-2</v>
      </c>
      <c r="AA19" s="27">
        <v>7.104795737122558E-3</v>
      </c>
      <c r="AB19" s="27">
        <v>0</v>
      </c>
      <c r="AC19" s="25">
        <v>25.811722912966253</v>
      </c>
      <c r="AD19" s="23">
        <f t="shared" si="6"/>
        <v>0.82948490230905858</v>
      </c>
    </row>
    <row r="20" spans="1:30" x14ac:dyDescent="0.25">
      <c r="A20" s="22">
        <v>9</v>
      </c>
      <c r="B20" s="22" t="s">
        <v>168</v>
      </c>
      <c r="C20" s="22" t="s">
        <v>169</v>
      </c>
      <c r="D20" s="22">
        <v>1</v>
      </c>
      <c r="E20" s="22">
        <v>347</v>
      </c>
      <c r="F20" s="22">
        <v>44</v>
      </c>
      <c r="G20" s="22">
        <v>1</v>
      </c>
      <c r="H20" s="22">
        <v>212</v>
      </c>
      <c r="I20" s="22">
        <v>0</v>
      </c>
      <c r="J20" s="22">
        <v>81</v>
      </c>
      <c r="K20" s="22">
        <v>338</v>
      </c>
      <c r="L20" s="22">
        <v>9</v>
      </c>
      <c r="M20" s="22">
        <f t="shared" si="0"/>
        <v>347</v>
      </c>
      <c r="N20" s="22">
        <v>0</v>
      </c>
      <c r="O20" s="23">
        <f t="shared" si="1"/>
        <v>0.12680115273775217</v>
      </c>
      <c r="P20" s="23">
        <f t="shared" si="2"/>
        <v>0.2334293948126801</v>
      </c>
      <c r="Q20" s="23">
        <f t="shared" si="3"/>
        <v>0.61095100864553309</v>
      </c>
      <c r="R20" s="23">
        <f t="shared" si="4"/>
        <v>0</v>
      </c>
      <c r="S20" s="23">
        <f t="shared" si="5"/>
        <v>2.881844380403458E-3</v>
      </c>
      <c r="T20" s="24">
        <v>436</v>
      </c>
      <c r="U20" s="24">
        <v>2</v>
      </c>
      <c r="V20" s="24">
        <v>10</v>
      </c>
      <c r="W20" s="24">
        <v>2</v>
      </c>
      <c r="X20" s="24">
        <v>450</v>
      </c>
      <c r="Y20" s="27">
        <v>0.96888888888888891</v>
      </c>
      <c r="Z20" s="27">
        <v>4.4444444444444444E-3</v>
      </c>
      <c r="AA20" s="27">
        <v>2.2222222222222223E-2</v>
      </c>
      <c r="AB20" s="27">
        <v>4.4444444444444444E-3</v>
      </c>
      <c r="AC20" s="25">
        <v>67.62222222222222</v>
      </c>
      <c r="AD20" s="23">
        <f t="shared" si="6"/>
        <v>0.77111111111111108</v>
      </c>
    </row>
    <row r="21" spans="1:30" x14ac:dyDescent="0.25">
      <c r="A21" s="22"/>
      <c r="B21" s="22"/>
      <c r="C21" s="22"/>
      <c r="D21" s="22">
        <v>2</v>
      </c>
      <c r="E21" s="22">
        <v>510</v>
      </c>
      <c r="F21" s="22">
        <v>85</v>
      </c>
      <c r="G21" s="22">
        <v>3</v>
      </c>
      <c r="H21" s="22">
        <v>213</v>
      </c>
      <c r="I21" s="22">
        <v>5</v>
      </c>
      <c r="J21" s="22">
        <v>203</v>
      </c>
      <c r="K21" s="22">
        <v>509</v>
      </c>
      <c r="L21" s="22">
        <v>1</v>
      </c>
      <c r="M21" s="22">
        <f t="shared" si="0"/>
        <v>510</v>
      </c>
      <c r="N21" s="22">
        <v>0</v>
      </c>
      <c r="O21" s="23">
        <f t="shared" si="1"/>
        <v>0.16666666666666666</v>
      </c>
      <c r="P21" s="23">
        <f t="shared" si="2"/>
        <v>0.39803921568627448</v>
      </c>
      <c r="Q21" s="23">
        <f t="shared" si="3"/>
        <v>0.41764705882352943</v>
      </c>
      <c r="R21" s="23">
        <f t="shared" si="4"/>
        <v>9.8039215686274508E-3</v>
      </c>
      <c r="S21" s="23">
        <f t="shared" si="5"/>
        <v>5.8823529411764705E-3</v>
      </c>
      <c r="T21" s="24">
        <v>590</v>
      </c>
      <c r="U21" s="24">
        <v>4</v>
      </c>
      <c r="V21" s="24">
        <v>7</v>
      </c>
      <c r="W21" s="24">
        <v>2</v>
      </c>
      <c r="X21" s="24">
        <v>603</v>
      </c>
      <c r="Y21" s="27">
        <v>0.97844112769485903</v>
      </c>
      <c r="Z21" s="27">
        <v>6.6334991708126038E-3</v>
      </c>
      <c r="AA21" s="27">
        <v>1.1608623548922056E-2</v>
      </c>
      <c r="AB21" s="27">
        <v>3.3167495854063019E-3</v>
      </c>
      <c r="AC21" s="25">
        <v>47.266998341625204</v>
      </c>
      <c r="AD21" s="23">
        <f t="shared" si="6"/>
        <v>0.845771144278607</v>
      </c>
    </row>
    <row r="22" spans="1:30" x14ac:dyDescent="0.25">
      <c r="A22" s="22"/>
      <c r="B22" s="22"/>
      <c r="C22" s="22"/>
      <c r="D22" s="22">
        <v>3</v>
      </c>
      <c r="E22" s="22">
        <v>494</v>
      </c>
      <c r="F22" s="22">
        <v>59</v>
      </c>
      <c r="G22" s="22">
        <v>1</v>
      </c>
      <c r="H22" s="22">
        <v>171</v>
      </c>
      <c r="I22" s="22">
        <v>1</v>
      </c>
      <c r="J22" s="22">
        <v>261</v>
      </c>
      <c r="K22" s="22">
        <v>493</v>
      </c>
      <c r="L22" s="22">
        <v>1</v>
      </c>
      <c r="M22" s="22">
        <f t="shared" si="0"/>
        <v>494</v>
      </c>
      <c r="N22" s="22">
        <v>0</v>
      </c>
      <c r="O22" s="23">
        <f t="shared" si="1"/>
        <v>0.1194331983805668</v>
      </c>
      <c r="P22" s="23">
        <f t="shared" si="2"/>
        <v>0.52834008097165996</v>
      </c>
      <c r="Q22" s="23">
        <f t="shared" si="3"/>
        <v>0.34615384615384615</v>
      </c>
      <c r="R22" s="23">
        <f t="shared" si="4"/>
        <v>2.0242914979757085E-3</v>
      </c>
      <c r="S22" s="23">
        <f t="shared" si="5"/>
        <v>2.0242914979757085E-3</v>
      </c>
      <c r="T22" s="24">
        <v>588</v>
      </c>
      <c r="U22" s="24">
        <v>6</v>
      </c>
      <c r="V22" s="24">
        <v>8</v>
      </c>
      <c r="W22" s="24">
        <v>1</v>
      </c>
      <c r="X22" s="24">
        <v>603</v>
      </c>
      <c r="Y22" s="27">
        <v>0.97512437810945274</v>
      </c>
      <c r="Z22" s="27">
        <v>9.9502487562189053E-3</v>
      </c>
      <c r="AA22" s="27">
        <v>1.3266998341625208E-2</v>
      </c>
      <c r="AB22" s="27">
        <v>1.658374792703151E-3</v>
      </c>
      <c r="AC22" s="25">
        <v>26.601990049751244</v>
      </c>
      <c r="AD22" s="23">
        <f t="shared" si="6"/>
        <v>0.8192371475953566</v>
      </c>
    </row>
    <row r="23" spans="1:30" x14ac:dyDescent="0.25">
      <c r="A23" s="22">
        <v>10</v>
      </c>
      <c r="B23" s="22" t="s">
        <v>170</v>
      </c>
      <c r="C23" s="22" t="s">
        <v>171</v>
      </c>
      <c r="D23" s="22">
        <v>1</v>
      </c>
      <c r="E23" s="22">
        <v>348</v>
      </c>
      <c r="F23" s="22">
        <v>109</v>
      </c>
      <c r="G23" s="22">
        <v>2</v>
      </c>
      <c r="H23" s="22">
        <v>155</v>
      </c>
      <c r="I23" s="22">
        <v>4</v>
      </c>
      <c r="J23" s="22">
        <v>69</v>
      </c>
      <c r="K23" s="22">
        <v>339</v>
      </c>
      <c r="L23" s="22">
        <v>9</v>
      </c>
      <c r="M23" s="22">
        <f t="shared" si="0"/>
        <v>348</v>
      </c>
      <c r="N23" s="22">
        <v>0</v>
      </c>
      <c r="O23" s="23">
        <f t="shared" si="1"/>
        <v>0.31321839080459768</v>
      </c>
      <c r="P23" s="23">
        <f t="shared" si="2"/>
        <v>0.19827586206896552</v>
      </c>
      <c r="Q23" s="23">
        <f t="shared" si="3"/>
        <v>0.4454022988505747</v>
      </c>
      <c r="R23" s="23">
        <f t="shared" si="4"/>
        <v>1.1494252873563218E-2</v>
      </c>
      <c r="S23" s="23">
        <f t="shared" si="5"/>
        <v>5.7471264367816091E-3</v>
      </c>
      <c r="T23" s="24">
        <v>352</v>
      </c>
      <c r="U23" s="24">
        <v>86</v>
      </c>
      <c r="V23" s="24">
        <v>11</v>
      </c>
      <c r="W23" s="24">
        <v>1</v>
      </c>
      <c r="X23" s="24">
        <v>450</v>
      </c>
      <c r="Y23" s="27">
        <v>0.78222222222222226</v>
      </c>
      <c r="Z23" s="27">
        <v>0.19111111111111112</v>
      </c>
      <c r="AA23" s="27">
        <v>2.4444444444444446E-2</v>
      </c>
      <c r="AB23" s="27">
        <v>2.2222222222222222E-3</v>
      </c>
      <c r="AC23" s="25">
        <v>61.782222222222224</v>
      </c>
      <c r="AD23" s="23">
        <f t="shared" si="6"/>
        <v>0.77333333333333332</v>
      </c>
    </row>
    <row r="24" spans="1:30" x14ac:dyDescent="0.25">
      <c r="A24" s="22"/>
      <c r="B24" s="22"/>
      <c r="C24" s="22"/>
      <c r="D24" s="22">
        <v>2</v>
      </c>
      <c r="E24" s="22">
        <v>388</v>
      </c>
      <c r="F24" s="22">
        <v>101</v>
      </c>
      <c r="G24" s="22">
        <v>1</v>
      </c>
      <c r="H24" s="22">
        <v>113</v>
      </c>
      <c r="I24" s="22">
        <v>2</v>
      </c>
      <c r="J24" s="22">
        <v>170</v>
      </c>
      <c r="K24" s="22">
        <v>387</v>
      </c>
      <c r="L24" s="22">
        <v>1</v>
      </c>
      <c r="M24" s="22">
        <f t="shared" si="0"/>
        <v>388</v>
      </c>
      <c r="N24" s="22">
        <v>0</v>
      </c>
      <c r="O24" s="23">
        <f t="shared" si="1"/>
        <v>0.26030927835051548</v>
      </c>
      <c r="P24" s="23">
        <f t="shared" si="2"/>
        <v>0.43814432989690721</v>
      </c>
      <c r="Q24" s="23">
        <f t="shared" si="3"/>
        <v>0.29123711340206188</v>
      </c>
      <c r="R24" s="23">
        <f t="shared" si="4"/>
        <v>5.1546391752577319E-3</v>
      </c>
      <c r="S24" s="23">
        <f t="shared" si="5"/>
        <v>2.5773195876288659E-3</v>
      </c>
      <c r="T24" s="24">
        <v>421</v>
      </c>
      <c r="U24" s="24">
        <v>60</v>
      </c>
      <c r="V24" s="24">
        <v>17</v>
      </c>
      <c r="W24" s="24">
        <v>0</v>
      </c>
      <c r="X24" s="24">
        <v>498</v>
      </c>
      <c r="Y24" s="27">
        <v>0.84538152610441764</v>
      </c>
      <c r="Z24" s="27">
        <v>0.12048192771084337</v>
      </c>
      <c r="AA24" s="27">
        <v>3.4136546184738957E-2</v>
      </c>
      <c r="AB24" s="27">
        <v>0</v>
      </c>
      <c r="AC24" s="25">
        <v>34.365461847389561</v>
      </c>
      <c r="AD24" s="23">
        <f t="shared" si="6"/>
        <v>0.77911646586345384</v>
      </c>
    </row>
    <row r="25" spans="1:30" x14ac:dyDescent="0.25">
      <c r="A25" s="22">
        <v>11</v>
      </c>
      <c r="B25" s="22" t="s">
        <v>172</v>
      </c>
      <c r="C25" s="22" t="s">
        <v>173</v>
      </c>
      <c r="D25" s="22">
        <v>1</v>
      </c>
      <c r="E25" s="22">
        <v>331</v>
      </c>
      <c r="F25" s="22">
        <v>37</v>
      </c>
      <c r="G25" s="22">
        <v>0</v>
      </c>
      <c r="H25" s="22">
        <v>198</v>
      </c>
      <c r="I25" s="22">
        <v>5</v>
      </c>
      <c r="J25" s="22">
        <v>81</v>
      </c>
      <c r="K25" s="22">
        <v>321</v>
      </c>
      <c r="L25" s="22">
        <v>10</v>
      </c>
      <c r="M25" s="22">
        <f t="shared" si="0"/>
        <v>331</v>
      </c>
      <c r="N25" s="22">
        <v>0</v>
      </c>
      <c r="O25" s="23">
        <f t="shared" si="1"/>
        <v>0.11178247734138973</v>
      </c>
      <c r="P25" s="23">
        <f t="shared" si="2"/>
        <v>0.24471299093655588</v>
      </c>
      <c r="Q25" s="23">
        <f t="shared" si="3"/>
        <v>0.59818731117824775</v>
      </c>
      <c r="R25" s="23">
        <f t="shared" si="4"/>
        <v>1.5105740181268883E-2</v>
      </c>
      <c r="S25" s="23">
        <f t="shared" si="5"/>
        <v>0</v>
      </c>
      <c r="T25" s="24">
        <v>444</v>
      </c>
      <c r="U25" s="24">
        <v>1</v>
      </c>
      <c r="V25" s="24">
        <v>3</v>
      </c>
      <c r="W25" s="24">
        <v>2</v>
      </c>
      <c r="X25" s="24">
        <v>450</v>
      </c>
      <c r="Y25" s="27">
        <v>0.98666666666666669</v>
      </c>
      <c r="Z25" s="27">
        <v>2.2222222222222222E-3</v>
      </c>
      <c r="AA25" s="27">
        <v>6.6666666666666671E-3</v>
      </c>
      <c r="AB25" s="27">
        <v>4.4444444444444444E-3</v>
      </c>
      <c r="AC25" s="25">
        <v>66.766666666666666</v>
      </c>
      <c r="AD25" s="23">
        <f t="shared" si="6"/>
        <v>0.73555555555555552</v>
      </c>
    </row>
    <row r="26" spans="1:30" x14ac:dyDescent="0.25">
      <c r="A26" s="22"/>
      <c r="B26" s="22"/>
      <c r="C26" s="22"/>
      <c r="D26" s="22">
        <v>2</v>
      </c>
      <c r="E26" s="22">
        <v>478</v>
      </c>
      <c r="F26" s="22">
        <v>85</v>
      </c>
      <c r="G26" s="22">
        <v>1</v>
      </c>
      <c r="H26" s="22">
        <v>213</v>
      </c>
      <c r="I26" s="22">
        <v>5</v>
      </c>
      <c r="J26" s="22">
        <v>171</v>
      </c>
      <c r="K26" s="22">
        <v>475</v>
      </c>
      <c r="L26" s="22">
        <v>3</v>
      </c>
      <c r="M26" s="22">
        <f t="shared" si="0"/>
        <v>478</v>
      </c>
      <c r="N26" s="22">
        <v>0</v>
      </c>
      <c r="O26" s="23">
        <f t="shared" si="1"/>
        <v>0.17782426778242677</v>
      </c>
      <c r="P26" s="23">
        <f t="shared" si="2"/>
        <v>0.35774058577405859</v>
      </c>
      <c r="Q26" s="23">
        <f t="shared" si="3"/>
        <v>0.44560669456066948</v>
      </c>
      <c r="R26" s="23">
        <f t="shared" si="4"/>
        <v>1.0460251046025104E-2</v>
      </c>
      <c r="S26" s="23">
        <f t="shared" si="5"/>
        <v>2.0920502092050207E-3</v>
      </c>
      <c r="T26" s="24">
        <v>552</v>
      </c>
      <c r="U26" s="24">
        <v>0</v>
      </c>
      <c r="V26" s="24">
        <v>2</v>
      </c>
      <c r="W26" s="24">
        <v>4</v>
      </c>
      <c r="X26" s="24">
        <v>558</v>
      </c>
      <c r="Y26" s="27">
        <v>0.989247311827957</v>
      </c>
      <c r="Z26" s="27">
        <v>0</v>
      </c>
      <c r="AA26" s="27">
        <v>3.5842293906810036E-3</v>
      </c>
      <c r="AB26" s="27">
        <v>7.1684587813620072E-3</v>
      </c>
      <c r="AC26" s="25">
        <v>51.043010752688168</v>
      </c>
      <c r="AD26" s="23">
        <f t="shared" si="6"/>
        <v>0.85663082437275984</v>
      </c>
    </row>
    <row r="27" spans="1:30" x14ac:dyDescent="0.25">
      <c r="A27" s="22"/>
      <c r="B27" s="22"/>
      <c r="C27" s="22"/>
      <c r="D27" s="22">
        <v>3</v>
      </c>
      <c r="E27" s="22">
        <v>429</v>
      </c>
      <c r="F27" s="22">
        <v>56</v>
      </c>
      <c r="G27" s="22">
        <v>0</v>
      </c>
      <c r="H27" s="22">
        <v>145</v>
      </c>
      <c r="I27" s="22">
        <v>6</v>
      </c>
      <c r="J27" s="22">
        <v>221</v>
      </c>
      <c r="K27" s="22">
        <v>428</v>
      </c>
      <c r="L27" s="22">
        <v>1</v>
      </c>
      <c r="M27" s="22">
        <f t="shared" si="0"/>
        <v>429</v>
      </c>
      <c r="N27" s="22">
        <v>0</v>
      </c>
      <c r="O27" s="23">
        <f t="shared" si="1"/>
        <v>0.13053613053613053</v>
      </c>
      <c r="P27" s="23">
        <f t="shared" si="2"/>
        <v>0.51515151515151514</v>
      </c>
      <c r="Q27" s="23">
        <f t="shared" si="3"/>
        <v>0.33799533799533799</v>
      </c>
      <c r="R27" s="23">
        <f t="shared" si="4"/>
        <v>1.3986013986013986E-2</v>
      </c>
      <c r="S27" s="23">
        <f t="shared" si="5"/>
        <v>0</v>
      </c>
      <c r="T27" s="24">
        <v>555</v>
      </c>
      <c r="U27" s="24">
        <v>1</v>
      </c>
      <c r="V27" s="24">
        <v>0</v>
      </c>
      <c r="W27" s="24">
        <v>2</v>
      </c>
      <c r="X27" s="24">
        <v>558</v>
      </c>
      <c r="Y27" s="27">
        <v>0.9946236559139785</v>
      </c>
      <c r="Z27" s="27">
        <v>1.7921146953405018E-3</v>
      </c>
      <c r="AA27" s="27">
        <v>0</v>
      </c>
      <c r="AB27" s="27">
        <v>3.5842293906810036E-3</v>
      </c>
      <c r="AC27" s="25">
        <v>34.804659498207883</v>
      </c>
      <c r="AD27" s="23">
        <f t="shared" si="6"/>
        <v>0.76881720430107525</v>
      </c>
    </row>
    <row r="28" spans="1:30" x14ac:dyDescent="0.25">
      <c r="A28" s="22"/>
      <c r="B28" s="22"/>
      <c r="C28" s="22"/>
      <c r="D28" s="22">
        <v>4</v>
      </c>
      <c r="E28" s="22">
        <v>474</v>
      </c>
      <c r="F28" s="22">
        <v>70</v>
      </c>
      <c r="G28" s="22">
        <v>1</v>
      </c>
      <c r="H28" s="22">
        <v>155</v>
      </c>
      <c r="I28" s="22">
        <v>3</v>
      </c>
      <c r="J28" s="22">
        <v>241</v>
      </c>
      <c r="K28" s="22">
        <v>470</v>
      </c>
      <c r="L28" s="22">
        <v>4</v>
      </c>
      <c r="M28" s="22">
        <f t="shared" si="0"/>
        <v>474</v>
      </c>
      <c r="N28" s="22">
        <v>0</v>
      </c>
      <c r="O28" s="23">
        <f t="shared" si="1"/>
        <v>0.14767932489451477</v>
      </c>
      <c r="P28" s="23">
        <f t="shared" si="2"/>
        <v>0.50843881856540085</v>
      </c>
      <c r="Q28" s="23">
        <f t="shared" si="3"/>
        <v>0.3270042194092827</v>
      </c>
      <c r="R28" s="23">
        <f t="shared" si="4"/>
        <v>6.3291139240506328E-3</v>
      </c>
      <c r="S28" s="23">
        <f t="shared" si="5"/>
        <v>2.1097046413502108E-3</v>
      </c>
      <c r="T28" s="24">
        <v>559</v>
      </c>
      <c r="U28" s="24">
        <v>0</v>
      </c>
      <c r="V28" s="24">
        <v>0</v>
      </c>
      <c r="W28" s="24">
        <v>0</v>
      </c>
      <c r="X28" s="24">
        <v>559</v>
      </c>
      <c r="Y28" s="27">
        <v>1</v>
      </c>
      <c r="Z28" s="27">
        <v>0</v>
      </c>
      <c r="AA28" s="27">
        <v>0</v>
      </c>
      <c r="AB28" s="27">
        <v>0</v>
      </c>
      <c r="AC28" s="25">
        <v>23.493738819320214</v>
      </c>
      <c r="AD28" s="23">
        <f t="shared" si="6"/>
        <v>0.84794275491949911</v>
      </c>
    </row>
    <row r="29" spans="1:30" x14ac:dyDescent="0.25">
      <c r="A29" s="22">
        <v>12</v>
      </c>
      <c r="B29" s="22" t="s">
        <v>174</v>
      </c>
      <c r="C29" s="22" t="s">
        <v>175</v>
      </c>
      <c r="D29" s="22">
        <v>1</v>
      </c>
      <c r="E29" s="22">
        <v>331</v>
      </c>
      <c r="F29" s="22">
        <v>82</v>
      </c>
      <c r="G29" s="22">
        <v>4</v>
      </c>
      <c r="H29" s="22">
        <v>145</v>
      </c>
      <c r="I29" s="22">
        <v>3</v>
      </c>
      <c r="J29" s="22">
        <v>73</v>
      </c>
      <c r="K29" s="22">
        <v>307</v>
      </c>
      <c r="L29" s="22">
        <v>24</v>
      </c>
      <c r="M29" s="22">
        <f t="shared" si="0"/>
        <v>331</v>
      </c>
      <c r="N29" s="22">
        <v>0</v>
      </c>
      <c r="O29" s="23">
        <f t="shared" si="1"/>
        <v>0.24773413897280966</v>
      </c>
      <c r="P29" s="23">
        <f t="shared" si="2"/>
        <v>0.22054380664652568</v>
      </c>
      <c r="Q29" s="23">
        <f t="shared" si="3"/>
        <v>0.4380664652567976</v>
      </c>
      <c r="R29" s="23">
        <f t="shared" si="4"/>
        <v>9.0634441087613302E-3</v>
      </c>
      <c r="S29" s="23">
        <f t="shared" si="5"/>
        <v>1.2084592145015106E-2</v>
      </c>
      <c r="T29" s="24">
        <v>378</v>
      </c>
      <c r="U29" s="24">
        <v>35</v>
      </c>
      <c r="V29" s="24">
        <v>23</v>
      </c>
      <c r="W29" s="24">
        <v>14</v>
      </c>
      <c r="X29" s="24">
        <v>450</v>
      </c>
      <c r="Y29" s="27">
        <v>0.84</v>
      </c>
      <c r="Z29" s="27">
        <v>7.7777777777777779E-2</v>
      </c>
      <c r="AA29" s="27">
        <v>5.1111111111111114E-2</v>
      </c>
      <c r="AB29" s="27">
        <v>3.111111111111111E-2</v>
      </c>
      <c r="AC29" s="25">
        <v>67.099999999999994</v>
      </c>
      <c r="AD29" s="23">
        <f t="shared" si="6"/>
        <v>0.73555555555555552</v>
      </c>
    </row>
    <row r="30" spans="1:30" x14ac:dyDescent="0.25">
      <c r="A30" s="22"/>
      <c r="B30" s="22"/>
      <c r="C30" s="22"/>
      <c r="D30" s="22">
        <v>2</v>
      </c>
      <c r="E30" s="22">
        <v>461</v>
      </c>
      <c r="F30" s="22">
        <v>130</v>
      </c>
      <c r="G30" s="22">
        <v>3</v>
      </c>
      <c r="H30" s="22">
        <v>174</v>
      </c>
      <c r="I30" s="22">
        <v>5</v>
      </c>
      <c r="J30" s="22">
        <v>139</v>
      </c>
      <c r="K30" s="22">
        <v>451</v>
      </c>
      <c r="L30" s="22">
        <v>10</v>
      </c>
      <c r="M30" s="22">
        <f t="shared" si="0"/>
        <v>461</v>
      </c>
      <c r="N30" s="22">
        <v>0</v>
      </c>
      <c r="O30" s="23">
        <f t="shared" si="1"/>
        <v>0.28199566160520606</v>
      </c>
      <c r="P30" s="23">
        <f t="shared" si="2"/>
        <v>0.30151843817787416</v>
      </c>
      <c r="Q30" s="23">
        <f t="shared" si="3"/>
        <v>0.37744034707158353</v>
      </c>
      <c r="R30" s="23">
        <f t="shared" si="4"/>
        <v>1.0845986984815618E-2</v>
      </c>
      <c r="S30" s="23">
        <f t="shared" si="5"/>
        <v>6.5075921908893707E-3</v>
      </c>
      <c r="T30" s="24">
        <v>429</v>
      </c>
      <c r="U30" s="24">
        <v>55</v>
      </c>
      <c r="V30" s="24">
        <v>45</v>
      </c>
      <c r="W30" s="24">
        <v>25</v>
      </c>
      <c r="X30" s="24">
        <v>554</v>
      </c>
      <c r="Y30" s="27">
        <v>0.77436823104693142</v>
      </c>
      <c r="Z30" s="27">
        <v>9.9277978339350176E-2</v>
      </c>
      <c r="AA30" s="27">
        <v>8.1227436823104696E-2</v>
      </c>
      <c r="AB30" s="27">
        <v>4.5126353790613721E-2</v>
      </c>
      <c r="AC30" s="25">
        <v>55.366425992779781</v>
      </c>
      <c r="AD30" s="23">
        <f t="shared" si="6"/>
        <v>0.83212996389891691</v>
      </c>
    </row>
    <row r="31" spans="1:30" x14ac:dyDescent="0.25">
      <c r="A31" s="22"/>
      <c r="B31" s="22"/>
      <c r="C31" s="22"/>
      <c r="D31" s="22">
        <v>3</v>
      </c>
      <c r="E31" s="22">
        <v>419</v>
      </c>
      <c r="F31" s="22">
        <v>118</v>
      </c>
      <c r="G31" s="22">
        <v>0</v>
      </c>
      <c r="H31" s="22">
        <v>123</v>
      </c>
      <c r="I31" s="22">
        <v>3</v>
      </c>
      <c r="J31" s="22">
        <v>172</v>
      </c>
      <c r="K31" s="22">
        <v>416</v>
      </c>
      <c r="L31" s="22">
        <v>3</v>
      </c>
      <c r="M31" s="22">
        <f t="shared" si="0"/>
        <v>419</v>
      </c>
      <c r="N31" s="22">
        <v>0</v>
      </c>
      <c r="O31" s="23">
        <f t="shared" si="1"/>
        <v>0.28162291169451076</v>
      </c>
      <c r="P31" s="23">
        <f t="shared" si="2"/>
        <v>0.41050119331742241</v>
      </c>
      <c r="Q31" s="23">
        <f t="shared" si="3"/>
        <v>0.2935560859188544</v>
      </c>
      <c r="R31" s="23">
        <f t="shared" si="4"/>
        <v>7.1599045346062056E-3</v>
      </c>
      <c r="S31" s="23">
        <f t="shared" si="5"/>
        <v>0</v>
      </c>
      <c r="T31" s="24">
        <v>383</v>
      </c>
      <c r="U31" s="24">
        <v>91</v>
      </c>
      <c r="V31" s="24">
        <v>45</v>
      </c>
      <c r="W31" s="24">
        <v>35</v>
      </c>
      <c r="X31" s="24">
        <v>554</v>
      </c>
      <c r="Y31" s="27">
        <v>0.69133574007220222</v>
      </c>
      <c r="Z31" s="27">
        <v>0.16425992779783394</v>
      </c>
      <c r="AA31" s="27">
        <v>8.1227436823104696E-2</v>
      </c>
      <c r="AB31" s="27">
        <v>6.3176895306859202E-2</v>
      </c>
      <c r="AC31" s="25">
        <v>42.601083032490976</v>
      </c>
      <c r="AD31" s="23">
        <f t="shared" si="6"/>
        <v>0.7563176895306859</v>
      </c>
    </row>
    <row r="32" spans="1:30" x14ac:dyDescent="0.25">
      <c r="A32" s="22"/>
      <c r="B32" s="22"/>
      <c r="C32" s="22"/>
      <c r="D32" s="22">
        <v>4</v>
      </c>
      <c r="E32" s="22">
        <v>417</v>
      </c>
      <c r="F32" s="22">
        <v>99</v>
      </c>
      <c r="G32" s="22">
        <v>2</v>
      </c>
      <c r="H32" s="22">
        <v>105</v>
      </c>
      <c r="I32" s="22">
        <v>6</v>
      </c>
      <c r="J32" s="22">
        <v>198</v>
      </c>
      <c r="K32" s="22">
        <v>410</v>
      </c>
      <c r="L32" s="22">
        <v>7</v>
      </c>
      <c r="M32" s="22">
        <f t="shared" si="0"/>
        <v>417</v>
      </c>
      <c r="N32" s="22">
        <v>0</v>
      </c>
      <c r="O32" s="23">
        <f t="shared" si="1"/>
        <v>0.23741007194244604</v>
      </c>
      <c r="P32" s="23">
        <f t="shared" si="2"/>
        <v>0.47482014388489208</v>
      </c>
      <c r="Q32" s="23">
        <f t="shared" si="3"/>
        <v>0.25179856115107913</v>
      </c>
      <c r="R32" s="23">
        <f t="shared" si="4"/>
        <v>1.4388489208633094E-2</v>
      </c>
      <c r="S32" s="23">
        <f t="shared" si="5"/>
        <v>4.7961630695443642E-3</v>
      </c>
      <c r="T32" s="24">
        <v>443</v>
      </c>
      <c r="U32" s="24">
        <v>49</v>
      </c>
      <c r="V32" s="24">
        <v>33</v>
      </c>
      <c r="W32" s="24">
        <v>30</v>
      </c>
      <c r="X32" s="24">
        <v>555</v>
      </c>
      <c r="Y32" s="27">
        <v>0.79819819819819815</v>
      </c>
      <c r="Z32" s="27">
        <v>8.8288288288288289E-2</v>
      </c>
      <c r="AA32" s="27">
        <v>5.9459459459459463E-2</v>
      </c>
      <c r="AB32" s="27">
        <v>5.4054054054054057E-2</v>
      </c>
      <c r="AC32" s="25">
        <v>32.736936936936935</v>
      </c>
      <c r="AD32" s="23">
        <f t="shared" si="6"/>
        <v>0.75135135135135134</v>
      </c>
    </row>
    <row r="33" spans="1:30" x14ac:dyDescent="0.25">
      <c r="A33" s="22"/>
      <c r="B33" s="22"/>
      <c r="C33" s="22"/>
      <c r="D33" s="22">
        <v>5</v>
      </c>
      <c r="E33" s="22">
        <v>427</v>
      </c>
      <c r="F33" s="22">
        <v>120</v>
      </c>
      <c r="G33" s="22">
        <v>0</v>
      </c>
      <c r="H33" s="22">
        <v>122</v>
      </c>
      <c r="I33" s="22">
        <v>6</v>
      </c>
      <c r="J33" s="22">
        <v>177</v>
      </c>
      <c r="K33" s="22">
        <v>425</v>
      </c>
      <c r="L33" s="22">
        <v>2</v>
      </c>
      <c r="M33" s="22">
        <f t="shared" si="0"/>
        <v>427</v>
      </c>
      <c r="N33" s="22">
        <v>0</v>
      </c>
      <c r="O33" s="23">
        <f t="shared" si="1"/>
        <v>0.28103044496487117</v>
      </c>
      <c r="P33" s="23">
        <f t="shared" si="2"/>
        <v>0.41451990632318503</v>
      </c>
      <c r="Q33" s="23">
        <f t="shared" si="3"/>
        <v>0.2857142857142857</v>
      </c>
      <c r="R33" s="23">
        <f t="shared" si="4"/>
        <v>1.405152224824356E-2</v>
      </c>
      <c r="S33" s="23">
        <f t="shared" si="5"/>
        <v>0</v>
      </c>
      <c r="T33" s="24">
        <v>468</v>
      </c>
      <c r="U33" s="24">
        <v>33</v>
      </c>
      <c r="V33" s="24">
        <v>40</v>
      </c>
      <c r="W33" s="24">
        <v>14</v>
      </c>
      <c r="X33" s="24">
        <v>555</v>
      </c>
      <c r="Y33" s="27">
        <v>0.84324324324324329</v>
      </c>
      <c r="Z33" s="27">
        <v>5.9459459459459463E-2</v>
      </c>
      <c r="AA33" s="27">
        <v>7.2072072072072071E-2</v>
      </c>
      <c r="AB33" s="27">
        <v>2.5225225225225224E-2</v>
      </c>
      <c r="AC33" s="25">
        <v>23.257657657657656</v>
      </c>
      <c r="AD33" s="23">
        <f t="shared" si="6"/>
        <v>0.76936936936936939</v>
      </c>
    </row>
    <row r="34" spans="1:30" x14ac:dyDescent="0.25">
      <c r="A34" s="22">
        <v>13</v>
      </c>
      <c r="B34" s="22" t="s">
        <v>176</v>
      </c>
      <c r="C34" s="22" t="s">
        <v>177</v>
      </c>
      <c r="D34" s="22">
        <v>1</v>
      </c>
      <c r="E34" s="22">
        <v>249</v>
      </c>
      <c r="F34" s="22">
        <v>100</v>
      </c>
      <c r="G34" s="22">
        <v>1</v>
      </c>
      <c r="H34" s="22">
        <v>101</v>
      </c>
      <c r="I34" s="22">
        <v>4</v>
      </c>
      <c r="J34" s="22">
        <v>42</v>
      </c>
      <c r="K34" s="22">
        <v>248</v>
      </c>
      <c r="L34" s="22">
        <v>1</v>
      </c>
      <c r="M34" s="22">
        <f t="shared" si="0"/>
        <v>249</v>
      </c>
      <c r="N34" s="22">
        <v>0</v>
      </c>
      <c r="O34" s="23">
        <f t="shared" si="1"/>
        <v>0.40160642570281124</v>
      </c>
      <c r="P34" s="23">
        <f t="shared" si="2"/>
        <v>0.16867469879518071</v>
      </c>
      <c r="Q34" s="23">
        <f t="shared" si="3"/>
        <v>0.40562248995983935</v>
      </c>
      <c r="R34" s="23">
        <f t="shared" si="4"/>
        <v>1.6064257028112448E-2</v>
      </c>
      <c r="S34" s="23">
        <f t="shared" si="5"/>
        <v>4.0160642570281121E-3</v>
      </c>
      <c r="T34" s="24">
        <v>199</v>
      </c>
      <c r="U34" s="24">
        <v>104</v>
      </c>
      <c r="V34" s="24">
        <v>28</v>
      </c>
      <c r="W34" s="24">
        <v>1</v>
      </c>
      <c r="X34" s="24">
        <v>332</v>
      </c>
      <c r="Y34" s="27">
        <v>0.5993975903614458</v>
      </c>
      <c r="Z34" s="27">
        <v>0.31325301204819278</v>
      </c>
      <c r="AA34" s="27">
        <v>8.4337349397590355E-2</v>
      </c>
      <c r="AB34" s="27">
        <v>3.0120481927710845E-3</v>
      </c>
      <c r="AC34" s="25">
        <v>67.768072289156621</v>
      </c>
      <c r="AD34" s="23">
        <f t="shared" si="6"/>
        <v>0.75</v>
      </c>
    </row>
    <row r="35" spans="1:30" x14ac:dyDescent="0.25">
      <c r="A35" s="22"/>
      <c r="B35" s="22"/>
      <c r="C35" s="22"/>
      <c r="D35" s="22">
        <v>2</v>
      </c>
      <c r="E35" s="22">
        <v>257</v>
      </c>
      <c r="F35" s="22">
        <v>82</v>
      </c>
      <c r="G35" s="22">
        <v>2</v>
      </c>
      <c r="H35" s="22">
        <v>63</v>
      </c>
      <c r="I35" s="22">
        <v>7</v>
      </c>
      <c r="J35" s="22">
        <v>99</v>
      </c>
      <c r="K35" s="22">
        <v>253</v>
      </c>
      <c r="L35" s="22">
        <v>3</v>
      </c>
      <c r="M35" s="22">
        <f t="shared" si="0"/>
        <v>256</v>
      </c>
      <c r="N35" s="22">
        <v>1</v>
      </c>
      <c r="O35" s="23">
        <f t="shared" si="1"/>
        <v>0.3203125</v>
      </c>
      <c r="P35" s="23">
        <f t="shared" si="2"/>
        <v>0.38671875</v>
      </c>
      <c r="Q35" s="23">
        <f t="shared" si="3"/>
        <v>0.24609375</v>
      </c>
      <c r="R35" s="23">
        <f t="shared" si="4"/>
        <v>2.734375E-2</v>
      </c>
      <c r="S35" s="23">
        <f t="shared" si="5"/>
        <v>7.8125E-3</v>
      </c>
      <c r="T35" s="24">
        <v>246</v>
      </c>
      <c r="U35" s="24">
        <v>31</v>
      </c>
      <c r="V35" s="24">
        <v>52</v>
      </c>
      <c r="W35" s="24">
        <v>4</v>
      </c>
      <c r="X35" s="24">
        <v>333</v>
      </c>
      <c r="Y35" s="27">
        <v>0.73873873873873874</v>
      </c>
      <c r="Z35" s="27">
        <v>9.3093093093093091E-2</v>
      </c>
      <c r="AA35" s="27">
        <v>0.15615615615615616</v>
      </c>
      <c r="AB35" s="27">
        <v>1.2012012012012012E-2</v>
      </c>
      <c r="AC35" s="25">
        <v>40.336336336336338</v>
      </c>
      <c r="AD35" s="23">
        <f t="shared" si="6"/>
        <v>0.76876876876876876</v>
      </c>
    </row>
    <row r="36" spans="1:30" x14ac:dyDescent="0.25">
      <c r="A36" s="22">
        <v>14</v>
      </c>
      <c r="B36" s="22" t="s">
        <v>178</v>
      </c>
      <c r="C36" s="22" t="s">
        <v>179</v>
      </c>
      <c r="D36" s="22">
        <v>1</v>
      </c>
      <c r="E36" s="22">
        <v>324</v>
      </c>
      <c r="F36" s="22">
        <v>78</v>
      </c>
      <c r="G36" s="22">
        <v>2</v>
      </c>
      <c r="H36" s="22">
        <v>174</v>
      </c>
      <c r="I36" s="22">
        <v>7</v>
      </c>
      <c r="J36" s="22">
        <v>61</v>
      </c>
      <c r="K36" s="22">
        <v>322</v>
      </c>
      <c r="L36" s="22">
        <v>1</v>
      </c>
      <c r="M36" s="22">
        <f t="shared" si="0"/>
        <v>323</v>
      </c>
      <c r="N36" s="22">
        <v>1</v>
      </c>
      <c r="O36" s="23">
        <f t="shared" si="1"/>
        <v>0.24148606811145512</v>
      </c>
      <c r="P36" s="23">
        <f t="shared" si="2"/>
        <v>0.18885448916408668</v>
      </c>
      <c r="Q36" s="23">
        <f t="shared" si="3"/>
        <v>0.53869969040247678</v>
      </c>
      <c r="R36" s="23">
        <f t="shared" si="4"/>
        <v>2.1671826625386997E-2</v>
      </c>
      <c r="S36" s="23">
        <f t="shared" si="5"/>
        <v>6.1919504643962852E-3</v>
      </c>
      <c r="T36" s="24">
        <v>377</v>
      </c>
      <c r="U36" s="24">
        <v>40</v>
      </c>
      <c r="V36" s="24">
        <v>31</v>
      </c>
      <c r="W36" s="24">
        <v>2</v>
      </c>
      <c r="X36" s="24">
        <v>450</v>
      </c>
      <c r="Y36" s="27">
        <v>0.83777777777777773</v>
      </c>
      <c r="Z36" s="27">
        <v>8.8888888888888892E-2</v>
      </c>
      <c r="AA36" s="27">
        <v>6.8888888888888888E-2</v>
      </c>
      <c r="AB36" s="27">
        <v>4.4444444444444444E-3</v>
      </c>
      <c r="AC36" s="25">
        <v>66.406666666666666</v>
      </c>
      <c r="AD36" s="23">
        <f t="shared" si="6"/>
        <v>0.71777777777777774</v>
      </c>
    </row>
    <row r="37" spans="1:30" x14ac:dyDescent="0.25">
      <c r="A37" s="22"/>
      <c r="B37" s="22"/>
      <c r="C37" s="22"/>
      <c r="D37" s="22">
        <v>2</v>
      </c>
      <c r="E37" s="22">
        <v>385</v>
      </c>
      <c r="F37" s="22">
        <v>78</v>
      </c>
      <c r="G37" s="22">
        <v>1</v>
      </c>
      <c r="H37" s="22">
        <v>149</v>
      </c>
      <c r="I37" s="22">
        <v>9</v>
      </c>
      <c r="J37" s="22">
        <v>143</v>
      </c>
      <c r="K37" s="22">
        <v>380</v>
      </c>
      <c r="L37" s="22">
        <v>5</v>
      </c>
      <c r="M37" s="22">
        <f t="shared" si="0"/>
        <v>385</v>
      </c>
      <c r="N37" s="22">
        <v>0</v>
      </c>
      <c r="O37" s="23">
        <f t="shared" si="1"/>
        <v>0.20259740259740261</v>
      </c>
      <c r="P37" s="23">
        <f t="shared" si="2"/>
        <v>0.37142857142857144</v>
      </c>
      <c r="Q37" s="23">
        <f t="shared" si="3"/>
        <v>0.38701298701298703</v>
      </c>
      <c r="R37" s="23">
        <f t="shared" si="4"/>
        <v>2.3376623376623377E-2</v>
      </c>
      <c r="S37" s="23">
        <f t="shared" si="5"/>
        <v>2.5974025974025974E-3</v>
      </c>
      <c r="T37" s="24">
        <v>420</v>
      </c>
      <c r="U37" s="24">
        <v>14</v>
      </c>
      <c r="V37" s="24">
        <v>15</v>
      </c>
      <c r="W37" s="24">
        <v>1</v>
      </c>
      <c r="X37" s="24">
        <v>450</v>
      </c>
      <c r="Y37" s="27">
        <v>0.93333333333333335</v>
      </c>
      <c r="Z37" s="27">
        <v>3.111111111111111E-2</v>
      </c>
      <c r="AA37" s="27">
        <v>3.3333333333333333E-2</v>
      </c>
      <c r="AB37" s="27">
        <v>2.2222222222222222E-3</v>
      </c>
      <c r="AC37" s="25">
        <v>63.713333333333331</v>
      </c>
      <c r="AD37" s="23">
        <f t="shared" si="6"/>
        <v>0.85555555555555551</v>
      </c>
    </row>
    <row r="38" spans="1:30" x14ac:dyDescent="0.25">
      <c r="A38" s="22"/>
      <c r="B38" s="22"/>
      <c r="C38" s="22"/>
      <c r="D38" s="22">
        <v>3</v>
      </c>
      <c r="E38" s="22">
        <v>395</v>
      </c>
      <c r="F38" s="22">
        <v>110</v>
      </c>
      <c r="G38" s="22">
        <v>1</v>
      </c>
      <c r="H38" s="22">
        <v>124</v>
      </c>
      <c r="I38" s="22">
        <v>8</v>
      </c>
      <c r="J38" s="22">
        <v>149</v>
      </c>
      <c r="K38" s="22">
        <v>392</v>
      </c>
      <c r="L38" s="22">
        <v>2</v>
      </c>
      <c r="M38" s="22">
        <f t="shared" si="0"/>
        <v>394</v>
      </c>
      <c r="N38" s="22">
        <v>1</v>
      </c>
      <c r="O38" s="23">
        <f t="shared" si="1"/>
        <v>0.27918781725888325</v>
      </c>
      <c r="P38" s="23">
        <f t="shared" si="2"/>
        <v>0.37817258883248733</v>
      </c>
      <c r="Q38" s="23">
        <f t="shared" si="3"/>
        <v>0.31472081218274112</v>
      </c>
      <c r="R38" s="23">
        <f t="shared" si="4"/>
        <v>2.030456852791878E-2</v>
      </c>
      <c r="S38" s="23">
        <f t="shared" si="5"/>
        <v>2.5380710659898475E-3</v>
      </c>
      <c r="T38" s="24">
        <v>395</v>
      </c>
      <c r="U38" s="24">
        <v>30</v>
      </c>
      <c r="V38" s="24">
        <v>23</v>
      </c>
      <c r="W38" s="24">
        <v>2</v>
      </c>
      <c r="X38" s="24">
        <v>450</v>
      </c>
      <c r="Y38" s="27">
        <v>0.87777777777777777</v>
      </c>
      <c r="Z38" s="27">
        <v>6.6666666666666666E-2</v>
      </c>
      <c r="AA38" s="27">
        <v>5.1111111111111114E-2</v>
      </c>
      <c r="AB38" s="27">
        <v>4.4444444444444444E-3</v>
      </c>
      <c r="AC38" s="25">
        <v>57.511111111111113</v>
      </c>
      <c r="AD38" s="23">
        <f t="shared" si="6"/>
        <v>0.87555555555555553</v>
      </c>
    </row>
    <row r="39" spans="1:30" x14ac:dyDescent="0.25">
      <c r="A39" s="22"/>
      <c r="B39" s="22"/>
      <c r="C39" s="22"/>
      <c r="D39" s="22">
        <v>4</v>
      </c>
      <c r="E39" s="22">
        <v>537</v>
      </c>
      <c r="F39" s="22">
        <v>150</v>
      </c>
      <c r="G39" s="22">
        <v>2</v>
      </c>
      <c r="H39" s="22">
        <v>145</v>
      </c>
      <c r="I39" s="22">
        <v>10</v>
      </c>
      <c r="J39" s="22">
        <v>227</v>
      </c>
      <c r="K39" s="22">
        <v>534</v>
      </c>
      <c r="L39" s="22">
        <v>3</v>
      </c>
      <c r="M39" s="22">
        <f t="shared" si="0"/>
        <v>537</v>
      </c>
      <c r="N39" s="22">
        <v>0</v>
      </c>
      <c r="O39" s="23">
        <f t="shared" si="1"/>
        <v>0.27932960893854747</v>
      </c>
      <c r="P39" s="23">
        <f t="shared" si="2"/>
        <v>0.42271880819366853</v>
      </c>
      <c r="Q39" s="23">
        <f t="shared" si="3"/>
        <v>0.27001862197392923</v>
      </c>
      <c r="R39" s="23">
        <f t="shared" si="4"/>
        <v>1.86219739292365E-2</v>
      </c>
      <c r="S39" s="23">
        <f t="shared" si="5"/>
        <v>3.7243947858472998E-3</v>
      </c>
      <c r="T39" s="24">
        <v>543</v>
      </c>
      <c r="U39" s="24">
        <v>60</v>
      </c>
      <c r="V39" s="24">
        <v>46</v>
      </c>
      <c r="W39" s="24">
        <v>2</v>
      </c>
      <c r="X39" s="24">
        <v>651</v>
      </c>
      <c r="Y39" s="27">
        <v>0.83410138248847931</v>
      </c>
      <c r="Z39" s="27">
        <v>9.2165898617511524E-2</v>
      </c>
      <c r="AA39" s="27">
        <v>7.0660522273425494E-2</v>
      </c>
      <c r="AB39" s="27">
        <v>3.0721966205837174E-3</v>
      </c>
      <c r="AC39" s="25">
        <v>49.789554531490012</v>
      </c>
      <c r="AD39" s="23">
        <f t="shared" si="6"/>
        <v>0.82488479262672809</v>
      </c>
    </row>
    <row r="40" spans="1:30" x14ac:dyDescent="0.25">
      <c r="A40" s="22"/>
      <c r="B40" s="22"/>
      <c r="C40" s="22"/>
      <c r="D40" s="22">
        <v>5</v>
      </c>
      <c r="E40" s="22">
        <v>505</v>
      </c>
      <c r="F40" s="22">
        <v>100</v>
      </c>
      <c r="G40" s="22">
        <v>0</v>
      </c>
      <c r="H40" s="22">
        <v>145</v>
      </c>
      <c r="I40" s="22">
        <v>4</v>
      </c>
      <c r="J40" s="22">
        <v>255</v>
      </c>
      <c r="K40" s="22">
        <v>504</v>
      </c>
      <c r="L40" s="22">
        <v>1</v>
      </c>
      <c r="M40" s="22">
        <f t="shared" si="0"/>
        <v>505</v>
      </c>
      <c r="N40" s="22">
        <v>0</v>
      </c>
      <c r="O40" s="23">
        <f t="shared" si="1"/>
        <v>0.19801980198019803</v>
      </c>
      <c r="P40" s="23">
        <f t="shared" si="2"/>
        <v>0.50495049504950495</v>
      </c>
      <c r="Q40" s="23">
        <f t="shared" si="3"/>
        <v>0.28712871287128711</v>
      </c>
      <c r="R40" s="23">
        <f t="shared" si="4"/>
        <v>7.9207920792079209E-3</v>
      </c>
      <c r="S40" s="23">
        <f t="shared" si="5"/>
        <v>0</v>
      </c>
      <c r="T40" s="24">
        <v>581</v>
      </c>
      <c r="U40" s="24">
        <v>33</v>
      </c>
      <c r="V40" s="24">
        <v>30</v>
      </c>
      <c r="W40" s="24">
        <v>7</v>
      </c>
      <c r="X40" s="24">
        <v>651</v>
      </c>
      <c r="Y40" s="27">
        <v>0.89247311827956988</v>
      </c>
      <c r="Z40" s="27">
        <v>5.0691244239631339E-2</v>
      </c>
      <c r="AA40" s="27">
        <v>4.6082949308755762E-2</v>
      </c>
      <c r="AB40" s="27">
        <v>1.0752688172043012E-2</v>
      </c>
      <c r="AC40" s="25">
        <v>41.462365591397848</v>
      </c>
      <c r="AD40" s="23">
        <f t="shared" si="6"/>
        <v>0.77572964669738864</v>
      </c>
    </row>
    <row r="41" spans="1:30" x14ac:dyDescent="0.25">
      <c r="A41" s="22"/>
      <c r="B41" s="22"/>
      <c r="C41" s="22"/>
      <c r="D41" s="22">
        <v>6</v>
      </c>
      <c r="E41" s="22">
        <v>497</v>
      </c>
      <c r="F41" s="22">
        <v>101</v>
      </c>
      <c r="G41" s="22">
        <v>3</v>
      </c>
      <c r="H41" s="22">
        <v>128</v>
      </c>
      <c r="I41" s="22">
        <v>13</v>
      </c>
      <c r="J41" s="22">
        <v>252</v>
      </c>
      <c r="K41" s="22">
        <v>497</v>
      </c>
      <c r="L41" s="22">
        <v>0</v>
      </c>
      <c r="M41" s="22">
        <f t="shared" si="0"/>
        <v>497</v>
      </c>
      <c r="N41" s="22">
        <v>0</v>
      </c>
      <c r="O41" s="23">
        <f t="shared" si="1"/>
        <v>0.20321931589537223</v>
      </c>
      <c r="P41" s="23">
        <f t="shared" si="2"/>
        <v>0.50704225352112675</v>
      </c>
      <c r="Q41" s="23">
        <f t="shared" si="3"/>
        <v>0.25754527162977869</v>
      </c>
      <c r="R41" s="23">
        <f t="shared" si="4"/>
        <v>2.6156941649899398E-2</v>
      </c>
      <c r="S41" s="23">
        <f t="shared" si="5"/>
        <v>6.0362173038229373E-3</v>
      </c>
      <c r="T41" s="24">
        <v>625</v>
      </c>
      <c r="U41" s="24">
        <v>9</v>
      </c>
      <c r="V41" s="24">
        <v>17</v>
      </c>
      <c r="W41" s="24">
        <v>0</v>
      </c>
      <c r="X41" s="24">
        <v>651</v>
      </c>
      <c r="Y41" s="27">
        <v>0.96006144393241166</v>
      </c>
      <c r="Z41" s="27">
        <v>1.3824884792626729E-2</v>
      </c>
      <c r="AA41" s="27">
        <v>2.6113671274961597E-2</v>
      </c>
      <c r="AB41" s="27">
        <v>0</v>
      </c>
      <c r="AC41" s="25">
        <v>35.846390168970814</v>
      </c>
      <c r="AD41" s="23">
        <f t="shared" si="6"/>
        <v>0.76344086021505375</v>
      </c>
    </row>
    <row r="42" spans="1:30" x14ac:dyDescent="0.25">
      <c r="A42" s="22"/>
      <c r="B42" s="22"/>
      <c r="C42" s="22"/>
      <c r="D42" s="22">
        <v>7</v>
      </c>
      <c r="E42" s="22">
        <v>479</v>
      </c>
      <c r="F42" s="22">
        <v>124</v>
      </c>
      <c r="G42" s="22">
        <v>3</v>
      </c>
      <c r="H42" s="22">
        <v>112</v>
      </c>
      <c r="I42" s="22">
        <v>10</v>
      </c>
      <c r="J42" s="22">
        <v>230</v>
      </c>
      <c r="K42" s="22">
        <v>479</v>
      </c>
      <c r="L42" s="22">
        <v>0</v>
      </c>
      <c r="M42" s="22">
        <f t="shared" si="0"/>
        <v>479</v>
      </c>
      <c r="N42" s="22">
        <v>0</v>
      </c>
      <c r="O42" s="23">
        <f t="shared" si="1"/>
        <v>0.25887265135699372</v>
      </c>
      <c r="P42" s="23">
        <f t="shared" si="2"/>
        <v>0.4801670146137787</v>
      </c>
      <c r="Q42" s="23">
        <f t="shared" si="3"/>
        <v>0.23382045929018788</v>
      </c>
      <c r="R42" s="23">
        <f t="shared" si="4"/>
        <v>2.0876826722338204E-2</v>
      </c>
      <c r="S42" s="23">
        <f t="shared" si="5"/>
        <v>6.2630480167014616E-3</v>
      </c>
      <c r="T42" s="24">
        <v>623</v>
      </c>
      <c r="U42" s="24">
        <v>11</v>
      </c>
      <c r="V42" s="24">
        <v>17</v>
      </c>
      <c r="W42" s="24">
        <v>0</v>
      </c>
      <c r="X42" s="24">
        <v>651</v>
      </c>
      <c r="Y42" s="27">
        <v>0.956989247311828</v>
      </c>
      <c r="Z42" s="27">
        <v>1.6897081413210446E-2</v>
      </c>
      <c r="AA42" s="27">
        <v>2.6113671274961597E-2</v>
      </c>
      <c r="AB42" s="27">
        <v>0</v>
      </c>
      <c r="AC42" s="25">
        <v>31.682027649769584</v>
      </c>
      <c r="AD42" s="23">
        <f t="shared" si="6"/>
        <v>0.7357910906298003</v>
      </c>
    </row>
    <row r="43" spans="1:30" x14ac:dyDescent="0.25">
      <c r="A43" s="22"/>
      <c r="B43" s="22"/>
      <c r="C43" s="22"/>
      <c r="D43" s="22">
        <v>8</v>
      </c>
      <c r="E43" s="22">
        <v>506</v>
      </c>
      <c r="F43" s="22">
        <v>158</v>
      </c>
      <c r="G43" s="22">
        <v>2</v>
      </c>
      <c r="H43" s="22">
        <v>93</v>
      </c>
      <c r="I43" s="22">
        <v>8</v>
      </c>
      <c r="J43" s="22">
        <v>244</v>
      </c>
      <c r="K43" s="22">
        <v>505</v>
      </c>
      <c r="L43" s="22">
        <v>1</v>
      </c>
      <c r="M43" s="22">
        <f t="shared" si="0"/>
        <v>506</v>
      </c>
      <c r="N43" s="22">
        <v>0</v>
      </c>
      <c r="O43" s="23">
        <f t="shared" si="1"/>
        <v>0.31225296442687744</v>
      </c>
      <c r="P43" s="23">
        <f t="shared" si="2"/>
        <v>0.48221343873517786</v>
      </c>
      <c r="Q43" s="23">
        <f t="shared" si="3"/>
        <v>0.18379446640316205</v>
      </c>
      <c r="R43" s="23">
        <f t="shared" si="4"/>
        <v>1.5810276679841896E-2</v>
      </c>
      <c r="S43" s="23">
        <f t="shared" si="5"/>
        <v>3.952569169960474E-3</v>
      </c>
      <c r="T43" s="24">
        <v>626</v>
      </c>
      <c r="U43" s="24">
        <v>7</v>
      </c>
      <c r="V43" s="24">
        <v>17</v>
      </c>
      <c r="W43" s="24">
        <v>1</v>
      </c>
      <c r="X43" s="24">
        <v>651</v>
      </c>
      <c r="Y43" s="27">
        <v>0.96159754224270355</v>
      </c>
      <c r="Z43" s="27">
        <v>1.0752688172043012E-2</v>
      </c>
      <c r="AA43" s="27">
        <v>2.6113671274961597E-2</v>
      </c>
      <c r="AB43" s="27">
        <v>1.5360983102918587E-3</v>
      </c>
      <c r="AC43" s="25">
        <v>27.989247311827956</v>
      </c>
      <c r="AD43" s="23">
        <f t="shared" si="6"/>
        <v>0.77726574500768053</v>
      </c>
    </row>
    <row r="44" spans="1:30" x14ac:dyDescent="0.25">
      <c r="A44" s="22"/>
      <c r="B44" s="22"/>
      <c r="C44" s="22"/>
      <c r="D44" s="22">
        <v>9</v>
      </c>
      <c r="E44" s="22">
        <v>535</v>
      </c>
      <c r="F44" s="22">
        <v>197</v>
      </c>
      <c r="G44" s="22">
        <v>1</v>
      </c>
      <c r="H44" s="22">
        <v>117</v>
      </c>
      <c r="I44" s="22">
        <v>7</v>
      </c>
      <c r="J44" s="22">
        <v>213</v>
      </c>
      <c r="K44" s="22">
        <v>535</v>
      </c>
      <c r="L44" s="22">
        <v>0</v>
      </c>
      <c r="M44" s="22">
        <f t="shared" si="0"/>
        <v>535</v>
      </c>
      <c r="N44" s="22">
        <v>0</v>
      </c>
      <c r="O44" s="23">
        <f t="shared" si="1"/>
        <v>0.36822429906542054</v>
      </c>
      <c r="P44" s="23">
        <f t="shared" si="2"/>
        <v>0.39813084112149533</v>
      </c>
      <c r="Q44" s="23">
        <f t="shared" si="3"/>
        <v>0.21869158878504674</v>
      </c>
      <c r="R44" s="23">
        <f t="shared" si="4"/>
        <v>1.3084112149532711E-2</v>
      </c>
      <c r="S44" s="23">
        <f t="shared" si="5"/>
        <v>1.869158878504673E-3</v>
      </c>
      <c r="T44" s="24">
        <v>616</v>
      </c>
      <c r="U44" s="24">
        <v>11</v>
      </c>
      <c r="V44" s="24">
        <v>25</v>
      </c>
      <c r="W44" s="24">
        <v>0</v>
      </c>
      <c r="X44" s="24">
        <v>652</v>
      </c>
      <c r="Y44" s="27">
        <v>0.94478527607361962</v>
      </c>
      <c r="Z44" s="27">
        <v>1.6871165644171779E-2</v>
      </c>
      <c r="AA44" s="27">
        <v>3.834355828220859E-2</v>
      </c>
      <c r="AB44" s="27">
        <v>0</v>
      </c>
      <c r="AC44" s="25">
        <v>24.354294478527606</v>
      </c>
      <c r="AD44" s="23">
        <f t="shared" si="6"/>
        <v>0.82055214723926384</v>
      </c>
    </row>
    <row r="45" spans="1:30" x14ac:dyDescent="0.25">
      <c r="A45" s="22"/>
      <c r="B45" s="22"/>
      <c r="C45" s="22"/>
      <c r="D45" s="22">
        <v>10</v>
      </c>
      <c r="E45" s="22">
        <v>563</v>
      </c>
      <c r="F45" s="22">
        <v>167</v>
      </c>
      <c r="G45" s="22">
        <v>1</v>
      </c>
      <c r="H45" s="22">
        <v>113</v>
      </c>
      <c r="I45" s="22">
        <v>6</v>
      </c>
      <c r="J45" s="22">
        <v>276</v>
      </c>
      <c r="K45" s="22">
        <v>563</v>
      </c>
      <c r="L45" s="22">
        <v>0</v>
      </c>
      <c r="M45" s="22">
        <f t="shared" si="0"/>
        <v>563</v>
      </c>
      <c r="N45" s="22">
        <v>0</v>
      </c>
      <c r="O45" s="23">
        <f t="shared" si="1"/>
        <v>0.2966252220248668</v>
      </c>
      <c r="P45" s="23">
        <f t="shared" si="2"/>
        <v>0.49023090586145646</v>
      </c>
      <c r="Q45" s="23">
        <f t="shared" si="3"/>
        <v>0.20071047957371227</v>
      </c>
      <c r="R45" s="23">
        <f t="shared" si="4"/>
        <v>1.0657193605683837E-2</v>
      </c>
      <c r="S45" s="23">
        <f t="shared" si="5"/>
        <v>1.7761989342806395E-3</v>
      </c>
      <c r="T45" s="24">
        <v>614</v>
      </c>
      <c r="U45" s="24">
        <v>12</v>
      </c>
      <c r="V45" s="24">
        <v>26</v>
      </c>
      <c r="W45" s="24">
        <v>0</v>
      </c>
      <c r="X45" s="24">
        <v>652</v>
      </c>
      <c r="Y45" s="27">
        <v>0.94171779141104295</v>
      </c>
      <c r="Z45" s="27">
        <v>1.8404907975460124E-2</v>
      </c>
      <c r="AA45" s="27">
        <v>3.9877300613496931E-2</v>
      </c>
      <c r="AB45" s="27">
        <v>0</v>
      </c>
      <c r="AC45" s="25">
        <v>20.207055214723926</v>
      </c>
      <c r="AD45" s="23">
        <f t="shared" si="6"/>
        <v>0.86349693251533743</v>
      </c>
    </row>
    <row r="46" spans="1:30" x14ac:dyDescent="0.25">
      <c r="A46" s="22"/>
      <c r="B46" s="22"/>
      <c r="C46" s="22" t="s">
        <v>180</v>
      </c>
      <c r="D46" s="22">
        <v>1</v>
      </c>
      <c r="E46" s="22">
        <v>332</v>
      </c>
      <c r="F46" s="22">
        <v>105</v>
      </c>
      <c r="G46" s="22">
        <v>0</v>
      </c>
      <c r="H46" s="22">
        <v>136</v>
      </c>
      <c r="I46" s="22">
        <v>7</v>
      </c>
      <c r="J46" s="22">
        <v>79</v>
      </c>
      <c r="K46" s="22">
        <v>327</v>
      </c>
      <c r="L46" s="22">
        <v>5</v>
      </c>
      <c r="M46" s="22">
        <f t="shared" si="0"/>
        <v>332</v>
      </c>
      <c r="N46" s="22">
        <v>0</v>
      </c>
      <c r="O46" s="23">
        <f t="shared" si="1"/>
        <v>0.31626506024096385</v>
      </c>
      <c r="P46" s="23">
        <f t="shared" si="2"/>
        <v>0.23795180722891565</v>
      </c>
      <c r="Q46" s="23">
        <f t="shared" si="3"/>
        <v>0.40963855421686746</v>
      </c>
      <c r="R46" s="23">
        <f t="shared" si="4"/>
        <v>2.1084337349397589E-2</v>
      </c>
      <c r="S46" s="23">
        <f t="shared" si="5"/>
        <v>0</v>
      </c>
      <c r="T46" s="24">
        <v>318</v>
      </c>
      <c r="U46" s="24">
        <v>80</v>
      </c>
      <c r="V46" s="24">
        <v>50</v>
      </c>
      <c r="W46" s="24">
        <v>2</v>
      </c>
      <c r="X46" s="24">
        <v>450</v>
      </c>
      <c r="Y46" s="27">
        <v>0.70666666666666667</v>
      </c>
      <c r="Z46" s="27">
        <v>0.17777777777777778</v>
      </c>
      <c r="AA46" s="27">
        <v>0.1111111111111111</v>
      </c>
      <c r="AB46" s="27">
        <v>4.4444444444444444E-3</v>
      </c>
      <c r="AC46" s="25">
        <v>62.902222222222221</v>
      </c>
      <c r="AD46" s="23">
        <f t="shared" si="6"/>
        <v>0.73777777777777775</v>
      </c>
    </row>
    <row r="47" spans="1:30" x14ac:dyDescent="0.25">
      <c r="A47" s="22"/>
      <c r="B47" s="22"/>
      <c r="C47" s="22"/>
      <c r="D47" s="22">
        <v>2</v>
      </c>
      <c r="E47" s="22">
        <v>372</v>
      </c>
      <c r="F47" s="22">
        <v>123</v>
      </c>
      <c r="G47" s="22">
        <v>0</v>
      </c>
      <c r="H47" s="22">
        <v>123</v>
      </c>
      <c r="I47" s="22">
        <v>3</v>
      </c>
      <c r="J47" s="22">
        <v>120</v>
      </c>
      <c r="K47" s="22">
        <v>369</v>
      </c>
      <c r="L47" s="22">
        <v>3</v>
      </c>
      <c r="M47" s="22">
        <f t="shared" si="0"/>
        <v>372</v>
      </c>
      <c r="N47" s="22">
        <v>0</v>
      </c>
      <c r="O47" s="23">
        <f t="shared" si="1"/>
        <v>0.33064516129032256</v>
      </c>
      <c r="P47" s="23">
        <f t="shared" si="2"/>
        <v>0.32258064516129031</v>
      </c>
      <c r="Q47" s="23">
        <f t="shared" si="3"/>
        <v>0.33064516129032256</v>
      </c>
      <c r="R47" s="23">
        <f t="shared" si="4"/>
        <v>8.0645161290322578E-3</v>
      </c>
      <c r="S47" s="23">
        <f t="shared" si="5"/>
        <v>0</v>
      </c>
      <c r="T47" s="24">
        <v>362</v>
      </c>
      <c r="U47" s="24">
        <v>52</v>
      </c>
      <c r="V47" s="24">
        <v>35</v>
      </c>
      <c r="W47" s="24">
        <v>1</v>
      </c>
      <c r="X47" s="24">
        <v>450</v>
      </c>
      <c r="Y47" s="27">
        <v>0.80444444444444441</v>
      </c>
      <c r="Z47" s="27">
        <v>0.11555555555555555</v>
      </c>
      <c r="AA47" s="27">
        <v>7.7777777777777779E-2</v>
      </c>
      <c r="AB47" s="27">
        <v>2.2222222222222222E-3</v>
      </c>
      <c r="AC47" s="25">
        <v>57.428888888888892</v>
      </c>
      <c r="AD47" s="23">
        <f t="shared" si="6"/>
        <v>0.82666666666666666</v>
      </c>
    </row>
    <row r="48" spans="1:30" x14ac:dyDescent="0.25">
      <c r="A48" s="22"/>
      <c r="B48" s="22"/>
      <c r="C48" s="22"/>
      <c r="D48" s="22">
        <v>3</v>
      </c>
      <c r="E48" s="22">
        <v>585</v>
      </c>
      <c r="F48" s="22">
        <v>197</v>
      </c>
      <c r="G48" s="22">
        <v>1</v>
      </c>
      <c r="H48" s="22">
        <v>139</v>
      </c>
      <c r="I48" s="22">
        <v>6</v>
      </c>
      <c r="J48" s="22">
        <v>234</v>
      </c>
      <c r="K48" s="22">
        <v>577</v>
      </c>
      <c r="L48" s="22">
        <v>8</v>
      </c>
      <c r="M48" s="22">
        <f t="shared" si="0"/>
        <v>585</v>
      </c>
      <c r="N48" s="22">
        <v>0</v>
      </c>
      <c r="O48" s="23">
        <f t="shared" si="1"/>
        <v>0.33675213675213678</v>
      </c>
      <c r="P48" s="23">
        <f t="shared" si="2"/>
        <v>0.4</v>
      </c>
      <c r="Q48" s="23">
        <f t="shared" si="3"/>
        <v>0.2376068376068376</v>
      </c>
      <c r="R48" s="23">
        <f t="shared" si="4"/>
        <v>1.0256410256410256E-2</v>
      </c>
      <c r="S48" s="23">
        <f t="shared" si="5"/>
        <v>1.7094017094017094E-3</v>
      </c>
      <c r="T48" s="24">
        <v>517</v>
      </c>
      <c r="U48" s="24">
        <v>119</v>
      </c>
      <c r="V48" s="24">
        <v>67</v>
      </c>
      <c r="W48" s="24">
        <v>5</v>
      </c>
      <c r="X48" s="24">
        <v>708</v>
      </c>
      <c r="Y48" s="27">
        <v>0.73022598870056499</v>
      </c>
      <c r="Z48" s="27">
        <v>0.16807909604519775</v>
      </c>
      <c r="AA48" s="27">
        <v>9.4632768361581923E-2</v>
      </c>
      <c r="AB48" s="27">
        <v>7.0621468926553672E-3</v>
      </c>
      <c r="AC48" s="25">
        <v>48.870056497175142</v>
      </c>
      <c r="AD48" s="23">
        <f t="shared" si="6"/>
        <v>0.82627118644067798</v>
      </c>
    </row>
    <row r="49" spans="1:30" x14ac:dyDescent="0.25">
      <c r="A49" s="22"/>
      <c r="B49" s="22"/>
      <c r="C49" s="22"/>
      <c r="D49" s="22">
        <v>4</v>
      </c>
      <c r="E49" s="22">
        <v>527</v>
      </c>
      <c r="F49" s="22">
        <v>212</v>
      </c>
      <c r="G49" s="22">
        <v>2</v>
      </c>
      <c r="H49" s="22">
        <v>110</v>
      </c>
      <c r="I49" s="22">
        <v>3</v>
      </c>
      <c r="J49" s="22">
        <v>198</v>
      </c>
      <c r="K49" s="22">
        <v>525</v>
      </c>
      <c r="L49" s="22">
        <v>2</v>
      </c>
      <c r="M49" s="22">
        <f t="shared" si="0"/>
        <v>527</v>
      </c>
      <c r="N49" s="22">
        <v>0</v>
      </c>
      <c r="O49" s="23">
        <f t="shared" si="1"/>
        <v>0.40227703984819735</v>
      </c>
      <c r="P49" s="23">
        <f t="shared" si="2"/>
        <v>0.37571157495256169</v>
      </c>
      <c r="Q49" s="23">
        <f t="shared" si="3"/>
        <v>0.20872865275142316</v>
      </c>
      <c r="R49" s="23">
        <f t="shared" si="4"/>
        <v>5.6925996204933585E-3</v>
      </c>
      <c r="S49" s="23">
        <f t="shared" si="5"/>
        <v>3.7950664136622392E-3</v>
      </c>
      <c r="T49" s="24">
        <v>490</v>
      </c>
      <c r="U49" s="24">
        <v>155</v>
      </c>
      <c r="V49" s="24">
        <v>59</v>
      </c>
      <c r="W49" s="24">
        <v>4</v>
      </c>
      <c r="X49" s="24">
        <v>708</v>
      </c>
      <c r="Y49" s="27">
        <v>0.69209039548022599</v>
      </c>
      <c r="Z49" s="27">
        <v>0.21892655367231639</v>
      </c>
      <c r="AA49" s="27">
        <v>8.3333333333333329E-2</v>
      </c>
      <c r="AB49" s="27">
        <v>5.6497175141242938E-3</v>
      </c>
      <c r="AC49" s="25">
        <v>39.309322033898304</v>
      </c>
      <c r="AD49" s="23">
        <f t="shared" si="6"/>
        <v>0.74435028248587576</v>
      </c>
    </row>
    <row r="50" spans="1:30" x14ac:dyDescent="0.25">
      <c r="A50" s="22"/>
      <c r="B50" s="22"/>
      <c r="C50" s="22"/>
      <c r="D50" s="22">
        <v>5</v>
      </c>
      <c r="E50" s="22">
        <v>538</v>
      </c>
      <c r="F50" s="22">
        <v>181</v>
      </c>
      <c r="G50" s="22">
        <v>2</v>
      </c>
      <c r="H50" s="22">
        <v>111</v>
      </c>
      <c r="I50" s="22">
        <v>8</v>
      </c>
      <c r="J50" s="22">
        <v>233</v>
      </c>
      <c r="K50" s="22">
        <v>535</v>
      </c>
      <c r="L50" s="22">
        <v>3</v>
      </c>
      <c r="M50" s="22">
        <f t="shared" si="0"/>
        <v>538</v>
      </c>
      <c r="N50" s="22">
        <v>0</v>
      </c>
      <c r="O50" s="23">
        <f t="shared" si="1"/>
        <v>0.33643122676579923</v>
      </c>
      <c r="P50" s="23">
        <f t="shared" si="2"/>
        <v>0.43308550185873607</v>
      </c>
      <c r="Q50" s="23">
        <f t="shared" si="3"/>
        <v>0.20631970260223048</v>
      </c>
      <c r="R50" s="23">
        <f t="shared" si="4"/>
        <v>1.4869888475836431E-2</v>
      </c>
      <c r="S50" s="23">
        <f t="shared" si="5"/>
        <v>3.7174721189591076E-3</v>
      </c>
      <c r="T50" s="24">
        <v>563</v>
      </c>
      <c r="U50" s="24">
        <v>100</v>
      </c>
      <c r="V50" s="24">
        <v>43</v>
      </c>
      <c r="W50" s="24">
        <v>2</v>
      </c>
      <c r="X50" s="24">
        <v>708</v>
      </c>
      <c r="Y50" s="27">
        <v>0.79519774011299438</v>
      </c>
      <c r="Z50" s="27">
        <v>0.14124293785310735</v>
      </c>
      <c r="AA50" s="27">
        <v>6.0734463276836161E-2</v>
      </c>
      <c r="AB50" s="27">
        <v>2.8248587570621469E-3</v>
      </c>
      <c r="AC50" s="25">
        <v>32.144067796610166</v>
      </c>
      <c r="AD50" s="23">
        <f t="shared" si="6"/>
        <v>0.75988700564971756</v>
      </c>
    </row>
    <row r="51" spans="1:30" x14ac:dyDescent="0.25">
      <c r="A51" s="22"/>
      <c r="B51" s="22"/>
      <c r="C51" s="22"/>
      <c r="D51" s="22">
        <v>6</v>
      </c>
      <c r="E51" s="22">
        <v>586</v>
      </c>
      <c r="F51" s="22">
        <v>233</v>
      </c>
      <c r="G51" s="22">
        <v>4</v>
      </c>
      <c r="H51" s="22">
        <v>93</v>
      </c>
      <c r="I51" s="22">
        <v>7</v>
      </c>
      <c r="J51" s="22">
        <v>241</v>
      </c>
      <c r="K51" s="22">
        <v>578</v>
      </c>
      <c r="L51" s="22">
        <v>8</v>
      </c>
      <c r="M51" s="22">
        <f t="shared" si="0"/>
        <v>586</v>
      </c>
      <c r="N51" s="22">
        <v>0</v>
      </c>
      <c r="O51" s="23">
        <f t="shared" si="1"/>
        <v>0.39761092150170646</v>
      </c>
      <c r="P51" s="23">
        <f t="shared" si="2"/>
        <v>0.4112627986348123</v>
      </c>
      <c r="Q51" s="23">
        <f t="shared" si="3"/>
        <v>0.15870307167235495</v>
      </c>
      <c r="R51" s="23">
        <f t="shared" si="4"/>
        <v>1.1945392491467578E-2</v>
      </c>
      <c r="S51" s="23">
        <f t="shared" si="5"/>
        <v>6.8259385665529011E-3</v>
      </c>
      <c r="T51" s="24">
        <v>593</v>
      </c>
      <c r="U51" s="24">
        <v>81</v>
      </c>
      <c r="V51" s="24">
        <v>33</v>
      </c>
      <c r="W51" s="24">
        <v>1</v>
      </c>
      <c r="X51" s="24">
        <v>708</v>
      </c>
      <c r="Y51" s="27">
        <v>0.83757062146892658</v>
      </c>
      <c r="Z51" s="27">
        <v>0.11440677966101695</v>
      </c>
      <c r="AA51" s="27">
        <v>4.6610169491525424E-2</v>
      </c>
      <c r="AB51" s="27">
        <v>1.4124293785310734E-3</v>
      </c>
      <c r="AC51" s="25">
        <v>27.021186440677965</v>
      </c>
      <c r="AD51" s="23">
        <f t="shared" si="6"/>
        <v>0.82768361581920902</v>
      </c>
    </row>
    <row r="52" spans="1:30" x14ac:dyDescent="0.25">
      <c r="A52" s="22"/>
      <c r="B52" s="22"/>
      <c r="C52" s="22"/>
      <c r="D52" s="22">
        <v>7</v>
      </c>
      <c r="E52" s="22">
        <v>586</v>
      </c>
      <c r="F52" s="22">
        <v>244</v>
      </c>
      <c r="G52" s="22">
        <v>0</v>
      </c>
      <c r="H52" s="22">
        <v>103</v>
      </c>
      <c r="I52" s="22">
        <v>7</v>
      </c>
      <c r="J52" s="22">
        <v>232</v>
      </c>
      <c r="K52" s="22">
        <v>586</v>
      </c>
      <c r="L52" s="22">
        <v>0</v>
      </c>
      <c r="M52" s="22">
        <f t="shared" si="0"/>
        <v>586</v>
      </c>
      <c r="N52" s="22">
        <v>0</v>
      </c>
      <c r="O52" s="23">
        <f t="shared" si="1"/>
        <v>0.41638225255972694</v>
      </c>
      <c r="P52" s="23">
        <f t="shared" si="2"/>
        <v>0.39590443686006827</v>
      </c>
      <c r="Q52" s="23">
        <f t="shared" si="3"/>
        <v>0.17576791808873721</v>
      </c>
      <c r="R52" s="23">
        <f t="shared" si="4"/>
        <v>1.1945392491467578E-2</v>
      </c>
      <c r="S52" s="23">
        <f t="shared" si="5"/>
        <v>0</v>
      </c>
      <c r="T52" s="24">
        <v>615</v>
      </c>
      <c r="U52" s="24">
        <v>57</v>
      </c>
      <c r="V52" s="24">
        <v>37</v>
      </c>
      <c r="W52" s="24">
        <v>0</v>
      </c>
      <c r="X52" s="24">
        <v>709</v>
      </c>
      <c r="Y52" s="27">
        <v>0.86741889985895626</v>
      </c>
      <c r="Z52" s="27">
        <v>8.0394922425952045E-2</v>
      </c>
      <c r="AA52" s="27">
        <v>5.2186177715091681E-2</v>
      </c>
      <c r="AB52" s="27">
        <v>0</v>
      </c>
      <c r="AC52" s="25">
        <v>23.286318758815234</v>
      </c>
      <c r="AD52" s="23">
        <f t="shared" si="6"/>
        <v>0.82651622002820879</v>
      </c>
    </row>
    <row r="53" spans="1:30" x14ac:dyDescent="0.25">
      <c r="A53" s="22"/>
      <c r="B53" s="22"/>
      <c r="C53" s="22"/>
      <c r="D53" s="22">
        <v>8</v>
      </c>
      <c r="E53" s="22">
        <v>598</v>
      </c>
      <c r="F53" s="22">
        <v>197</v>
      </c>
      <c r="G53" s="22">
        <v>1</v>
      </c>
      <c r="H53" s="22">
        <v>115</v>
      </c>
      <c r="I53" s="22">
        <v>9</v>
      </c>
      <c r="J53" s="22">
        <v>276</v>
      </c>
      <c r="K53" s="22">
        <v>598</v>
      </c>
      <c r="L53" s="22">
        <v>0</v>
      </c>
      <c r="M53" s="22">
        <f t="shared" si="0"/>
        <v>598</v>
      </c>
      <c r="N53" s="22">
        <v>0</v>
      </c>
      <c r="O53" s="23">
        <f t="shared" si="1"/>
        <v>0.3294314381270903</v>
      </c>
      <c r="P53" s="23">
        <f t="shared" si="2"/>
        <v>0.46153846153846156</v>
      </c>
      <c r="Q53" s="23">
        <f t="shared" si="3"/>
        <v>0.19230769230769232</v>
      </c>
      <c r="R53" s="23">
        <f t="shared" si="4"/>
        <v>1.5050167224080268E-2</v>
      </c>
      <c r="S53" s="23">
        <f t="shared" si="5"/>
        <v>1.6722408026755853E-3</v>
      </c>
      <c r="T53" s="24">
        <v>612</v>
      </c>
      <c r="U53" s="24">
        <v>61</v>
      </c>
      <c r="V53" s="24">
        <v>35</v>
      </c>
      <c r="W53" s="24">
        <v>1</v>
      </c>
      <c r="X53" s="24">
        <v>709</v>
      </c>
      <c r="Y53" s="27">
        <v>0.86318758815232721</v>
      </c>
      <c r="Z53" s="27">
        <v>8.6036671368124124E-2</v>
      </c>
      <c r="AA53" s="27">
        <v>4.9365303244005641E-2</v>
      </c>
      <c r="AB53" s="27">
        <v>1.4104372355430183E-3</v>
      </c>
      <c r="AC53" s="25">
        <v>19.689703808180536</v>
      </c>
      <c r="AD53" s="23">
        <f t="shared" si="6"/>
        <v>0.84344146685472499</v>
      </c>
    </row>
    <row r="54" spans="1:30" x14ac:dyDescent="0.25">
      <c r="A54" s="22">
        <v>14</v>
      </c>
      <c r="B54" s="22" t="s">
        <v>178</v>
      </c>
      <c r="C54" s="22" t="s">
        <v>181</v>
      </c>
      <c r="D54" s="22">
        <v>1</v>
      </c>
      <c r="E54" s="22">
        <v>346</v>
      </c>
      <c r="F54" s="22">
        <v>233</v>
      </c>
      <c r="G54" s="22">
        <v>3</v>
      </c>
      <c r="H54" s="22">
        <v>70</v>
      </c>
      <c r="I54" s="22">
        <v>4</v>
      </c>
      <c r="J54" s="22">
        <v>28</v>
      </c>
      <c r="K54" s="22">
        <v>338</v>
      </c>
      <c r="L54" s="22">
        <v>8</v>
      </c>
      <c r="M54" s="22">
        <f t="shared" si="0"/>
        <v>346</v>
      </c>
      <c r="N54" s="22">
        <v>0</v>
      </c>
      <c r="O54" s="23">
        <f t="shared" si="1"/>
        <v>0.67341040462427748</v>
      </c>
      <c r="P54" s="23">
        <f t="shared" si="2"/>
        <v>8.0924855491329481E-2</v>
      </c>
      <c r="Q54" s="23">
        <f t="shared" si="3"/>
        <v>0.20231213872832371</v>
      </c>
      <c r="R54" s="23">
        <f t="shared" si="4"/>
        <v>1.1560693641618497E-2</v>
      </c>
      <c r="S54" s="23">
        <f t="shared" si="5"/>
        <v>8.670520231213872E-3</v>
      </c>
      <c r="T54" s="24">
        <v>137</v>
      </c>
      <c r="U54" s="24">
        <v>305</v>
      </c>
      <c r="V54" s="24">
        <v>8</v>
      </c>
      <c r="W54" s="24">
        <v>0</v>
      </c>
      <c r="X54" s="24">
        <v>450</v>
      </c>
      <c r="Y54" s="27">
        <v>0.30444444444444446</v>
      </c>
      <c r="Z54" s="27">
        <v>0.67777777777777781</v>
      </c>
      <c r="AA54" s="27">
        <v>1.7777777777777778E-2</v>
      </c>
      <c r="AB54" s="27">
        <v>0</v>
      </c>
      <c r="AC54" s="25">
        <v>67.724444444444444</v>
      </c>
      <c r="AD54" s="23">
        <f t="shared" si="6"/>
        <v>0.76888888888888884</v>
      </c>
    </row>
    <row r="55" spans="1:30" x14ac:dyDescent="0.25">
      <c r="A55" s="22"/>
      <c r="B55" s="22"/>
      <c r="C55" s="22"/>
      <c r="D55" s="22">
        <v>2</v>
      </c>
      <c r="E55" s="22">
        <v>365</v>
      </c>
      <c r="F55" s="22">
        <v>217</v>
      </c>
      <c r="G55" s="22">
        <v>0</v>
      </c>
      <c r="H55" s="22">
        <v>69</v>
      </c>
      <c r="I55" s="22">
        <v>5</v>
      </c>
      <c r="J55" s="22">
        <v>69</v>
      </c>
      <c r="K55" s="22">
        <v>360</v>
      </c>
      <c r="L55" s="22">
        <v>5</v>
      </c>
      <c r="M55" s="22">
        <f t="shared" si="0"/>
        <v>365</v>
      </c>
      <c r="N55" s="22">
        <v>0</v>
      </c>
      <c r="O55" s="23">
        <f t="shared" si="1"/>
        <v>0.59452054794520548</v>
      </c>
      <c r="P55" s="23">
        <f t="shared" si="2"/>
        <v>0.18904109589041096</v>
      </c>
      <c r="Q55" s="23">
        <f t="shared" si="3"/>
        <v>0.18904109589041096</v>
      </c>
      <c r="R55" s="23">
        <f t="shared" si="4"/>
        <v>1.3698630136986301E-2</v>
      </c>
      <c r="S55" s="23">
        <f t="shared" si="5"/>
        <v>0</v>
      </c>
      <c r="T55" s="24">
        <v>194</v>
      </c>
      <c r="U55" s="24">
        <v>248</v>
      </c>
      <c r="V55" s="24">
        <v>6</v>
      </c>
      <c r="W55" s="24">
        <v>2</v>
      </c>
      <c r="X55" s="24">
        <v>450</v>
      </c>
      <c r="Y55" s="27">
        <v>0.43111111111111111</v>
      </c>
      <c r="Z55" s="27">
        <v>0.55111111111111111</v>
      </c>
      <c r="AA55" s="27">
        <v>1.3333333333333334E-2</v>
      </c>
      <c r="AB55" s="27">
        <v>4.4444444444444444E-3</v>
      </c>
      <c r="AC55" s="25">
        <v>55.402222222222221</v>
      </c>
      <c r="AD55" s="23">
        <f t="shared" si="6"/>
        <v>0.81111111111111112</v>
      </c>
    </row>
    <row r="56" spans="1:30" x14ac:dyDescent="0.25">
      <c r="A56" s="22"/>
      <c r="B56" s="22"/>
      <c r="C56" s="22"/>
      <c r="D56" s="22">
        <v>3</v>
      </c>
      <c r="E56" s="22">
        <v>440</v>
      </c>
      <c r="F56" s="22">
        <v>252</v>
      </c>
      <c r="G56" s="22">
        <v>1</v>
      </c>
      <c r="H56" s="22">
        <v>59</v>
      </c>
      <c r="I56" s="22">
        <v>5</v>
      </c>
      <c r="J56" s="22">
        <v>123</v>
      </c>
      <c r="K56" s="22">
        <v>440</v>
      </c>
      <c r="L56" s="22">
        <v>0</v>
      </c>
      <c r="M56" s="22">
        <f t="shared" si="0"/>
        <v>440</v>
      </c>
      <c r="N56" s="22">
        <v>0</v>
      </c>
      <c r="O56" s="23">
        <f t="shared" si="1"/>
        <v>0.57272727272727275</v>
      </c>
      <c r="P56" s="23">
        <f t="shared" si="2"/>
        <v>0.27954545454545454</v>
      </c>
      <c r="Q56" s="23">
        <f t="shared" si="3"/>
        <v>0.13409090909090909</v>
      </c>
      <c r="R56" s="23">
        <f t="shared" si="4"/>
        <v>1.1363636363636364E-2</v>
      </c>
      <c r="S56" s="23">
        <f t="shared" si="5"/>
        <v>2.2727272727272726E-3</v>
      </c>
      <c r="T56" s="24">
        <v>290</v>
      </c>
      <c r="U56" s="24">
        <v>250</v>
      </c>
      <c r="V56" s="24">
        <v>13</v>
      </c>
      <c r="W56" s="24">
        <v>0</v>
      </c>
      <c r="X56" s="24">
        <v>553</v>
      </c>
      <c r="Y56" s="27">
        <v>0.5244122965641953</v>
      </c>
      <c r="Z56" s="27">
        <v>0.45207956600361665</v>
      </c>
      <c r="AA56" s="27">
        <v>2.3508137432188065E-2</v>
      </c>
      <c r="AB56" s="27">
        <v>0</v>
      </c>
      <c r="AC56" s="25">
        <v>41.848101265822784</v>
      </c>
      <c r="AD56" s="23">
        <f t="shared" si="6"/>
        <v>0.79566003616636527</v>
      </c>
    </row>
    <row r="57" spans="1:30" x14ac:dyDescent="0.25">
      <c r="A57" s="22"/>
      <c r="B57" s="22"/>
      <c r="C57" s="22"/>
      <c r="D57" s="22">
        <v>4</v>
      </c>
      <c r="E57" s="22">
        <v>423</v>
      </c>
      <c r="F57" s="22">
        <v>189</v>
      </c>
      <c r="G57" s="22">
        <v>2</v>
      </c>
      <c r="H57" s="22">
        <v>81</v>
      </c>
      <c r="I57" s="22">
        <v>3</v>
      </c>
      <c r="J57" s="22">
        <v>146</v>
      </c>
      <c r="K57" s="22">
        <v>421</v>
      </c>
      <c r="L57" s="22">
        <v>2</v>
      </c>
      <c r="M57" s="22">
        <f t="shared" si="0"/>
        <v>423</v>
      </c>
      <c r="N57" s="22">
        <v>0</v>
      </c>
      <c r="O57" s="23">
        <f t="shared" si="1"/>
        <v>0.44680851063829785</v>
      </c>
      <c r="P57" s="23">
        <f t="shared" si="2"/>
        <v>0.34515366430260047</v>
      </c>
      <c r="Q57" s="23">
        <f t="shared" si="3"/>
        <v>0.19148936170212766</v>
      </c>
      <c r="R57" s="23">
        <f t="shared" si="4"/>
        <v>7.0921985815602835E-3</v>
      </c>
      <c r="S57" s="23">
        <f t="shared" si="5"/>
        <v>4.7281323877068557E-3</v>
      </c>
      <c r="T57" s="24">
        <v>416</v>
      </c>
      <c r="U57" s="24">
        <v>124</v>
      </c>
      <c r="V57" s="24">
        <v>12</v>
      </c>
      <c r="W57" s="24">
        <v>2</v>
      </c>
      <c r="X57" s="24">
        <v>554</v>
      </c>
      <c r="Y57" s="27">
        <v>0.75090252707581229</v>
      </c>
      <c r="Z57" s="27">
        <v>0.22382671480144403</v>
      </c>
      <c r="AA57" s="27">
        <v>2.1660649819494584E-2</v>
      </c>
      <c r="AB57" s="27">
        <v>3.6101083032490976E-3</v>
      </c>
      <c r="AC57" s="25">
        <v>29.267148014440433</v>
      </c>
      <c r="AD57" s="23">
        <f t="shared" si="6"/>
        <v>0.76353790613718409</v>
      </c>
    </row>
    <row r="58" spans="1:30" x14ac:dyDescent="0.25">
      <c r="A58" s="22"/>
      <c r="B58" s="22"/>
      <c r="C58" s="22"/>
      <c r="D58" s="22">
        <v>5</v>
      </c>
      <c r="E58" s="22">
        <v>466</v>
      </c>
      <c r="F58" s="22">
        <v>167</v>
      </c>
      <c r="G58" s="22">
        <v>2</v>
      </c>
      <c r="H58" s="22">
        <v>71</v>
      </c>
      <c r="I58" s="22">
        <v>0</v>
      </c>
      <c r="J58" s="22">
        <v>223</v>
      </c>
      <c r="K58" s="22">
        <v>463</v>
      </c>
      <c r="L58" s="22">
        <v>3</v>
      </c>
      <c r="M58" s="22">
        <f t="shared" si="0"/>
        <v>466</v>
      </c>
      <c r="N58" s="22">
        <v>0</v>
      </c>
      <c r="O58" s="23">
        <f t="shared" si="1"/>
        <v>0.35836909871244638</v>
      </c>
      <c r="P58" s="23">
        <f t="shared" si="2"/>
        <v>0.47854077253218885</v>
      </c>
      <c r="Q58" s="23">
        <f t="shared" si="3"/>
        <v>0.15236051502145923</v>
      </c>
      <c r="R58" s="23">
        <f t="shared" si="4"/>
        <v>0</v>
      </c>
      <c r="S58" s="23">
        <f t="shared" si="5"/>
        <v>4.2918454935622317E-3</v>
      </c>
      <c r="T58" s="24">
        <v>458</v>
      </c>
      <c r="U58" s="24">
        <v>82</v>
      </c>
      <c r="V58" s="24">
        <v>14</v>
      </c>
      <c r="W58" s="24">
        <v>0</v>
      </c>
      <c r="X58" s="24">
        <v>554</v>
      </c>
      <c r="Y58" s="27">
        <v>0.8267148014440433</v>
      </c>
      <c r="Z58" s="27">
        <v>0.14801444043321299</v>
      </c>
      <c r="AA58" s="27">
        <v>2.5270758122743681E-2</v>
      </c>
      <c r="AB58" s="27">
        <v>0</v>
      </c>
      <c r="AC58" s="25">
        <v>21.604693140794225</v>
      </c>
      <c r="AD58" s="23">
        <f t="shared" si="6"/>
        <v>0.84115523465703967</v>
      </c>
    </row>
    <row r="59" spans="1:30" x14ac:dyDescent="0.25">
      <c r="A59" s="40">
        <v>15</v>
      </c>
      <c r="B59" s="40" t="s">
        <v>182</v>
      </c>
      <c r="C59" s="40" t="s">
        <v>183</v>
      </c>
      <c r="D59" s="40">
        <v>1</v>
      </c>
      <c r="E59" s="40">
        <v>322</v>
      </c>
      <c r="F59" s="40">
        <v>239</v>
      </c>
      <c r="G59" s="40">
        <v>3</v>
      </c>
      <c r="H59" s="40">
        <v>44</v>
      </c>
      <c r="I59" s="40">
        <v>2</v>
      </c>
      <c r="J59" s="40">
        <v>29</v>
      </c>
      <c r="K59" s="40">
        <v>317</v>
      </c>
      <c r="L59" s="40">
        <v>4</v>
      </c>
      <c r="M59" s="40">
        <f t="shared" si="0"/>
        <v>321</v>
      </c>
      <c r="N59" s="40">
        <v>1</v>
      </c>
      <c r="O59" s="41">
        <f t="shared" si="1"/>
        <v>0.74454828660436134</v>
      </c>
      <c r="P59" s="41">
        <f t="shared" si="2"/>
        <v>9.0342679127725853E-2</v>
      </c>
      <c r="Q59" s="41">
        <f t="shared" si="3"/>
        <v>0.13707165109034267</v>
      </c>
      <c r="R59" s="41">
        <f t="shared" si="4"/>
        <v>6.2305295950155761E-3</v>
      </c>
      <c r="S59" s="41">
        <f t="shared" si="5"/>
        <v>9.3457943925233638E-3</v>
      </c>
      <c r="T59" s="42">
        <v>76</v>
      </c>
      <c r="U59" s="42">
        <v>327</v>
      </c>
      <c r="V59" s="42">
        <v>46</v>
      </c>
      <c r="W59" s="42">
        <v>1</v>
      </c>
      <c r="X59" s="42">
        <v>450</v>
      </c>
      <c r="Y59" s="43">
        <v>0.16888888888888889</v>
      </c>
      <c r="Z59" s="43">
        <v>0.72666666666666668</v>
      </c>
      <c r="AA59" s="43">
        <v>0.10222222222222223</v>
      </c>
      <c r="AB59" s="43">
        <v>2.2222222222222222E-3</v>
      </c>
      <c r="AC59" s="44">
        <v>64.771111111111111</v>
      </c>
      <c r="AD59" s="41">
        <f t="shared" si="6"/>
        <v>0.71333333333333337</v>
      </c>
    </row>
    <row r="60" spans="1:30" x14ac:dyDescent="0.25">
      <c r="A60" s="40"/>
      <c r="B60" s="40"/>
      <c r="C60" s="40"/>
      <c r="D60" s="40">
        <v>2</v>
      </c>
      <c r="E60" s="40">
        <v>515</v>
      </c>
      <c r="F60" s="40">
        <v>335</v>
      </c>
      <c r="G60" s="40">
        <v>1</v>
      </c>
      <c r="H60" s="40">
        <v>52</v>
      </c>
      <c r="I60" s="40">
        <v>5</v>
      </c>
      <c r="J60" s="40">
        <v>116</v>
      </c>
      <c r="K60" s="40">
        <v>509</v>
      </c>
      <c r="L60" s="40">
        <v>6</v>
      </c>
      <c r="M60" s="40">
        <f t="shared" si="0"/>
        <v>515</v>
      </c>
      <c r="N60" s="40">
        <v>0</v>
      </c>
      <c r="O60" s="41">
        <f t="shared" si="1"/>
        <v>0.65048543689320393</v>
      </c>
      <c r="P60" s="41">
        <f t="shared" si="2"/>
        <v>0.22524271844660193</v>
      </c>
      <c r="Q60" s="41">
        <f t="shared" si="3"/>
        <v>0.10097087378640776</v>
      </c>
      <c r="R60" s="41">
        <f t="shared" si="4"/>
        <v>9.7087378640776691E-3</v>
      </c>
      <c r="S60" s="41">
        <f t="shared" si="5"/>
        <v>1.9417475728155339E-3</v>
      </c>
      <c r="T60" s="42">
        <v>212</v>
      </c>
      <c r="U60" s="42">
        <v>300</v>
      </c>
      <c r="V60" s="42">
        <v>84</v>
      </c>
      <c r="W60" s="42">
        <v>2</v>
      </c>
      <c r="X60" s="42">
        <v>598</v>
      </c>
      <c r="Y60" s="43">
        <v>0.35451505016722407</v>
      </c>
      <c r="Z60" s="43">
        <v>0.50167224080267558</v>
      </c>
      <c r="AA60" s="43">
        <v>0.14046822742474915</v>
      </c>
      <c r="AB60" s="43">
        <v>3.3444816053511705E-3</v>
      </c>
      <c r="AC60" s="44">
        <v>50.394648829431439</v>
      </c>
      <c r="AD60" s="41">
        <f t="shared" si="6"/>
        <v>0.8612040133779264</v>
      </c>
    </row>
    <row r="61" spans="1:30" x14ac:dyDescent="0.25">
      <c r="A61" s="40"/>
      <c r="B61" s="40"/>
      <c r="C61" s="40"/>
      <c r="D61" s="40">
        <v>3</v>
      </c>
      <c r="E61" s="40">
        <v>437</v>
      </c>
      <c r="F61" s="40">
        <v>265</v>
      </c>
      <c r="G61" s="40">
        <v>0</v>
      </c>
      <c r="H61" s="40">
        <v>47</v>
      </c>
      <c r="I61" s="40">
        <v>5</v>
      </c>
      <c r="J61" s="40">
        <v>120</v>
      </c>
      <c r="K61" s="40">
        <v>437</v>
      </c>
      <c r="L61" s="40">
        <v>0</v>
      </c>
      <c r="M61" s="40">
        <f t="shared" si="0"/>
        <v>437</v>
      </c>
      <c r="N61" s="40">
        <v>0</v>
      </c>
      <c r="O61" s="41">
        <f t="shared" si="1"/>
        <v>0.60640732265446229</v>
      </c>
      <c r="P61" s="41">
        <f t="shared" si="2"/>
        <v>0.27459954233409611</v>
      </c>
      <c r="Q61" s="41">
        <f t="shared" si="3"/>
        <v>0.10755148741418764</v>
      </c>
      <c r="R61" s="41">
        <f t="shared" si="4"/>
        <v>1.1441647597254004E-2</v>
      </c>
      <c r="S61" s="41">
        <f t="shared" si="5"/>
        <v>0</v>
      </c>
      <c r="T61" s="42">
        <v>259</v>
      </c>
      <c r="U61" s="42">
        <v>219</v>
      </c>
      <c r="V61" s="42">
        <v>112</v>
      </c>
      <c r="W61" s="42">
        <v>8</v>
      </c>
      <c r="X61" s="42">
        <v>598</v>
      </c>
      <c r="Y61" s="43">
        <v>0.43311036789297658</v>
      </c>
      <c r="Z61" s="43">
        <v>0.36622073578595316</v>
      </c>
      <c r="AA61" s="43">
        <v>0.18729096989966554</v>
      </c>
      <c r="AB61" s="43">
        <v>1.3377926421404682E-2</v>
      </c>
      <c r="AC61" s="44">
        <v>36.754180602006691</v>
      </c>
      <c r="AD61" s="41">
        <f t="shared" si="6"/>
        <v>0.73076923076923073</v>
      </c>
    </row>
    <row r="62" spans="1:30" x14ac:dyDescent="0.25">
      <c r="A62" s="40"/>
      <c r="B62" s="40"/>
      <c r="C62" s="40"/>
      <c r="D62" s="40">
        <v>4</v>
      </c>
      <c r="E62" s="40">
        <v>477</v>
      </c>
      <c r="F62" s="40">
        <v>217</v>
      </c>
      <c r="G62" s="40">
        <v>0</v>
      </c>
      <c r="H62" s="40">
        <v>49</v>
      </c>
      <c r="I62" s="40">
        <v>1</v>
      </c>
      <c r="J62" s="40">
        <v>210</v>
      </c>
      <c r="K62" s="40">
        <v>477</v>
      </c>
      <c r="L62" s="40">
        <v>0</v>
      </c>
      <c r="M62" s="40">
        <f t="shared" si="0"/>
        <v>477</v>
      </c>
      <c r="N62" s="40">
        <v>0</v>
      </c>
      <c r="O62" s="41">
        <f t="shared" si="1"/>
        <v>0.45492662473794548</v>
      </c>
      <c r="P62" s="41">
        <f t="shared" si="2"/>
        <v>0.44025157232704404</v>
      </c>
      <c r="Q62" s="41">
        <f t="shared" si="3"/>
        <v>0.10272536687631027</v>
      </c>
      <c r="R62" s="41">
        <f t="shared" si="4"/>
        <v>2.0964360587002098E-3</v>
      </c>
      <c r="S62" s="41">
        <f t="shared" si="5"/>
        <v>0</v>
      </c>
      <c r="T62" s="42">
        <v>376</v>
      </c>
      <c r="U62" s="42">
        <v>121</v>
      </c>
      <c r="V62" s="42">
        <v>98</v>
      </c>
      <c r="W62" s="42">
        <v>3</v>
      </c>
      <c r="X62" s="42">
        <v>598</v>
      </c>
      <c r="Y62" s="43">
        <v>0.62876254180602009</v>
      </c>
      <c r="Z62" s="43">
        <v>0.20234113712374582</v>
      </c>
      <c r="AA62" s="43">
        <v>0.16387959866220736</v>
      </c>
      <c r="AB62" s="43">
        <v>5.016722408026756E-3</v>
      </c>
      <c r="AC62" s="44">
        <v>26.588628762541806</v>
      </c>
      <c r="AD62" s="41">
        <f t="shared" si="6"/>
        <v>0.7976588628762542</v>
      </c>
    </row>
    <row r="63" spans="1:30" x14ac:dyDescent="0.25">
      <c r="A63" s="40"/>
      <c r="B63" s="40"/>
      <c r="C63" s="40"/>
      <c r="D63" s="40">
        <v>5</v>
      </c>
      <c r="E63" s="40">
        <v>499</v>
      </c>
      <c r="F63" s="40">
        <v>174</v>
      </c>
      <c r="G63" s="40">
        <v>1</v>
      </c>
      <c r="H63" s="40">
        <v>50</v>
      </c>
      <c r="I63" s="40">
        <v>3</v>
      </c>
      <c r="J63" s="40">
        <v>268</v>
      </c>
      <c r="K63" s="40">
        <v>496</v>
      </c>
      <c r="L63" s="40">
        <v>3</v>
      </c>
      <c r="M63" s="40">
        <f t="shared" si="0"/>
        <v>499</v>
      </c>
      <c r="N63" s="40">
        <v>0</v>
      </c>
      <c r="O63" s="41">
        <f t="shared" si="1"/>
        <v>0.34869739478957917</v>
      </c>
      <c r="P63" s="41">
        <f t="shared" si="2"/>
        <v>0.53707414829659317</v>
      </c>
      <c r="Q63" s="41">
        <f t="shared" si="3"/>
        <v>0.10020040080160321</v>
      </c>
      <c r="R63" s="41">
        <f t="shared" si="4"/>
        <v>6.0120240480961923E-3</v>
      </c>
      <c r="S63" s="41">
        <f t="shared" si="5"/>
        <v>2.004008016032064E-3</v>
      </c>
      <c r="T63" s="42">
        <v>465</v>
      </c>
      <c r="U63" s="42">
        <v>59</v>
      </c>
      <c r="V63" s="42">
        <v>74</v>
      </c>
      <c r="W63" s="42">
        <v>1</v>
      </c>
      <c r="X63" s="42">
        <v>599</v>
      </c>
      <c r="Y63" s="43">
        <v>0.77629382303839733</v>
      </c>
      <c r="Z63" s="43">
        <v>9.849749582637729E-2</v>
      </c>
      <c r="AA63" s="43">
        <v>0.12353923205342238</v>
      </c>
      <c r="AB63" s="43">
        <v>1.6694490818030051E-3</v>
      </c>
      <c r="AC63" s="44">
        <v>20.582637729549248</v>
      </c>
      <c r="AD63" s="41">
        <f t="shared" si="6"/>
        <v>0.8330550918196995</v>
      </c>
    </row>
    <row r="64" spans="1:30" x14ac:dyDescent="0.25">
      <c r="A64" s="40"/>
      <c r="B64" s="40"/>
      <c r="C64" s="40" t="s">
        <v>184</v>
      </c>
      <c r="D64" s="40">
        <v>1</v>
      </c>
      <c r="E64" s="40">
        <v>317</v>
      </c>
      <c r="F64" s="40">
        <v>212</v>
      </c>
      <c r="G64" s="40">
        <v>2</v>
      </c>
      <c r="H64" s="40">
        <v>58</v>
      </c>
      <c r="I64" s="40">
        <v>5</v>
      </c>
      <c r="J64" s="40">
        <v>37</v>
      </c>
      <c r="K64" s="40">
        <v>314</v>
      </c>
      <c r="L64" s="40">
        <v>3</v>
      </c>
      <c r="M64" s="40">
        <f t="shared" si="0"/>
        <v>317</v>
      </c>
      <c r="N64" s="40">
        <v>0</v>
      </c>
      <c r="O64" s="41">
        <f t="shared" si="1"/>
        <v>0.66876971608832803</v>
      </c>
      <c r="P64" s="41">
        <f t="shared" si="2"/>
        <v>0.1167192429022082</v>
      </c>
      <c r="Q64" s="41">
        <f t="shared" si="3"/>
        <v>0.18296529968454259</v>
      </c>
      <c r="R64" s="41">
        <f t="shared" si="4"/>
        <v>1.5772870662460567E-2</v>
      </c>
      <c r="S64" s="41">
        <f t="shared" si="5"/>
        <v>6.3091482649842269E-3</v>
      </c>
      <c r="T64" s="42">
        <v>115</v>
      </c>
      <c r="U64" s="42">
        <v>210</v>
      </c>
      <c r="V64" s="42">
        <v>123</v>
      </c>
      <c r="W64" s="42">
        <v>2</v>
      </c>
      <c r="X64" s="42">
        <v>450</v>
      </c>
      <c r="Y64" s="43">
        <v>0.25555555555555554</v>
      </c>
      <c r="Z64" s="43">
        <v>0.46666666666666667</v>
      </c>
      <c r="AA64" s="43">
        <v>0.27333333333333332</v>
      </c>
      <c r="AB64" s="43">
        <v>4.4444444444444444E-3</v>
      </c>
      <c r="AC64" s="44">
        <v>68.24444444444444</v>
      </c>
      <c r="AD64" s="41">
        <f t="shared" si="6"/>
        <v>0.70444444444444443</v>
      </c>
    </row>
    <row r="65" spans="1:30" x14ac:dyDescent="0.25">
      <c r="A65" s="40"/>
      <c r="B65" s="40"/>
      <c r="C65" s="40"/>
      <c r="D65" s="40">
        <v>2</v>
      </c>
      <c r="E65" s="40">
        <v>387</v>
      </c>
      <c r="F65" s="40">
        <v>255</v>
      </c>
      <c r="G65" s="40">
        <v>0</v>
      </c>
      <c r="H65" s="40">
        <v>64</v>
      </c>
      <c r="I65" s="40">
        <v>3</v>
      </c>
      <c r="J65" s="40">
        <v>62</v>
      </c>
      <c r="K65" s="40">
        <v>384</v>
      </c>
      <c r="L65" s="40">
        <v>3</v>
      </c>
      <c r="M65" s="40">
        <f t="shared" si="0"/>
        <v>387</v>
      </c>
      <c r="N65" s="40">
        <v>0</v>
      </c>
      <c r="O65" s="41">
        <f t="shared" si="1"/>
        <v>0.65891472868217049</v>
      </c>
      <c r="P65" s="41">
        <f t="shared" si="2"/>
        <v>0.16020671834625322</v>
      </c>
      <c r="Q65" s="41">
        <f t="shared" si="3"/>
        <v>0.16537467700258399</v>
      </c>
      <c r="R65" s="41">
        <f t="shared" si="4"/>
        <v>7.7519379844961239E-3</v>
      </c>
      <c r="S65" s="41">
        <f t="shared" si="5"/>
        <v>0</v>
      </c>
      <c r="T65" s="42">
        <v>138</v>
      </c>
      <c r="U65" s="42">
        <v>230</v>
      </c>
      <c r="V65" s="42">
        <v>104</v>
      </c>
      <c r="W65" s="42">
        <v>2</v>
      </c>
      <c r="X65" s="42">
        <v>474</v>
      </c>
      <c r="Y65" s="43">
        <v>0.29113924050632911</v>
      </c>
      <c r="Z65" s="43">
        <v>0.48523206751054854</v>
      </c>
      <c r="AA65" s="43">
        <v>0.21940928270042195</v>
      </c>
      <c r="AB65" s="43">
        <v>4.2194092827004216E-3</v>
      </c>
      <c r="AC65" s="44">
        <v>52.12658227848101</v>
      </c>
      <c r="AD65" s="41">
        <f t="shared" si="6"/>
        <v>0.81645569620253167</v>
      </c>
    </row>
    <row r="66" spans="1:30" x14ac:dyDescent="0.25">
      <c r="A66" s="40"/>
      <c r="B66" s="40"/>
      <c r="C66" s="40"/>
      <c r="D66" s="40">
        <v>3</v>
      </c>
      <c r="E66" s="40">
        <v>372</v>
      </c>
      <c r="F66" s="40">
        <v>236</v>
      </c>
      <c r="G66" s="40">
        <v>0</v>
      </c>
      <c r="H66" s="40">
        <v>56</v>
      </c>
      <c r="I66" s="40">
        <v>4</v>
      </c>
      <c r="J66" s="40">
        <v>74</v>
      </c>
      <c r="K66" s="40">
        <v>370</v>
      </c>
      <c r="L66" s="40">
        <v>2</v>
      </c>
      <c r="M66" s="40">
        <f t="shared" si="0"/>
        <v>372</v>
      </c>
      <c r="N66" s="40">
        <v>0</v>
      </c>
      <c r="O66" s="41">
        <f t="shared" si="1"/>
        <v>0.63440860215053763</v>
      </c>
      <c r="P66" s="41">
        <f t="shared" si="2"/>
        <v>0.19892473118279569</v>
      </c>
      <c r="Q66" s="41">
        <f t="shared" si="3"/>
        <v>0.15053763440860216</v>
      </c>
      <c r="R66" s="41">
        <f t="shared" si="4"/>
        <v>1.0752688172043012E-2</v>
      </c>
      <c r="S66" s="41">
        <f t="shared" si="5"/>
        <v>0</v>
      </c>
      <c r="T66" s="42">
        <v>197</v>
      </c>
      <c r="U66" s="42">
        <v>171</v>
      </c>
      <c r="V66" s="42">
        <v>103</v>
      </c>
      <c r="W66" s="42">
        <v>3</v>
      </c>
      <c r="X66" s="42">
        <v>474</v>
      </c>
      <c r="Y66" s="43">
        <v>0.41561181434599154</v>
      </c>
      <c r="Z66" s="43">
        <v>0.36075949367088606</v>
      </c>
      <c r="AA66" s="43">
        <v>0.21729957805907174</v>
      </c>
      <c r="AB66" s="43">
        <v>6.3291139240506328E-3</v>
      </c>
      <c r="AC66" s="44">
        <v>38.803797468354432</v>
      </c>
      <c r="AD66" s="41">
        <f t="shared" si="6"/>
        <v>0.78481012658227844</v>
      </c>
    </row>
    <row r="67" spans="1:30" x14ac:dyDescent="0.25">
      <c r="A67" s="40"/>
      <c r="B67" s="40"/>
      <c r="C67" s="40"/>
      <c r="D67" s="40">
        <v>4</v>
      </c>
      <c r="E67" s="40">
        <v>386</v>
      </c>
      <c r="F67" s="40">
        <v>238</v>
      </c>
      <c r="G67" s="40">
        <v>1</v>
      </c>
      <c r="H67" s="40">
        <v>57</v>
      </c>
      <c r="I67" s="40">
        <v>0</v>
      </c>
      <c r="J67" s="40">
        <v>89</v>
      </c>
      <c r="K67" s="40">
        <v>385</v>
      </c>
      <c r="L67" s="40">
        <v>1</v>
      </c>
      <c r="M67" s="40">
        <f t="shared" ref="M67:M130" si="7">L67+K67</f>
        <v>386</v>
      </c>
      <c r="N67" s="40">
        <v>0</v>
      </c>
      <c r="O67" s="41">
        <f t="shared" ref="O67:O130" si="8">F67/M67</f>
        <v>0.61658031088082899</v>
      </c>
      <c r="P67" s="41">
        <f t="shared" ref="P67:P130" si="9">J67/M67</f>
        <v>0.23056994818652848</v>
      </c>
      <c r="Q67" s="41">
        <f t="shared" ref="Q67:Q130" si="10">H67/M67</f>
        <v>0.14766839378238342</v>
      </c>
      <c r="R67" s="41">
        <f t="shared" ref="R67:R130" si="11">I67/M67</f>
        <v>0</v>
      </c>
      <c r="S67" s="41">
        <f t="shared" ref="S67:S130" si="12">G67/M67</f>
        <v>2.5906735751295338E-3</v>
      </c>
      <c r="T67" s="42">
        <v>209</v>
      </c>
      <c r="U67" s="42">
        <v>135</v>
      </c>
      <c r="V67" s="42">
        <v>130</v>
      </c>
      <c r="W67" s="42">
        <v>1</v>
      </c>
      <c r="X67" s="42">
        <v>475</v>
      </c>
      <c r="Y67" s="43">
        <v>0.44</v>
      </c>
      <c r="Z67" s="43">
        <v>0.28421052631578947</v>
      </c>
      <c r="AA67" s="43">
        <v>0.27368421052631581</v>
      </c>
      <c r="AB67" s="43">
        <v>2.1052631578947368E-3</v>
      </c>
      <c r="AC67" s="44">
        <v>25.602105263157895</v>
      </c>
      <c r="AD67" s="41">
        <f t="shared" ref="AD67:AD130" si="13">M67/X67</f>
        <v>0.81263157894736837</v>
      </c>
    </row>
    <row r="68" spans="1:30" x14ac:dyDescent="0.25">
      <c r="A68" s="40">
        <v>16</v>
      </c>
      <c r="B68" s="40" t="s">
        <v>185</v>
      </c>
      <c r="C68" s="40" t="s">
        <v>186</v>
      </c>
      <c r="D68" s="40">
        <v>1</v>
      </c>
      <c r="E68" s="40">
        <v>349</v>
      </c>
      <c r="F68" s="40">
        <v>122</v>
      </c>
      <c r="G68" s="40">
        <v>5</v>
      </c>
      <c r="H68" s="40">
        <v>134</v>
      </c>
      <c r="I68" s="40">
        <v>5</v>
      </c>
      <c r="J68" s="40">
        <v>67</v>
      </c>
      <c r="K68" s="40">
        <v>333</v>
      </c>
      <c r="L68" s="40">
        <v>16</v>
      </c>
      <c r="M68" s="40">
        <f t="shared" si="7"/>
        <v>349</v>
      </c>
      <c r="N68" s="40">
        <v>0</v>
      </c>
      <c r="O68" s="41">
        <f t="shared" si="8"/>
        <v>0.34957020057306593</v>
      </c>
      <c r="P68" s="41">
        <f t="shared" si="9"/>
        <v>0.19197707736389685</v>
      </c>
      <c r="Q68" s="41">
        <f t="shared" si="10"/>
        <v>0.38395415472779371</v>
      </c>
      <c r="R68" s="41">
        <f t="shared" si="11"/>
        <v>1.4326647564469915E-2</v>
      </c>
      <c r="S68" s="41">
        <f t="shared" si="12"/>
        <v>1.4326647564469915E-2</v>
      </c>
      <c r="T68" s="42">
        <v>228</v>
      </c>
      <c r="U68" s="42">
        <v>32</v>
      </c>
      <c r="V68" s="42">
        <v>177</v>
      </c>
      <c r="W68" s="42">
        <v>13</v>
      </c>
      <c r="X68" s="42">
        <v>450</v>
      </c>
      <c r="Y68" s="43">
        <v>0.50666666666666671</v>
      </c>
      <c r="Z68" s="43">
        <v>7.1111111111111111E-2</v>
      </c>
      <c r="AA68" s="43">
        <v>0.39333333333333331</v>
      </c>
      <c r="AB68" s="43">
        <v>2.8888888888888888E-2</v>
      </c>
      <c r="AC68" s="44">
        <v>65.644444444444446</v>
      </c>
      <c r="AD68" s="41">
        <f t="shared" si="13"/>
        <v>0.77555555555555555</v>
      </c>
    </row>
    <row r="69" spans="1:30" x14ac:dyDescent="0.25">
      <c r="A69" s="40"/>
      <c r="B69" s="40"/>
      <c r="C69" s="40"/>
      <c r="D69" s="40">
        <v>2</v>
      </c>
      <c r="E69" s="40">
        <v>396</v>
      </c>
      <c r="F69" s="40">
        <v>175</v>
      </c>
      <c r="G69" s="40">
        <v>1</v>
      </c>
      <c r="H69" s="40">
        <v>120</v>
      </c>
      <c r="I69" s="40">
        <v>6</v>
      </c>
      <c r="J69" s="40">
        <v>92</v>
      </c>
      <c r="K69" s="40">
        <v>394</v>
      </c>
      <c r="L69" s="40">
        <v>2</v>
      </c>
      <c r="M69" s="40">
        <f t="shared" si="7"/>
        <v>396</v>
      </c>
      <c r="N69" s="40">
        <v>0</v>
      </c>
      <c r="O69" s="41">
        <f t="shared" si="8"/>
        <v>0.44191919191919193</v>
      </c>
      <c r="P69" s="41">
        <f t="shared" si="9"/>
        <v>0.23232323232323232</v>
      </c>
      <c r="Q69" s="41">
        <f t="shared" si="10"/>
        <v>0.30303030303030304</v>
      </c>
      <c r="R69" s="41">
        <f t="shared" si="11"/>
        <v>1.5151515151515152E-2</v>
      </c>
      <c r="S69" s="41">
        <f t="shared" si="12"/>
        <v>2.5252525252525255E-3</v>
      </c>
      <c r="T69" s="42">
        <v>242</v>
      </c>
      <c r="U69" s="42">
        <v>38</v>
      </c>
      <c r="V69" s="42">
        <v>150</v>
      </c>
      <c r="W69" s="42">
        <v>20</v>
      </c>
      <c r="X69" s="42">
        <v>450</v>
      </c>
      <c r="Y69" s="43">
        <v>0.5377777777777778</v>
      </c>
      <c r="Z69" s="43">
        <v>8.4444444444444447E-2</v>
      </c>
      <c r="AA69" s="43">
        <v>0.33333333333333331</v>
      </c>
      <c r="AB69" s="43">
        <v>4.4444444444444446E-2</v>
      </c>
      <c r="AC69" s="44">
        <v>54.208888888888886</v>
      </c>
      <c r="AD69" s="41">
        <f t="shared" si="13"/>
        <v>0.88</v>
      </c>
    </row>
    <row r="70" spans="1:30" x14ac:dyDescent="0.25">
      <c r="A70" s="40"/>
      <c r="B70" s="40"/>
      <c r="C70" s="40"/>
      <c r="D70" s="40">
        <v>3</v>
      </c>
      <c r="E70" s="40">
        <v>571</v>
      </c>
      <c r="F70" s="40">
        <v>259</v>
      </c>
      <c r="G70" s="40">
        <v>1</v>
      </c>
      <c r="H70" s="40">
        <v>115</v>
      </c>
      <c r="I70" s="40">
        <v>6</v>
      </c>
      <c r="J70" s="40">
        <v>189</v>
      </c>
      <c r="K70" s="40">
        <v>570</v>
      </c>
      <c r="L70" s="40">
        <v>1</v>
      </c>
      <c r="M70" s="40">
        <f t="shared" si="7"/>
        <v>571</v>
      </c>
      <c r="N70" s="40">
        <v>0</v>
      </c>
      <c r="O70" s="41">
        <f t="shared" si="8"/>
        <v>0.45359019264448336</v>
      </c>
      <c r="P70" s="41">
        <f t="shared" si="9"/>
        <v>0.3309982486865149</v>
      </c>
      <c r="Q70" s="41">
        <f t="shared" si="10"/>
        <v>0.20140105078809106</v>
      </c>
      <c r="R70" s="41">
        <f t="shared" si="11"/>
        <v>1.0507880910683012E-2</v>
      </c>
      <c r="S70" s="41">
        <f t="shared" si="12"/>
        <v>1.7513134851138354E-3</v>
      </c>
      <c r="T70" s="42">
        <v>394</v>
      </c>
      <c r="U70" s="42">
        <v>75</v>
      </c>
      <c r="V70" s="42">
        <v>188</v>
      </c>
      <c r="W70" s="42">
        <v>27</v>
      </c>
      <c r="X70" s="42">
        <v>684</v>
      </c>
      <c r="Y70" s="43">
        <v>0.57602339181286555</v>
      </c>
      <c r="Z70" s="43">
        <v>0.10964912280701754</v>
      </c>
      <c r="AA70" s="43">
        <v>0.27485380116959063</v>
      </c>
      <c r="AB70" s="43">
        <v>3.9473684210526314E-2</v>
      </c>
      <c r="AC70" s="44">
        <v>42.254385964912281</v>
      </c>
      <c r="AD70" s="41">
        <f t="shared" si="13"/>
        <v>0.83479532163742687</v>
      </c>
    </row>
    <row r="71" spans="1:30" x14ac:dyDescent="0.25">
      <c r="A71" s="40"/>
      <c r="B71" s="40"/>
      <c r="C71" s="40"/>
      <c r="D71" s="40">
        <v>4</v>
      </c>
      <c r="E71" s="40">
        <v>533</v>
      </c>
      <c r="F71" s="40">
        <v>240</v>
      </c>
      <c r="G71" s="40">
        <v>2</v>
      </c>
      <c r="H71" s="40">
        <v>86</v>
      </c>
      <c r="I71" s="40">
        <v>8</v>
      </c>
      <c r="J71" s="40">
        <v>197</v>
      </c>
      <c r="K71" s="40">
        <v>533</v>
      </c>
      <c r="L71" s="40">
        <v>0</v>
      </c>
      <c r="M71" s="40">
        <f t="shared" si="7"/>
        <v>533</v>
      </c>
      <c r="N71" s="40">
        <v>0</v>
      </c>
      <c r="O71" s="41">
        <f t="shared" si="8"/>
        <v>0.45028142589118197</v>
      </c>
      <c r="P71" s="41">
        <f t="shared" si="9"/>
        <v>0.3696060037523452</v>
      </c>
      <c r="Q71" s="41">
        <f t="shared" si="10"/>
        <v>0.16135084427767354</v>
      </c>
      <c r="R71" s="41">
        <f t="shared" si="11"/>
        <v>1.50093808630394E-2</v>
      </c>
      <c r="S71" s="41">
        <f t="shared" si="12"/>
        <v>3.7523452157598499E-3</v>
      </c>
      <c r="T71" s="42">
        <v>464</v>
      </c>
      <c r="U71" s="42">
        <v>48</v>
      </c>
      <c r="V71" s="42">
        <v>153</v>
      </c>
      <c r="W71" s="42">
        <v>19</v>
      </c>
      <c r="X71" s="42">
        <v>684</v>
      </c>
      <c r="Y71" s="43">
        <v>0.67836257309941517</v>
      </c>
      <c r="Z71" s="43">
        <v>7.0175438596491224E-2</v>
      </c>
      <c r="AA71" s="43">
        <v>0.22368421052631579</v>
      </c>
      <c r="AB71" s="43">
        <v>2.7777777777777776E-2</v>
      </c>
      <c r="AC71" s="44">
        <v>30.760233918128655</v>
      </c>
      <c r="AD71" s="41">
        <f t="shared" si="13"/>
        <v>0.7792397660818714</v>
      </c>
    </row>
    <row r="72" spans="1:30" x14ac:dyDescent="0.25">
      <c r="A72" s="40"/>
      <c r="B72" s="40"/>
      <c r="C72" s="40"/>
      <c r="D72" s="40">
        <v>5</v>
      </c>
      <c r="E72" s="40">
        <v>547</v>
      </c>
      <c r="F72" s="40">
        <v>198</v>
      </c>
      <c r="G72" s="40">
        <v>7</v>
      </c>
      <c r="H72" s="40">
        <v>88</v>
      </c>
      <c r="I72" s="40">
        <v>2</v>
      </c>
      <c r="J72" s="40">
        <v>250</v>
      </c>
      <c r="K72" s="40">
        <v>545</v>
      </c>
      <c r="L72" s="40">
        <v>2</v>
      </c>
      <c r="M72" s="40">
        <f t="shared" si="7"/>
        <v>547</v>
      </c>
      <c r="N72" s="40">
        <v>0</v>
      </c>
      <c r="O72" s="41">
        <f t="shared" si="8"/>
        <v>0.36197440585009139</v>
      </c>
      <c r="P72" s="41">
        <f t="shared" si="9"/>
        <v>0.45703839122486289</v>
      </c>
      <c r="Q72" s="41">
        <f t="shared" si="10"/>
        <v>0.16087751371115175</v>
      </c>
      <c r="R72" s="41">
        <f t="shared" si="11"/>
        <v>3.6563071297989031E-3</v>
      </c>
      <c r="S72" s="41">
        <f t="shared" si="12"/>
        <v>1.2797074954296161E-2</v>
      </c>
      <c r="T72" s="42">
        <v>527</v>
      </c>
      <c r="U72" s="42">
        <v>33</v>
      </c>
      <c r="V72" s="42">
        <v>124</v>
      </c>
      <c r="W72" s="42">
        <v>1</v>
      </c>
      <c r="X72" s="42">
        <v>685</v>
      </c>
      <c r="Y72" s="43">
        <v>0.76934306569343069</v>
      </c>
      <c r="Z72" s="43">
        <v>4.8175182481751823E-2</v>
      </c>
      <c r="AA72" s="43">
        <v>0.18102189781021899</v>
      </c>
      <c r="AB72" s="43">
        <v>1.4598540145985401E-3</v>
      </c>
      <c r="AC72" s="44">
        <v>21.747445255474453</v>
      </c>
      <c r="AD72" s="41">
        <f t="shared" si="13"/>
        <v>0.79854014598540146</v>
      </c>
    </row>
    <row r="73" spans="1:30" x14ac:dyDescent="0.25">
      <c r="A73" s="40">
        <v>17</v>
      </c>
      <c r="B73" s="40" t="s">
        <v>187</v>
      </c>
      <c r="C73" s="40" t="s">
        <v>188</v>
      </c>
      <c r="D73" s="40">
        <v>1</v>
      </c>
      <c r="E73" s="40">
        <v>344</v>
      </c>
      <c r="F73" s="40">
        <v>258</v>
      </c>
      <c r="G73" s="40">
        <v>3</v>
      </c>
      <c r="H73" s="40">
        <v>49</v>
      </c>
      <c r="I73" s="40">
        <v>3</v>
      </c>
      <c r="J73" s="40">
        <v>19</v>
      </c>
      <c r="K73" s="40">
        <v>332</v>
      </c>
      <c r="L73" s="40">
        <v>12</v>
      </c>
      <c r="M73" s="40">
        <f t="shared" si="7"/>
        <v>344</v>
      </c>
      <c r="N73" s="40">
        <v>0</v>
      </c>
      <c r="O73" s="41">
        <f t="shared" si="8"/>
        <v>0.75</v>
      </c>
      <c r="P73" s="41">
        <f t="shared" si="9"/>
        <v>5.5232558139534885E-2</v>
      </c>
      <c r="Q73" s="41">
        <f t="shared" si="10"/>
        <v>0.14244186046511628</v>
      </c>
      <c r="R73" s="41">
        <f t="shared" si="11"/>
        <v>8.7209302325581394E-3</v>
      </c>
      <c r="S73" s="41">
        <f t="shared" si="12"/>
        <v>8.7209302325581394E-3</v>
      </c>
      <c r="T73" s="42">
        <v>20</v>
      </c>
      <c r="U73" s="42">
        <v>332</v>
      </c>
      <c r="V73" s="42">
        <v>97</v>
      </c>
      <c r="W73" s="42">
        <v>1</v>
      </c>
      <c r="X73" s="42">
        <v>450</v>
      </c>
      <c r="Y73" s="43">
        <v>4.4444444444444446E-2</v>
      </c>
      <c r="Z73" s="43">
        <v>0.73777777777777775</v>
      </c>
      <c r="AA73" s="43">
        <v>0.21555555555555556</v>
      </c>
      <c r="AB73" s="43">
        <v>2.2222222222222222E-3</v>
      </c>
      <c r="AC73" s="44">
        <v>66.935555555555553</v>
      </c>
      <c r="AD73" s="41">
        <f t="shared" si="13"/>
        <v>0.76444444444444448</v>
      </c>
    </row>
    <row r="74" spans="1:30" x14ac:dyDescent="0.25">
      <c r="A74" s="40"/>
      <c r="B74" s="40"/>
      <c r="C74" s="40"/>
      <c r="D74" s="40">
        <v>2</v>
      </c>
      <c r="E74" s="40">
        <v>482</v>
      </c>
      <c r="F74" s="40">
        <v>405</v>
      </c>
      <c r="G74" s="40">
        <v>1</v>
      </c>
      <c r="H74" s="40">
        <v>39</v>
      </c>
      <c r="I74" s="40">
        <v>1</v>
      </c>
      <c r="J74" s="40">
        <v>33</v>
      </c>
      <c r="K74" s="40">
        <v>479</v>
      </c>
      <c r="L74" s="40">
        <v>3</v>
      </c>
      <c r="M74" s="40">
        <f t="shared" si="7"/>
        <v>482</v>
      </c>
      <c r="N74" s="40">
        <v>0</v>
      </c>
      <c r="O74" s="41">
        <f t="shared" si="8"/>
        <v>0.84024896265560167</v>
      </c>
      <c r="P74" s="41">
        <f t="shared" si="9"/>
        <v>6.8464730290456438E-2</v>
      </c>
      <c r="Q74" s="41">
        <f t="shared" si="10"/>
        <v>8.0912863070539423E-2</v>
      </c>
      <c r="R74" s="41">
        <f t="shared" si="11"/>
        <v>2.0746887966804979E-3</v>
      </c>
      <c r="S74" s="41">
        <f t="shared" si="12"/>
        <v>2.0746887966804979E-3</v>
      </c>
      <c r="T74" s="42">
        <v>64</v>
      </c>
      <c r="U74" s="42">
        <v>346</v>
      </c>
      <c r="V74" s="42">
        <v>168</v>
      </c>
      <c r="W74" s="42">
        <v>3</v>
      </c>
      <c r="X74" s="42">
        <v>581</v>
      </c>
      <c r="Y74" s="43">
        <v>0.11015490533562823</v>
      </c>
      <c r="Z74" s="43">
        <v>0.59552495697074015</v>
      </c>
      <c r="AA74" s="43">
        <v>0.28915662650602408</v>
      </c>
      <c r="AB74" s="43">
        <v>5.1635111876075735E-3</v>
      </c>
      <c r="AC74" s="44">
        <v>47.633390705679865</v>
      </c>
      <c r="AD74" s="41">
        <f t="shared" si="13"/>
        <v>0.82960413080895012</v>
      </c>
    </row>
    <row r="75" spans="1:30" x14ac:dyDescent="0.25">
      <c r="A75" s="40"/>
      <c r="B75" s="40"/>
      <c r="C75" s="40"/>
      <c r="D75" s="40">
        <v>3</v>
      </c>
      <c r="E75" s="40">
        <v>476</v>
      </c>
      <c r="F75" s="40">
        <v>339</v>
      </c>
      <c r="G75" s="40">
        <v>2</v>
      </c>
      <c r="H75" s="40">
        <v>44</v>
      </c>
      <c r="I75" s="40">
        <v>3</v>
      </c>
      <c r="J75" s="40">
        <v>83</v>
      </c>
      <c r="K75" s="40">
        <v>471</v>
      </c>
      <c r="L75" s="40">
        <v>5</v>
      </c>
      <c r="M75" s="40">
        <f t="shared" si="7"/>
        <v>476</v>
      </c>
      <c r="N75" s="40">
        <v>0</v>
      </c>
      <c r="O75" s="41">
        <f t="shared" si="8"/>
        <v>0.71218487394957986</v>
      </c>
      <c r="P75" s="41">
        <f t="shared" si="9"/>
        <v>0.17436974789915966</v>
      </c>
      <c r="Q75" s="41">
        <f t="shared" si="10"/>
        <v>9.2436974789915971E-2</v>
      </c>
      <c r="R75" s="41">
        <f t="shared" si="11"/>
        <v>6.3025210084033615E-3</v>
      </c>
      <c r="S75" s="41">
        <f t="shared" si="12"/>
        <v>4.2016806722689074E-3</v>
      </c>
      <c r="T75" s="42">
        <v>210</v>
      </c>
      <c r="U75" s="42">
        <v>190</v>
      </c>
      <c r="V75" s="42">
        <v>178</v>
      </c>
      <c r="W75" s="42">
        <v>3</v>
      </c>
      <c r="X75" s="42">
        <v>581</v>
      </c>
      <c r="Y75" s="43">
        <v>0.36144578313253012</v>
      </c>
      <c r="Z75" s="43">
        <v>0.32702237521514632</v>
      </c>
      <c r="AA75" s="43">
        <v>0.30636833046471601</v>
      </c>
      <c r="AB75" s="43">
        <v>5.1635111876075735E-3</v>
      </c>
      <c r="AC75" s="44">
        <v>27.342512908777969</v>
      </c>
      <c r="AD75" s="41">
        <f t="shared" si="13"/>
        <v>0.81927710843373491</v>
      </c>
    </row>
    <row r="76" spans="1:30" x14ac:dyDescent="0.25">
      <c r="A76" s="40">
        <v>18</v>
      </c>
      <c r="B76" s="40" t="s">
        <v>189</v>
      </c>
      <c r="C76" s="40" t="s">
        <v>190</v>
      </c>
      <c r="D76" s="40">
        <v>1</v>
      </c>
      <c r="E76" s="40">
        <v>345</v>
      </c>
      <c r="F76" s="40">
        <v>121</v>
      </c>
      <c r="G76" s="40">
        <v>1</v>
      </c>
      <c r="H76" s="40">
        <v>143</v>
      </c>
      <c r="I76" s="40">
        <v>6</v>
      </c>
      <c r="J76" s="40">
        <v>66</v>
      </c>
      <c r="K76" s="40">
        <v>337</v>
      </c>
      <c r="L76" s="40">
        <v>8</v>
      </c>
      <c r="M76" s="40">
        <f t="shared" si="7"/>
        <v>345</v>
      </c>
      <c r="N76" s="40">
        <v>0</v>
      </c>
      <c r="O76" s="41">
        <f t="shared" si="8"/>
        <v>0.35072463768115941</v>
      </c>
      <c r="P76" s="41">
        <f t="shared" si="9"/>
        <v>0.19130434782608696</v>
      </c>
      <c r="Q76" s="41">
        <f t="shared" si="10"/>
        <v>0.41449275362318838</v>
      </c>
      <c r="R76" s="41">
        <f t="shared" si="11"/>
        <v>1.7391304347826087E-2</v>
      </c>
      <c r="S76" s="41">
        <f t="shared" si="12"/>
        <v>2.8985507246376812E-3</v>
      </c>
      <c r="T76" s="42">
        <v>255</v>
      </c>
      <c r="U76" s="42">
        <v>51</v>
      </c>
      <c r="V76" s="42">
        <v>133</v>
      </c>
      <c r="W76" s="42">
        <v>11</v>
      </c>
      <c r="X76" s="42">
        <v>450</v>
      </c>
      <c r="Y76" s="43">
        <v>0.56666666666666665</v>
      </c>
      <c r="Z76" s="43">
        <v>0.11333333333333333</v>
      </c>
      <c r="AA76" s="43">
        <v>0.29555555555555557</v>
      </c>
      <c r="AB76" s="43">
        <v>2.4444444444444446E-2</v>
      </c>
      <c r="AC76" s="44">
        <v>64.588888888888889</v>
      </c>
      <c r="AD76" s="41">
        <f t="shared" si="13"/>
        <v>0.76666666666666672</v>
      </c>
    </row>
    <row r="77" spans="1:30" x14ac:dyDescent="0.25">
      <c r="A77" s="40"/>
      <c r="B77" s="40"/>
      <c r="C77" s="40"/>
      <c r="D77" s="40">
        <v>2</v>
      </c>
      <c r="E77" s="40">
        <v>490</v>
      </c>
      <c r="F77" s="40">
        <v>148</v>
      </c>
      <c r="G77" s="40">
        <v>2</v>
      </c>
      <c r="H77" s="40">
        <v>134</v>
      </c>
      <c r="I77" s="40">
        <v>6</v>
      </c>
      <c r="J77" s="40">
        <v>196</v>
      </c>
      <c r="K77" s="40">
        <v>486</v>
      </c>
      <c r="L77" s="40">
        <v>4</v>
      </c>
      <c r="M77" s="40">
        <f t="shared" si="7"/>
        <v>490</v>
      </c>
      <c r="N77" s="40">
        <v>0</v>
      </c>
      <c r="O77" s="41">
        <f t="shared" si="8"/>
        <v>0.30204081632653063</v>
      </c>
      <c r="P77" s="41">
        <f t="shared" si="9"/>
        <v>0.4</v>
      </c>
      <c r="Q77" s="41">
        <f t="shared" si="10"/>
        <v>0.27346938775510204</v>
      </c>
      <c r="R77" s="41">
        <f t="shared" si="11"/>
        <v>1.2244897959183673E-2</v>
      </c>
      <c r="S77" s="41">
        <f t="shared" si="12"/>
        <v>4.0816326530612249E-3</v>
      </c>
      <c r="T77" s="42">
        <v>499</v>
      </c>
      <c r="U77" s="42">
        <v>48</v>
      </c>
      <c r="V77" s="42">
        <v>70</v>
      </c>
      <c r="W77" s="42">
        <v>22</v>
      </c>
      <c r="X77" s="42">
        <v>639</v>
      </c>
      <c r="Y77" s="43">
        <v>0.78090766823161184</v>
      </c>
      <c r="Z77" s="43">
        <v>7.5117370892018781E-2</v>
      </c>
      <c r="AA77" s="43">
        <v>0.10954616588419405</v>
      </c>
      <c r="AB77" s="43">
        <v>3.4428794992175271E-2</v>
      </c>
      <c r="AC77" s="44">
        <v>40.350547730829419</v>
      </c>
      <c r="AD77" s="41">
        <f t="shared" si="13"/>
        <v>0.76682316118935834</v>
      </c>
    </row>
    <row r="78" spans="1:30" x14ac:dyDescent="0.25">
      <c r="A78" s="40"/>
      <c r="B78" s="40"/>
      <c r="C78" s="40"/>
      <c r="D78" s="40">
        <v>3</v>
      </c>
      <c r="E78" s="40">
        <v>501</v>
      </c>
      <c r="F78" s="40">
        <v>152</v>
      </c>
      <c r="G78" s="40">
        <v>2</v>
      </c>
      <c r="H78" s="40">
        <v>116</v>
      </c>
      <c r="I78" s="40">
        <v>8</v>
      </c>
      <c r="J78" s="40">
        <v>221</v>
      </c>
      <c r="K78" s="40">
        <v>499</v>
      </c>
      <c r="L78" s="40">
        <v>2</v>
      </c>
      <c r="M78" s="40">
        <f t="shared" si="7"/>
        <v>501</v>
      </c>
      <c r="N78" s="40">
        <v>0</v>
      </c>
      <c r="O78" s="41">
        <f t="shared" si="8"/>
        <v>0.30339321357285431</v>
      </c>
      <c r="P78" s="41">
        <f t="shared" si="9"/>
        <v>0.44111776447105788</v>
      </c>
      <c r="Q78" s="41">
        <f t="shared" si="10"/>
        <v>0.2315369261477046</v>
      </c>
      <c r="R78" s="41">
        <f t="shared" si="11"/>
        <v>1.5968063872255488E-2</v>
      </c>
      <c r="S78" s="41">
        <f t="shared" si="12"/>
        <v>3.9920159680638719E-3</v>
      </c>
      <c r="T78" s="42">
        <v>526</v>
      </c>
      <c r="U78" s="42">
        <v>53</v>
      </c>
      <c r="V78" s="42">
        <v>59</v>
      </c>
      <c r="W78" s="42">
        <v>1</v>
      </c>
      <c r="X78" s="42">
        <v>639</v>
      </c>
      <c r="Y78" s="43">
        <v>0.82316118935837246</v>
      </c>
      <c r="Z78" s="43">
        <v>8.2942097026604072E-2</v>
      </c>
      <c r="AA78" s="43">
        <v>9.2331768388106417E-2</v>
      </c>
      <c r="AB78" s="43">
        <v>1.5649452269170579E-3</v>
      </c>
      <c r="AC78" s="44">
        <v>23.369327073552427</v>
      </c>
      <c r="AD78" s="41">
        <f t="shared" si="13"/>
        <v>0.784037558685446</v>
      </c>
    </row>
    <row r="79" spans="1:30" x14ac:dyDescent="0.25">
      <c r="A79" s="40">
        <v>19</v>
      </c>
      <c r="B79" s="40" t="s">
        <v>191</v>
      </c>
      <c r="C79" s="40" t="s">
        <v>192</v>
      </c>
      <c r="D79" s="40">
        <v>1</v>
      </c>
      <c r="E79" s="40">
        <v>316</v>
      </c>
      <c r="F79" s="40">
        <v>222</v>
      </c>
      <c r="G79" s="40">
        <v>2</v>
      </c>
      <c r="H79" s="40">
        <v>50</v>
      </c>
      <c r="I79" s="40">
        <v>6</v>
      </c>
      <c r="J79" s="40">
        <v>26</v>
      </c>
      <c r="K79" s="40">
        <v>306</v>
      </c>
      <c r="L79" s="40">
        <v>10</v>
      </c>
      <c r="M79" s="40">
        <f t="shared" si="7"/>
        <v>316</v>
      </c>
      <c r="N79" s="40">
        <v>0</v>
      </c>
      <c r="O79" s="41">
        <f t="shared" si="8"/>
        <v>0.70253164556962022</v>
      </c>
      <c r="P79" s="41">
        <f t="shared" si="9"/>
        <v>8.2278481012658222E-2</v>
      </c>
      <c r="Q79" s="41">
        <f t="shared" si="10"/>
        <v>0.15822784810126583</v>
      </c>
      <c r="R79" s="41">
        <f t="shared" si="11"/>
        <v>1.8987341772151899E-2</v>
      </c>
      <c r="S79" s="41">
        <f t="shared" si="12"/>
        <v>6.3291139240506328E-3</v>
      </c>
      <c r="T79" s="42">
        <v>81</v>
      </c>
      <c r="U79" s="42">
        <v>291</v>
      </c>
      <c r="V79" s="42">
        <v>72</v>
      </c>
      <c r="W79" s="42">
        <v>6</v>
      </c>
      <c r="X79" s="42">
        <v>450</v>
      </c>
      <c r="Y79" s="43">
        <v>0.18</v>
      </c>
      <c r="Z79" s="43">
        <v>0.64666666666666661</v>
      </c>
      <c r="AA79" s="43">
        <v>0.16</v>
      </c>
      <c r="AB79" s="43">
        <v>1.3333333333333334E-2</v>
      </c>
      <c r="AC79" s="44">
        <v>66.722222222222229</v>
      </c>
      <c r="AD79" s="41">
        <f t="shared" si="13"/>
        <v>0.70222222222222219</v>
      </c>
    </row>
    <row r="80" spans="1:30" x14ac:dyDescent="0.25">
      <c r="A80" s="40"/>
      <c r="B80" s="40"/>
      <c r="C80" s="40"/>
      <c r="D80" s="40">
        <v>2</v>
      </c>
      <c r="E80" s="40">
        <v>559</v>
      </c>
      <c r="F80" s="40">
        <v>335</v>
      </c>
      <c r="G80" s="40">
        <v>4</v>
      </c>
      <c r="H80" s="40">
        <v>80</v>
      </c>
      <c r="I80" s="40">
        <v>3</v>
      </c>
      <c r="J80" s="40">
        <v>134</v>
      </c>
      <c r="K80" s="40">
        <v>556</v>
      </c>
      <c r="L80" s="40">
        <v>3</v>
      </c>
      <c r="M80" s="40">
        <f t="shared" si="7"/>
        <v>559</v>
      </c>
      <c r="N80" s="40">
        <v>0</v>
      </c>
      <c r="O80" s="41">
        <f t="shared" si="8"/>
        <v>0.59928443649373886</v>
      </c>
      <c r="P80" s="41">
        <f t="shared" si="9"/>
        <v>0.23971377459749552</v>
      </c>
      <c r="Q80" s="41">
        <f t="shared" si="10"/>
        <v>0.14311270125223613</v>
      </c>
      <c r="R80" s="41">
        <f t="shared" si="11"/>
        <v>5.3667262969588547E-3</v>
      </c>
      <c r="S80" s="41">
        <f t="shared" si="12"/>
        <v>7.1556350626118068E-3</v>
      </c>
      <c r="T80" s="42">
        <v>304</v>
      </c>
      <c r="U80" s="42">
        <v>279</v>
      </c>
      <c r="V80" s="42">
        <v>122</v>
      </c>
      <c r="W80" s="42">
        <v>12</v>
      </c>
      <c r="X80" s="42">
        <v>717</v>
      </c>
      <c r="Y80" s="43">
        <v>0.42398884239888424</v>
      </c>
      <c r="Z80" s="43">
        <v>0.38912133891213391</v>
      </c>
      <c r="AA80" s="43">
        <v>0.1701534170153417</v>
      </c>
      <c r="AB80" s="43">
        <v>1.6736401673640166E-2</v>
      </c>
      <c r="AC80" s="44">
        <v>42.216178521617849</v>
      </c>
      <c r="AD80" s="41">
        <f t="shared" si="13"/>
        <v>0.77963737796373778</v>
      </c>
    </row>
    <row r="81" spans="1:30" x14ac:dyDescent="0.25">
      <c r="A81" s="40"/>
      <c r="B81" s="40"/>
      <c r="C81" s="40"/>
      <c r="D81" s="40">
        <v>3</v>
      </c>
      <c r="E81" s="40">
        <v>561</v>
      </c>
      <c r="F81" s="40">
        <v>184</v>
      </c>
      <c r="G81" s="40">
        <v>3</v>
      </c>
      <c r="H81" s="40">
        <v>115</v>
      </c>
      <c r="I81" s="40">
        <v>1</v>
      </c>
      <c r="J81" s="40">
        <v>256</v>
      </c>
      <c r="K81" s="40">
        <v>559</v>
      </c>
      <c r="L81" s="40">
        <v>2</v>
      </c>
      <c r="M81" s="40">
        <f t="shared" si="7"/>
        <v>561</v>
      </c>
      <c r="N81" s="40">
        <v>0</v>
      </c>
      <c r="O81" s="41">
        <f t="shared" si="8"/>
        <v>0.32798573975044565</v>
      </c>
      <c r="P81" s="41">
        <f t="shared" si="9"/>
        <v>0.45632798573975042</v>
      </c>
      <c r="Q81" s="41">
        <f t="shared" si="10"/>
        <v>0.20499108734402852</v>
      </c>
      <c r="R81" s="41">
        <f t="shared" si="11"/>
        <v>1.7825311942959001E-3</v>
      </c>
      <c r="S81" s="41">
        <f t="shared" si="12"/>
        <v>5.3475935828877002E-3</v>
      </c>
      <c r="T81" s="42">
        <v>544</v>
      </c>
      <c r="U81" s="42">
        <v>71</v>
      </c>
      <c r="V81" s="42">
        <v>96</v>
      </c>
      <c r="W81" s="42">
        <v>7</v>
      </c>
      <c r="X81" s="42">
        <v>718</v>
      </c>
      <c r="Y81" s="43">
        <v>0.75766016713091922</v>
      </c>
      <c r="Z81" s="43">
        <v>9.8885793871866301E-2</v>
      </c>
      <c r="AA81" s="43">
        <v>0.13370473537604458</v>
      </c>
      <c r="AB81" s="43">
        <v>9.7493036211699167E-3</v>
      </c>
      <c r="AC81" s="44">
        <v>23.394150417827298</v>
      </c>
      <c r="AD81" s="41">
        <f t="shared" si="13"/>
        <v>0.78133704735376042</v>
      </c>
    </row>
    <row r="82" spans="1:30" x14ac:dyDescent="0.25">
      <c r="A82" s="40">
        <v>20</v>
      </c>
      <c r="B82" s="40" t="s">
        <v>193</v>
      </c>
      <c r="C82" s="40" t="s">
        <v>194</v>
      </c>
      <c r="D82" s="40">
        <v>1</v>
      </c>
      <c r="E82" s="40">
        <v>329</v>
      </c>
      <c r="F82" s="40">
        <v>275</v>
      </c>
      <c r="G82" s="40">
        <v>3</v>
      </c>
      <c r="H82" s="40">
        <v>44</v>
      </c>
      <c r="I82" s="40">
        <v>3</v>
      </c>
      <c r="J82" s="40">
        <v>2</v>
      </c>
      <c r="K82" s="40">
        <v>327</v>
      </c>
      <c r="L82" s="40">
        <v>2</v>
      </c>
      <c r="M82" s="40">
        <f t="shared" si="7"/>
        <v>329</v>
      </c>
      <c r="N82" s="40">
        <v>0</v>
      </c>
      <c r="O82" s="41">
        <f t="shared" si="8"/>
        <v>0.83586626139817632</v>
      </c>
      <c r="P82" s="41">
        <f t="shared" si="9"/>
        <v>6.0790273556231003E-3</v>
      </c>
      <c r="Q82" s="41">
        <f t="shared" si="10"/>
        <v>0.1337386018237082</v>
      </c>
      <c r="R82" s="41">
        <f t="shared" si="11"/>
        <v>9.11854103343465E-3</v>
      </c>
      <c r="S82" s="41">
        <f t="shared" si="12"/>
        <v>9.11854103343465E-3</v>
      </c>
      <c r="T82" s="42">
        <v>11</v>
      </c>
      <c r="U82" s="42">
        <v>417</v>
      </c>
      <c r="V82" s="42">
        <v>12</v>
      </c>
      <c r="W82" s="42">
        <v>0</v>
      </c>
      <c r="X82" s="42">
        <v>440</v>
      </c>
      <c r="Y82" s="43">
        <v>2.5000000000000001E-2</v>
      </c>
      <c r="Z82" s="43">
        <v>0.94772727272727275</v>
      </c>
      <c r="AA82" s="43">
        <v>2.7272727272727271E-2</v>
      </c>
      <c r="AB82" s="43">
        <v>0</v>
      </c>
      <c r="AC82" s="44">
        <v>72.427272727272722</v>
      </c>
      <c r="AD82" s="41">
        <f t="shared" si="13"/>
        <v>0.74772727272727268</v>
      </c>
    </row>
    <row r="83" spans="1:30" x14ac:dyDescent="0.25">
      <c r="A83" s="40"/>
      <c r="B83" s="40"/>
      <c r="C83" s="40"/>
      <c r="D83" s="40">
        <v>2</v>
      </c>
      <c r="E83" s="40">
        <v>355</v>
      </c>
      <c r="F83" s="40">
        <v>310</v>
      </c>
      <c r="G83" s="40">
        <v>1</v>
      </c>
      <c r="H83" s="40">
        <v>36</v>
      </c>
      <c r="I83" s="40">
        <v>0</v>
      </c>
      <c r="J83" s="40">
        <v>4</v>
      </c>
      <c r="K83" s="40">
        <v>351</v>
      </c>
      <c r="L83" s="40">
        <v>4</v>
      </c>
      <c r="M83" s="40">
        <f t="shared" si="7"/>
        <v>355</v>
      </c>
      <c r="N83" s="40">
        <v>0</v>
      </c>
      <c r="O83" s="41">
        <f t="shared" si="8"/>
        <v>0.87323943661971826</v>
      </c>
      <c r="P83" s="41">
        <f t="shared" si="9"/>
        <v>1.1267605633802818E-2</v>
      </c>
      <c r="Q83" s="41">
        <f t="shared" si="10"/>
        <v>0.10140845070422536</v>
      </c>
      <c r="R83" s="41">
        <f t="shared" si="11"/>
        <v>0</v>
      </c>
      <c r="S83" s="41">
        <f t="shared" si="12"/>
        <v>2.8169014084507044E-3</v>
      </c>
      <c r="T83" s="42">
        <v>18</v>
      </c>
      <c r="U83" s="42">
        <v>400</v>
      </c>
      <c r="V83" s="42">
        <v>29</v>
      </c>
      <c r="W83" s="42">
        <v>1</v>
      </c>
      <c r="X83" s="42">
        <v>448</v>
      </c>
      <c r="Y83" s="43">
        <v>4.0178571428571432E-2</v>
      </c>
      <c r="Z83" s="43">
        <v>0.8928571428571429</v>
      </c>
      <c r="AA83" s="43">
        <v>6.4732142857142863E-2</v>
      </c>
      <c r="AB83" s="43">
        <v>2.232142857142857E-3</v>
      </c>
      <c r="AC83" s="44">
        <v>54.5625</v>
      </c>
      <c r="AD83" s="41">
        <f t="shared" si="13"/>
        <v>0.7924107142857143</v>
      </c>
    </row>
    <row r="84" spans="1:30" x14ac:dyDescent="0.25">
      <c r="A84" s="40"/>
      <c r="B84" s="40"/>
      <c r="C84" s="40"/>
      <c r="D84" s="40">
        <v>3</v>
      </c>
      <c r="E84" s="40">
        <v>334</v>
      </c>
      <c r="F84" s="40">
        <v>298</v>
      </c>
      <c r="G84" s="40">
        <v>0</v>
      </c>
      <c r="H84" s="40">
        <v>28</v>
      </c>
      <c r="I84" s="40">
        <v>0</v>
      </c>
      <c r="J84" s="40">
        <v>7</v>
      </c>
      <c r="K84" s="40">
        <v>333</v>
      </c>
      <c r="L84" s="40">
        <v>1</v>
      </c>
      <c r="M84" s="40">
        <f t="shared" si="7"/>
        <v>334</v>
      </c>
      <c r="N84" s="40">
        <v>0</v>
      </c>
      <c r="O84" s="41">
        <f t="shared" si="8"/>
        <v>0.89221556886227549</v>
      </c>
      <c r="P84" s="41">
        <f t="shared" si="9"/>
        <v>2.0958083832335328E-2</v>
      </c>
      <c r="Q84" s="41">
        <f t="shared" si="10"/>
        <v>8.3832335329341312E-2</v>
      </c>
      <c r="R84" s="41">
        <f t="shared" si="11"/>
        <v>0</v>
      </c>
      <c r="S84" s="41">
        <f t="shared" si="12"/>
        <v>0</v>
      </c>
      <c r="T84" s="42">
        <v>31</v>
      </c>
      <c r="U84" s="42">
        <v>357</v>
      </c>
      <c r="V84" s="42">
        <v>59</v>
      </c>
      <c r="W84" s="42">
        <v>1</v>
      </c>
      <c r="X84" s="42">
        <v>448</v>
      </c>
      <c r="Y84" s="43">
        <v>6.9196428571428575E-2</v>
      </c>
      <c r="Z84" s="43">
        <v>0.796875</v>
      </c>
      <c r="AA84" s="43">
        <v>0.13169642857142858</v>
      </c>
      <c r="AB84" s="43">
        <v>2.232142857142857E-3</v>
      </c>
      <c r="AC84" s="44">
        <v>39.433035714285715</v>
      </c>
      <c r="AD84" s="41">
        <f t="shared" si="13"/>
        <v>0.7455357142857143</v>
      </c>
    </row>
    <row r="85" spans="1:30" x14ac:dyDescent="0.25">
      <c r="A85" s="40"/>
      <c r="B85" s="40"/>
      <c r="C85" s="40"/>
      <c r="D85" s="40">
        <v>4</v>
      </c>
      <c r="E85" s="40">
        <v>334</v>
      </c>
      <c r="F85" s="40">
        <v>295</v>
      </c>
      <c r="G85" s="40">
        <v>0</v>
      </c>
      <c r="H85" s="40">
        <v>26</v>
      </c>
      <c r="I85" s="40">
        <v>0</v>
      </c>
      <c r="J85" s="40">
        <v>12</v>
      </c>
      <c r="K85" s="40">
        <v>333</v>
      </c>
      <c r="L85" s="40">
        <v>1</v>
      </c>
      <c r="M85" s="40">
        <f t="shared" si="7"/>
        <v>334</v>
      </c>
      <c r="N85" s="40">
        <v>0</v>
      </c>
      <c r="O85" s="41">
        <f t="shared" si="8"/>
        <v>0.88323353293413176</v>
      </c>
      <c r="P85" s="41">
        <f t="shared" si="9"/>
        <v>3.5928143712574849E-2</v>
      </c>
      <c r="Q85" s="41">
        <f t="shared" si="10"/>
        <v>7.7844311377245512E-2</v>
      </c>
      <c r="R85" s="41">
        <f t="shared" si="11"/>
        <v>0</v>
      </c>
      <c r="S85" s="41">
        <f t="shared" si="12"/>
        <v>0</v>
      </c>
      <c r="T85" s="42">
        <v>28</v>
      </c>
      <c r="U85" s="42">
        <v>342</v>
      </c>
      <c r="V85" s="42">
        <v>77</v>
      </c>
      <c r="W85" s="42">
        <v>1</v>
      </c>
      <c r="X85" s="42">
        <v>448</v>
      </c>
      <c r="Y85" s="43">
        <v>6.25E-2</v>
      </c>
      <c r="Z85" s="43">
        <v>0.7633928571428571</v>
      </c>
      <c r="AA85" s="43">
        <v>0.171875</v>
      </c>
      <c r="AB85" s="43">
        <v>2.232142857142857E-3</v>
      </c>
      <c r="AC85" s="44">
        <v>24.642857142857142</v>
      </c>
      <c r="AD85" s="41">
        <f t="shared" si="13"/>
        <v>0.7455357142857143</v>
      </c>
    </row>
    <row r="86" spans="1:30" x14ac:dyDescent="0.25">
      <c r="A86" s="40">
        <v>21</v>
      </c>
      <c r="B86" s="40" t="s">
        <v>195</v>
      </c>
      <c r="C86" s="40" t="s">
        <v>196</v>
      </c>
      <c r="D86" s="40">
        <v>1</v>
      </c>
      <c r="E86" s="40">
        <v>276</v>
      </c>
      <c r="F86" s="40">
        <v>216</v>
      </c>
      <c r="G86" s="40">
        <v>1</v>
      </c>
      <c r="H86" s="40">
        <v>47</v>
      </c>
      <c r="I86" s="40">
        <v>1</v>
      </c>
      <c r="J86" s="40">
        <v>10</v>
      </c>
      <c r="K86" s="40">
        <v>275</v>
      </c>
      <c r="L86" s="40">
        <v>1</v>
      </c>
      <c r="M86" s="40">
        <f t="shared" si="7"/>
        <v>276</v>
      </c>
      <c r="N86" s="40">
        <v>0</v>
      </c>
      <c r="O86" s="41">
        <f t="shared" si="8"/>
        <v>0.78260869565217395</v>
      </c>
      <c r="P86" s="41">
        <f t="shared" si="9"/>
        <v>3.6231884057971016E-2</v>
      </c>
      <c r="Q86" s="41">
        <f t="shared" si="10"/>
        <v>0.17028985507246377</v>
      </c>
      <c r="R86" s="41">
        <f t="shared" si="11"/>
        <v>3.6231884057971015E-3</v>
      </c>
      <c r="S86" s="41">
        <f t="shared" si="12"/>
        <v>3.6231884057971015E-3</v>
      </c>
      <c r="T86" s="42">
        <v>38</v>
      </c>
      <c r="U86" s="42">
        <v>372</v>
      </c>
      <c r="V86" s="42">
        <v>39</v>
      </c>
      <c r="W86" s="42">
        <v>1</v>
      </c>
      <c r="X86" s="42">
        <v>450</v>
      </c>
      <c r="Y86" s="43">
        <v>8.4444444444444447E-2</v>
      </c>
      <c r="Z86" s="43">
        <v>0.82666666666666666</v>
      </c>
      <c r="AA86" s="43">
        <v>8.666666666666667E-2</v>
      </c>
      <c r="AB86" s="43">
        <v>2.2222222222222222E-3</v>
      </c>
      <c r="AC86" s="44">
        <v>74.444444444444443</v>
      </c>
      <c r="AD86" s="41">
        <f t="shared" si="13"/>
        <v>0.61333333333333329</v>
      </c>
    </row>
    <row r="87" spans="1:30" x14ac:dyDescent="0.25">
      <c r="A87" s="40"/>
      <c r="B87" s="40"/>
      <c r="C87" s="40"/>
      <c r="D87" s="40">
        <v>2</v>
      </c>
      <c r="E87" s="40">
        <v>353</v>
      </c>
      <c r="F87" s="40">
        <v>286</v>
      </c>
      <c r="G87" s="40">
        <v>1</v>
      </c>
      <c r="H87" s="40">
        <v>54</v>
      </c>
      <c r="I87" s="40">
        <v>0</v>
      </c>
      <c r="J87" s="40">
        <v>9</v>
      </c>
      <c r="K87" s="40">
        <v>350</v>
      </c>
      <c r="L87" s="40">
        <v>3</v>
      </c>
      <c r="M87" s="40">
        <f t="shared" si="7"/>
        <v>353</v>
      </c>
      <c r="N87" s="40">
        <v>0</v>
      </c>
      <c r="O87" s="41">
        <f t="shared" si="8"/>
        <v>0.8101983002832861</v>
      </c>
      <c r="P87" s="41">
        <f t="shared" si="9"/>
        <v>2.5495750708215296E-2</v>
      </c>
      <c r="Q87" s="41">
        <f t="shared" si="10"/>
        <v>0.15297450424929179</v>
      </c>
      <c r="R87" s="41">
        <f t="shared" si="11"/>
        <v>0</v>
      </c>
      <c r="S87" s="41">
        <f t="shared" si="12"/>
        <v>2.8328611898016999E-3</v>
      </c>
      <c r="T87" s="42">
        <v>41</v>
      </c>
      <c r="U87" s="42">
        <v>370</v>
      </c>
      <c r="V87" s="42">
        <v>39</v>
      </c>
      <c r="W87" s="42">
        <v>0</v>
      </c>
      <c r="X87" s="42">
        <v>450</v>
      </c>
      <c r="Y87" s="43">
        <v>9.1111111111111115E-2</v>
      </c>
      <c r="Z87" s="43">
        <v>0.82222222222222219</v>
      </c>
      <c r="AA87" s="43">
        <v>8.666666666666667E-2</v>
      </c>
      <c r="AB87" s="43">
        <v>0</v>
      </c>
      <c r="AC87" s="44">
        <v>66.371111111111105</v>
      </c>
      <c r="AD87" s="41">
        <f t="shared" si="13"/>
        <v>0.7844444444444445</v>
      </c>
    </row>
    <row r="88" spans="1:30" x14ac:dyDescent="0.25">
      <c r="A88" s="40"/>
      <c r="B88" s="40"/>
      <c r="C88" s="40"/>
      <c r="D88" s="40">
        <v>3</v>
      </c>
      <c r="E88" s="40">
        <v>371</v>
      </c>
      <c r="F88" s="40">
        <v>310</v>
      </c>
      <c r="G88" s="40">
        <v>3</v>
      </c>
      <c r="H88" s="40">
        <v>38</v>
      </c>
      <c r="I88" s="40">
        <v>3</v>
      </c>
      <c r="J88" s="40">
        <v>13</v>
      </c>
      <c r="K88" s="40">
        <v>367</v>
      </c>
      <c r="L88" s="40">
        <v>4</v>
      </c>
      <c r="M88" s="40">
        <f t="shared" si="7"/>
        <v>371</v>
      </c>
      <c r="N88" s="40">
        <v>0</v>
      </c>
      <c r="O88" s="41">
        <f t="shared" si="8"/>
        <v>0.83557951482479786</v>
      </c>
      <c r="P88" s="41">
        <f t="shared" si="9"/>
        <v>3.5040431266846361E-2</v>
      </c>
      <c r="Q88" s="41">
        <f t="shared" si="10"/>
        <v>0.10242587601078167</v>
      </c>
      <c r="R88" s="41">
        <f t="shared" si="11"/>
        <v>8.0862533692722376E-3</v>
      </c>
      <c r="S88" s="41">
        <f t="shared" si="12"/>
        <v>8.0862533692722376E-3</v>
      </c>
      <c r="T88" s="42">
        <v>46</v>
      </c>
      <c r="U88" s="42">
        <v>350</v>
      </c>
      <c r="V88" s="42">
        <v>52</v>
      </c>
      <c r="W88" s="42">
        <v>2</v>
      </c>
      <c r="X88" s="42">
        <v>450</v>
      </c>
      <c r="Y88" s="43">
        <v>0.10222222222222223</v>
      </c>
      <c r="Z88" s="43">
        <v>0.77777777777777779</v>
      </c>
      <c r="AA88" s="43">
        <v>0.11555555555555555</v>
      </c>
      <c r="AB88" s="43">
        <v>4.4444444444444444E-3</v>
      </c>
      <c r="AC88" s="44">
        <v>58.571111111111108</v>
      </c>
      <c r="AD88" s="41">
        <f t="shared" si="13"/>
        <v>0.82444444444444442</v>
      </c>
    </row>
    <row r="89" spans="1:30" x14ac:dyDescent="0.25">
      <c r="A89" s="40"/>
      <c r="B89" s="40"/>
      <c r="C89" s="40"/>
      <c r="D89" s="40">
        <v>4</v>
      </c>
      <c r="E89" s="40">
        <v>551</v>
      </c>
      <c r="F89" s="40">
        <v>464</v>
      </c>
      <c r="G89" s="40">
        <v>1</v>
      </c>
      <c r="H89" s="40">
        <v>57</v>
      </c>
      <c r="I89" s="40">
        <v>0</v>
      </c>
      <c r="J89" s="40">
        <v>24</v>
      </c>
      <c r="K89" s="40">
        <v>546</v>
      </c>
      <c r="L89" s="40">
        <v>5</v>
      </c>
      <c r="M89" s="40">
        <f t="shared" si="7"/>
        <v>551</v>
      </c>
      <c r="N89" s="40">
        <v>0</v>
      </c>
      <c r="O89" s="41">
        <f t="shared" si="8"/>
        <v>0.84210526315789469</v>
      </c>
      <c r="P89" s="41">
        <f t="shared" si="9"/>
        <v>4.3557168784029036E-2</v>
      </c>
      <c r="Q89" s="41">
        <f t="shared" si="10"/>
        <v>0.10344827586206896</v>
      </c>
      <c r="R89" s="41">
        <f t="shared" si="11"/>
        <v>0</v>
      </c>
      <c r="S89" s="41">
        <f t="shared" si="12"/>
        <v>1.8148820326678765E-3</v>
      </c>
      <c r="T89" s="42">
        <v>75</v>
      </c>
      <c r="U89" s="42">
        <v>495</v>
      </c>
      <c r="V89" s="42">
        <v>105</v>
      </c>
      <c r="W89" s="42">
        <v>9</v>
      </c>
      <c r="X89" s="42">
        <v>684</v>
      </c>
      <c r="Y89" s="43">
        <v>0.10964912280701754</v>
      </c>
      <c r="Z89" s="43">
        <v>0.72368421052631582</v>
      </c>
      <c r="AA89" s="43">
        <v>0.15350877192982457</v>
      </c>
      <c r="AB89" s="43">
        <v>1.3157894736842105E-2</v>
      </c>
      <c r="AC89" s="44">
        <v>50.001461988304094</v>
      </c>
      <c r="AD89" s="41">
        <f t="shared" si="13"/>
        <v>0.80555555555555558</v>
      </c>
    </row>
    <row r="90" spans="1:30" x14ac:dyDescent="0.25">
      <c r="A90" s="40"/>
      <c r="B90" s="40"/>
      <c r="C90" s="40"/>
      <c r="D90" s="40">
        <v>5</v>
      </c>
      <c r="E90" s="40">
        <v>551</v>
      </c>
      <c r="F90" s="40">
        <v>452</v>
      </c>
      <c r="G90" s="40">
        <v>0</v>
      </c>
      <c r="H90" s="40">
        <v>46</v>
      </c>
      <c r="I90" s="40">
        <v>2</v>
      </c>
      <c r="J90" s="40">
        <v>45</v>
      </c>
      <c r="K90" s="40">
        <v>545</v>
      </c>
      <c r="L90" s="40">
        <v>6</v>
      </c>
      <c r="M90" s="40">
        <f t="shared" si="7"/>
        <v>551</v>
      </c>
      <c r="N90" s="40">
        <v>0</v>
      </c>
      <c r="O90" s="41">
        <f t="shared" si="8"/>
        <v>0.82032667876588017</v>
      </c>
      <c r="P90" s="41">
        <f t="shared" si="9"/>
        <v>8.1669691470054442E-2</v>
      </c>
      <c r="Q90" s="41">
        <f t="shared" si="10"/>
        <v>8.3484573502722328E-2</v>
      </c>
      <c r="R90" s="41">
        <f t="shared" si="11"/>
        <v>3.629764065335753E-3</v>
      </c>
      <c r="S90" s="41">
        <f t="shared" si="12"/>
        <v>0</v>
      </c>
      <c r="T90" s="42">
        <v>110</v>
      </c>
      <c r="U90" s="42">
        <v>430</v>
      </c>
      <c r="V90" s="42">
        <v>138</v>
      </c>
      <c r="W90" s="42">
        <v>6</v>
      </c>
      <c r="X90" s="42">
        <v>684</v>
      </c>
      <c r="Y90" s="43">
        <v>0.16081871345029239</v>
      </c>
      <c r="Z90" s="43">
        <v>0.62865497076023391</v>
      </c>
      <c r="AA90" s="43">
        <v>0.20175438596491227</v>
      </c>
      <c r="AB90" s="43">
        <v>8.771929824561403E-3</v>
      </c>
      <c r="AC90" s="44">
        <v>40.320175438596493</v>
      </c>
      <c r="AD90" s="41">
        <f t="shared" si="13"/>
        <v>0.80555555555555558</v>
      </c>
    </row>
    <row r="91" spans="1:30" x14ac:dyDescent="0.25">
      <c r="A91" s="40"/>
      <c r="B91" s="40"/>
      <c r="C91" s="40"/>
      <c r="D91" s="40">
        <v>6</v>
      </c>
      <c r="E91" s="40">
        <v>539</v>
      </c>
      <c r="F91" s="40">
        <v>435</v>
      </c>
      <c r="G91" s="40">
        <v>0</v>
      </c>
      <c r="H91" s="40">
        <v>58</v>
      </c>
      <c r="I91" s="40">
        <v>2</v>
      </c>
      <c r="J91" s="40">
        <v>43</v>
      </c>
      <c r="K91" s="40">
        <v>538</v>
      </c>
      <c r="L91" s="40">
        <v>1</v>
      </c>
      <c r="M91" s="40">
        <f t="shared" si="7"/>
        <v>539</v>
      </c>
      <c r="N91" s="40">
        <v>0</v>
      </c>
      <c r="O91" s="41">
        <f t="shared" si="8"/>
        <v>0.80705009276437845</v>
      </c>
      <c r="P91" s="41">
        <f t="shared" si="9"/>
        <v>7.9777365491651209E-2</v>
      </c>
      <c r="Q91" s="41">
        <f t="shared" si="10"/>
        <v>0.10760667903525047</v>
      </c>
      <c r="R91" s="41">
        <f t="shared" si="11"/>
        <v>3.7105751391465678E-3</v>
      </c>
      <c r="S91" s="41">
        <f t="shared" si="12"/>
        <v>0</v>
      </c>
      <c r="T91" s="42">
        <v>116</v>
      </c>
      <c r="U91" s="42">
        <v>414</v>
      </c>
      <c r="V91" s="42">
        <v>152</v>
      </c>
      <c r="W91" s="42">
        <v>2</v>
      </c>
      <c r="X91" s="42">
        <v>684</v>
      </c>
      <c r="Y91" s="43">
        <v>0.16959064327485379</v>
      </c>
      <c r="Z91" s="43">
        <v>0.60526315789473684</v>
      </c>
      <c r="AA91" s="43">
        <v>0.22222222222222221</v>
      </c>
      <c r="AB91" s="43">
        <v>2.9239766081871343E-3</v>
      </c>
      <c r="AC91" s="44">
        <v>31.619883040935672</v>
      </c>
      <c r="AD91" s="41">
        <f t="shared" si="13"/>
        <v>0.78801169590643272</v>
      </c>
    </row>
    <row r="92" spans="1:30" x14ac:dyDescent="0.25">
      <c r="A92" s="40"/>
      <c r="B92" s="40"/>
      <c r="C92" s="40"/>
      <c r="D92" s="40">
        <v>7</v>
      </c>
      <c r="E92" s="40">
        <v>542</v>
      </c>
      <c r="F92" s="40">
        <v>420</v>
      </c>
      <c r="G92" s="40">
        <v>0</v>
      </c>
      <c r="H92" s="40">
        <v>45</v>
      </c>
      <c r="I92" s="40">
        <v>0</v>
      </c>
      <c r="J92" s="40">
        <v>76</v>
      </c>
      <c r="K92" s="40">
        <v>541</v>
      </c>
      <c r="L92" s="40">
        <v>1</v>
      </c>
      <c r="M92" s="40">
        <f t="shared" si="7"/>
        <v>542</v>
      </c>
      <c r="N92" s="40">
        <v>0</v>
      </c>
      <c r="O92" s="41">
        <f t="shared" si="8"/>
        <v>0.77490774907749083</v>
      </c>
      <c r="P92" s="41">
        <f t="shared" si="9"/>
        <v>0.14022140221402213</v>
      </c>
      <c r="Q92" s="41">
        <f t="shared" si="10"/>
        <v>8.3025830258302583E-2</v>
      </c>
      <c r="R92" s="41">
        <f t="shared" si="11"/>
        <v>0</v>
      </c>
      <c r="S92" s="41">
        <f t="shared" si="12"/>
        <v>0</v>
      </c>
      <c r="T92" s="42">
        <v>182</v>
      </c>
      <c r="U92" s="42">
        <v>368</v>
      </c>
      <c r="V92" s="42">
        <v>134</v>
      </c>
      <c r="W92" s="42">
        <v>0</v>
      </c>
      <c r="X92" s="42">
        <v>684</v>
      </c>
      <c r="Y92" s="43">
        <v>0.26608187134502925</v>
      </c>
      <c r="Z92" s="43">
        <v>0.53801169590643272</v>
      </c>
      <c r="AA92" s="43">
        <v>0.195906432748538</v>
      </c>
      <c r="AB92" s="43">
        <v>0</v>
      </c>
      <c r="AC92" s="44">
        <v>22.359649122807017</v>
      </c>
      <c r="AD92" s="41">
        <f t="shared" si="13"/>
        <v>0.79239766081871343</v>
      </c>
    </row>
    <row r="93" spans="1:30" x14ac:dyDescent="0.25">
      <c r="A93" s="40">
        <v>21</v>
      </c>
      <c r="B93" s="40" t="s">
        <v>195</v>
      </c>
      <c r="C93" s="40" t="s">
        <v>197</v>
      </c>
      <c r="D93" s="40">
        <v>1</v>
      </c>
      <c r="E93" s="40">
        <v>335</v>
      </c>
      <c r="F93" s="40">
        <v>258</v>
      </c>
      <c r="G93" s="40">
        <v>2</v>
      </c>
      <c r="H93" s="40">
        <v>41</v>
      </c>
      <c r="I93" s="40">
        <v>2</v>
      </c>
      <c r="J93" s="40">
        <v>23</v>
      </c>
      <c r="K93" s="40">
        <v>326</v>
      </c>
      <c r="L93" s="40">
        <v>9</v>
      </c>
      <c r="M93" s="40">
        <f t="shared" si="7"/>
        <v>335</v>
      </c>
      <c r="N93" s="40">
        <v>0</v>
      </c>
      <c r="O93" s="41">
        <f t="shared" si="8"/>
        <v>0.77014925373134324</v>
      </c>
      <c r="P93" s="41">
        <f t="shared" si="9"/>
        <v>6.8656716417910449E-2</v>
      </c>
      <c r="Q93" s="41">
        <f t="shared" si="10"/>
        <v>0.12238805970149254</v>
      </c>
      <c r="R93" s="41">
        <f t="shared" si="11"/>
        <v>5.9701492537313433E-3</v>
      </c>
      <c r="S93" s="41">
        <f t="shared" si="12"/>
        <v>5.9701492537313433E-3</v>
      </c>
      <c r="T93" s="42">
        <v>41</v>
      </c>
      <c r="U93" s="42">
        <v>192</v>
      </c>
      <c r="V93" s="42">
        <v>162</v>
      </c>
      <c r="W93" s="42">
        <v>5</v>
      </c>
      <c r="X93" s="42">
        <v>400</v>
      </c>
      <c r="Y93" s="43">
        <v>0.10249999999999999</v>
      </c>
      <c r="Z93" s="43">
        <v>0.48</v>
      </c>
      <c r="AA93" s="43">
        <v>0.40500000000000003</v>
      </c>
      <c r="AB93" s="43">
        <v>1.2500000000000001E-2</v>
      </c>
      <c r="AC93" s="44">
        <v>53.59</v>
      </c>
      <c r="AD93" s="41">
        <f t="shared" si="13"/>
        <v>0.83750000000000002</v>
      </c>
    </row>
    <row r="94" spans="1:30" x14ac:dyDescent="0.25">
      <c r="A94" s="40"/>
      <c r="B94" s="40"/>
      <c r="C94" s="40"/>
      <c r="D94" s="40">
        <v>2</v>
      </c>
      <c r="E94" s="40">
        <v>336</v>
      </c>
      <c r="F94" s="40">
        <v>299</v>
      </c>
      <c r="G94" s="40">
        <v>1</v>
      </c>
      <c r="H94" s="40">
        <v>22</v>
      </c>
      <c r="I94" s="40">
        <v>0</v>
      </c>
      <c r="J94" s="40">
        <v>14</v>
      </c>
      <c r="K94" s="40">
        <v>336</v>
      </c>
      <c r="L94" s="40">
        <v>0</v>
      </c>
      <c r="M94" s="40">
        <f t="shared" si="7"/>
        <v>336</v>
      </c>
      <c r="N94" s="40">
        <v>0</v>
      </c>
      <c r="O94" s="41">
        <f t="shared" si="8"/>
        <v>0.88988095238095233</v>
      </c>
      <c r="P94" s="41">
        <f t="shared" si="9"/>
        <v>4.1666666666666664E-2</v>
      </c>
      <c r="Q94" s="41">
        <f t="shared" si="10"/>
        <v>6.5476190476190479E-2</v>
      </c>
      <c r="R94" s="41">
        <f t="shared" si="11"/>
        <v>0</v>
      </c>
      <c r="S94" s="41">
        <f t="shared" si="12"/>
        <v>2.976190476190476E-3</v>
      </c>
      <c r="T94" s="42">
        <v>35</v>
      </c>
      <c r="U94" s="42">
        <v>210</v>
      </c>
      <c r="V94" s="42">
        <v>173</v>
      </c>
      <c r="W94" s="42">
        <v>0</v>
      </c>
      <c r="X94" s="42">
        <v>418</v>
      </c>
      <c r="Y94" s="43">
        <v>8.3732057416267949E-2</v>
      </c>
      <c r="Z94" s="43">
        <v>0.50239234449760761</v>
      </c>
      <c r="AA94" s="43">
        <v>0.4138755980861244</v>
      </c>
      <c r="AB94" s="43">
        <v>0</v>
      </c>
      <c r="AC94" s="44">
        <v>37.28708133971292</v>
      </c>
      <c r="AD94" s="41">
        <f t="shared" si="13"/>
        <v>0.80382775119617222</v>
      </c>
    </row>
    <row r="95" spans="1:30" x14ac:dyDescent="0.25">
      <c r="A95" s="40"/>
      <c r="B95" s="40"/>
      <c r="C95" s="40"/>
      <c r="D95" s="40">
        <v>3</v>
      </c>
      <c r="E95" s="40">
        <v>329</v>
      </c>
      <c r="F95" s="40">
        <v>263</v>
      </c>
      <c r="G95" s="40">
        <v>2</v>
      </c>
      <c r="H95" s="40">
        <v>35</v>
      </c>
      <c r="I95" s="40">
        <v>0</v>
      </c>
      <c r="J95" s="40">
        <v>29</v>
      </c>
      <c r="K95" s="40">
        <v>329</v>
      </c>
      <c r="L95" s="40">
        <v>0</v>
      </c>
      <c r="M95" s="40">
        <f t="shared" si="7"/>
        <v>329</v>
      </c>
      <c r="N95" s="40">
        <v>0</v>
      </c>
      <c r="O95" s="41">
        <f t="shared" si="8"/>
        <v>0.79939209726443772</v>
      </c>
      <c r="P95" s="41">
        <f t="shared" si="9"/>
        <v>8.8145896656534953E-2</v>
      </c>
      <c r="Q95" s="41">
        <f t="shared" si="10"/>
        <v>0.10638297872340426</v>
      </c>
      <c r="R95" s="41">
        <f t="shared" si="11"/>
        <v>0</v>
      </c>
      <c r="S95" s="41">
        <f t="shared" si="12"/>
        <v>6.0790273556231003E-3</v>
      </c>
      <c r="T95" s="42">
        <v>70</v>
      </c>
      <c r="U95" s="42">
        <v>190</v>
      </c>
      <c r="V95" s="42">
        <v>158</v>
      </c>
      <c r="W95" s="42">
        <v>0</v>
      </c>
      <c r="X95" s="42">
        <v>418</v>
      </c>
      <c r="Y95" s="43">
        <v>0.1674641148325359</v>
      </c>
      <c r="Z95" s="43">
        <v>0.45454545454545453</v>
      </c>
      <c r="AA95" s="43">
        <v>0.37799043062200954</v>
      </c>
      <c r="AB95" s="43">
        <v>0</v>
      </c>
      <c r="AC95" s="44">
        <v>24.157894736842106</v>
      </c>
      <c r="AD95" s="41">
        <f t="shared" si="13"/>
        <v>0.78708133971291872</v>
      </c>
    </row>
    <row r="96" spans="1:30" x14ac:dyDescent="0.25">
      <c r="A96" s="40">
        <v>22</v>
      </c>
      <c r="B96" s="40" t="s">
        <v>198</v>
      </c>
      <c r="C96" s="40" t="s">
        <v>199</v>
      </c>
      <c r="D96" s="40">
        <v>1</v>
      </c>
      <c r="E96" s="40">
        <v>336</v>
      </c>
      <c r="F96" s="40">
        <v>209</v>
      </c>
      <c r="G96" s="40">
        <v>7</v>
      </c>
      <c r="H96" s="40">
        <v>89</v>
      </c>
      <c r="I96" s="40">
        <v>2</v>
      </c>
      <c r="J96" s="40">
        <v>21</v>
      </c>
      <c r="K96" s="40">
        <v>328</v>
      </c>
      <c r="L96" s="40">
        <v>8</v>
      </c>
      <c r="M96" s="40">
        <f t="shared" si="7"/>
        <v>336</v>
      </c>
      <c r="N96" s="40">
        <v>0</v>
      </c>
      <c r="O96" s="41">
        <f t="shared" si="8"/>
        <v>0.62202380952380953</v>
      </c>
      <c r="P96" s="41">
        <f t="shared" si="9"/>
        <v>6.25E-2</v>
      </c>
      <c r="Q96" s="41">
        <f t="shared" si="10"/>
        <v>0.26488095238095238</v>
      </c>
      <c r="R96" s="41">
        <f t="shared" si="11"/>
        <v>5.9523809523809521E-3</v>
      </c>
      <c r="S96" s="41">
        <f t="shared" si="12"/>
        <v>2.0833333333333332E-2</v>
      </c>
      <c r="T96" s="42">
        <v>106</v>
      </c>
      <c r="U96" s="42">
        <v>202</v>
      </c>
      <c r="V96" s="42">
        <v>132</v>
      </c>
      <c r="W96" s="42">
        <v>10</v>
      </c>
      <c r="X96" s="42">
        <v>450</v>
      </c>
      <c r="Y96" s="43">
        <v>0.23555555555555555</v>
      </c>
      <c r="Z96" s="43">
        <v>0.44888888888888889</v>
      </c>
      <c r="AA96" s="43">
        <v>0.29333333333333333</v>
      </c>
      <c r="AB96" s="43">
        <v>2.2222222222222223E-2</v>
      </c>
      <c r="AC96" s="44">
        <v>63.855555555555554</v>
      </c>
      <c r="AD96" s="41">
        <f t="shared" si="13"/>
        <v>0.7466666666666667</v>
      </c>
    </row>
    <row r="97" spans="1:30" x14ac:dyDescent="0.25">
      <c r="A97" s="40"/>
      <c r="B97" s="40"/>
      <c r="C97" s="40"/>
      <c r="D97" s="40">
        <v>2</v>
      </c>
      <c r="E97" s="40">
        <v>491</v>
      </c>
      <c r="F97" s="40">
        <v>381</v>
      </c>
      <c r="G97" s="40">
        <v>1</v>
      </c>
      <c r="H97" s="40">
        <v>67</v>
      </c>
      <c r="I97" s="40">
        <v>2</v>
      </c>
      <c r="J97" s="40">
        <v>35</v>
      </c>
      <c r="K97" s="40">
        <v>486</v>
      </c>
      <c r="L97" s="40">
        <v>5</v>
      </c>
      <c r="M97" s="40">
        <f t="shared" si="7"/>
        <v>491</v>
      </c>
      <c r="N97" s="40">
        <v>0</v>
      </c>
      <c r="O97" s="41">
        <f t="shared" si="8"/>
        <v>0.77596741344195519</v>
      </c>
      <c r="P97" s="41">
        <f t="shared" si="9"/>
        <v>7.128309572301425E-2</v>
      </c>
      <c r="Q97" s="41">
        <f t="shared" si="10"/>
        <v>0.13645621181262729</v>
      </c>
      <c r="R97" s="41">
        <f t="shared" si="11"/>
        <v>4.0733197556008143E-3</v>
      </c>
      <c r="S97" s="41">
        <f t="shared" si="12"/>
        <v>2.0366598778004071E-3</v>
      </c>
      <c r="T97" s="42">
        <v>89</v>
      </c>
      <c r="U97" s="42">
        <v>288</v>
      </c>
      <c r="V97" s="42">
        <v>188</v>
      </c>
      <c r="W97" s="42">
        <v>4</v>
      </c>
      <c r="X97" s="42">
        <v>569</v>
      </c>
      <c r="Y97" s="43">
        <v>0.15641476274165203</v>
      </c>
      <c r="Z97" s="43">
        <v>0.5061511423550088</v>
      </c>
      <c r="AA97" s="43">
        <v>0.33040421792618629</v>
      </c>
      <c r="AB97" s="43">
        <v>7.0298769771528994E-3</v>
      </c>
      <c r="AC97" s="44">
        <v>48.945518453427063</v>
      </c>
      <c r="AD97" s="41">
        <f t="shared" si="13"/>
        <v>0.86291739894551844</v>
      </c>
    </row>
    <row r="98" spans="1:30" x14ac:dyDescent="0.25">
      <c r="A98" s="40"/>
      <c r="B98" s="40"/>
      <c r="C98" s="40"/>
      <c r="D98" s="40">
        <v>3</v>
      </c>
      <c r="E98" s="40">
        <v>451</v>
      </c>
      <c r="F98" s="40">
        <v>333</v>
      </c>
      <c r="G98" s="40">
        <v>0</v>
      </c>
      <c r="H98" s="40">
        <v>67</v>
      </c>
      <c r="I98" s="40">
        <v>0</v>
      </c>
      <c r="J98" s="40">
        <v>48</v>
      </c>
      <c r="K98" s="40">
        <v>448</v>
      </c>
      <c r="L98" s="40">
        <v>3</v>
      </c>
      <c r="M98" s="40">
        <f t="shared" si="7"/>
        <v>451</v>
      </c>
      <c r="N98" s="40">
        <v>0</v>
      </c>
      <c r="O98" s="41">
        <f t="shared" si="8"/>
        <v>0.73835920177383596</v>
      </c>
      <c r="P98" s="41">
        <f t="shared" si="9"/>
        <v>0.10643015521064302</v>
      </c>
      <c r="Q98" s="41">
        <f t="shared" si="10"/>
        <v>0.14855875831485588</v>
      </c>
      <c r="R98" s="41">
        <f t="shared" si="11"/>
        <v>0</v>
      </c>
      <c r="S98" s="41">
        <f t="shared" si="12"/>
        <v>0</v>
      </c>
      <c r="T98" s="42">
        <v>132</v>
      </c>
      <c r="U98" s="42">
        <v>249</v>
      </c>
      <c r="V98" s="42">
        <v>186</v>
      </c>
      <c r="W98" s="42">
        <v>2</v>
      </c>
      <c r="X98" s="42">
        <v>569</v>
      </c>
      <c r="Y98" s="43">
        <v>0.23198594024604569</v>
      </c>
      <c r="Z98" s="43">
        <v>0.43760984182776802</v>
      </c>
      <c r="AA98" s="43">
        <v>0.32688927943760981</v>
      </c>
      <c r="AB98" s="43">
        <v>3.5149384885764497E-3</v>
      </c>
      <c r="AC98" s="44">
        <v>37.328646748681898</v>
      </c>
      <c r="AD98" s="41">
        <f t="shared" si="13"/>
        <v>0.79261862917398951</v>
      </c>
    </row>
    <row r="99" spans="1:30" x14ac:dyDescent="0.25">
      <c r="A99" s="40"/>
      <c r="B99" s="40"/>
      <c r="C99" s="40"/>
      <c r="D99" s="40">
        <v>4</v>
      </c>
      <c r="E99" s="40">
        <v>445</v>
      </c>
      <c r="F99" s="40">
        <v>323</v>
      </c>
      <c r="G99" s="40">
        <v>1</v>
      </c>
      <c r="H99" s="40">
        <v>46</v>
      </c>
      <c r="I99" s="40">
        <v>2</v>
      </c>
      <c r="J99" s="40">
        <v>70</v>
      </c>
      <c r="K99" s="40">
        <v>442</v>
      </c>
      <c r="L99" s="40">
        <v>3</v>
      </c>
      <c r="M99" s="40">
        <f t="shared" si="7"/>
        <v>445</v>
      </c>
      <c r="N99" s="40">
        <v>0</v>
      </c>
      <c r="O99" s="41">
        <f t="shared" si="8"/>
        <v>0.72584269662921352</v>
      </c>
      <c r="P99" s="41">
        <f t="shared" si="9"/>
        <v>0.15730337078651685</v>
      </c>
      <c r="Q99" s="41">
        <f t="shared" si="10"/>
        <v>0.10337078651685393</v>
      </c>
      <c r="R99" s="41">
        <f t="shared" si="11"/>
        <v>4.4943820224719105E-3</v>
      </c>
      <c r="S99" s="41">
        <f t="shared" si="12"/>
        <v>2.2471910112359553E-3</v>
      </c>
      <c r="T99" s="42">
        <v>145</v>
      </c>
      <c r="U99" s="42">
        <v>229</v>
      </c>
      <c r="V99" s="42">
        <v>194</v>
      </c>
      <c r="W99" s="42">
        <v>1</v>
      </c>
      <c r="X99" s="42">
        <v>569</v>
      </c>
      <c r="Y99" s="43">
        <v>0.25483304042179261</v>
      </c>
      <c r="Z99" s="43">
        <v>0.4024604569420035</v>
      </c>
      <c r="AA99" s="43">
        <v>0.34094903339191562</v>
      </c>
      <c r="AB99" s="43">
        <v>1.7574692442882249E-3</v>
      </c>
      <c r="AC99" s="44">
        <v>25.022847100175746</v>
      </c>
      <c r="AD99" s="41">
        <f t="shared" si="13"/>
        <v>0.78207381370826012</v>
      </c>
    </row>
    <row r="100" spans="1:30" x14ac:dyDescent="0.25">
      <c r="A100" s="40"/>
      <c r="B100" s="40"/>
      <c r="C100" s="40" t="s">
        <v>200</v>
      </c>
      <c r="D100" s="40">
        <v>1</v>
      </c>
      <c r="E100" s="40">
        <v>301</v>
      </c>
      <c r="F100" s="40">
        <v>235</v>
      </c>
      <c r="G100" s="40">
        <v>4</v>
      </c>
      <c r="H100" s="40">
        <v>48</v>
      </c>
      <c r="I100" s="40">
        <v>2</v>
      </c>
      <c r="J100" s="40">
        <v>7</v>
      </c>
      <c r="K100" s="40">
        <v>296</v>
      </c>
      <c r="L100" s="40">
        <v>5</v>
      </c>
      <c r="M100" s="40">
        <f t="shared" si="7"/>
        <v>301</v>
      </c>
      <c r="N100" s="40">
        <v>0</v>
      </c>
      <c r="O100" s="41">
        <f t="shared" si="8"/>
        <v>0.78073089700996678</v>
      </c>
      <c r="P100" s="41">
        <f t="shared" si="9"/>
        <v>2.3255813953488372E-2</v>
      </c>
      <c r="Q100" s="41">
        <f t="shared" si="10"/>
        <v>0.15946843853820597</v>
      </c>
      <c r="R100" s="41">
        <f t="shared" si="11"/>
        <v>6.6445182724252493E-3</v>
      </c>
      <c r="S100" s="41">
        <f t="shared" si="12"/>
        <v>1.3289036544850499E-2</v>
      </c>
      <c r="T100" s="42">
        <v>24</v>
      </c>
      <c r="U100" s="42">
        <v>355</v>
      </c>
      <c r="V100" s="42">
        <v>69</v>
      </c>
      <c r="W100" s="42">
        <v>2</v>
      </c>
      <c r="X100" s="42">
        <v>450</v>
      </c>
      <c r="Y100" s="43">
        <v>5.3333333333333337E-2</v>
      </c>
      <c r="Z100" s="43">
        <v>0.78888888888888886</v>
      </c>
      <c r="AA100" s="43">
        <v>0.15333333333333332</v>
      </c>
      <c r="AB100" s="43">
        <v>4.4444444444444444E-3</v>
      </c>
      <c r="AC100" s="44">
        <v>69.353333333333339</v>
      </c>
      <c r="AD100" s="41">
        <f t="shared" si="13"/>
        <v>0.66888888888888887</v>
      </c>
    </row>
    <row r="101" spans="1:30" x14ac:dyDescent="0.25">
      <c r="A101" s="40"/>
      <c r="B101" s="40"/>
      <c r="C101" s="40"/>
      <c r="D101" s="40">
        <v>2</v>
      </c>
      <c r="E101" s="40">
        <v>367</v>
      </c>
      <c r="F101" s="40">
        <v>303</v>
      </c>
      <c r="G101" s="40">
        <v>0</v>
      </c>
      <c r="H101" s="40">
        <v>50</v>
      </c>
      <c r="I101" s="40">
        <v>0</v>
      </c>
      <c r="J101" s="40">
        <v>12</v>
      </c>
      <c r="K101" s="40">
        <v>365</v>
      </c>
      <c r="L101" s="40">
        <v>2</v>
      </c>
      <c r="M101" s="40">
        <f t="shared" si="7"/>
        <v>367</v>
      </c>
      <c r="N101" s="40">
        <v>0</v>
      </c>
      <c r="O101" s="41">
        <f t="shared" si="8"/>
        <v>0.82561307901907355</v>
      </c>
      <c r="P101" s="41">
        <f t="shared" si="9"/>
        <v>3.2697547683923703E-2</v>
      </c>
      <c r="Q101" s="41">
        <f t="shared" si="10"/>
        <v>0.13623978201634879</v>
      </c>
      <c r="R101" s="41">
        <f t="shared" si="11"/>
        <v>0</v>
      </c>
      <c r="S101" s="41">
        <f t="shared" si="12"/>
        <v>0</v>
      </c>
      <c r="T101" s="42">
        <v>47</v>
      </c>
      <c r="U101" s="42">
        <v>305</v>
      </c>
      <c r="V101" s="42">
        <v>95</v>
      </c>
      <c r="W101" s="42">
        <v>3</v>
      </c>
      <c r="X101" s="42">
        <v>450</v>
      </c>
      <c r="Y101" s="43">
        <v>0.10444444444444445</v>
      </c>
      <c r="Z101" s="43">
        <v>0.67777777777777781</v>
      </c>
      <c r="AA101" s="43">
        <v>0.21111111111111111</v>
      </c>
      <c r="AB101" s="43">
        <v>6.6666666666666671E-3</v>
      </c>
      <c r="AC101" s="44">
        <v>55.453333333333333</v>
      </c>
      <c r="AD101" s="41">
        <f t="shared" si="13"/>
        <v>0.81555555555555559</v>
      </c>
    </row>
    <row r="102" spans="1:30" x14ac:dyDescent="0.25">
      <c r="A102" s="40"/>
      <c r="B102" s="40"/>
      <c r="C102" s="40"/>
      <c r="D102" s="40">
        <v>3</v>
      </c>
      <c r="E102" s="40">
        <v>584</v>
      </c>
      <c r="F102" s="40">
        <v>496</v>
      </c>
      <c r="G102" s="40">
        <v>2</v>
      </c>
      <c r="H102" s="40">
        <v>36</v>
      </c>
      <c r="I102" s="40">
        <v>4</v>
      </c>
      <c r="J102" s="40">
        <v>46</v>
      </c>
      <c r="K102" s="40">
        <v>584</v>
      </c>
      <c r="L102" s="40">
        <v>0</v>
      </c>
      <c r="M102" s="40">
        <f t="shared" si="7"/>
        <v>584</v>
      </c>
      <c r="N102" s="40">
        <v>0</v>
      </c>
      <c r="O102" s="41">
        <f t="shared" si="8"/>
        <v>0.84931506849315064</v>
      </c>
      <c r="P102" s="41">
        <f t="shared" si="9"/>
        <v>7.8767123287671229E-2</v>
      </c>
      <c r="Q102" s="41">
        <f t="shared" si="10"/>
        <v>6.1643835616438353E-2</v>
      </c>
      <c r="R102" s="41">
        <f t="shared" si="11"/>
        <v>6.8493150684931503E-3</v>
      </c>
      <c r="S102" s="41">
        <f t="shared" si="12"/>
        <v>3.4246575342465752E-3</v>
      </c>
      <c r="T102" s="42">
        <v>92</v>
      </c>
      <c r="U102" s="42">
        <v>410</v>
      </c>
      <c r="V102" s="42">
        <v>239</v>
      </c>
      <c r="W102" s="42">
        <v>2</v>
      </c>
      <c r="X102" s="42">
        <v>743</v>
      </c>
      <c r="Y102" s="43">
        <v>0.12382234185733512</v>
      </c>
      <c r="Z102" s="43">
        <v>0.55181695827725441</v>
      </c>
      <c r="AA102" s="43">
        <v>0.32166890982503366</v>
      </c>
      <c r="AB102" s="43">
        <v>2.6917900403768506E-3</v>
      </c>
      <c r="AC102" s="44">
        <v>40.495289367429343</v>
      </c>
      <c r="AD102" s="41">
        <f t="shared" si="13"/>
        <v>0.78600269179004034</v>
      </c>
    </row>
    <row r="103" spans="1:30" x14ac:dyDescent="0.25">
      <c r="A103" s="40"/>
      <c r="B103" s="40"/>
      <c r="C103" s="40"/>
      <c r="D103" s="40">
        <v>4</v>
      </c>
      <c r="E103" s="40">
        <v>586</v>
      </c>
      <c r="F103" s="40">
        <v>451</v>
      </c>
      <c r="G103" s="40">
        <v>1</v>
      </c>
      <c r="H103" s="40">
        <v>33</v>
      </c>
      <c r="I103" s="40">
        <v>1</v>
      </c>
      <c r="J103" s="40">
        <v>89</v>
      </c>
      <c r="K103" s="40">
        <v>575</v>
      </c>
      <c r="L103" s="40">
        <v>11</v>
      </c>
      <c r="M103" s="40">
        <f t="shared" si="7"/>
        <v>586</v>
      </c>
      <c r="N103" s="40">
        <v>0</v>
      </c>
      <c r="O103" s="41">
        <f t="shared" si="8"/>
        <v>0.7696245733788396</v>
      </c>
      <c r="P103" s="41">
        <f t="shared" si="9"/>
        <v>0.15187713310580206</v>
      </c>
      <c r="Q103" s="41">
        <f t="shared" si="10"/>
        <v>5.6313993174061432E-2</v>
      </c>
      <c r="R103" s="41">
        <f t="shared" si="11"/>
        <v>1.7064846416382253E-3</v>
      </c>
      <c r="S103" s="41">
        <f t="shared" si="12"/>
        <v>1.7064846416382253E-3</v>
      </c>
      <c r="T103" s="42">
        <v>169</v>
      </c>
      <c r="U103" s="42">
        <v>307</v>
      </c>
      <c r="V103" s="42">
        <v>265</v>
      </c>
      <c r="W103" s="42">
        <v>3</v>
      </c>
      <c r="X103" s="42">
        <v>744</v>
      </c>
      <c r="Y103" s="43">
        <v>0.22715053763440859</v>
      </c>
      <c r="Z103" s="43">
        <v>0.41263440860215056</v>
      </c>
      <c r="AA103" s="43">
        <v>0.35618279569892475</v>
      </c>
      <c r="AB103" s="43">
        <v>4.0322580645161289E-3</v>
      </c>
      <c r="AC103" s="44">
        <v>24.587365591397848</v>
      </c>
      <c r="AD103" s="41">
        <f t="shared" si="13"/>
        <v>0.7876344086021505</v>
      </c>
    </row>
    <row r="104" spans="1:30" x14ac:dyDescent="0.25">
      <c r="A104" s="40">
        <v>23</v>
      </c>
      <c r="B104" s="40" t="s">
        <v>201</v>
      </c>
      <c r="C104" s="40" t="s">
        <v>202</v>
      </c>
      <c r="D104" s="40">
        <v>1</v>
      </c>
      <c r="E104" s="40">
        <v>367</v>
      </c>
      <c r="F104" s="40">
        <v>45</v>
      </c>
      <c r="G104" s="40">
        <v>0</v>
      </c>
      <c r="H104" s="40">
        <v>255</v>
      </c>
      <c r="I104" s="40">
        <v>4</v>
      </c>
      <c r="J104" s="40">
        <v>61</v>
      </c>
      <c r="K104" s="40">
        <v>365</v>
      </c>
      <c r="L104" s="40">
        <v>2</v>
      </c>
      <c r="M104" s="40">
        <f t="shared" si="7"/>
        <v>367</v>
      </c>
      <c r="N104" s="40">
        <v>0</v>
      </c>
      <c r="O104" s="41">
        <f t="shared" si="8"/>
        <v>0.1226158038147139</v>
      </c>
      <c r="P104" s="41">
        <f t="shared" si="9"/>
        <v>0.16621253405994552</v>
      </c>
      <c r="Q104" s="41">
        <f t="shared" si="10"/>
        <v>0.69482288828337879</v>
      </c>
      <c r="R104" s="41">
        <f t="shared" si="11"/>
        <v>1.0899182561307902E-2</v>
      </c>
      <c r="S104" s="41">
        <f t="shared" si="12"/>
        <v>0</v>
      </c>
      <c r="T104" s="42">
        <v>395</v>
      </c>
      <c r="U104" s="42">
        <v>14</v>
      </c>
      <c r="V104" s="42">
        <v>31</v>
      </c>
      <c r="W104" s="42">
        <v>10</v>
      </c>
      <c r="X104" s="42">
        <v>450</v>
      </c>
      <c r="Y104" s="43">
        <v>0.87777777777777777</v>
      </c>
      <c r="Z104" s="43">
        <v>3.111111111111111E-2</v>
      </c>
      <c r="AA104" s="43">
        <v>6.8888888888888888E-2</v>
      </c>
      <c r="AB104" s="43">
        <v>2.2222222222222223E-2</v>
      </c>
      <c r="AC104" s="44">
        <v>62.111111111111114</v>
      </c>
      <c r="AD104" s="41">
        <f t="shared" si="13"/>
        <v>0.81555555555555559</v>
      </c>
    </row>
    <row r="105" spans="1:30" x14ac:dyDescent="0.25">
      <c r="A105" s="40"/>
      <c r="B105" s="40"/>
      <c r="C105" s="40"/>
      <c r="D105" s="40">
        <v>2</v>
      </c>
      <c r="E105" s="40">
        <v>457</v>
      </c>
      <c r="F105" s="40">
        <v>103</v>
      </c>
      <c r="G105" s="40">
        <v>2</v>
      </c>
      <c r="H105" s="40">
        <v>193</v>
      </c>
      <c r="I105" s="40">
        <v>9</v>
      </c>
      <c r="J105" s="40">
        <v>147</v>
      </c>
      <c r="K105" s="40">
        <v>454</v>
      </c>
      <c r="L105" s="40">
        <v>3</v>
      </c>
      <c r="M105" s="40">
        <f t="shared" si="7"/>
        <v>457</v>
      </c>
      <c r="N105" s="40">
        <v>0</v>
      </c>
      <c r="O105" s="41">
        <f t="shared" si="8"/>
        <v>0.22538293216630198</v>
      </c>
      <c r="P105" s="41">
        <f t="shared" si="9"/>
        <v>0.32166301969365424</v>
      </c>
      <c r="Q105" s="41">
        <f t="shared" si="10"/>
        <v>0.42231947483588622</v>
      </c>
      <c r="R105" s="41">
        <f t="shared" si="11"/>
        <v>1.9693654266958426E-2</v>
      </c>
      <c r="S105" s="41">
        <f t="shared" si="12"/>
        <v>4.3763676148796497E-3</v>
      </c>
      <c r="T105" s="42">
        <v>424</v>
      </c>
      <c r="U105" s="42">
        <v>56</v>
      </c>
      <c r="V105" s="42">
        <v>42</v>
      </c>
      <c r="W105" s="42">
        <v>31</v>
      </c>
      <c r="X105" s="42">
        <v>553</v>
      </c>
      <c r="Y105" s="43">
        <v>0.76672694394213381</v>
      </c>
      <c r="Z105" s="43">
        <v>0.10126582278481013</v>
      </c>
      <c r="AA105" s="43">
        <v>7.5949367088607597E-2</v>
      </c>
      <c r="AB105" s="43">
        <v>5.6057866184448461E-2</v>
      </c>
      <c r="AC105" s="44">
        <v>46.634719710669074</v>
      </c>
      <c r="AD105" s="41">
        <f t="shared" si="13"/>
        <v>0.82640144665461124</v>
      </c>
    </row>
    <row r="106" spans="1:30" x14ac:dyDescent="0.25">
      <c r="A106" s="40"/>
      <c r="B106" s="40"/>
      <c r="C106" s="40"/>
      <c r="D106" s="40">
        <v>3</v>
      </c>
      <c r="E106" s="40">
        <v>449</v>
      </c>
      <c r="F106" s="40">
        <v>102</v>
      </c>
      <c r="G106" s="40">
        <v>1</v>
      </c>
      <c r="H106" s="40">
        <v>168</v>
      </c>
      <c r="I106" s="40">
        <v>3</v>
      </c>
      <c r="J106" s="40">
        <v>175</v>
      </c>
      <c r="K106" s="40">
        <v>449</v>
      </c>
      <c r="L106" s="40">
        <v>0</v>
      </c>
      <c r="M106" s="40">
        <f t="shared" si="7"/>
        <v>449</v>
      </c>
      <c r="N106" s="40">
        <v>0</v>
      </c>
      <c r="O106" s="41">
        <f t="shared" si="8"/>
        <v>0.22717149220489977</v>
      </c>
      <c r="P106" s="41">
        <f t="shared" si="9"/>
        <v>0.38975501113585748</v>
      </c>
      <c r="Q106" s="41">
        <f t="shared" si="10"/>
        <v>0.37416481069042318</v>
      </c>
      <c r="R106" s="41">
        <f t="shared" si="11"/>
        <v>6.6815144766146995E-3</v>
      </c>
      <c r="S106" s="41">
        <f t="shared" si="12"/>
        <v>2.2271714922048997E-3</v>
      </c>
      <c r="T106" s="42">
        <v>461</v>
      </c>
      <c r="U106" s="42">
        <v>42</v>
      </c>
      <c r="V106" s="42">
        <v>36</v>
      </c>
      <c r="W106" s="42">
        <v>14</v>
      </c>
      <c r="X106" s="42">
        <v>553</v>
      </c>
      <c r="Y106" s="43">
        <v>0.83363471971066905</v>
      </c>
      <c r="Z106" s="43">
        <v>7.5949367088607597E-2</v>
      </c>
      <c r="AA106" s="43">
        <v>6.50994575045208E-2</v>
      </c>
      <c r="AB106" s="43">
        <v>2.5316455696202531E-2</v>
      </c>
      <c r="AC106" s="44">
        <v>31.78119349005425</v>
      </c>
      <c r="AD106" s="41">
        <f t="shared" si="13"/>
        <v>0.81193490054249551</v>
      </c>
    </row>
    <row r="107" spans="1:30" x14ac:dyDescent="0.25">
      <c r="A107" s="40"/>
      <c r="B107" s="40"/>
      <c r="C107" s="40"/>
      <c r="D107" s="40">
        <v>4</v>
      </c>
      <c r="E107" s="40">
        <v>473</v>
      </c>
      <c r="F107" s="40">
        <v>104</v>
      </c>
      <c r="G107" s="40">
        <v>1</v>
      </c>
      <c r="H107" s="40">
        <v>131</v>
      </c>
      <c r="I107" s="40">
        <v>2</v>
      </c>
      <c r="J107" s="40">
        <v>235</v>
      </c>
      <c r="K107" s="40">
        <v>473</v>
      </c>
      <c r="L107" s="40">
        <v>0</v>
      </c>
      <c r="M107" s="40">
        <f t="shared" si="7"/>
        <v>473</v>
      </c>
      <c r="N107" s="40">
        <v>0</v>
      </c>
      <c r="O107" s="41">
        <f t="shared" si="8"/>
        <v>0.21987315010570824</v>
      </c>
      <c r="P107" s="41">
        <f t="shared" si="9"/>
        <v>0.49682875264270615</v>
      </c>
      <c r="Q107" s="41">
        <f t="shared" si="10"/>
        <v>0.27695560253699791</v>
      </c>
      <c r="R107" s="41">
        <f t="shared" si="11"/>
        <v>4.2283298097251587E-3</v>
      </c>
      <c r="S107" s="41">
        <f t="shared" si="12"/>
        <v>2.1141649048625794E-3</v>
      </c>
      <c r="T107" s="42">
        <v>481</v>
      </c>
      <c r="U107" s="42">
        <v>30</v>
      </c>
      <c r="V107" s="42">
        <v>44</v>
      </c>
      <c r="W107" s="42">
        <v>0</v>
      </c>
      <c r="X107" s="42">
        <v>555</v>
      </c>
      <c r="Y107" s="43">
        <v>0.8666666666666667</v>
      </c>
      <c r="Z107" s="43">
        <v>5.4054054054054057E-2</v>
      </c>
      <c r="AA107" s="43">
        <v>7.9279279279279274E-2</v>
      </c>
      <c r="AB107" s="43">
        <v>0</v>
      </c>
      <c r="AC107" s="44">
        <v>22.272072072072071</v>
      </c>
      <c r="AD107" s="41">
        <f t="shared" si="13"/>
        <v>0.85225225225225221</v>
      </c>
    </row>
    <row r="108" spans="1:30" x14ac:dyDescent="0.25">
      <c r="A108" s="40">
        <v>24</v>
      </c>
      <c r="B108" s="40" t="s">
        <v>203</v>
      </c>
      <c r="C108" s="40" t="s">
        <v>204</v>
      </c>
      <c r="D108" s="40">
        <v>1</v>
      </c>
      <c r="E108" s="40">
        <v>318</v>
      </c>
      <c r="F108" s="40">
        <v>182</v>
      </c>
      <c r="G108" s="40">
        <v>3</v>
      </c>
      <c r="H108" s="40">
        <v>51</v>
      </c>
      <c r="I108" s="40">
        <v>10</v>
      </c>
      <c r="J108" s="40">
        <v>64</v>
      </c>
      <c r="K108" s="40">
        <v>310</v>
      </c>
      <c r="L108" s="40">
        <v>8</v>
      </c>
      <c r="M108" s="40">
        <f t="shared" si="7"/>
        <v>318</v>
      </c>
      <c r="N108" s="40">
        <v>0</v>
      </c>
      <c r="O108" s="41">
        <f t="shared" si="8"/>
        <v>0.57232704402515722</v>
      </c>
      <c r="P108" s="41">
        <f t="shared" si="9"/>
        <v>0.20125786163522014</v>
      </c>
      <c r="Q108" s="41">
        <f t="shared" si="10"/>
        <v>0.16037735849056603</v>
      </c>
      <c r="R108" s="41">
        <f t="shared" si="11"/>
        <v>3.1446540880503145E-2</v>
      </c>
      <c r="S108" s="41">
        <f t="shared" si="12"/>
        <v>9.433962264150943E-3</v>
      </c>
      <c r="T108" s="42">
        <v>164</v>
      </c>
      <c r="U108" s="42">
        <v>85</v>
      </c>
      <c r="V108" s="42">
        <v>196</v>
      </c>
      <c r="W108" s="42">
        <v>5</v>
      </c>
      <c r="X108" s="42">
        <v>450</v>
      </c>
      <c r="Y108" s="43">
        <v>0.36444444444444446</v>
      </c>
      <c r="Z108" s="43">
        <v>0.18888888888888888</v>
      </c>
      <c r="AA108" s="43">
        <v>0.43555555555555553</v>
      </c>
      <c r="AB108" s="43">
        <v>1.1111111111111112E-2</v>
      </c>
      <c r="AC108" s="44">
        <v>65.448888888888888</v>
      </c>
      <c r="AD108" s="41">
        <f t="shared" si="13"/>
        <v>0.70666666666666667</v>
      </c>
    </row>
    <row r="109" spans="1:30" x14ac:dyDescent="0.25">
      <c r="A109" s="40"/>
      <c r="B109" s="40"/>
      <c r="C109" s="40"/>
      <c r="D109" s="40">
        <v>2</v>
      </c>
      <c r="E109" s="40">
        <v>377</v>
      </c>
      <c r="F109" s="40">
        <v>203</v>
      </c>
      <c r="G109" s="40">
        <v>1</v>
      </c>
      <c r="H109" s="40">
        <v>48</v>
      </c>
      <c r="I109" s="40">
        <v>4</v>
      </c>
      <c r="J109" s="40">
        <v>119</v>
      </c>
      <c r="K109" s="40">
        <v>375</v>
      </c>
      <c r="L109" s="40">
        <v>2</v>
      </c>
      <c r="M109" s="40">
        <f t="shared" si="7"/>
        <v>377</v>
      </c>
      <c r="N109" s="40">
        <v>0</v>
      </c>
      <c r="O109" s="41">
        <f t="shared" si="8"/>
        <v>0.53846153846153844</v>
      </c>
      <c r="P109" s="41">
        <f t="shared" si="9"/>
        <v>0.3156498673740053</v>
      </c>
      <c r="Q109" s="41">
        <f t="shared" si="10"/>
        <v>0.1273209549071618</v>
      </c>
      <c r="R109" s="41">
        <f t="shared" si="11"/>
        <v>1.0610079575596816E-2</v>
      </c>
      <c r="S109" s="41">
        <f t="shared" si="12"/>
        <v>2.6525198938992041E-3</v>
      </c>
      <c r="T109" s="42">
        <v>213</v>
      </c>
      <c r="U109" s="42">
        <v>81</v>
      </c>
      <c r="V109" s="42">
        <v>149</v>
      </c>
      <c r="W109" s="42">
        <v>7</v>
      </c>
      <c r="X109" s="42">
        <v>450</v>
      </c>
      <c r="Y109" s="43">
        <v>0.47333333333333333</v>
      </c>
      <c r="Z109" s="43">
        <v>0.18</v>
      </c>
      <c r="AA109" s="43">
        <v>0.33111111111111113</v>
      </c>
      <c r="AB109" s="43">
        <v>1.5555555555555555E-2</v>
      </c>
      <c r="AC109" s="44">
        <v>54.37777777777778</v>
      </c>
      <c r="AD109" s="41">
        <f t="shared" si="13"/>
        <v>0.83777777777777773</v>
      </c>
    </row>
    <row r="110" spans="1:30" x14ac:dyDescent="0.25">
      <c r="A110" s="40"/>
      <c r="B110" s="40"/>
      <c r="C110" s="40"/>
      <c r="D110" s="40">
        <v>3</v>
      </c>
      <c r="E110" s="40">
        <v>555</v>
      </c>
      <c r="F110" s="40">
        <v>287</v>
      </c>
      <c r="G110" s="40">
        <v>1</v>
      </c>
      <c r="H110" s="40">
        <v>52</v>
      </c>
      <c r="I110" s="40">
        <v>11</v>
      </c>
      <c r="J110" s="40">
        <v>204</v>
      </c>
      <c r="K110" s="40">
        <v>555</v>
      </c>
      <c r="L110" s="40">
        <v>0</v>
      </c>
      <c r="M110" s="40">
        <f t="shared" si="7"/>
        <v>555</v>
      </c>
      <c r="N110" s="40">
        <v>0</v>
      </c>
      <c r="O110" s="41">
        <f t="shared" si="8"/>
        <v>0.51711711711711716</v>
      </c>
      <c r="P110" s="41">
        <f t="shared" si="9"/>
        <v>0.36756756756756759</v>
      </c>
      <c r="Q110" s="41">
        <f t="shared" si="10"/>
        <v>9.3693693693693694E-2</v>
      </c>
      <c r="R110" s="41">
        <f t="shared" si="11"/>
        <v>1.9819819819819819E-2</v>
      </c>
      <c r="S110" s="41">
        <f t="shared" si="12"/>
        <v>1.8018018018018018E-3</v>
      </c>
      <c r="T110" s="42">
        <v>369</v>
      </c>
      <c r="U110" s="42">
        <v>86</v>
      </c>
      <c r="V110" s="42">
        <v>216</v>
      </c>
      <c r="W110" s="42">
        <v>14</v>
      </c>
      <c r="X110" s="42">
        <v>685</v>
      </c>
      <c r="Y110" s="43">
        <v>0.53868613138686128</v>
      </c>
      <c r="Z110" s="43">
        <v>0.12554744525547445</v>
      </c>
      <c r="AA110" s="43">
        <v>0.31532846715328466</v>
      </c>
      <c r="AB110" s="43">
        <v>2.0437956204379562E-2</v>
      </c>
      <c r="AC110" s="44">
        <v>45.268613138686135</v>
      </c>
      <c r="AD110" s="41">
        <f t="shared" si="13"/>
        <v>0.81021897810218979</v>
      </c>
    </row>
    <row r="111" spans="1:30" x14ac:dyDescent="0.25">
      <c r="A111" s="40"/>
      <c r="B111" s="40"/>
      <c r="C111" s="40"/>
      <c r="D111" s="40">
        <v>4</v>
      </c>
      <c r="E111" s="40">
        <v>510</v>
      </c>
      <c r="F111" s="40">
        <v>275</v>
      </c>
      <c r="G111" s="40">
        <v>3</v>
      </c>
      <c r="H111" s="40">
        <v>49</v>
      </c>
      <c r="I111" s="40">
        <v>5</v>
      </c>
      <c r="J111" s="40">
        <v>176</v>
      </c>
      <c r="K111" s="40">
        <v>508</v>
      </c>
      <c r="L111" s="40">
        <v>2</v>
      </c>
      <c r="M111" s="40">
        <f t="shared" si="7"/>
        <v>510</v>
      </c>
      <c r="N111" s="40">
        <v>0</v>
      </c>
      <c r="O111" s="41">
        <f t="shared" si="8"/>
        <v>0.53921568627450978</v>
      </c>
      <c r="P111" s="41">
        <f t="shared" si="9"/>
        <v>0.34509803921568627</v>
      </c>
      <c r="Q111" s="41">
        <f t="shared" si="10"/>
        <v>9.6078431372549025E-2</v>
      </c>
      <c r="R111" s="41">
        <f t="shared" si="11"/>
        <v>9.8039215686274508E-3</v>
      </c>
      <c r="S111" s="41">
        <f t="shared" si="12"/>
        <v>5.8823529411764705E-3</v>
      </c>
      <c r="T111" s="42">
        <v>374</v>
      </c>
      <c r="U111" s="42">
        <v>106</v>
      </c>
      <c r="V111" s="42">
        <v>195</v>
      </c>
      <c r="W111" s="42">
        <v>10</v>
      </c>
      <c r="X111" s="42">
        <v>685</v>
      </c>
      <c r="Y111" s="43">
        <v>0.54598540145985397</v>
      </c>
      <c r="Z111" s="43">
        <v>0.15474452554744525</v>
      </c>
      <c r="AA111" s="43">
        <v>0.28467153284671531</v>
      </c>
      <c r="AB111" s="43">
        <v>1.4598540145985401E-2</v>
      </c>
      <c r="AC111" s="44">
        <v>36.801459854014595</v>
      </c>
      <c r="AD111" s="41">
        <f t="shared" si="13"/>
        <v>0.74452554744525545</v>
      </c>
    </row>
    <row r="112" spans="1:30" x14ac:dyDescent="0.25">
      <c r="A112" s="40"/>
      <c r="B112" s="40"/>
      <c r="C112" s="40"/>
      <c r="D112" s="40">
        <v>5</v>
      </c>
      <c r="E112" s="40">
        <v>514</v>
      </c>
      <c r="F112" s="40">
        <v>292</v>
      </c>
      <c r="G112" s="40">
        <v>1</v>
      </c>
      <c r="H112" s="40">
        <v>41</v>
      </c>
      <c r="I112" s="40">
        <v>9</v>
      </c>
      <c r="J112" s="40">
        <v>170</v>
      </c>
      <c r="K112" s="40">
        <v>513</v>
      </c>
      <c r="L112" s="40">
        <v>1</v>
      </c>
      <c r="M112" s="40">
        <f t="shared" si="7"/>
        <v>514</v>
      </c>
      <c r="N112" s="40">
        <v>0</v>
      </c>
      <c r="O112" s="41">
        <f t="shared" si="8"/>
        <v>0.56809338521400776</v>
      </c>
      <c r="P112" s="41">
        <f t="shared" si="9"/>
        <v>0.33073929961089493</v>
      </c>
      <c r="Q112" s="41">
        <f t="shared" si="10"/>
        <v>7.9766536964980539E-2</v>
      </c>
      <c r="R112" s="41">
        <f t="shared" si="11"/>
        <v>1.7509727626459144E-2</v>
      </c>
      <c r="S112" s="41">
        <f t="shared" si="12"/>
        <v>1.9455252918287938E-3</v>
      </c>
      <c r="T112" s="42">
        <v>432</v>
      </c>
      <c r="U112" s="42">
        <v>75</v>
      </c>
      <c r="V112" s="42">
        <v>173</v>
      </c>
      <c r="W112" s="42">
        <v>5</v>
      </c>
      <c r="X112" s="42">
        <v>685</v>
      </c>
      <c r="Y112" s="43">
        <v>0.63065693430656933</v>
      </c>
      <c r="Z112" s="43">
        <v>0.10948905109489052</v>
      </c>
      <c r="AA112" s="43">
        <v>0.25255474452554744</v>
      </c>
      <c r="AB112" s="43">
        <v>7.2992700729927005E-3</v>
      </c>
      <c r="AC112" s="44">
        <v>28.446715328467153</v>
      </c>
      <c r="AD112" s="41">
        <f t="shared" si="13"/>
        <v>0.75036496350364967</v>
      </c>
    </row>
    <row r="113" spans="1:30" x14ac:dyDescent="0.25">
      <c r="A113" s="40"/>
      <c r="B113" s="40"/>
      <c r="C113" s="40"/>
      <c r="D113" s="40">
        <v>6</v>
      </c>
      <c r="E113" s="40">
        <v>565</v>
      </c>
      <c r="F113" s="40">
        <v>304</v>
      </c>
      <c r="G113" s="40">
        <v>4</v>
      </c>
      <c r="H113" s="40">
        <v>45</v>
      </c>
      <c r="I113" s="40">
        <v>5</v>
      </c>
      <c r="J113" s="40">
        <v>206</v>
      </c>
      <c r="K113" s="40">
        <v>564</v>
      </c>
      <c r="L113" s="40">
        <v>1</v>
      </c>
      <c r="M113" s="40">
        <f t="shared" si="7"/>
        <v>565</v>
      </c>
      <c r="N113" s="40">
        <v>0</v>
      </c>
      <c r="O113" s="41">
        <f t="shared" si="8"/>
        <v>0.53805309734513274</v>
      </c>
      <c r="P113" s="41">
        <f t="shared" si="9"/>
        <v>0.36460176991150445</v>
      </c>
      <c r="Q113" s="41">
        <f t="shared" si="10"/>
        <v>7.9646017699115043E-2</v>
      </c>
      <c r="R113" s="41">
        <f t="shared" si="11"/>
        <v>8.8495575221238937E-3</v>
      </c>
      <c r="S113" s="41">
        <f t="shared" si="12"/>
        <v>7.0796460176991149E-3</v>
      </c>
      <c r="T113" s="42">
        <v>454</v>
      </c>
      <c r="U113" s="42">
        <v>67</v>
      </c>
      <c r="V113" s="42">
        <v>164</v>
      </c>
      <c r="W113" s="42">
        <v>0</v>
      </c>
      <c r="X113" s="42">
        <v>685</v>
      </c>
      <c r="Y113" s="43">
        <v>0.66277372262773726</v>
      </c>
      <c r="Z113" s="43">
        <v>9.7810218978102187E-2</v>
      </c>
      <c r="AA113" s="43">
        <v>0.23941605839416058</v>
      </c>
      <c r="AB113" s="43">
        <v>0</v>
      </c>
      <c r="AC113" s="44">
        <v>23.15182481751825</v>
      </c>
      <c r="AD113" s="41">
        <f t="shared" si="13"/>
        <v>0.82481751824817517</v>
      </c>
    </row>
    <row r="114" spans="1:30" x14ac:dyDescent="0.25">
      <c r="A114" s="40"/>
      <c r="B114" s="40"/>
      <c r="C114" s="40"/>
      <c r="D114" s="40">
        <v>7</v>
      </c>
      <c r="E114" s="40">
        <v>565</v>
      </c>
      <c r="F114" s="40">
        <v>220</v>
      </c>
      <c r="G114" s="40">
        <v>1</v>
      </c>
      <c r="H114" s="40">
        <v>55</v>
      </c>
      <c r="I114" s="40">
        <v>8</v>
      </c>
      <c r="J114" s="40">
        <v>281</v>
      </c>
      <c r="K114" s="40">
        <v>565</v>
      </c>
      <c r="L114" s="40">
        <v>0</v>
      </c>
      <c r="M114" s="40">
        <f t="shared" si="7"/>
        <v>565</v>
      </c>
      <c r="N114" s="40">
        <v>0</v>
      </c>
      <c r="O114" s="41">
        <f t="shared" si="8"/>
        <v>0.38938053097345132</v>
      </c>
      <c r="P114" s="41">
        <f t="shared" si="9"/>
        <v>0.49734513274336284</v>
      </c>
      <c r="Q114" s="41">
        <f t="shared" si="10"/>
        <v>9.7345132743362831E-2</v>
      </c>
      <c r="R114" s="41">
        <f t="shared" si="11"/>
        <v>1.415929203539823E-2</v>
      </c>
      <c r="S114" s="41">
        <f t="shared" si="12"/>
        <v>1.7699115044247787E-3</v>
      </c>
      <c r="T114" s="42">
        <v>524</v>
      </c>
      <c r="U114" s="42">
        <v>53</v>
      </c>
      <c r="V114" s="42">
        <v>106</v>
      </c>
      <c r="W114" s="42">
        <v>2</v>
      </c>
      <c r="X114" s="42">
        <v>685</v>
      </c>
      <c r="Y114" s="43">
        <v>0.76496350364963506</v>
      </c>
      <c r="Z114" s="43">
        <v>7.7372262773722625E-2</v>
      </c>
      <c r="AA114" s="43">
        <v>0.15474452554744525</v>
      </c>
      <c r="AB114" s="43">
        <v>2.9197080291970801E-3</v>
      </c>
      <c r="AC114" s="44">
        <v>19.439416058394162</v>
      </c>
      <c r="AD114" s="41">
        <f t="shared" si="13"/>
        <v>0.82481751824817517</v>
      </c>
    </row>
    <row r="115" spans="1:30" x14ac:dyDescent="0.25">
      <c r="A115" s="40"/>
      <c r="B115" s="40"/>
      <c r="C115" s="40" t="s">
        <v>205</v>
      </c>
      <c r="D115" s="40">
        <v>1</v>
      </c>
      <c r="E115" s="40">
        <v>351</v>
      </c>
      <c r="F115" s="40">
        <v>175</v>
      </c>
      <c r="G115" s="40">
        <v>0</v>
      </c>
      <c r="H115" s="40">
        <v>62</v>
      </c>
      <c r="I115" s="40">
        <v>13</v>
      </c>
      <c r="J115" s="40">
        <v>97</v>
      </c>
      <c r="K115" s="40">
        <v>347</v>
      </c>
      <c r="L115" s="40">
        <v>4</v>
      </c>
      <c r="M115" s="40">
        <f t="shared" si="7"/>
        <v>351</v>
      </c>
      <c r="N115" s="40">
        <v>0</v>
      </c>
      <c r="O115" s="41">
        <f t="shared" si="8"/>
        <v>0.4985754985754986</v>
      </c>
      <c r="P115" s="41">
        <f t="shared" si="9"/>
        <v>0.27635327635327633</v>
      </c>
      <c r="Q115" s="41">
        <f t="shared" si="10"/>
        <v>0.17663817663817663</v>
      </c>
      <c r="R115" s="41">
        <f t="shared" si="11"/>
        <v>3.7037037037037035E-2</v>
      </c>
      <c r="S115" s="41">
        <f t="shared" si="12"/>
        <v>0</v>
      </c>
      <c r="T115" s="42">
        <v>225</v>
      </c>
      <c r="U115" s="42">
        <v>82</v>
      </c>
      <c r="V115" s="42">
        <v>134</v>
      </c>
      <c r="W115" s="42">
        <v>9</v>
      </c>
      <c r="X115" s="42">
        <v>450</v>
      </c>
      <c r="Y115" s="43">
        <v>0.5</v>
      </c>
      <c r="Z115" s="43">
        <v>0.18222222222222223</v>
      </c>
      <c r="AA115" s="43">
        <v>0.29777777777777775</v>
      </c>
      <c r="AB115" s="43">
        <v>0.02</v>
      </c>
      <c r="AC115" s="44">
        <v>62.673333333333332</v>
      </c>
      <c r="AD115" s="41">
        <f t="shared" si="13"/>
        <v>0.78</v>
      </c>
    </row>
    <row r="116" spans="1:30" x14ac:dyDescent="0.25">
      <c r="A116" s="40"/>
      <c r="B116" s="40"/>
      <c r="C116" s="40"/>
      <c r="D116" s="40">
        <v>2</v>
      </c>
      <c r="E116" s="40">
        <v>375</v>
      </c>
      <c r="F116" s="40">
        <v>182</v>
      </c>
      <c r="G116" s="40">
        <v>0</v>
      </c>
      <c r="H116" s="40">
        <v>73</v>
      </c>
      <c r="I116" s="40">
        <v>6</v>
      </c>
      <c r="J116" s="40">
        <v>108</v>
      </c>
      <c r="K116" s="40">
        <v>369</v>
      </c>
      <c r="L116" s="40">
        <v>6</v>
      </c>
      <c r="M116" s="40">
        <f t="shared" si="7"/>
        <v>375</v>
      </c>
      <c r="N116" s="40">
        <v>0</v>
      </c>
      <c r="O116" s="41">
        <f t="shared" si="8"/>
        <v>0.48533333333333334</v>
      </c>
      <c r="P116" s="41">
        <f t="shared" si="9"/>
        <v>0.28799999999999998</v>
      </c>
      <c r="Q116" s="41">
        <f t="shared" si="10"/>
        <v>0.19466666666666665</v>
      </c>
      <c r="R116" s="41">
        <f t="shared" si="11"/>
        <v>1.6E-2</v>
      </c>
      <c r="S116" s="41">
        <f t="shared" si="12"/>
        <v>0</v>
      </c>
      <c r="T116" s="42">
        <v>238</v>
      </c>
      <c r="U116" s="42">
        <v>89</v>
      </c>
      <c r="V116" s="42">
        <v>117</v>
      </c>
      <c r="W116" s="42">
        <v>6</v>
      </c>
      <c r="X116" s="42">
        <v>450</v>
      </c>
      <c r="Y116" s="43">
        <v>0.52888888888888885</v>
      </c>
      <c r="Z116" s="43">
        <v>0.19777777777777777</v>
      </c>
      <c r="AA116" s="43">
        <v>0.26</v>
      </c>
      <c r="AB116" s="43">
        <v>1.3333333333333334E-2</v>
      </c>
      <c r="AC116" s="44">
        <v>56.404444444444444</v>
      </c>
      <c r="AD116" s="41">
        <f t="shared" si="13"/>
        <v>0.83333333333333337</v>
      </c>
    </row>
    <row r="117" spans="1:30" x14ac:dyDescent="0.25">
      <c r="A117" s="40"/>
      <c r="B117" s="40"/>
      <c r="C117" s="40"/>
      <c r="D117" s="40">
        <v>3</v>
      </c>
      <c r="E117" s="40">
        <v>557</v>
      </c>
      <c r="F117" s="40">
        <v>301</v>
      </c>
      <c r="G117" s="40">
        <v>3</v>
      </c>
      <c r="H117" s="40">
        <v>70</v>
      </c>
      <c r="I117" s="40">
        <v>5</v>
      </c>
      <c r="J117" s="40">
        <v>175</v>
      </c>
      <c r="K117" s="40">
        <v>554</v>
      </c>
      <c r="L117" s="40">
        <v>3</v>
      </c>
      <c r="M117" s="40">
        <f t="shared" si="7"/>
        <v>557</v>
      </c>
      <c r="N117" s="40">
        <v>0</v>
      </c>
      <c r="O117" s="41">
        <f t="shared" si="8"/>
        <v>0.54039497307001794</v>
      </c>
      <c r="P117" s="41">
        <f t="shared" si="9"/>
        <v>0.31418312387791741</v>
      </c>
      <c r="Q117" s="41">
        <f t="shared" si="10"/>
        <v>0.12567324955116696</v>
      </c>
      <c r="R117" s="41">
        <f t="shared" si="11"/>
        <v>8.9766606822262122E-3</v>
      </c>
      <c r="S117" s="41">
        <f t="shared" si="12"/>
        <v>5.3859964093357273E-3</v>
      </c>
      <c r="T117" s="42">
        <v>364</v>
      </c>
      <c r="U117" s="42">
        <v>138</v>
      </c>
      <c r="V117" s="42">
        <v>201</v>
      </c>
      <c r="W117" s="42">
        <v>12</v>
      </c>
      <c r="X117" s="42">
        <v>715</v>
      </c>
      <c r="Y117" s="43">
        <v>0.50909090909090904</v>
      </c>
      <c r="Z117" s="43">
        <v>0.19300699300699301</v>
      </c>
      <c r="AA117" s="43">
        <v>0.28111888111888111</v>
      </c>
      <c r="AB117" s="43">
        <v>1.6783216783216783E-2</v>
      </c>
      <c r="AC117" s="44">
        <v>48.485314685314684</v>
      </c>
      <c r="AD117" s="41">
        <f t="shared" si="13"/>
        <v>0.779020979020979</v>
      </c>
    </row>
    <row r="118" spans="1:30" x14ac:dyDescent="0.25">
      <c r="A118" s="40"/>
      <c r="B118" s="40"/>
      <c r="C118" s="40"/>
      <c r="D118" s="40">
        <v>4</v>
      </c>
      <c r="E118" s="40">
        <v>557</v>
      </c>
      <c r="F118" s="40">
        <v>297</v>
      </c>
      <c r="G118" s="40">
        <v>1</v>
      </c>
      <c r="H118" s="40">
        <v>55</v>
      </c>
      <c r="I118" s="40">
        <v>14</v>
      </c>
      <c r="J118" s="40">
        <v>189</v>
      </c>
      <c r="K118" s="40">
        <v>556</v>
      </c>
      <c r="L118" s="40">
        <v>1</v>
      </c>
      <c r="M118" s="40">
        <f t="shared" si="7"/>
        <v>557</v>
      </c>
      <c r="N118" s="40">
        <v>0</v>
      </c>
      <c r="O118" s="41">
        <f t="shared" si="8"/>
        <v>0.53321364452423703</v>
      </c>
      <c r="P118" s="41">
        <f t="shared" si="9"/>
        <v>0.33931777378815081</v>
      </c>
      <c r="Q118" s="41">
        <f t="shared" si="10"/>
        <v>9.8743267504488336E-2</v>
      </c>
      <c r="R118" s="41">
        <f t="shared" si="11"/>
        <v>2.5134649910233394E-2</v>
      </c>
      <c r="S118" s="41">
        <f t="shared" si="12"/>
        <v>1.7953321364452424E-3</v>
      </c>
      <c r="T118" s="42">
        <v>389</v>
      </c>
      <c r="U118" s="42">
        <v>85</v>
      </c>
      <c r="V118" s="42">
        <v>228</v>
      </c>
      <c r="W118" s="42">
        <v>13</v>
      </c>
      <c r="X118" s="42">
        <v>715</v>
      </c>
      <c r="Y118" s="43">
        <v>0.54405594405594404</v>
      </c>
      <c r="Z118" s="43">
        <v>0.11888111888111888</v>
      </c>
      <c r="AA118" s="43">
        <v>0.31888111888111886</v>
      </c>
      <c r="AB118" s="43">
        <v>1.8181818181818181E-2</v>
      </c>
      <c r="AC118" s="44">
        <v>40.158041958041956</v>
      </c>
      <c r="AD118" s="41">
        <f t="shared" si="13"/>
        <v>0.779020979020979</v>
      </c>
    </row>
    <row r="119" spans="1:30" x14ac:dyDescent="0.25">
      <c r="A119" s="40"/>
      <c r="B119" s="40"/>
      <c r="C119" s="40"/>
      <c r="D119" s="40">
        <v>5</v>
      </c>
      <c r="E119" s="40">
        <v>520</v>
      </c>
      <c r="F119" s="40">
        <v>271</v>
      </c>
      <c r="G119" s="40">
        <v>1</v>
      </c>
      <c r="H119" s="40">
        <v>41</v>
      </c>
      <c r="I119" s="40">
        <v>9</v>
      </c>
      <c r="J119" s="40">
        <v>194</v>
      </c>
      <c r="K119" s="40">
        <v>516</v>
      </c>
      <c r="L119" s="40">
        <v>4</v>
      </c>
      <c r="M119" s="40">
        <f t="shared" si="7"/>
        <v>520</v>
      </c>
      <c r="N119" s="40">
        <v>0</v>
      </c>
      <c r="O119" s="41">
        <f t="shared" si="8"/>
        <v>0.52115384615384619</v>
      </c>
      <c r="P119" s="41">
        <f t="shared" si="9"/>
        <v>0.37307692307692308</v>
      </c>
      <c r="Q119" s="41">
        <f t="shared" si="10"/>
        <v>7.8846153846153844E-2</v>
      </c>
      <c r="R119" s="41">
        <f t="shared" si="11"/>
        <v>1.7307692307692309E-2</v>
      </c>
      <c r="S119" s="41">
        <f t="shared" si="12"/>
        <v>1.9230769230769232E-3</v>
      </c>
      <c r="T119" s="42">
        <v>450</v>
      </c>
      <c r="U119" s="42">
        <v>75</v>
      </c>
      <c r="V119" s="42">
        <v>180</v>
      </c>
      <c r="W119" s="42">
        <v>10</v>
      </c>
      <c r="X119" s="42">
        <v>715</v>
      </c>
      <c r="Y119" s="43">
        <v>0.62937062937062938</v>
      </c>
      <c r="Z119" s="43">
        <v>0.1048951048951049</v>
      </c>
      <c r="AA119" s="43">
        <v>0.25174825174825177</v>
      </c>
      <c r="AB119" s="43">
        <v>1.3986013986013986E-2</v>
      </c>
      <c r="AC119" s="44">
        <v>33.229370629370628</v>
      </c>
      <c r="AD119" s="41">
        <f t="shared" si="13"/>
        <v>0.72727272727272729</v>
      </c>
    </row>
    <row r="120" spans="1:30" x14ac:dyDescent="0.25">
      <c r="A120" s="40"/>
      <c r="B120" s="40"/>
      <c r="C120" s="40"/>
      <c r="D120" s="40">
        <v>6</v>
      </c>
      <c r="E120" s="40">
        <v>553</v>
      </c>
      <c r="F120" s="40">
        <v>285</v>
      </c>
      <c r="G120" s="40">
        <v>1</v>
      </c>
      <c r="H120" s="40">
        <v>57</v>
      </c>
      <c r="I120" s="40">
        <v>5</v>
      </c>
      <c r="J120" s="40">
        <v>203</v>
      </c>
      <c r="K120" s="40">
        <v>551</v>
      </c>
      <c r="L120" s="40">
        <v>2</v>
      </c>
      <c r="M120" s="40">
        <f t="shared" si="7"/>
        <v>553</v>
      </c>
      <c r="N120" s="40">
        <v>0</v>
      </c>
      <c r="O120" s="41">
        <f t="shared" si="8"/>
        <v>0.51537070524412298</v>
      </c>
      <c r="P120" s="41">
        <f t="shared" si="9"/>
        <v>0.36708860759493672</v>
      </c>
      <c r="Q120" s="41">
        <f t="shared" si="10"/>
        <v>0.10307414104882459</v>
      </c>
      <c r="R120" s="41">
        <f t="shared" si="11"/>
        <v>9.0415913200723331E-3</v>
      </c>
      <c r="S120" s="41">
        <f t="shared" si="12"/>
        <v>1.8083182640144665E-3</v>
      </c>
      <c r="T120" s="42">
        <v>478</v>
      </c>
      <c r="U120" s="42">
        <v>68</v>
      </c>
      <c r="V120" s="42">
        <v>168</v>
      </c>
      <c r="W120" s="42">
        <v>1</v>
      </c>
      <c r="X120" s="42">
        <v>715</v>
      </c>
      <c r="Y120" s="43">
        <v>0.6685314685314685</v>
      </c>
      <c r="Z120" s="43">
        <v>9.5104895104895101E-2</v>
      </c>
      <c r="AA120" s="43">
        <v>0.23496503496503496</v>
      </c>
      <c r="AB120" s="43">
        <v>1.3986013986013986E-3</v>
      </c>
      <c r="AC120" s="44">
        <v>27.935664335664335</v>
      </c>
      <c r="AD120" s="41">
        <f t="shared" si="13"/>
        <v>0.77342657342657339</v>
      </c>
    </row>
    <row r="121" spans="1:30" x14ac:dyDescent="0.25">
      <c r="A121" s="40"/>
      <c r="B121" s="40"/>
      <c r="C121" s="40"/>
      <c r="D121" s="40">
        <v>7</v>
      </c>
      <c r="E121" s="40">
        <v>582</v>
      </c>
      <c r="F121" s="40">
        <v>290</v>
      </c>
      <c r="G121" s="40">
        <v>1</v>
      </c>
      <c r="H121" s="40">
        <v>72</v>
      </c>
      <c r="I121" s="40">
        <v>5</v>
      </c>
      <c r="J121" s="40">
        <v>213</v>
      </c>
      <c r="K121" s="40">
        <v>581</v>
      </c>
      <c r="L121" s="40">
        <v>1</v>
      </c>
      <c r="M121" s="40">
        <f t="shared" si="7"/>
        <v>582</v>
      </c>
      <c r="N121" s="40">
        <v>0</v>
      </c>
      <c r="O121" s="41">
        <f t="shared" si="8"/>
        <v>0.49828178694158076</v>
      </c>
      <c r="P121" s="41">
        <f t="shared" si="9"/>
        <v>0.36597938144329895</v>
      </c>
      <c r="Q121" s="41">
        <f t="shared" si="10"/>
        <v>0.12371134020618557</v>
      </c>
      <c r="R121" s="41">
        <f t="shared" si="11"/>
        <v>8.5910652920962206E-3</v>
      </c>
      <c r="S121" s="41">
        <f t="shared" si="12"/>
        <v>1.718213058419244E-3</v>
      </c>
      <c r="T121" s="42">
        <v>526</v>
      </c>
      <c r="U121" s="42">
        <v>46</v>
      </c>
      <c r="V121" s="42">
        <v>144</v>
      </c>
      <c r="W121" s="42">
        <v>0</v>
      </c>
      <c r="X121" s="42">
        <v>716</v>
      </c>
      <c r="Y121" s="43">
        <v>0.73463687150837986</v>
      </c>
      <c r="Z121" s="43">
        <v>6.4245810055865923E-2</v>
      </c>
      <c r="AA121" s="43">
        <v>0.2011173184357542</v>
      </c>
      <c r="AB121" s="43">
        <v>0</v>
      </c>
      <c r="AC121" s="44">
        <v>23.673184357541899</v>
      </c>
      <c r="AD121" s="41">
        <f t="shared" si="13"/>
        <v>0.81284916201117319</v>
      </c>
    </row>
    <row r="122" spans="1:30" x14ac:dyDescent="0.25">
      <c r="A122" s="40"/>
      <c r="B122" s="40"/>
      <c r="C122" s="40"/>
      <c r="D122" s="40">
        <v>8</v>
      </c>
      <c r="E122" s="40">
        <v>594</v>
      </c>
      <c r="F122" s="40">
        <v>260</v>
      </c>
      <c r="G122" s="40">
        <v>4</v>
      </c>
      <c r="H122" s="40">
        <v>61</v>
      </c>
      <c r="I122" s="40">
        <v>7</v>
      </c>
      <c r="J122" s="40">
        <v>258</v>
      </c>
      <c r="K122" s="40">
        <v>590</v>
      </c>
      <c r="L122" s="40">
        <v>4</v>
      </c>
      <c r="M122" s="40">
        <f t="shared" si="7"/>
        <v>594</v>
      </c>
      <c r="N122" s="40">
        <v>0</v>
      </c>
      <c r="O122" s="41">
        <f t="shared" si="8"/>
        <v>0.43771043771043772</v>
      </c>
      <c r="P122" s="41">
        <f t="shared" si="9"/>
        <v>0.43434343434343436</v>
      </c>
      <c r="Q122" s="41">
        <f t="shared" si="10"/>
        <v>0.1026936026936027</v>
      </c>
      <c r="R122" s="41">
        <f t="shared" si="11"/>
        <v>1.1784511784511785E-2</v>
      </c>
      <c r="S122" s="41">
        <f t="shared" si="12"/>
        <v>6.7340067340067337E-3</v>
      </c>
      <c r="T122" s="42">
        <v>545</v>
      </c>
      <c r="U122" s="42">
        <v>39</v>
      </c>
      <c r="V122" s="42">
        <v>132</v>
      </c>
      <c r="W122" s="42">
        <v>0</v>
      </c>
      <c r="X122" s="42">
        <v>716</v>
      </c>
      <c r="Y122" s="43">
        <v>0.76117318435754189</v>
      </c>
      <c r="Z122" s="43">
        <v>5.4469273743016758E-2</v>
      </c>
      <c r="AA122" s="43">
        <v>0.18435754189944134</v>
      </c>
      <c r="AB122" s="43">
        <v>0</v>
      </c>
      <c r="AC122" s="44">
        <v>19.773743016759777</v>
      </c>
      <c r="AD122" s="41">
        <f t="shared" si="13"/>
        <v>0.82960893854748607</v>
      </c>
    </row>
    <row r="123" spans="1:30" x14ac:dyDescent="0.25">
      <c r="A123" s="40">
        <v>24</v>
      </c>
      <c r="B123" s="40" t="s">
        <v>203</v>
      </c>
      <c r="C123" s="40" t="s">
        <v>206</v>
      </c>
      <c r="D123" s="40">
        <v>1</v>
      </c>
      <c r="E123" s="40">
        <v>363</v>
      </c>
      <c r="F123" s="40">
        <v>213</v>
      </c>
      <c r="G123" s="40">
        <v>0</v>
      </c>
      <c r="H123" s="40">
        <v>62</v>
      </c>
      <c r="I123" s="40">
        <v>6</v>
      </c>
      <c r="J123" s="40">
        <v>81</v>
      </c>
      <c r="K123" s="40">
        <v>362</v>
      </c>
      <c r="L123" s="40">
        <v>1</v>
      </c>
      <c r="M123" s="40">
        <f t="shared" si="7"/>
        <v>363</v>
      </c>
      <c r="N123" s="40">
        <v>0</v>
      </c>
      <c r="O123" s="41">
        <f t="shared" si="8"/>
        <v>0.58677685950413228</v>
      </c>
      <c r="P123" s="41">
        <f t="shared" si="9"/>
        <v>0.2231404958677686</v>
      </c>
      <c r="Q123" s="41">
        <f t="shared" si="10"/>
        <v>0.17079889807162535</v>
      </c>
      <c r="R123" s="41">
        <f t="shared" si="11"/>
        <v>1.6528925619834711E-2</v>
      </c>
      <c r="S123" s="41">
        <f t="shared" si="12"/>
        <v>0</v>
      </c>
      <c r="T123" s="42">
        <v>211</v>
      </c>
      <c r="U123" s="42">
        <v>128</v>
      </c>
      <c r="V123" s="42">
        <v>104</v>
      </c>
      <c r="W123" s="42">
        <v>7</v>
      </c>
      <c r="X123" s="42">
        <v>450</v>
      </c>
      <c r="Y123" s="43">
        <v>0.46888888888888891</v>
      </c>
      <c r="Z123" s="43">
        <v>0.28444444444444444</v>
      </c>
      <c r="AA123" s="43">
        <v>0.2311111111111111</v>
      </c>
      <c r="AB123" s="43">
        <v>1.5555555555555555E-2</v>
      </c>
      <c r="AC123" s="44">
        <v>61.515555555555558</v>
      </c>
      <c r="AD123" s="41">
        <f t="shared" si="13"/>
        <v>0.80666666666666664</v>
      </c>
    </row>
    <row r="124" spans="1:30" x14ac:dyDescent="0.25">
      <c r="A124" s="40"/>
      <c r="B124" s="40"/>
      <c r="C124" s="40"/>
      <c r="D124" s="40">
        <v>2</v>
      </c>
      <c r="E124" s="40">
        <v>567</v>
      </c>
      <c r="F124" s="40">
        <v>302</v>
      </c>
      <c r="G124" s="40">
        <v>1</v>
      </c>
      <c r="H124" s="40">
        <v>50</v>
      </c>
      <c r="I124" s="40">
        <v>12</v>
      </c>
      <c r="J124" s="40">
        <v>201</v>
      </c>
      <c r="K124" s="40">
        <v>566</v>
      </c>
      <c r="L124" s="40">
        <v>1</v>
      </c>
      <c r="M124" s="40">
        <f t="shared" si="7"/>
        <v>567</v>
      </c>
      <c r="N124" s="40">
        <v>0</v>
      </c>
      <c r="O124" s="41">
        <f t="shared" si="8"/>
        <v>0.53262786596119926</v>
      </c>
      <c r="P124" s="41">
        <f t="shared" si="9"/>
        <v>0.35449735449735448</v>
      </c>
      <c r="Q124" s="41">
        <f t="shared" si="10"/>
        <v>8.8183421516754845E-2</v>
      </c>
      <c r="R124" s="41">
        <f t="shared" si="11"/>
        <v>2.1164021164021163E-2</v>
      </c>
      <c r="S124" s="41">
        <f t="shared" si="12"/>
        <v>1.7636684303350969E-3</v>
      </c>
      <c r="T124" s="42">
        <v>351</v>
      </c>
      <c r="U124" s="42">
        <v>180</v>
      </c>
      <c r="V124" s="42">
        <v>136</v>
      </c>
      <c r="W124" s="42">
        <v>15</v>
      </c>
      <c r="X124" s="42">
        <v>682</v>
      </c>
      <c r="Y124" s="43">
        <v>0.51466275659824046</v>
      </c>
      <c r="Z124" s="43">
        <v>0.26392961876832843</v>
      </c>
      <c r="AA124" s="43">
        <v>0.19941348973607037</v>
      </c>
      <c r="AB124" s="43">
        <v>2.1994134897360705E-2</v>
      </c>
      <c r="AC124" s="44">
        <v>50.112903225806448</v>
      </c>
      <c r="AD124" s="41">
        <f t="shared" si="13"/>
        <v>0.83137829912023464</v>
      </c>
    </row>
    <row r="125" spans="1:30" x14ac:dyDescent="0.25">
      <c r="A125" s="40"/>
      <c r="B125" s="40"/>
      <c r="C125" s="40"/>
      <c r="D125" s="40">
        <v>3</v>
      </c>
      <c r="E125" s="40">
        <v>509</v>
      </c>
      <c r="F125" s="40">
        <v>294</v>
      </c>
      <c r="G125" s="40">
        <v>5</v>
      </c>
      <c r="H125" s="40">
        <v>41</v>
      </c>
      <c r="I125" s="40">
        <v>3</v>
      </c>
      <c r="J125" s="40">
        <v>165</v>
      </c>
      <c r="K125" s="40">
        <v>508</v>
      </c>
      <c r="L125" s="40">
        <v>1</v>
      </c>
      <c r="M125" s="40">
        <f t="shared" si="7"/>
        <v>509</v>
      </c>
      <c r="N125" s="40">
        <v>0</v>
      </c>
      <c r="O125" s="41">
        <f t="shared" si="8"/>
        <v>0.57760314341846763</v>
      </c>
      <c r="P125" s="41">
        <f t="shared" si="9"/>
        <v>0.32416502946954812</v>
      </c>
      <c r="Q125" s="41">
        <f t="shared" si="10"/>
        <v>8.0550098231827114E-2</v>
      </c>
      <c r="R125" s="41">
        <f t="shared" si="11"/>
        <v>5.893909626719057E-3</v>
      </c>
      <c r="S125" s="41">
        <f t="shared" si="12"/>
        <v>9.823182711198428E-3</v>
      </c>
      <c r="T125" s="42">
        <v>351</v>
      </c>
      <c r="U125" s="42">
        <v>184</v>
      </c>
      <c r="V125" s="42">
        <v>139</v>
      </c>
      <c r="W125" s="42">
        <v>8</v>
      </c>
      <c r="X125" s="42">
        <v>682</v>
      </c>
      <c r="Y125" s="43">
        <v>0.51466275659824046</v>
      </c>
      <c r="Z125" s="43">
        <v>0.26979472140762462</v>
      </c>
      <c r="AA125" s="43">
        <v>0.20381231671554254</v>
      </c>
      <c r="AB125" s="43">
        <v>1.1730205278592375E-2</v>
      </c>
      <c r="AC125" s="44">
        <v>39.995601173020525</v>
      </c>
      <c r="AD125" s="41">
        <f t="shared" si="13"/>
        <v>0.74633431085043989</v>
      </c>
    </row>
    <row r="126" spans="1:30" x14ac:dyDescent="0.25">
      <c r="A126" s="40"/>
      <c r="B126" s="40"/>
      <c r="C126" s="40"/>
      <c r="D126" s="40">
        <v>4</v>
      </c>
      <c r="E126" s="40">
        <v>495</v>
      </c>
      <c r="F126" s="40">
        <v>285</v>
      </c>
      <c r="G126" s="40">
        <v>1</v>
      </c>
      <c r="H126" s="40">
        <v>39</v>
      </c>
      <c r="I126" s="40">
        <v>8</v>
      </c>
      <c r="J126" s="40">
        <v>162</v>
      </c>
      <c r="K126" s="40">
        <v>495</v>
      </c>
      <c r="L126" s="40">
        <v>0</v>
      </c>
      <c r="M126" s="40">
        <f t="shared" si="7"/>
        <v>495</v>
      </c>
      <c r="N126" s="40">
        <v>0</v>
      </c>
      <c r="O126" s="41">
        <f t="shared" si="8"/>
        <v>0.5757575757575758</v>
      </c>
      <c r="P126" s="41">
        <f t="shared" si="9"/>
        <v>0.32727272727272727</v>
      </c>
      <c r="Q126" s="41">
        <f t="shared" si="10"/>
        <v>7.8787878787878782E-2</v>
      </c>
      <c r="R126" s="41">
        <f t="shared" si="11"/>
        <v>1.6161616161616162E-2</v>
      </c>
      <c r="S126" s="41">
        <f t="shared" si="12"/>
        <v>2.0202020202020202E-3</v>
      </c>
      <c r="T126" s="42">
        <v>378</v>
      </c>
      <c r="U126" s="42">
        <v>182</v>
      </c>
      <c r="V126" s="42">
        <v>116</v>
      </c>
      <c r="W126" s="42">
        <v>6</v>
      </c>
      <c r="X126" s="42">
        <v>682</v>
      </c>
      <c r="Y126" s="43">
        <v>0.55425219941348969</v>
      </c>
      <c r="Z126" s="43">
        <v>0.26686217008797652</v>
      </c>
      <c r="AA126" s="43">
        <v>0.17008797653958943</v>
      </c>
      <c r="AB126" s="43">
        <v>8.7976539589442824E-3</v>
      </c>
      <c r="AC126" s="44">
        <v>31.227272727272727</v>
      </c>
      <c r="AD126" s="41">
        <f t="shared" si="13"/>
        <v>0.72580645161290325</v>
      </c>
    </row>
    <row r="127" spans="1:30" x14ac:dyDescent="0.25">
      <c r="A127" s="40"/>
      <c r="B127" s="40"/>
      <c r="C127" s="40"/>
      <c r="D127" s="40">
        <v>5</v>
      </c>
      <c r="E127" s="40">
        <v>514</v>
      </c>
      <c r="F127" s="40">
        <v>325</v>
      </c>
      <c r="G127" s="40">
        <v>1</v>
      </c>
      <c r="H127" s="40">
        <v>42</v>
      </c>
      <c r="I127" s="40">
        <v>6</v>
      </c>
      <c r="J127" s="40">
        <v>139</v>
      </c>
      <c r="K127" s="40">
        <v>513</v>
      </c>
      <c r="L127" s="40">
        <v>1</v>
      </c>
      <c r="M127" s="40">
        <f t="shared" si="7"/>
        <v>514</v>
      </c>
      <c r="N127" s="40">
        <v>0</v>
      </c>
      <c r="O127" s="41">
        <f t="shared" si="8"/>
        <v>0.63229571984435795</v>
      </c>
      <c r="P127" s="41">
        <f t="shared" si="9"/>
        <v>0.27042801556420232</v>
      </c>
      <c r="Q127" s="41">
        <f t="shared" si="10"/>
        <v>8.171206225680934E-2</v>
      </c>
      <c r="R127" s="41">
        <f t="shared" si="11"/>
        <v>1.1673151750972763E-2</v>
      </c>
      <c r="S127" s="41">
        <f t="shared" si="12"/>
        <v>1.9455252918287938E-3</v>
      </c>
      <c r="T127" s="42">
        <v>407</v>
      </c>
      <c r="U127" s="42">
        <v>166</v>
      </c>
      <c r="V127" s="42">
        <v>107</v>
      </c>
      <c r="W127" s="42">
        <v>2</v>
      </c>
      <c r="X127" s="42">
        <v>682</v>
      </c>
      <c r="Y127" s="43">
        <v>0.59677419354838712</v>
      </c>
      <c r="Z127" s="43">
        <v>0.24340175953079179</v>
      </c>
      <c r="AA127" s="43">
        <v>0.15689149560117302</v>
      </c>
      <c r="AB127" s="43">
        <v>2.9325513196480938E-3</v>
      </c>
      <c r="AC127" s="44">
        <v>26.067448680351905</v>
      </c>
      <c r="AD127" s="41">
        <f t="shared" si="13"/>
        <v>0.75366568914956011</v>
      </c>
    </row>
    <row r="128" spans="1:30" x14ac:dyDescent="0.25">
      <c r="A128" s="40"/>
      <c r="B128" s="40"/>
      <c r="C128" s="40"/>
      <c r="D128" s="40">
        <v>6</v>
      </c>
      <c r="E128" s="40">
        <v>561</v>
      </c>
      <c r="F128" s="40">
        <v>331</v>
      </c>
      <c r="G128" s="40">
        <v>4</v>
      </c>
      <c r="H128" s="40">
        <v>37</v>
      </c>
      <c r="I128" s="40">
        <v>4</v>
      </c>
      <c r="J128" s="40">
        <v>185</v>
      </c>
      <c r="K128" s="40">
        <v>561</v>
      </c>
      <c r="L128" s="40">
        <v>0</v>
      </c>
      <c r="M128" s="40">
        <f t="shared" si="7"/>
        <v>561</v>
      </c>
      <c r="N128" s="40">
        <v>0</v>
      </c>
      <c r="O128" s="41">
        <f t="shared" si="8"/>
        <v>0.59001782531194291</v>
      </c>
      <c r="P128" s="41">
        <f t="shared" si="9"/>
        <v>0.32976827094474154</v>
      </c>
      <c r="Q128" s="41">
        <f t="shared" si="10"/>
        <v>6.5953654188948302E-2</v>
      </c>
      <c r="R128" s="41">
        <f t="shared" si="11"/>
        <v>7.1301247771836003E-3</v>
      </c>
      <c r="S128" s="41">
        <f t="shared" si="12"/>
        <v>7.1301247771836003E-3</v>
      </c>
      <c r="T128" s="42">
        <v>430</v>
      </c>
      <c r="U128" s="42">
        <v>162</v>
      </c>
      <c r="V128" s="42">
        <v>90</v>
      </c>
      <c r="W128" s="42">
        <v>0</v>
      </c>
      <c r="X128" s="42">
        <v>682</v>
      </c>
      <c r="Y128" s="43">
        <v>0.63049853372434017</v>
      </c>
      <c r="Z128" s="43">
        <v>0.23753665689149561</v>
      </c>
      <c r="AA128" s="43">
        <v>0.13196480938416422</v>
      </c>
      <c r="AB128" s="43">
        <v>0</v>
      </c>
      <c r="AC128" s="44">
        <v>22.439882697947215</v>
      </c>
      <c r="AD128" s="41">
        <f t="shared" si="13"/>
        <v>0.82258064516129037</v>
      </c>
    </row>
    <row r="129" spans="1:30" x14ac:dyDescent="0.25">
      <c r="A129" s="40"/>
      <c r="B129" s="40"/>
      <c r="C129" s="40"/>
      <c r="D129" s="40">
        <v>7</v>
      </c>
      <c r="E129" s="40">
        <v>570</v>
      </c>
      <c r="F129" s="40">
        <v>302</v>
      </c>
      <c r="G129" s="40">
        <v>2</v>
      </c>
      <c r="H129" s="40">
        <v>34</v>
      </c>
      <c r="I129" s="40">
        <v>3</v>
      </c>
      <c r="J129" s="40">
        <v>228</v>
      </c>
      <c r="K129" s="40">
        <v>569</v>
      </c>
      <c r="L129" s="40">
        <v>1</v>
      </c>
      <c r="M129" s="40">
        <f t="shared" si="7"/>
        <v>570</v>
      </c>
      <c r="N129" s="40">
        <v>0</v>
      </c>
      <c r="O129" s="41">
        <f t="shared" si="8"/>
        <v>0.52982456140350875</v>
      </c>
      <c r="P129" s="41">
        <f t="shared" si="9"/>
        <v>0.4</v>
      </c>
      <c r="Q129" s="41">
        <f t="shared" si="10"/>
        <v>5.9649122807017542E-2</v>
      </c>
      <c r="R129" s="41">
        <f t="shared" si="11"/>
        <v>5.263157894736842E-3</v>
      </c>
      <c r="S129" s="41">
        <f t="shared" si="12"/>
        <v>3.5087719298245615E-3</v>
      </c>
      <c r="T129" s="42">
        <v>457</v>
      </c>
      <c r="U129" s="42">
        <v>138</v>
      </c>
      <c r="V129" s="42">
        <v>86</v>
      </c>
      <c r="W129" s="42">
        <v>3</v>
      </c>
      <c r="X129" s="42">
        <v>684</v>
      </c>
      <c r="Y129" s="43">
        <v>0.66812865497076024</v>
      </c>
      <c r="Z129" s="43">
        <v>0.20175438596491227</v>
      </c>
      <c r="AA129" s="43">
        <v>0.12573099415204678</v>
      </c>
      <c r="AB129" s="43">
        <v>4.3859649122807015E-3</v>
      </c>
      <c r="AC129" s="44">
        <v>19.345029239766081</v>
      </c>
      <c r="AD129" s="41">
        <f t="shared" si="13"/>
        <v>0.83333333333333337</v>
      </c>
    </row>
    <row r="130" spans="1:30" x14ac:dyDescent="0.25">
      <c r="A130" s="33">
        <v>25</v>
      </c>
      <c r="B130" s="33" t="s">
        <v>207</v>
      </c>
      <c r="C130" s="33" t="s">
        <v>208</v>
      </c>
      <c r="D130" s="33">
        <v>1</v>
      </c>
      <c r="E130" s="33">
        <v>310</v>
      </c>
      <c r="F130" s="33">
        <v>235</v>
      </c>
      <c r="G130" s="33">
        <v>1</v>
      </c>
      <c r="H130" s="33">
        <v>51</v>
      </c>
      <c r="I130" s="33">
        <v>1</v>
      </c>
      <c r="J130" s="33">
        <v>8</v>
      </c>
      <c r="K130" s="33">
        <v>296</v>
      </c>
      <c r="L130" s="33">
        <v>14</v>
      </c>
      <c r="M130" s="33">
        <f t="shared" si="7"/>
        <v>310</v>
      </c>
      <c r="N130" s="33">
        <v>0</v>
      </c>
      <c r="O130" s="34">
        <f t="shared" si="8"/>
        <v>0.75806451612903225</v>
      </c>
      <c r="P130" s="34">
        <f t="shared" si="9"/>
        <v>2.5806451612903226E-2</v>
      </c>
      <c r="Q130" s="34">
        <f t="shared" si="10"/>
        <v>0.16451612903225807</v>
      </c>
      <c r="R130" s="34">
        <f t="shared" si="11"/>
        <v>3.2258064516129032E-3</v>
      </c>
      <c r="S130" s="34">
        <f t="shared" si="12"/>
        <v>3.2258064516129032E-3</v>
      </c>
      <c r="T130" s="35">
        <v>47</v>
      </c>
      <c r="U130" s="35">
        <v>222</v>
      </c>
      <c r="V130" s="35">
        <v>166</v>
      </c>
      <c r="W130" s="35">
        <v>15</v>
      </c>
      <c r="X130" s="35">
        <v>450</v>
      </c>
      <c r="Y130" s="36">
        <v>0.10444444444444445</v>
      </c>
      <c r="Z130" s="36">
        <v>0.49333333333333335</v>
      </c>
      <c r="AA130" s="36">
        <v>0.36888888888888888</v>
      </c>
      <c r="AB130" s="36">
        <v>3.3333333333333333E-2</v>
      </c>
      <c r="AC130" s="37">
        <v>66.900000000000006</v>
      </c>
      <c r="AD130" s="34">
        <f t="shared" si="13"/>
        <v>0.68888888888888888</v>
      </c>
    </row>
    <row r="131" spans="1:30" x14ac:dyDescent="0.25">
      <c r="A131" s="33"/>
      <c r="B131" s="33"/>
      <c r="C131" s="33"/>
      <c r="D131" s="33">
        <v>2</v>
      </c>
      <c r="E131" s="33">
        <v>367</v>
      </c>
      <c r="F131" s="33">
        <v>273</v>
      </c>
      <c r="G131" s="33">
        <v>0</v>
      </c>
      <c r="H131" s="33">
        <v>67</v>
      </c>
      <c r="I131" s="33">
        <v>4</v>
      </c>
      <c r="J131" s="33">
        <v>17</v>
      </c>
      <c r="K131" s="33">
        <v>361</v>
      </c>
      <c r="L131" s="33">
        <v>6</v>
      </c>
      <c r="M131" s="33">
        <f t="shared" ref="M131:M194" si="14">L131+K131</f>
        <v>367</v>
      </c>
      <c r="N131" s="33">
        <v>0</v>
      </c>
      <c r="O131" s="34">
        <f t="shared" ref="O131:O194" si="15">F131/M131</f>
        <v>0.7438692098092643</v>
      </c>
      <c r="P131" s="34">
        <f t="shared" ref="P131:P194" si="16">J131/M131</f>
        <v>4.632152588555858E-2</v>
      </c>
      <c r="Q131" s="34">
        <f t="shared" ref="Q131:Q194" si="17">H131/M131</f>
        <v>0.18256130790190736</v>
      </c>
      <c r="R131" s="34">
        <f t="shared" ref="R131:R194" si="18">I131/M131</f>
        <v>1.0899182561307902E-2</v>
      </c>
      <c r="S131" s="34">
        <f t="shared" ref="S131:S194" si="19">G131/M131</f>
        <v>0</v>
      </c>
      <c r="T131" s="35">
        <v>63</v>
      </c>
      <c r="U131" s="35">
        <v>171</v>
      </c>
      <c r="V131" s="35">
        <v>194</v>
      </c>
      <c r="W131" s="35">
        <v>22</v>
      </c>
      <c r="X131" s="35">
        <v>450</v>
      </c>
      <c r="Y131" s="36">
        <v>0.14000000000000001</v>
      </c>
      <c r="Z131" s="36">
        <v>0.38</v>
      </c>
      <c r="AA131" s="36">
        <v>0.43111111111111111</v>
      </c>
      <c r="AB131" s="36">
        <v>4.8888888888888891E-2</v>
      </c>
      <c r="AC131" s="37">
        <v>59.728888888888889</v>
      </c>
      <c r="AD131" s="34">
        <f t="shared" ref="AD131:AD194" si="20">M131/X131</f>
        <v>0.81555555555555559</v>
      </c>
    </row>
    <row r="132" spans="1:30" x14ac:dyDescent="0.25">
      <c r="A132" s="33"/>
      <c r="B132" s="33"/>
      <c r="C132" s="33"/>
      <c r="D132" s="33">
        <v>3</v>
      </c>
      <c r="E132" s="33">
        <v>489</v>
      </c>
      <c r="F132" s="33">
        <v>431</v>
      </c>
      <c r="G132" s="33">
        <v>2</v>
      </c>
      <c r="H132" s="33">
        <v>36</v>
      </c>
      <c r="I132" s="33">
        <v>1</v>
      </c>
      <c r="J132" s="33">
        <v>17</v>
      </c>
      <c r="K132" s="33">
        <v>487</v>
      </c>
      <c r="L132" s="33">
        <v>2</v>
      </c>
      <c r="M132" s="33">
        <f t="shared" si="14"/>
        <v>489</v>
      </c>
      <c r="N132" s="33">
        <v>0</v>
      </c>
      <c r="O132" s="34">
        <f t="shared" si="15"/>
        <v>0.88139059304703471</v>
      </c>
      <c r="P132" s="34">
        <f t="shared" si="16"/>
        <v>3.4764826175869123E-2</v>
      </c>
      <c r="Q132" s="34">
        <f t="shared" si="17"/>
        <v>7.3619631901840496E-2</v>
      </c>
      <c r="R132" s="34">
        <f t="shared" si="18"/>
        <v>2.0449897750511249E-3</v>
      </c>
      <c r="S132" s="34">
        <f t="shared" si="19"/>
        <v>4.0899795501022499E-3</v>
      </c>
      <c r="T132" s="35">
        <v>48</v>
      </c>
      <c r="U132" s="35">
        <v>311</v>
      </c>
      <c r="V132" s="35">
        <v>238</v>
      </c>
      <c r="W132" s="35">
        <v>28</v>
      </c>
      <c r="X132" s="35">
        <v>625</v>
      </c>
      <c r="Y132" s="36">
        <v>7.6799999999999993E-2</v>
      </c>
      <c r="Z132" s="36">
        <v>0.49759999999999999</v>
      </c>
      <c r="AA132" s="36">
        <v>0.38080000000000003</v>
      </c>
      <c r="AB132" s="36">
        <v>4.48E-2</v>
      </c>
      <c r="AC132" s="37">
        <v>50.776000000000003</v>
      </c>
      <c r="AD132" s="34">
        <f t="shared" si="20"/>
        <v>0.78239999999999998</v>
      </c>
    </row>
    <row r="133" spans="1:30" x14ac:dyDescent="0.25">
      <c r="A133" s="33"/>
      <c r="B133" s="33"/>
      <c r="C133" s="33"/>
      <c r="D133" s="33">
        <v>4</v>
      </c>
      <c r="E133" s="33">
        <v>478</v>
      </c>
      <c r="F133" s="33">
        <v>418</v>
      </c>
      <c r="G133" s="33">
        <v>0</v>
      </c>
      <c r="H133" s="33">
        <v>44</v>
      </c>
      <c r="I133" s="33">
        <v>0</v>
      </c>
      <c r="J133" s="33">
        <v>15</v>
      </c>
      <c r="K133" s="33">
        <v>477</v>
      </c>
      <c r="L133" s="33">
        <v>1</v>
      </c>
      <c r="M133" s="33">
        <f t="shared" si="14"/>
        <v>478</v>
      </c>
      <c r="N133" s="33">
        <v>0</v>
      </c>
      <c r="O133" s="34">
        <f t="shared" si="15"/>
        <v>0.87447698744769875</v>
      </c>
      <c r="P133" s="34">
        <f t="shared" si="16"/>
        <v>3.1380753138075312E-2</v>
      </c>
      <c r="Q133" s="34">
        <f t="shared" si="17"/>
        <v>9.2050209205020925E-2</v>
      </c>
      <c r="R133" s="34">
        <f t="shared" si="18"/>
        <v>0</v>
      </c>
      <c r="S133" s="34">
        <f t="shared" si="19"/>
        <v>0</v>
      </c>
      <c r="T133" s="35">
        <v>41</v>
      </c>
      <c r="U133" s="35">
        <v>304</v>
      </c>
      <c r="V133" s="35">
        <v>238</v>
      </c>
      <c r="W133" s="35">
        <v>42</v>
      </c>
      <c r="X133" s="35">
        <v>625</v>
      </c>
      <c r="Y133" s="36">
        <v>6.5600000000000006E-2</v>
      </c>
      <c r="Z133" s="36">
        <v>0.4864</v>
      </c>
      <c r="AA133" s="36">
        <v>0.38080000000000003</v>
      </c>
      <c r="AB133" s="36">
        <v>6.7199999999999996E-2</v>
      </c>
      <c r="AC133" s="37">
        <v>42.887999999999998</v>
      </c>
      <c r="AD133" s="34">
        <f t="shared" si="20"/>
        <v>0.76480000000000004</v>
      </c>
    </row>
    <row r="134" spans="1:30" x14ac:dyDescent="0.25">
      <c r="A134" s="33"/>
      <c r="B134" s="33"/>
      <c r="C134" s="33"/>
      <c r="D134" s="33">
        <v>5</v>
      </c>
      <c r="E134" s="33">
        <v>469</v>
      </c>
      <c r="F134" s="33">
        <v>398</v>
      </c>
      <c r="G134" s="33">
        <v>1</v>
      </c>
      <c r="H134" s="33">
        <v>44</v>
      </c>
      <c r="I134" s="33">
        <v>2</v>
      </c>
      <c r="J134" s="33">
        <v>22</v>
      </c>
      <c r="K134" s="33">
        <v>467</v>
      </c>
      <c r="L134" s="33">
        <v>2</v>
      </c>
      <c r="M134" s="33">
        <f t="shared" si="14"/>
        <v>469</v>
      </c>
      <c r="N134" s="33">
        <v>0</v>
      </c>
      <c r="O134" s="34">
        <f t="shared" si="15"/>
        <v>0.84861407249466947</v>
      </c>
      <c r="P134" s="34">
        <f t="shared" si="16"/>
        <v>4.6908315565031986E-2</v>
      </c>
      <c r="Q134" s="34">
        <f t="shared" si="17"/>
        <v>9.3816631130063971E-2</v>
      </c>
      <c r="R134" s="34">
        <f t="shared" si="18"/>
        <v>4.2643923240938165E-3</v>
      </c>
      <c r="S134" s="34">
        <f t="shared" si="19"/>
        <v>2.1321961620469083E-3</v>
      </c>
      <c r="T134" s="35">
        <v>56</v>
      </c>
      <c r="U134" s="35">
        <v>254</v>
      </c>
      <c r="V134" s="35">
        <v>269</v>
      </c>
      <c r="W134" s="35">
        <v>46</v>
      </c>
      <c r="X134" s="35">
        <v>625</v>
      </c>
      <c r="Y134" s="36">
        <v>8.9599999999999999E-2</v>
      </c>
      <c r="Z134" s="36">
        <v>0.40639999999999998</v>
      </c>
      <c r="AA134" s="36">
        <v>0.4304</v>
      </c>
      <c r="AB134" s="36">
        <v>7.3599999999999999E-2</v>
      </c>
      <c r="AC134" s="37">
        <v>36.1584</v>
      </c>
      <c r="AD134" s="34">
        <f t="shared" si="20"/>
        <v>0.75039999999999996</v>
      </c>
    </row>
    <row r="135" spans="1:30" x14ac:dyDescent="0.25">
      <c r="A135" s="33"/>
      <c r="B135" s="33"/>
      <c r="C135" s="33"/>
      <c r="D135" s="33">
        <v>6</v>
      </c>
      <c r="E135" s="33">
        <v>453</v>
      </c>
      <c r="F135" s="33">
        <v>368</v>
      </c>
      <c r="G135" s="33">
        <v>0</v>
      </c>
      <c r="H135" s="33">
        <v>46</v>
      </c>
      <c r="I135" s="33">
        <v>0</v>
      </c>
      <c r="J135" s="33">
        <v>39</v>
      </c>
      <c r="K135" s="33">
        <v>453</v>
      </c>
      <c r="L135" s="33">
        <v>0</v>
      </c>
      <c r="M135" s="33">
        <f t="shared" si="14"/>
        <v>453</v>
      </c>
      <c r="N135" s="33">
        <v>0</v>
      </c>
      <c r="O135" s="34">
        <f t="shared" si="15"/>
        <v>0.8123620309050773</v>
      </c>
      <c r="P135" s="34">
        <f t="shared" si="16"/>
        <v>8.6092715231788075E-2</v>
      </c>
      <c r="Q135" s="34">
        <f t="shared" si="17"/>
        <v>0.10154525386313466</v>
      </c>
      <c r="R135" s="34">
        <f t="shared" si="18"/>
        <v>0</v>
      </c>
      <c r="S135" s="34">
        <f t="shared" si="19"/>
        <v>0</v>
      </c>
      <c r="T135" s="35">
        <v>114</v>
      </c>
      <c r="U135" s="35">
        <v>241</v>
      </c>
      <c r="V135" s="35">
        <v>260</v>
      </c>
      <c r="W135" s="35">
        <v>10</v>
      </c>
      <c r="X135" s="35">
        <v>625</v>
      </c>
      <c r="Y135" s="36">
        <v>0.18240000000000001</v>
      </c>
      <c r="Z135" s="36">
        <v>0.3856</v>
      </c>
      <c r="AA135" s="36">
        <v>0.41599999999999998</v>
      </c>
      <c r="AB135" s="36">
        <v>1.6E-2</v>
      </c>
      <c r="AC135" s="37">
        <v>29.52</v>
      </c>
      <c r="AD135" s="34">
        <f t="shared" si="20"/>
        <v>0.7248</v>
      </c>
    </row>
    <row r="136" spans="1:30" x14ac:dyDescent="0.25">
      <c r="A136" s="33"/>
      <c r="B136" s="33"/>
      <c r="C136" s="33"/>
      <c r="D136" s="33">
        <v>7</v>
      </c>
      <c r="E136" s="33">
        <v>483</v>
      </c>
      <c r="F136" s="33">
        <v>393</v>
      </c>
      <c r="G136" s="33">
        <v>0</v>
      </c>
      <c r="H136" s="33">
        <v>41</v>
      </c>
      <c r="I136" s="33">
        <v>0</v>
      </c>
      <c r="J136" s="33">
        <v>46</v>
      </c>
      <c r="K136" s="33">
        <v>480</v>
      </c>
      <c r="L136" s="33">
        <v>3</v>
      </c>
      <c r="M136" s="33">
        <f t="shared" si="14"/>
        <v>483</v>
      </c>
      <c r="N136" s="33">
        <v>0</v>
      </c>
      <c r="O136" s="34">
        <f t="shared" si="15"/>
        <v>0.81366459627329191</v>
      </c>
      <c r="P136" s="34">
        <f t="shared" si="16"/>
        <v>9.5238095238095233E-2</v>
      </c>
      <c r="Q136" s="34">
        <f t="shared" si="17"/>
        <v>8.4886128364389232E-2</v>
      </c>
      <c r="R136" s="34">
        <f t="shared" si="18"/>
        <v>0</v>
      </c>
      <c r="S136" s="34">
        <f t="shared" si="19"/>
        <v>0</v>
      </c>
      <c r="T136" s="35">
        <v>131</v>
      </c>
      <c r="U136" s="35">
        <v>227</v>
      </c>
      <c r="V136" s="35">
        <v>262</v>
      </c>
      <c r="W136" s="35">
        <v>5</v>
      </c>
      <c r="X136" s="35">
        <v>625</v>
      </c>
      <c r="Y136" s="36">
        <v>0.20960000000000001</v>
      </c>
      <c r="Z136" s="36">
        <v>0.36320000000000002</v>
      </c>
      <c r="AA136" s="36">
        <v>0.41920000000000002</v>
      </c>
      <c r="AB136" s="36">
        <v>8.0000000000000002E-3</v>
      </c>
      <c r="AC136" s="37">
        <v>21.9968</v>
      </c>
      <c r="AD136" s="34">
        <f t="shared" si="20"/>
        <v>0.77280000000000004</v>
      </c>
    </row>
    <row r="137" spans="1:30" x14ac:dyDescent="0.25">
      <c r="A137" s="33">
        <v>26</v>
      </c>
      <c r="B137" s="33" t="s">
        <v>209</v>
      </c>
      <c r="C137" s="33" t="s">
        <v>210</v>
      </c>
      <c r="D137" s="33">
        <v>1</v>
      </c>
      <c r="E137" s="33">
        <v>248</v>
      </c>
      <c r="F137" s="33">
        <v>218</v>
      </c>
      <c r="G137" s="33">
        <v>0</v>
      </c>
      <c r="H137" s="33">
        <v>16</v>
      </c>
      <c r="I137" s="33">
        <v>3</v>
      </c>
      <c r="J137" s="33">
        <v>7</v>
      </c>
      <c r="K137" s="33">
        <v>244</v>
      </c>
      <c r="L137" s="33">
        <v>4</v>
      </c>
      <c r="M137" s="33">
        <f t="shared" si="14"/>
        <v>248</v>
      </c>
      <c r="N137" s="33">
        <v>0</v>
      </c>
      <c r="O137" s="34">
        <f t="shared" si="15"/>
        <v>0.87903225806451613</v>
      </c>
      <c r="P137" s="34">
        <f t="shared" si="16"/>
        <v>2.8225806451612902E-2</v>
      </c>
      <c r="Q137" s="34">
        <f t="shared" si="17"/>
        <v>6.4516129032258063E-2</v>
      </c>
      <c r="R137" s="34">
        <f t="shared" si="18"/>
        <v>1.2096774193548387E-2</v>
      </c>
      <c r="S137" s="34">
        <f t="shared" si="19"/>
        <v>0</v>
      </c>
      <c r="T137" s="35">
        <v>4</v>
      </c>
      <c r="U137" s="35">
        <v>347</v>
      </c>
      <c r="V137" s="35">
        <v>98</v>
      </c>
      <c r="W137" s="35">
        <v>1</v>
      </c>
      <c r="X137" s="35">
        <v>450</v>
      </c>
      <c r="Y137" s="36">
        <v>8.8888888888888889E-3</v>
      </c>
      <c r="Z137" s="36">
        <v>0.77111111111111108</v>
      </c>
      <c r="AA137" s="36">
        <v>0.21777777777777776</v>
      </c>
      <c r="AB137" s="36">
        <v>2.2222222222222222E-3</v>
      </c>
      <c r="AC137" s="37">
        <v>75.691111111111113</v>
      </c>
      <c r="AD137" s="34">
        <f t="shared" si="20"/>
        <v>0.55111111111111111</v>
      </c>
    </row>
    <row r="138" spans="1:30" x14ac:dyDescent="0.25">
      <c r="A138" s="33"/>
      <c r="B138" s="33"/>
      <c r="C138" s="33"/>
      <c r="D138" s="33">
        <v>2</v>
      </c>
      <c r="E138" s="33">
        <v>346</v>
      </c>
      <c r="F138" s="33">
        <v>313</v>
      </c>
      <c r="G138" s="33">
        <v>0</v>
      </c>
      <c r="H138" s="33">
        <v>25</v>
      </c>
      <c r="I138" s="33">
        <v>1</v>
      </c>
      <c r="J138" s="33">
        <v>3</v>
      </c>
      <c r="K138" s="33">
        <v>342</v>
      </c>
      <c r="L138" s="33">
        <v>4</v>
      </c>
      <c r="M138" s="33">
        <f t="shared" si="14"/>
        <v>346</v>
      </c>
      <c r="N138" s="33">
        <v>0</v>
      </c>
      <c r="O138" s="34">
        <f t="shared" si="15"/>
        <v>0.90462427745664742</v>
      </c>
      <c r="P138" s="34">
        <f t="shared" si="16"/>
        <v>8.670520231213872E-3</v>
      </c>
      <c r="Q138" s="34">
        <f t="shared" si="17"/>
        <v>7.2254335260115612E-2</v>
      </c>
      <c r="R138" s="34">
        <f t="shared" si="18"/>
        <v>2.8901734104046241E-3</v>
      </c>
      <c r="S138" s="34">
        <f t="shared" si="19"/>
        <v>0</v>
      </c>
      <c r="T138" s="35">
        <v>2</v>
      </c>
      <c r="U138" s="35">
        <v>337</v>
      </c>
      <c r="V138" s="35">
        <v>110</v>
      </c>
      <c r="W138" s="35">
        <v>1</v>
      </c>
      <c r="X138" s="35">
        <v>450</v>
      </c>
      <c r="Y138" s="36">
        <v>4.4444444444444444E-3</v>
      </c>
      <c r="Z138" s="36">
        <v>0.74888888888888894</v>
      </c>
      <c r="AA138" s="36">
        <v>0.24444444444444444</v>
      </c>
      <c r="AB138" s="36">
        <v>2.2222222222222222E-3</v>
      </c>
      <c r="AC138" s="37">
        <v>68.968888888888884</v>
      </c>
      <c r="AD138" s="34">
        <f t="shared" si="20"/>
        <v>0.76888888888888884</v>
      </c>
    </row>
    <row r="139" spans="1:30" x14ac:dyDescent="0.25">
      <c r="A139" s="33"/>
      <c r="B139" s="33"/>
      <c r="C139" s="33"/>
      <c r="D139" s="33">
        <v>3</v>
      </c>
      <c r="E139" s="33">
        <v>366</v>
      </c>
      <c r="F139" s="33">
        <v>327</v>
      </c>
      <c r="G139" s="33">
        <v>0</v>
      </c>
      <c r="H139" s="33">
        <v>24</v>
      </c>
      <c r="I139" s="33">
        <v>1</v>
      </c>
      <c r="J139" s="33">
        <v>4</v>
      </c>
      <c r="K139" s="33">
        <v>356</v>
      </c>
      <c r="L139" s="33">
        <v>10</v>
      </c>
      <c r="M139" s="33">
        <f t="shared" si="14"/>
        <v>366</v>
      </c>
      <c r="N139" s="33">
        <v>0</v>
      </c>
      <c r="O139" s="34">
        <f t="shared" si="15"/>
        <v>0.89344262295081966</v>
      </c>
      <c r="P139" s="34">
        <f t="shared" si="16"/>
        <v>1.092896174863388E-2</v>
      </c>
      <c r="Q139" s="34">
        <f t="shared" si="17"/>
        <v>6.5573770491803282E-2</v>
      </c>
      <c r="R139" s="34">
        <f t="shared" si="18"/>
        <v>2.7322404371584699E-3</v>
      </c>
      <c r="S139" s="34">
        <f t="shared" si="19"/>
        <v>0</v>
      </c>
      <c r="T139" s="35">
        <v>7</v>
      </c>
      <c r="U139" s="35">
        <v>350</v>
      </c>
      <c r="V139" s="35">
        <v>92</v>
      </c>
      <c r="W139" s="35">
        <v>1</v>
      </c>
      <c r="X139" s="35">
        <v>450</v>
      </c>
      <c r="Y139" s="36">
        <v>1.5555555555555555E-2</v>
      </c>
      <c r="Z139" s="36">
        <v>0.77777777777777779</v>
      </c>
      <c r="AA139" s="36">
        <v>0.20444444444444446</v>
      </c>
      <c r="AB139" s="36">
        <v>2.2222222222222222E-3</v>
      </c>
      <c r="AC139" s="37">
        <v>62.184444444444445</v>
      </c>
      <c r="AD139" s="34">
        <f t="shared" si="20"/>
        <v>0.81333333333333335</v>
      </c>
    </row>
    <row r="140" spans="1:30" x14ac:dyDescent="0.25">
      <c r="A140" s="33"/>
      <c r="B140" s="33"/>
      <c r="C140" s="33"/>
      <c r="D140" s="33">
        <v>4</v>
      </c>
      <c r="E140" s="33">
        <v>482</v>
      </c>
      <c r="F140" s="33">
        <v>430</v>
      </c>
      <c r="G140" s="33">
        <v>2</v>
      </c>
      <c r="H140" s="33">
        <v>35</v>
      </c>
      <c r="I140" s="33">
        <v>1</v>
      </c>
      <c r="J140" s="33">
        <v>8</v>
      </c>
      <c r="K140" s="33">
        <v>476</v>
      </c>
      <c r="L140" s="33">
        <v>6</v>
      </c>
      <c r="M140" s="33">
        <f t="shared" si="14"/>
        <v>482</v>
      </c>
      <c r="N140" s="33">
        <v>0</v>
      </c>
      <c r="O140" s="34">
        <f t="shared" si="15"/>
        <v>0.89211618257261416</v>
      </c>
      <c r="P140" s="34">
        <f t="shared" si="16"/>
        <v>1.6597510373443983E-2</v>
      </c>
      <c r="Q140" s="34">
        <f t="shared" si="17"/>
        <v>7.2614107883817433E-2</v>
      </c>
      <c r="R140" s="34">
        <f t="shared" si="18"/>
        <v>2.0746887966804979E-3</v>
      </c>
      <c r="S140" s="34">
        <f t="shared" si="19"/>
        <v>4.1493775933609959E-3</v>
      </c>
      <c r="T140" s="35">
        <v>21</v>
      </c>
      <c r="U140" s="35">
        <v>430</v>
      </c>
      <c r="V140" s="35">
        <v>122</v>
      </c>
      <c r="W140" s="35">
        <v>4</v>
      </c>
      <c r="X140" s="35">
        <v>577</v>
      </c>
      <c r="Y140" s="36">
        <v>3.6395147313691506E-2</v>
      </c>
      <c r="Z140" s="36">
        <v>0.74523396880415949</v>
      </c>
      <c r="AA140" s="36">
        <v>0.21143847487001732</v>
      </c>
      <c r="AB140" s="36">
        <v>6.9324090121317154E-3</v>
      </c>
      <c r="AC140" s="37">
        <v>55.852686308492203</v>
      </c>
      <c r="AD140" s="34">
        <f t="shared" si="20"/>
        <v>0.8353552859618717</v>
      </c>
    </row>
    <row r="141" spans="1:30" x14ac:dyDescent="0.25">
      <c r="A141" s="33"/>
      <c r="B141" s="33"/>
      <c r="C141" s="33"/>
      <c r="D141" s="33">
        <v>5</v>
      </c>
      <c r="E141" s="33">
        <v>450</v>
      </c>
      <c r="F141" s="33">
        <v>412</v>
      </c>
      <c r="G141" s="33">
        <v>0</v>
      </c>
      <c r="H141" s="33">
        <v>28</v>
      </c>
      <c r="I141" s="33">
        <v>1</v>
      </c>
      <c r="J141" s="33">
        <v>7</v>
      </c>
      <c r="K141" s="33">
        <v>448</v>
      </c>
      <c r="L141" s="33">
        <v>2</v>
      </c>
      <c r="M141" s="33">
        <f t="shared" si="14"/>
        <v>450</v>
      </c>
      <c r="N141" s="33">
        <v>0</v>
      </c>
      <c r="O141" s="34">
        <f t="shared" si="15"/>
        <v>0.91555555555555557</v>
      </c>
      <c r="P141" s="34">
        <f t="shared" si="16"/>
        <v>1.5555555555555555E-2</v>
      </c>
      <c r="Q141" s="34">
        <f t="shared" si="17"/>
        <v>6.222222222222222E-2</v>
      </c>
      <c r="R141" s="34">
        <f t="shared" si="18"/>
        <v>2.2222222222222222E-3</v>
      </c>
      <c r="S141" s="34">
        <f t="shared" si="19"/>
        <v>0</v>
      </c>
      <c r="T141" s="35">
        <v>26</v>
      </c>
      <c r="U141" s="35">
        <v>425</v>
      </c>
      <c r="V141" s="35">
        <v>119</v>
      </c>
      <c r="W141" s="35">
        <v>7</v>
      </c>
      <c r="X141" s="35">
        <v>577</v>
      </c>
      <c r="Y141" s="36">
        <v>4.5060658578856154E-2</v>
      </c>
      <c r="Z141" s="36">
        <v>0.7365684575389948</v>
      </c>
      <c r="AA141" s="36">
        <v>0.20623916811091855</v>
      </c>
      <c r="AB141" s="36">
        <v>1.2131715771230503E-2</v>
      </c>
      <c r="AC141" s="37">
        <v>48.802426343154245</v>
      </c>
      <c r="AD141" s="34">
        <f t="shared" si="20"/>
        <v>0.77989601386481799</v>
      </c>
    </row>
    <row r="142" spans="1:30" x14ac:dyDescent="0.25">
      <c r="A142" s="33"/>
      <c r="B142" s="33"/>
      <c r="C142" s="33"/>
      <c r="D142" s="33">
        <v>6</v>
      </c>
      <c r="E142" s="33">
        <v>438</v>
      </c>
      <c r="F142" s="33">
        <v>410</v>
      </c>
      <c r="G142" s="33">
        <v>1</v>
      </c>
      <c r="H142" s="33">
        <v>16</v>
      </c>
      <c r="I142" s="33">
        <v>0</v>
      </c>
      <c r="J142" s="33">
        <v>8</v>
      </c>
      <c r="K142" s="33">
        <v>435</v>
      </c>
      <c r="L142" s="33">
        <v>3</v>
      </c>
      <c r="M142" s="33">
        <f t="shared" si="14"/>
        <v>438</v>
      </c>
      <c r="N142" s="33">
        <v>0</v>
      </c>
      <c r="O142" s="34">
        <f t="shared" si="15"/>
        <v>0.9360730593607306</v>
      </c>
      <c r="P142" s="34">
        <f t="shared" si="16"/>
        <v>1.8264840182648401E-2</v>
      </c>
      <c r="Q142" s="34">
        <f t="shared" si="17"/>
        <v>3.6529680365296802E-2</v>
      </c>
      <c r="R142" s="34">
        <f t="shared" si="18"/>
        <v>0</v>
      </c>
      <c r="S142" s="34">
        <f t="shared" si="19"/>
        <v>2.2831050228310501E-3</v>
      </c>
      <c r="T142" s="35">
        <v>14</v>
      </c>
      <c r="U142" s="35">
        <v>434</v>
      </c>
      <c r="V142" s="35">
        <v>126</v>
      </c>
      <c r="W142" s="35">
        <v>3</v>
      </c>
      <c r="X142" s="35">
        <v>577</v>
      </c>
      <c r="Y142" s="36">
        <v>2.4263431542461005E-2</v>
      </c>
      <c r="Z142" s="36">
        <v>0.75216637781629114</v>
      </c>
      <c r="AA142" s="36">
        <v>0.21837088388214904</v>
      </c>
      <c r="AB142" s="36">
        <v>5.1993067590987872E-3</v>
      </c>
      <c r="AC142" s="37">
        <v>42.133448873483538</v>
      </c>
      <c r="AD142" s="34">
        <f t="shared" si="20"/>
        <v>0.75909878682842291</v>
      </c>
    </row>
    <row r="143" spans="1:30" x14ac:dyDescent="0.25">
      <c r="A143" s="33"/>
      <c r="B143" s="33"/>
      <c r="C143" s="33"/>
      <c r="D143" s="33">
        <v>7</v>
      </c>
      <c r="E143" s="33">
        <v>400</v>
      </c>
      <c r="F143" s="33">
        <v>371</v>
      </c>
      <c r="G143" s="33">
        <v>0</v>
      </c>
      <c r="H143" s="33">
        <v>20</v>
      </c>
      <c r="I143" s="33">
        <v>0</v>
      </c>
      <c r="J143" s="33">
        <v>9</v>
      </c>
      <c r="K143" s="33">
        <v>400</v>
      </c>
      <c r="L143" s="33">
        <v>0</v>
      </c>
      <c r="M143" s="33">
        <f t="shared" si="14"/>
        <v>400</v>
      </c>
      <c r="N143" s="33">
        <v>0</v>
      </c>
      <c r="O143" s="34">
        <f t="shared" si="15"/>
        <v>0.92749999999999999</v>
      </c>
      <c r="P143" s="34">
        <f t="shared" si="16"/>
        <v>2.2499999999999999E-2</v>
      </c>
      <c r="Q143" s="34">
        <f t="shared" si="17"/>
        <v>0.05</v>
      </c>
      <c r="R143" s="34">
        <f t="shared" si="18"/>
        <v>0</v>
      </c>
      <c r="S143" s="34">
        <f t="shared" si="19"/>
        <v>0</v>
      </c>
      <c r="T143" s="35">
        <v>36</v>
      </c>
      <c r="U143" s="35">
        <v>406</v>
      </c>
      <c r="V143" s="35">
        <v>132</v>
      </c>
      <c r="W143" s="35">
        <v>3</v>
      </c>
      <c r="X143" s="35">
        <v>577</v>
      </c>
      <c r="Y143" s="36">
        <v>6.2391681109185443E-2</v>
      </c>
      <c r="Z143" s="36">
        <v>0.7036395147313691</v>
      </c>
      <c r="AA143" s="36">
        <v>0.22876949740034663</v>
      </c>
      <c r="AB143" s="36">
        <v>5.1993067590987872E-3</v>
      </c>
      <c r="AC143" s="37">
        <v>36.048526863084923</v>
      </c>
      <c r="AD143" s="34">
        <f t="shared" si="20"/>
        <v>0.69324090121317161</v>
      </c>
    </row>
    <row r="144" spans="1:30" x14ac:dyDescent="0.25">
      <c r="A144" s="33"/>
      <c r="B144" s="33"/>
      <c r="C144" s="33"/>
      <c r="D144" s="33">
        <v>8</v>
      </c>
      <c r="E144" s="33">
        <v>384</v>
      </c>
      <c r="F144" s="33">
        <v>346</v>
      </c>
      <c r="G144" s="33">
        <v>0</v>
      </c>
      <c r="H144" s="33">
        <v>18</v>
      </c>
      <c r="I144" s="33">
        <v>0</v>
      </c>
      <c r="J144" s="33">
        <v>14</v>
      </c>
      <c r="K144" s="33">
        <v>378</v>
      </c>
      <c r="L144" s="33">
        <v>6</v>
      </c>
      <c r="M144" s="33">
        <f t="shared" si="14"/>
        <v>384</v>
      </c>
      <c r="N144" s="33">
        <v>0</v>
      </c>
      <c r="O144" s="34">
        <f t="shared" si="15"/>
        <v>0.90104166666666663</v>
      </c>
      <c r="P144" s="34">
        <f t="shared" si="16"/>
        <v>3.6458333333333336E-2</v>
      </c>
      <c r="Q144" s="34">
        <f t="shared" si="17"/>
        <v>4.6875E-2</v>
      </c>
      <c r="R144" s="34">
        <f t="shared" si="18"/>
        <v>0</v>
      </c>
      <c r="S144" s="34">
        <f t="shared" si="19"/>
        <v>0</v>
      </c>
      <c r="T144" s="35">
        <v>40</v>
      </c>
      <c r="U144" s="35">
        <v>410</v>
      </c>
      <c r="V144" s="35">
        <v>125</v>
      </c>
      <c r="W144" s="35">
        <v>2</v>
      </c>
      <c r="X144" s="35">
        <v>577</v>
      </c>
      <c r="Y144" s="36">
        <v>6.9324090121317156E-2</v>
      </c>
      <c r="Z144" s="36">
        <v>0.71057192374350087</v>
      </c>
      <c r="AA144" s="36">
        <v>0.21663778162911612</v>
      </c>
      <c r="AB144" s="36">
        <v>3.4662045060658577E-3</v>
      </c>
      <c r="AC144" s="37">
        <v>29.535528596187174</v>
      </c>
      <c r="AD144" s="34">
        <f t="shared" si="20"/>
        <v>0.66551126516464476</v>
      </c>
    </row>
    <row r="145" spans="1:30" x14ac:dyDescent="0.25">
      <c r="A145" s="33"/>
      <c r="B145" s="33"/>
      <c r="C145" s="33"/>
      <c r="D145" s="33">
        <v>9</v>
      </c>
      <c r="E145" s="33">
        <v>462</v>
      </c>
      <c r="F145" s="33">
        <v>429</v>
      </c>
      <c r="G145" s="33">
        <v>1</v>
      </c>
      <c r="H145" s="33">
        <v>17</v>
      </c>
      <c r="I145" s="33">
        <v>0</v>
      </c>
      <c r="J145" s="33">
        <v>7</v>
      </c>
      <c r="K145" s="33">
        <v>454</v>
      </c>
      <c r="L145" s="33">
        <v>7</v>
      </c>
      <c r="M145" s="33">
        <f t="shared" si="14"/>
        <v>461</v>
      </c>
      <c r="N145" s="33">
        <v>1</v>
      </c>
      <c r="O145" s="34">
        <f t="shared" si="15"/>
        <v>0.93058568329718006</v>
      </c>
      <c r="P145" s="34">
        <f t="shared" si="16"/>
        <v>1.5184381778741865E-2</v>
      </c>
      <c r="Q145" s="34">
        <f t="shared" si="17"/>
        <v>3.6876355748373099E-2</v>
      </c>
      <c r="R145" s="34">
        <f t="shared" si="18"/>
        <v>0</v>
      </c>
      <c r="S145" s="34">
        <f t="shared" si="19"/>
        <v>2.1691973969631237E-3</v>
      </c>
      <c r="T145" s="35">
        <v>29</v>
      </c>
      <c r="U145" s="35">
        <v>401</v>
      </c>
      <c r="V145" s="35">
        <v>146</v>
      </c>
      <c r="W145" s="35">
        <v>2</v>
      </c>
      <c r="X145" s="35">
        <v>578</v>
      </c>
      <c r="Y145" s="36">
        <v>5.0173010380622836E-2</v>
      </c>
      <c r="Z145" s="36">
        <v>0.69377162629757783</v>
      </c>
      <c r="AA145" s="36">
        <v>0.25259515570934254</v>
      </c>
      <c r="AB145" s="36">
        <v>3.4602076124567475E-3</v>
      </c>
      <c r="AC145" s="37">
        <v>22.044982698961938</v>
      </c>
      <c r="AD145" s="34">
        <f t="shared" si="20"/>
        <v>0.79757785467128028</v>
      </c>
    </row>
    <row r="146" spans="1:30" x14ac:dyDescent="0.25">
      <c r="A146" s="33">
        <v>27</v>
      </c>
      <c r="B146" s="33" t="s">
        <v>211</v>
      </c>
      <c r="C146" s="33" t="s">
        <v>212</v>
      </c>
      <c r="D146" s="33">
        <v>1</v>
      </c>
      <c r="E146" s="33">
        <v>244</v>
      </c>
      <c r="F146" s="33">
        <v>212</v>
      </c>
      <c r="G146" s="33">
        <v>0</v>
      </c>
      <c r="H146" s="33">
        <v>22</v>
      </c>
      <c r="I146" s="33">
        <v>2</v>
      </c>
      <c r="J146" s="33">
        <v>6</v>
      </c>
      <c r="K146" s="33">
        <v>242</v>
      </c>
      <c r="L146" s="33">
        <v>2</v>
      </c>
      <c r="M146" s="33">
        <f t="shared" si="14"/>
        <v>244</v>
      </c>
      <c r="N146" s="33">
        <v>0</v>
      </c>
      <c r="O146" s="34">
        <f t="shared" si="15"/>
        <v>0.86885245901639341</v>
      </c>
      <c r="P146" s="34">
        <f t="shared" si="16"/>
        <v>2.4590163934426229E-2</v>
      </c>
      <c r="Q146" s="34">
        <f t="shared" si="17"/>
        <v>9.0163934426229511E-2</v>
      </c>
      <c r="R146" s="34">
        <f t="shared" si="18"/>
        <v>8.1967213114754103E-3</v>
      </c>
      <c r="S146" s="34">
        <f t="shared" si="19"/>
        <v>0</v>
      </c>
      <c r="T146" s="35">
        <v>8</v>
      </c>
      <c r="U146" s="35">
        <v>335</v>
      </c>
      <c r="V146" s="35">
        <v>99</v>
      </c>
      <c r="W146" s="35">
        <v>8</v>
      </c>
      <c r="X146" s="35">
        <v>450</v>
      </c>
      <c r="Y146" s="36">
        <v>1.7777777777777778E-2</v>
      </c>
      <c r="Z146" s="36">
        <v>0.74444444444444446</v>
      </c>
      <c r="AA146" s="36">
        <v>0.22</v>
      </c>
      <c r="AB146" s="36">
        <v>1.7777777777777778E-2</v>
      </c>
      <c r="AC146" s="37">
        <v>77.58</v>
      </c>
      <c r="AD146" s="34">
        <f t="shared" si="20"/>
        <v>0.54222222222222227</v>
      </c>
    </row>
    <row r="147" spans="1:30" x14ac:dyDescent="0.25">
      <c r="A147" s="33"/>
      <c r="B147" s="33"/>
      <c r="C147" s="33"/>
      <c r="D147" s="33">
        <v>2</v>
      </c>
      <c r="E147" s="33">
        <v>345</v>
      </c>
      <c r="F147" s="33">
        <v>298</v>
      </c>
      <c r="G147" s="33">
        <v>3</v>
      </c>
      <c r="H147" s="33">
        <v>28</v>
      </c>
      <c r="I147" s="33">
        <v>4</v>
      </c>
      <c r="J147" s="33">
        <v>5</v>
      </c>
      <c r="K147" s="33">
        <v>338</v>
      </c>
      <c r="L147" s="33">
        <v>7</v>
      </c>
      <c r="M147" s="33">
        <f t="shared" si="14"/>
        <v>345</v>
      </c>
      <c r="N147" s="33">
        <v>0</v>
      </c>
      <c r="O147" s="34">
        <f t="shared" si="15"/>
        <v>0.86376811594202896</v>
      </c>
      <c r="P147" s="34">
        <f t="shared" si="16"/>
        <v>1.4492753623188406E-2</v>
      </c>
      <c r="Q147" s="34">
        <f t="shared" si="17"/>
        <v>8.1159420289855067E-2</v>
      </c>
      <c r="R147" s="34">
        <f t="shared" si="18"/>
        <v>1.1594202898550725E-2</v>
      </c>
      <c r="S147" s="34">
        <f t="shared" si="19"/>
        <v>8.6956521739130436E-3</v>
      </c>
      <c r="T147" s="35">
        <v>6</v>
      </c>
      <c r="U147" s="35">
        <v>342</v>
      </c>
      <c r="V147" s="35">
        <v>99</v>
      </c>
      <c r="W147" s="35">
        <v>3</v>
      </c>
      <c r="X147" s="35">
        <v>450</v>
      </c>
      <c r="Y147" s="36">
        <v>1.3333333333333334E-2</v>
      </c>
      <c r="Z147" s="36">
        <v>0.76</v>
      </c>
      <c r="AA147" s="36">
        <v>0.22</v>
      </c>
      <c r="AB147" s="36">
        <v>6.6666666666666671E-3</v>
      </c>
      <c r="AC147" s="37">
        <v>67.186666666666667</v>
      </c>
      <c r="AD147" s="34">
        <f t="shared" si="20"/>
        <v>0.76666666666666672</v>
      </c>
    </row>
    <row r="148" spans="1:30" x14ac:dyDescent="0.25">
      <c r="A148" s="33"/>
      <c r="B148" s="33"/>
      <c r="C148" s="33"/>
      <c r="D148" s="33">
        <v>3</v>
      </c>
      <c r="E148" s="33">
        <v>352</v>
      </c>
      <c r="F148" s="33">
        <v>323</v>
      </c>
      <c r="G148" s="33">
        <v>0</v>
      </c>
      <c r="H148" s="33">
        <v>18</v>
      </c>
      <c r="I148" s="33">
        <v>0</v>
      </c>
      <c r="J148" s="33">
        <v>6</v>
      </c>
      <c r="K148" s="33">
        <v>347</v>
      </c>
      <c r="L148" s="33">
        <v>5</v>
      </c>
      <c r="M148" s="33">
        <f t="shared" si="14"/>
        <v>352</v>
      </c>
      <c r="N148" s="33">
        <v>0</v>
      </c>
      <c r="O148" s="34">
        <f t="shared" si="15"/>
        <v>0.91761363636363635</v>
      </c>
      <c r="P148" s="34">
        <f t="shared" si="16"/>
        <v>1.7045454545454544E-2</v>
      </c>
      <c r="Q148" s="34">
        <f t="shared" si="17"/>
        <v>5.113636363636364E-2</v>
      </c>
      <c r="R148" s="34">
        <f t="shared" si="18"/>
        <v>0</v>
      </c>
      <c r="S148" s="34">
        <f t="shared" si="19"/>
        <v>0</v>
      </c>
      <c r="T148" s="35">
        <v>3</v>
      </c>
      <c r="U148" s="35">
        <v>342</v>
      </c>
      <c r="V148" s="35">
        <v>105</v>
      </c>
      <c r="W148" s="35">
        <v>0</v>
      </c>
      <c r="X148" s="35">
        <v>450</v>
      </c>
      <c r="Y148" s="36">
        <v>6.6666666666666671E-3</v>
      </c>
      <c r="Z148" s="36">
        <v>0.76</v>
      </c>
      <c r="AA148" s="36">
        <v>0.23333333333333334</v>
      </c>
      <c r="AB148" s="36">
        <v>0</v>
      </c>
      <c r="AC148" s="37">
        <v>58.44</v>
      </c>
      <c r="AD148" s="34">
        <f t="shared" si="20"/>
        <v>0.78222222222222226</v>
      </c>
    </row>
    <row r="149" spans="1:30" x14ac:dyDescent="0.25">
      <c r="A149" s="33"/>
      <c r="B149" s="33"/>
      <c r="C149" s="33"/>
      <c r="D149" s="33">
        <v>4</v>
      </c>
      <c r="E149" s="33">
        <v>450</v>
      </c>
      <c r="F149" s="33">
        <v>420</v>
      </c>
      <c r="G149" s="33">
        <v>0</v>
      </c>
      <c r="H149" s="33">
        <v>24</v>
      </c>
      <c r="I149" s="33">
        <v>0</v>
      </c>
      <c r="J149" s="33">
        <v>4</v>
      </c>
      <c r="K149" s="33">
        <v>448</v>
      </c>
      <c r="L149" s="33">
        <v>2</v>
      </c>
      <c r="M149" s="33">
        <f t="shared" si="14"/>
        <v>450</v>
      </c>
      <c r="N149" s="33">
        <v>0</v>
      </c>
      <c r="O149" s="34">
        <f t="shared" si="15"/>
        <v>0.93333333333333335</v>
      </c>
      <c r="P149" s="34">
        <f t="shared" si="16"/>
        <v>8.8888888888888889E-3</v>
      </c>
      <c r="Q149" s="34">
        <f t="shared" si="17"/>
        <v>5.3333333333333337E-2</v>
      </c>
      <c r="R149" s="34">
        <f t="shared" si="18"/>
        <v>0</v>
      </c>
      <c r="S149" s="34">
        <f t="shared" si="19"/>
        <v>0</v>
      </c>
      <c r="T149" s="35">
        <v>15</v>
      </c>
      <c r="U149" s="35">
        <v>461</v>
      </c>
      <c r="V149" s="35">
        <v>97</v>
      </c>
      <c r="W149" s="35">
        <v>3</v>
      </c>
      <c r="X149" s="35">
        <v>576</v>
      </c>
      <c r="Y149" s="36">
        <v>2.6041666666666668E-2</v>
      </c>
      <c r="Z149" s="36">
        <v>0.80034722222222221</v>
      </c>
      <c r="AA149" s="36">
        <v>0.16840277777777779</v>
      </c>
      <c r="AB149" s="36">
        <v>5.208333333333333E-3</v>
      </c>
      <c r="AC149" s="37">
        <v>46.246527777777779</v>
      </c>
      <c r="AD149" s="34">
        <f t="shared" si="20"/>
        <v>0.78125</v>
      </c>
    </row>
    <row r="150" spans="1:30" x14ac:dyDescent="0.25">
      <c r="A150" s="33"/>
      <c r="B150" s="33"/>
      <c r="C150" s="33"/>
      <c r="D150" s="33">
        <v>5</v>
      </c>
      <c r="E150" s="33">
        <v>438</v>
      </c>
      <c r="F150" s="33">
        <v>401</v>
      </c>
      <c r="G150" s="33">
        <v>0</v>
      </c>
      <c r="H150" s="33">
        <v>21</v>
      </c>
      <c r="I150" s="33">
        <v>0</v>
      </c>
      <c r="J150" s="33">
        <v>15</v>
      </c>
      <c r="K150" s="33">
        <v>437</v>
      </c>
      <c r="L150" s="33">
        <v>1</v>
      </c>
      <c r="M150" s="33">
        <f t="shared" si="14"/>
        <v>438</v>
      </c>
      <c r="N150" s="33">
        <v>0</v>
      </c>
      <c r="O150" s="34">
        <f t="shared" si="15"/>
        <v>0.91552511415525117</v>
      </c>
      <c r="P150" s="34">
        <f t="shared" si="16"/>
        <v>3.4246575342465752E-2</v>
      </c>
      <c r="Q150" s="34">
        <f t="shared" si="17"/>
        <v>4.7945205479452052E-2</v>
      </c>
      <c r="R150" s="34">
        <f t="shared" si="18"/>
        <v>0</v>
      </c>
      <c r="S150" s="34">
        <f t="shared" si="19"/>
        <v>0</v>
      </c>
      <c r="T150" s="35">
        <v>33</v>
      </c>
      <c r="U150" s="35">
        <v>407</v>
      </c>
      <c r="V150" s="35">
        <v>134</v>
      </c>
      <c r="W150" s="35">
        <v>3</v>
      </c>
      <c r="X150" s="35">
        <v>577</v>
      </c>
      <c r="Y150" s="36">
        <v>5.7192374350086658E-2</v>
      </c>
      <c r="Z150" s="36">
        <v>0.70537261698440212</v>
      </c>
      <c r="AA150" s="36">
        <v>0.23223570190641249</v>
      </c>
      <c r="AB150" s="36">
        <v>5.1993067590987872E-3</v>
      </c>
      <c r="AC150" s="37">
        <v>29.759098786828424</v>
      </c>
      <c r="AD150" s="34">
        <f t="shared" si="20"/>
        <v>0.75909878682842291</v>
      </c>
    </row>
    <row r="151" spans="1:30" x14ac:dyDescent="0.25">
      <c r="A151" s="33">
        <v>28</v>
      </c>
      <c r="B151" s="33" t="s">
        <v>213</v>
      </c>
      <c r="C151" s="33" t="s">
        <v>214</v>
      </c>
      <c r="D151" s="33">
        <v>1</v>
      </c>
      <c r="E151" s="33">
        <v>270</v>
      </c>
      <c r="F151" s="33">
        <v>239</v>
      </c>
      <c r="G151" s="33">
        <v>2</v>
      </c>
      <c r="H151" s="33">
        <v>23</v>
      </c>
      <c r="I151" s="33">
        <v>1</v>
      </c>
      <c r="J151" s="33">
        <v>3</v>
      </c>
      <c r="K151" s="33">
        <v>268</v>
      </c>
      <c r="L151" s="33">
        <v>2</v>
      </c>
      <c r="M151" s="33">
        <f t="shared" si="14"/>
        <v>270</v>
      </c>
      <c r="N151" s="33">
        <v>0</v>
      </c>
      <c r="O151" s="34">
        <f t="shared" si="15"/>
        <v>0.88518518518518519</v>
      </c>
      <c r="P151" s="34">
        <f t="shared" si="16"/>
        <v>1.1111111111111112E-2</v>
      </c>
      <c r="Q151" s="34">
        <f t="shared" si="17"/>
        <v>8.5185185185185183E-2</v>
      </c>
      <c r="R151" s="34">
        <f t="shared" si="18"/>
        <v>3.7037037037037038E-3</v>
      </c>
      <c r="S151" s="34">
        <f t="shared" si="19"/>
        <v>7.4074074074074077E-3</v>
      </c>
      <c r="T151" s="35">
        <v>14</v>
      </c>
      <c r="U151" s="35">
        <v>389</v>
      </c>
      <c r="V151" s="35">
        <v>43</v>
      </c>
      <c r="W151" s="35">
        <v>4</v>
      </c>
      <c r="X151" s="35">
        <v>450</v>
      </c>
      <c r="Y151" s="36">
        <v>3.111111111111111E-2</v>
      </c>
      <c r="Z151" s="36">
        <v>0.86444444444444446</v>
      </c>
      <c r="AA151" s="36">
        <v>9.555555555555556E-2</v>
      </c>
      <c r="AB151" s="36">
        <v>8.8888888888888889E-3</v>
      </c>
      <c r="AC151" s="37">
        <v>74.63333333333334</v>
      </c>
      <c r="AD151" s="34">
        <f t="shared" si="20"/>
        <v>0.6</v>
      </c>
    </row>
    <row r="152" spans="1:30" x14ac:dyDescent="0.25">
      <c r="A152" s="33"/>
      <c r="B152" s="33"/>
      <c r="C152" s="33"/>
      <c r="D152" s="33">
        <v>2</v>
      </c>
      <c r="E152" s="33">
        <v>344</v>
      </c>
      <c r="F152" s="33">
        <v>306</v>
      </c>
      <c r="G152" s="33">
        <v>2</v>
      </c>
      <c r="H152" s="33">
        <v>27</v>
      </c>
      <c r="I152" s="33">
        <v>0</v>
      </c>
      <c r="J152" s="33">
        <v>5</v>
      </c>
      <c r="K152" s="33">
        <v>340</v>
      </c>
      <c r="L152" s="33">
        <v>4</v>
      </c>
      <c r="M152" s="33">
        <f t="shared" si="14"/>
        <v>344</v>
      </c>
      <c r="N152" s="33">
        <v>0</v>
      </c>
      <c r="O152" s="34">
        <f t="shared" si="15"/>
        <v>0.88953488372093026</v>
      </c>
      <c r="P152" s="34">
        <f t="shared" si="16"/>
        <v>1.4534883720930232E-2</v>
      </c>
      <c r="Q152" s="34">
        <f t="shared" si="17"/>
        <v>7.8488372093023256E-2</v>
      </c>
      <c r="R152" s="34">
        <f t="shared" si="18"/>
        <v>0</v>
      </c>
      <c r="S152" s="34">
        <f t="shared" si="19"/>
        <v>5.8139534883720929E-3</v>
      </c>
      <c r="T152" s="35">
        <v>9</v>
      </c>
      <c r="U152" s="35">
        <v>392</v>
      </c>
      <c r="V152" s="35">
        <v>43</v>
      </c>
      <c r="W152" s="35">
        <v>6</v>
      </c>
      <c r="X152" s="35">
        <v>450</v>
      </c>
      <c r="Y152" s="36">
        <v>0.02</v>
      </c>
      <c r="Z152" s="36">
        <v>0.87111111111111106</v>
      </c>
      <c r="AA152" s="36">
        <v>9.555555555555556E-2</v>
      </c>
      <c r="AB152" s="36">
        <v>1.3333333333333334E-2</v>
      </c>
      <c r="AC152" s="37">
        <v>68.271111111111111</v>
      </c>
      <c r="AD152" s="34">
        <f t="shared" si="20"/>
        <v>0.76444444444444448</v>
      </c>
    </row>
    <row r="153" spans="1:30" x14ac:dyDescent="0.25">
      <c r="A153" s="33"/>
      <c r="B153" s="33"/>
      <c r="C153" s="33"/>
      <c r="D153" s="33">
        <v>3</v>
      </c>
      <c r="E153" s="33">
        <v>351</v>
      </c>
      <c r="F153" s="33">
        <v>317</v>
      </c>
      <c r="G153" s="33">
        <v>1</v>
      </c>
      <c r="H153" s="33">
        <v>20</v>
      </c>
      <c r="I153" s="33">
        <v>2</v>
      </c>
      <c r="J153" s="33">
        <v>6</v>
      </c>
      <c r="K153" s="33">
        <v>346</v>
      </c>
      <c r="L153" s="33">
        <v>5</v>
      </c>
      <c r="M153" s="33">
        <f t="shared" si="14"/>
        <v>351</v>
      </c>
      <c r="N153" s="33">
        <v>0</v>
      </c>
      <c r="O153" s="34">
        <f t="shared" si="15"/>
        <v>0.90313390313390318</v>
      </c>
      <c r="P153" s="34">
        <f t="shared" si="16"/>
        <v>1.7094017094017096E-2</v>
      </c>
      <c r="Q153" s="34">
        <f t="shared" si="17"/>
        <v>5.6980056980056981E-2</v>
      </c>
      <c r="R153" s="34">
        <f t="shared" si="18"/>
        <v>5.6980056980056983E-3</v>
      </c>
      <c r="S153" s="34">
        <f t="shared" si="19"/>
        <v>2.8490028490028491E-3</v>
      </c>
      <c r="T153" s="35">
        <v>9</v>
      </c>
      <c r="U153" s="35">
        <v>370</v>
      </c>
      <c r="V153" s="35">
        <v>69</v>
      </c>
      <c r="W153" s="35">
        <v>2</v>
      </c>
      <c r="X153" s="35">
        <v>450</v>
      </c>
      <c r="Y153" s="36">
        <v>0.02</v>
      </c>
      <c r="Z153" s="36">
        <v>0.82222222222222219</v>
      </c>
      <c r="AA153" s="36">
        <v>0.15333333333333332</v>
      </c>
      <c r="AB153" s="36">
        <v>4.4444444444444444E-3</v>
      </c>
      <c r="AC153" s="37">
        <v>60.488888888888887</v>
      </c>
      <c r="AD153" s="34">
        <f t="shared" si="20"/>
        <v>0.78</v>
      </c>
    </row>
    <row r="154" spans="1:30" x14ac:dyDescent="0.25">
      <c r="A154" s="33"/>
      <c r="B154" s="33"/>
      <c r="C154" s="33"/>
      <c r="D154" s="33">
        <v>4</v>
      </c>
      <c r="E154" s="33">
        <v>544</v>
      </c>
      <c r="F154" s="33">
        <v>504</v>
      </c>
      <c r="G154" s="33">
        <v>0</v>
      </c>
      <c r="H154" s="33">
        <v>31</v>
      </c>
      <c r="I154" s="33">
        <v>2</v>
      </c>
      <c r="J154" s="33">
        <v>5</v>
      </c>
      <c r="K154" s="33">
        <v>542</v>
      </c>
      <c r="L154" s="33">
        <v>2</v>
      </c>
      <c r="M154" s="33">
        <f t="shared" si="14"/>
        <v>544</v>
      </c>
      <c r="N154" s="33">
        <v>0</v>
      </c>
      <c r="O154" s="34">
        <f t="shared" si="15"/>
        <v>0.92647058823529416</v>
      </c>
      <c r="P154" s="34">
        <f t="shared" si="16"/>
        <v>9.1911764705882356E-3</v>
      </c>
      <c r="Q154" s="34">
        <f t="shared" si="17"/>
        <v>5.6985294117647058E-2</v>
      </c>
      <c r="R154" s="34">
        <f t="shared" si="18"/>
        <v>3.6764705882352941E-3</v>
      </c>
      <c r="S154" s="34">
        <f t="shared" si="19"/>
        <v>0</v>
      </c>
      <c r="T154" s="35">
        <v>26</v>
      </c>
      <c r="U154" s="35">
        <v>552</v>
      </c>
      <c r="V154" s="35">
        <v>140</v>
      </c>
      <c r="W154" s="35">
        <v>3</v>
      </c>
      <c r="X154" s="35">
        <v>721</v>
      </c>
      <c r="Y154" s="36">
        <v>3.6061026352288486E-2</v>
      </c>
      <c r="Z154" s="36">
        <v>0.76560332871012482</v>
      </c>
      <c r="AA154" s="36">
        <v>0.1941747572815534</v>
      </c>
      <c r="AB154" s="36">
        <v>4.160887656033287E-3</v>
      </c>
      <c r="AC154" s="37">
        <v>51.08876560332871</v>
      </c>
      <c r="AD154" s="34">
        <f t="shared" si="20"/>
        <v>0.75450762829403606</v>
      </c>
    </row>
    <row r="155" spans="1:30" x14ac:dyDescent="0.25">
      <c r="A155" s="33"/>
      <c r="B155" s="33"/>
      <c r="C155" s="33"/>
      <c r="D155" s="33">
        <v>5</v>
      </c>
      <c r="E155" s="33">
        <v>536</v>
      </c>
      <c r="F155" s="33">
        <v>498</v>
      </c>
      <c r="G155" s="33">
        <v>0</v>
      </c>
      <c r="H155" s="33">
        <v>23</v>
      </c>
      <c r="I155" s="33">
        <v>0</v>
      </c>
      <c r="J155" s="33">
        <v>13</v>
      </c>
      <c r="K155" s="33">
        <v>534</v>
      </c>
      <c r="L155" s="33">
        <v>2</v>
      </c>
      <c r="M155" s="33">
        <f t="shared" si="14"/>
        <v>536</v>
      </c>
      <c r="N155" s="33">
        <v>0</v>
      </c>
      <c r="O155" s="34">
        <f t="shared" si="15"/>
        <v>0.92910447761194026</v>
      </c>
      <c r="P155" s="34">
        <f t="shared" si="16"/>
        <v>2.4253731343283583E-2</v>
      </c>
      <c r="Q155" s="34">
        <f t="shared" si="17"/>
        <v>4.2910447761194029E-2</v>
      </c>
      <c r="R155" s="34">
        <f t="shared" si="18"/>
        <v>0</v>
      </c>
      <c r="S155" s="34">
        <f t="shared" si="19"/>
        <v>0</v>
      </c>
      <c r="T155" s="35">
        <v>40</v>
      </c>
      <c r="U155" s="35">
        <v>563</v>
      </c>
      <c r="V155" s="35">
        <v>114</v>
      </c>
      <c r="W155" s="35">
        <v>4</v>
      </c>
      <c r="X155" s="35">
        <v>721</v>
      </c>
      <c r="Y155" s="36">
        <v>5.5478502080443831E-2</v>
      </c>
      <c r="Z155" s="36">
        <v>0.78085991678224687</v>
      </c>
      <c r="AA155" s="36">
        <v>0.15811373092926492</v>
      </c>
      <c r="AB155" s="36">
        <v>5.5478502080443829E-3</v>
      </c>
      <c r="AC155" s="37">
        <v>41.471567267683774</v>
      </c>
      <c r="AD155" s="34">
        <f t="shared" si="20"/>
        <v>0.7434119278779473</v>
      </c>
    </row>
    <row r="156" spans="1:30" x14ac:dyDescent="0.25">
      <c r="A156" s="33"/>
      <c r="B156" s="33"/>
      <c r="C156" s="33"/>
      <c r="D156" s="33">
        <v>6</v>
      </c>
      <c r="E156" s="33">
        <v>506</v>
      </c>
      <c r="F156" s="33">
        <v>464</v>
      </c>
      <c r="G156" s="33">
        <v>0</v>
      </c>
      <c r="H156" s="33">
        <v>27</v>
      </c>
      <c r="I156" s="33">
        <v>0</v>
      </c>
      <c r="J156" s="33">
        <v>12</v>
      </c>
      <c r="K156" s="33">
        <v>503</v>
      </c>
      <c r="L156" s="33">
        <v>1</v>
      </c>
      <c r="M156" s="33">
        <f t="shared" si="14"/>
        <v>504</v>
      </c>
      <c r="N156" s="33">
        <v>2</v>
      </c>
      <c r="O156" s="34">
        <f t="shared" si="15"/>
        <v>0.92063492063492058</v>
      </c>
      <c r="P156" s="34">
        <f t="shared" si="16"/>
        <v>2.3809523809523808E-2</v>
      </c>
      <c r="Q156" s="34">
        <f t="shared" si="17"/>
        <v>5.3571428571428568E-2</v>
      </c>
      <c r="R156" s="34">
        <f t="shared" si="18"/>
        <v>0</v>
      </c>
      <c r="S156" s="34">
        <f t="shared" si="19"/>
        <v>0</v>
      </c>
      <c r="T156" s="35">
        <v>50</v>
      </c>
      <c r="U156" s="35">
        <v>541</v>
      </c>
      <c r="V156" s="35">
        <v>128</v>
      </c>
      <c r="W156" s="35">
        <v>2</v>
      </c>
      <c r="X156" s="35">
        <v>721</v>
      </c>
      <c r="Y156" s="36">
        <v>6.9348127600554782E-2</v>
      </c>
      <c r="Z156" s="36">
        <v>0.75034674063800277</v>
      </c>
      <c r="AA156" s="36">
        <v>0.17753120665742025</v>
      </c>
      <c r="AB156" s="36">
        <v>2.7739251040221915E-3</v>
      </c>
      <c r="AC156" s="37">
        <v>33.277392510402223</v>
      </c>
      <c r="AD156" s="34">
        <f t="shared" si="20"/>
        <v>0.69902912621359226</v>
      </c>
    </row>
    <row r="157" spans="1:30" x14ac:dyDescent="0.25">
      <c r="A157" s="33"/>
      <c r="B157" s="33"/>
      <c r="C157" s="33"/>
      <c r="D157" s="33">
        <v>7</v>
      </c>
      <c r="E157" s="33">
        <v>519</v>
      </c>
      <c r="F157" s="33">
        <v>470</v>
      </c>
      <c r="G157" s="33">
        <v>2</v>
      </c>
      <c r="H157" s="33">
        <v>29</v>
      </c>
      <c r="I157" s="33">
        <v>0</v>
      </c>
      <c r="J157" s="33">
        <v>17</v>
      </c>
      <c r="K157" s="33">
        <v>518</v>
      </c>
      <c r="L157" s="33">
        <v>1</v>
      </c>
      <c r="M157" s="33">
        <f t="shared" si="14"/>
        <v>519</v>
      </c>
      <c r="N157" s="33">
        <v>0</v>
      </c>
      <c r="O157" s="34">
        <f t="shared" si="15"/>
        <v>0.90558766859344897</v>
      </c>
      <c r="P157" s="34">
        <f t="shared" si="16"/>
        <v>3.2755298651252408E-2</v>
      </c>
      <c r="Q157" s="34">
        <f t="shared" si="17"/>
        <v>5.5876685934489405E-2</v>
      </c>
      <c r="R157" s="34">
        <f t="shared" si="18"/>
        <v>0</v>
      </c>
      <c r="S157" s="34">
        <f t="shared" si="19"/>
        <v>3.8535645472061657E-3</v>
      </c>
      <c r="T157" s="35">
        <v>53</v>
      </c>
      <c r="U157" s="35">
        <v>542</v>
      </c>
      <c r="V157" s="35">
        <v>127</v>
      </c>
      <c r="W157" s="35">
        <v>0</v>
      </c>
      <c r="X157" s="35">
        <v>722</v>
      </c>
      <c r="Y157" s="36">
        <v>7.3407202216066489E-2</v>
      </c>
      <c r="Z157" s="36">
        <v>0.75069252077562332</v>
      </c>
      <c r="AA157" s="36">
        <v>0.17590027700831026</v>
      </c>
      <c r="AB157" s="36">
        <v>0</v>
      </c>
      <c r="AC157" s="37">
        <v>23.70360110803324</v>
      </c>
      <c r="AD157" s="34">
        <f t="shared" si="20"/>
        <v>0.71883656509695293</v>
      </c>
    </row>
    <row r="158" spans="1:30" x14ac:dyDescent="0.25">
      <c r="A158" s="33">
        <v>29</v>
      </c>
      <c r="B158" s="33" t="s">
        <v>215</v>
      </c>
      <c r="C158" s="33" t="s">
        <v>216</v>
      </c>
      <c r="D158" s="33">
        <v>1</v>
      </c>
      <c r="E158" s="33">
        <v>214</v>
      </c>
      <c r="F158" s="33">
        <v>178</v>
      </c>
      <c r="G158" s="33">
        <v>2</v>
      </c>
      <c r="H158" s="33">
        <v>22</v>
      </c>
      <c r="I158" s="33">
        <v>2</v>
      </c>
      <c r="J158" s="33">
        <v>6</v>
      </c>
      <c r="K158" s="33">
        <v>210</v>
      </c>
      <c r="L158" s="33">
        <v>4</v>
      </c>
      <c r="M158" s="33">
        <f t="shared" si="14"/>
        <v>214</v>
      </c>
      <c r="N158" s="33">
        <v>0</v>
      </c>
      <c r="O158" s="34">
        <f t="shared" si="15"/>
        <v>0.83177570093457942</v>
      </c>
      <c r="P158" s="34">
        <f t="shared" si="16"/>
        <v>2.8037383177570093E-2</v>
      </c>
      <c r="Q158" s="34">
        <f t="shared" si="17"/>
        <v>0.10280373831775701</v>
      </c>
      <c r="R158" s="34">
        <f t="shared" si="18"/>
        <v>9.3457943925233638E-3</v>
      </c>
      <c r="S158" s="34">
        <f t="shared" si="19"/>
        <v>9.3457943925233638E-3</v>
      </c>
      <c r="T158" s="35">
        <v>8</v>
      </c>
      <c r="U158" s="35">
        <v>416</v>
      </c>
      <c r="V158" s="35">
        <v>26</v>
      </c>
      <c r="W158" s="35">
        <v>0</v>
      </c>
      <c r="X158" s="35">
        <v>450</v>
      </c>
      <c r="Y158" s="36">
        <v>1.7777777777777778E-2</v>
      </c>
      <c r="Z158" s="36">
        <v>0.9244444444444444</v>
      </c>
      <c r="AA158" s="36">
        <v>5.7777777777777775E-2</v>
      </c>
      <c r="AB158" s="36">
        <v>0</v>
      </c>
      <c r="AC158" s="37">
        <v>80.295555555555552</v>
      </c>
      <c r="AD158" s="34">
        <f t="shared" si="20"/>
        <v>0.47555555555555556</v>
      </c>
    </row>
    <row r="159" spans="1:30" x14ac:dyDescent="0.25">
      <c r="A159" s="33"/>
      <c r="B159" s="33"/>
      <c r="C159" s="33"/>
      <c r="D159" s="33">
        <v>2</v>
      </c>
      <c r="E159" s="33">
        <v>322</v>
      </c>
      <c r="F159" s="33">
        <v>288</v>
      </c>
      <c r="G159" s="33">
        <v>1</v>
      </c>
      <c r="H159" s="33">
        <v>22</v>
      </c>
      <c r="I159" s="33">
        <v>0</v>
      </c>
      <c r="J159" s="33">
        <v>3</v>
      </c>
      <c r="K159" s="33">
        <v>314</v>
      </c>
      <c r="L159" s="33">
        <v>8</v>
      </c>
      <c r="M159" s="33">
        <f t="shared" si="14"/>
        <v>322</v>
      </c>
      <c r="N159" s="33">
        <v>0</v>
      </c>
      <c r="O159" s="34">
        <f t="shared" si="15"/>
        <v>0.89440993788819878</v>
      </c>
      <c r="P159" s="34">
        <f t="shared" si="16"/>
        <v>9.316770186335404E-3</v>
      </c>
      <c r="Q159" s="34">
        <f t="shared" si="17"/>
        <v>6.8322981366459631E-2</v>
      </c>
      <c r="R159" s="34">
        <f t="shared" si="18"/>
        <v>0</v>
      </c>
      <c r="S159" s="34">
        <f t="shared" si="19"/>
        <v>3.105590062111801E-3</v>
      </c>
      <c r="T159" s="35">
        <v>3</v>
      </c>
      <c r="U159" s="35">
        <v>420</v>
      </c>
      <c r="V159" s="35">
        <v>27</v>
      </c>
      <c r="W159" s="35">
        <v>0</v>
      </c>
      <c r="X159" s="35">
        <v>450</v>
      </c>
      <c r="Y159" s="36">
        <v>6.6666666666666671E-3</v>
      </c>
      <c r="Z159" s="36">
        <v>0.93333333333333335</v>
      </c>
      <c r="AA159" s="36">
        <v>0.06</v>
      </c>
      <c r="AB159" s="36">
        <v>0</v>
      </c>
      <c r="AC159" s="37">
        <v>73.355555555555554</v>
      </c>
      <c r="AD159" s="34">
        <f t="shared" si="20"/>
        <v>0.7155555555555555</v>
      </c>
    </row>
    <row r="160" spans="1:30" x14ac:dyDescent="0.25">
      <c r="A160" s="33"/>
      <c r="B160" s="33"/>
      <c r="C160" s="33"/>
      <c r="D160" s="33">
        <v>3</v>
      </c>
      <c r="E160" s="33">
        <v>323</v>
      </c>
      <c r="F160" s="33">
        <v>300</v>
      </c>
      <c r="G160" s="33">
        <v>2</v>
      </c>
      <c r="H160" s="33">
        <v>16</v>
      </c>
      <c r="I160" s="33">
        <v>1</v>
      </c>
      <c r="J160" s="33">
        <v>2</v>
      </c>
      <c r="K160" s="33">
        <v>321</v>
      </c>
      <c r="L160" s="33">
        <v>2</v>
      </c>
      <c r="M160" s="33">
        <f t="shared" si="14"/>
        <v>323</v>
      </c>
      <c r="N160" s="33">
        <v>0</v>
      </c>
      <c r="O160" s="34">
        <f t="shared" si="15"/>
        <v>0.92879256965944268</v>
      </c>
      <c r="P160" s="34">
        <f t="shared" si="16"/>
        <v>6.1919504643962852E-3</v>
      </c>
      <c r="Q160" s="34">
        <f t="shared" si="17"/>
        <v>4.9535603715170282E-2</v>
      </c>
      <c r="R160" s="34">
        <f t="shared" si="18"/>
        <v>3.0959752321981426E-3</v>
      </c>
      <c r="S160" s="34">
        <f t="shared" si="19"/>
        <v>6.1919504643962852E-3</v>
      </c>
      <c r="T160" s="35">
        <v>8</v>
      </c>
      <c r="U160" s="35">
        <v>412</v>
      </c>
      <c r="V160" s="35">
        <v>28</v>
      </c>
      <c r="W160" s="35">
        <v>2</v>
      </c>
      <c r="X160" s="35">
        <v>450</v>
      </c>
      <c r="Y160" s="36">
        <v>1.7777777777777778E-2</v>
      </c>
      <c r="Z160" s="36">
        <v>0.91555555555555557</v>
      </c>
      <c r="AA160" s="36">
        <v>6.222222222222222E-2</v>
      </c>
      <c r="AB160" s="36">
        <v>4.4444444444444444E-3</v>
      </c>
      <c r="AC160" s="37">
        <v>67.077777777777783</v>
      </c>
      <c r="AD160" s="34">
        <f t="shared" si="20"/>
        <v>0.71777777777777774</v>
      </c>
    </row>
    <row r="161" spans="1:30" x14ac:dyDescent="0.25">
      <c r="A161" s="33"/>
      <c r="B161" s="33"/>
      <c r="C161" s="33"/>
      <c r="D161" s="33">
        <v>4</v>
      </c>
      <c r="E161" s="33">
        <v>362</v>
      </c>
      <c r="F161" s="33">
        <v>333</v>
      </c>
      <c r="G161" s="33">
        <v>1</v>
      </c>
      <c r="H161" s="33">
        <v>23</v>
      </c>
      <c r="I161" s="33">
        <v>0</v>
      </c>
      <c r="J161" s="33">
        <v>5</v>
      </c>
      <c r="K161" s="33">
        <v>362</v>
      </c>
      <c r="L161" s="33">
        <v>0</v>
      </c>
      <c r="M161" s="33">
        <f t="shared" si="14"/>
        <v>362</v>
      </c>
      <c r="N161" s="33">
        <v>0</v>
      </c>
      <c r="O161" s="34">
        <f t="shared" si="15"/>
        <v>0.91988950276243098</v>
      </c>
      <c r="P161" s="34">
        <f t="shared" si="16"/>
        <v>1.3812154696132596E-2</v>
      </c>
      <c r="Q161" s="34">
        <f t="shared" si="17"/>
        <v>6.3535911602209949E-2</v>
      </c>
      <c r="R161" s="34">
        <f t="shared" si="18"/>
        <v>0</v>
      </c>
      <c r="S161" s="34">
        <f t="shared" si="19"/>
        <v>2.7624309392265192E-3</v>
      </c>
      <c r="T161" s="35">
        <v>4</v>
      </c>
      <c r="U161" s="35">
        <v>411</v>
      </c>
      <c r="V161" s="35">
        <v>37</v>
      </c>
      <c r="W161" s="35">
        <v>3</v>
      </c>
      <c r="X161" s="35">
        <v>455</v>
      </c>
      <c r="Y161" s="36">
        <v>8.7912087912087912E-3</v>
      </c>
      <c r="Z161" s="36">
        <v>0.90329670329670331</v>
      </c>
      <c r="AA161" s="36">
        <v>8.1318681318681321E-2</v>
      </c>
      <c r="AB161" s="36">
        <v>6.5934065934065934E-3</v>
      </c>
      <c r="AC161" s="37">
        <v>62.098901098901102</v>
      </c>
      <c r="AD161" s="34">
        <f t="shared" si="20"/>
        <v>0.79560439560439555</v>
      </c>
    </row>
    <row r="162" spans="1:30" x14ac:dyDescent="0.25">
      <c r="A162" s="33"/>
      <c r="B162" s="33"/>
      <c r="C162" s="33"/>
      <c r="D162" s="33">
        <v>5</v>
      </c>
      <c r="E162" s="33">
        <v>419</v>
      </c>
      <c r="F162" s="33">
        <v>385</v>
      </c>
      <c r="G162" s="33">
        <v>0</v>
      </c>
      <c r="H162" s="33">
        <v>26</v>
      </c>
      <c r="I162" s="33">
        <v>1</v>
      </c>
      <c r="J162" s="33">
        <v>4</v>
      </c>
      <c r="K162" s="33">
        <v>416</v>
      </c>
      <c r="L162" s="33">
        <v>3</v>
      </c>
      <c r="M162" s="33">
        <f t="shared" si="14"/>
        <v>419</v>
      </c>
      <c r="N162" s="33">
        <v>0</v>
      </c>
      <c r="O162" s="34">
        <f t="shared" si="15"/>
        <v>0.91885441527446299</v>
      </c>
      <c r="P162" s="34">
        <f t="shared" si="16"/>
        <v>9.5465393794749408E-3</v>
      </c>
      <c r="Q162" s="34">
        <f t="shared" si="17"/>
        <v>6.205250596658711E-2</v>
      </c>
      <c r="R162" s="34">
        <f t="shared" si="18"/>
        <v>2.3866348448687352E-3</v>
      </c>
      <c r="S162" s="34">
        <f t="shared" si="19"/>
        <v>0</v>
      </c>
      <c r="T162" s="35">
        <v>12</v>
      </c>
      <c r="U162" s="35">
        <v>455</v>
      </c>
      <c r="V162" s="35">
        <v>42</v>
      </c>
      <c r="W162" s="35">
        <v>3</v>
      </c>
      <c r="X162" s="35">
        <v>512</v>
      </c>
      <c r="Y162" s="36">
        <v>2.34375E-2</v>
      </c>
      <c r="Z162" s="36">
        <v>0.888671875</v>
      </c>
      <c r="AA162" s="36">
        <v>8.203125E-2</v>
      </c>
      <c r="AB162" s="36">
        <v>5.859375E-3</v>
      </c>
      <c r="AC162" s="37">
        <v>56.52734375</v>
      </c>
      <c r="AD162" s="34">
        <f t="shared" si="20"/>
        <v>0.818359375</v>
      </c>
    </row>
    <row r="163" spans="1:30" x14ac:dyDescent="0.25">
      <c r="A163" s="33"/>
      <c r="B163" s="33"/>
      <c r="C163" s="33"/>
      <c r="D163" s="33">
        <v>6</v>
      </c>
      <c r="E163" s="33">
        <v>397</v>
      </c>
      <c r="F163" s="33">
        <v>371</v>
      </c>
      <c r="G163" s="33">
        <v>0</v>
      </c>
      <c r="H163" s="33">
        <v>19</v>
      </c>
      <c r="I163" s="33">
        <v>1</v>
      </c>
      <c r="J163" s="33">
        <v>4</v>
      </c>
      <c r="K163" s="33">
        <v>395</v>
      </c>
      <c r="L163" s="33">
        <v>2</v>
      </c>
      <c r="M163" s="33">
        <f t="shared" si="14"/>
        <v>397</v>
      </c>
      <c r="N163" s="33">
        <v>0</v>
      </c>
      <c r="O163" s="34">
        <f t="shared" si="15"/>
        <v>0.93450881612090675</v>
      </c>
      <c r="P163" s="34">
        <f t="shared" si="16"/>
        <v>1.0075566750629723E-2</v>
      </c>
      <c r="Q163" s="34">
        <f t="shared" si="17"/>
        <v>4.7858942065491183E-2</v>
      </c>
      <c r="R163" s="34">
        <f t="shared" si="18"/>
        <v>2.5188916876574307E-3</v>
      </c>
      <c r="S163" s="34">
        <f t="shared" si="19"/>
        <v>0</v>
      </c>
      <c r="T163" s="35">
        <v>20</v>
      </c>
      <c r="U163" s="35">
        <v>461</v>
      </c>
      <c r="V163" s="35">
        <v>30</v>
      </c>
      <c r="W163" s="35">
        <v>1</v>
      </c>
      <c r="X163" s="35">
        <v>512</v>
      </c>
      <c r="Y163" s="36">
        <v>3.90625E-2</v>
      </c>
      <c r="Z163" s="36">
        <v>0.900390625</v>
      </c>
      <c r="AA163" s="36">
        <v>5.859375E-2</v>
      </c>
      <c r="AB163" s="36">
        <v>1.953125E-3</v>
      </c>
      <c r="AC163" s="37">
        <v>49.05859375</v>
      </c>
      <c r="AD163" s="34">
        <f t="shared" si="20"/>
        <v>0.775390625</v>
      </c>
    </row>
    <row r="164" spans="1:30" x14ac:dyDescent="0.25">
      <c r="A164" s="33"/>
      <c r="B164" s="33"/>
      <c r="C164" s="33"/>
      <c r="D164" s="33">
        <v>7</v>
      </c>
      <c r="E164" s="33">
        <v>366</v>
      </c>
      <c r="F164" s="33">
        <v>347</v>
      </c>
      <c r="G164" s="33">
        <v>0</v>
      </c>
      <c r="H164" s="33">
        <v>12</v>
      </c>
      <c r="I164" s="33">
        <v>1</v>
      </c>
      <c r="J164" s="33">
        <v>6</v>
      </c>
      <c r="K164" s="33">
        <v>366</v>
      </c>
      <c r="L164" s="33">
        <v>0</v>
      </c>
      <c r="M164" s="33">
        <f t="shared" si="14"/>
        <v>366</v>
      </c>
      <c r="N164" s="33">
        <v>0</v>
      </c>
      <c r="O164" s="34">
        <f t="shared" si="15"/>
        <v>0.94808743169398912</v>
      </c>
      <c r="P164" s="34">
        <f t="shared" si="16"/>
        <v>1.6393442622950821E-2</v>
      </c>
      <c r="Q164" s="34">
        <f t="shared" si="17"/>
        <v>3.2786885245901641E-2</v>
      </c>
      <c r="R164" s="34">
        <f t="shared" si="18"/>
        <v>2.7322404371584699E-3</v>
      </c>
      <c r="S164" s="34">
        <f t="shared" si="19"/>
        <v>0</v>
      </c>
      <c r="T164" s="35">
        <v>25</v>
      </c>
      <c r="U164" s="35">
        <v>421</v>
      </c>
      <c r="V164" s="35">
        <v>66</v>
      </c>
      <c r="W164" s="35">
        <v>0</v>
      </c>
      <c r="X164" s="35">
        <v>512</v>
      </c>
      <c r="Y164" s="36">
        <v>4.8828125E-2</v>
      </c>
      <c r="Z164" s="36">
        <v>0.822265625</v>
      </c>
      <c r="AA164" s="36">
        <v>0.12890625</v>
      </c>
      <c r="AB164" s="36">
        <v>0</v>
      </c>
      <c r="AC164" s="37">
        <v>39.755859375</v>
      </c>
      <c r="AD164" s="34">
        <f t="shared" si="20"/>
        <v>0.71484375</v>
      </c>
    </row>
    <row r="165" spans="1:30" x14ac:dyDescent="0.25">
      <c r="A165" s="33"/>
      <c r="B165" s="33"/>
      <c r="C165" s="33"/>
      <c r="D165" s="33">
        <v>8</v>
      </c>
      <c r="E165" s="33">
        <v>374</v>
      </c>
      <c r="F165" s="33">
        <v>339</v>
      </c>
      <c r="G165" s="33">
        <v>1</v>
      </c>
      <c r="H165" s="33">
        <v>17</v>
      </c>
      <c r="I165" s="33">
        <v>1</v>
      </c>
      <c r="J165" s="33">
        <v>16</v>
      </c>
      <c r="K165" s="33">
        <v>374</v>
      </c>
      <c r="L165" s="33">
        <v>0</v>
      </c>
      <c r="M165" s="33">
        <f t="shared" si="14"/>
        <v>374</v>
      </c>
      <c r="N165" s="33">
        <v>0</v>
      </c>
      <c r="O165" s="34">
        <f t="shared" si="15"/>
        <v>0.9064171122994652</v>
      </c>
      <c r="P165" s="34">
        <f t="shared" si="16"/>
        <v>4.2780748663101602E-2</v>
      </c>
      <c r="Q165" s="34">
        <f t="shared" si="17"/>
        <v>4.5454545454545456E-2</v>
      </c>
      <c r="R165" s="34">
        <f t="shared" si="18"/>
        <v>2.6737967914438501E-3</v>
      </c>
      <c r="S165" s="34">
        <f t="shared" si="19"/>
        <v>2.6737967914438501E-3</v>
      </c>
      <c r="T165" s="35">
        <v>56</v>
      </c>
      <c r="U165" s="35">
        <v>406</v>
      </c>
      <c r="V165" s="35">
        <v>50</v>
      </c>
      <c r="W165" s="35">
        <v>0</v>
      </c>
      <c r="X165" s="35">
        <v>512</v>
      </c>
      <c r="Y165" s="36">
        <v>0.109375</v>
      </c>
      <c r="Z165" s="36">
        <v>0.79296875</v>
      </c>
      <c r="AA165" s="36">
        <v>9.765625E-2</v>
      </c>
      <c r="AB165" s="36">
        <v>0</v>
      </c>
      <c r="AC165" s="37">
        <v>26.494140625</v>
      </c>
      <c r="AD165" s="34">
        <f t="shared" si="20"/>
        <v>0.73046875</v>
      </c>
    </row>
    <row r="166" spans="1:30" x14ac:dyDescent="0.25">
      <c r="A166" s="33">
        <v>30</v>
      </c>
      <c r="B166" s="33" t="s">
        <v>217</v>
      </c>
      <c r="C166" s="33" t="s">
        <v>218</v>
      </c>
      <c r="D166" s="33">
        <v>1</v>
      </c>
      <c r="E166" s="33">
        <v>246</v>
      </c>
      <c r="F166" s="33">
        <v>215</v>
      </c>
      <c r="G166" s="33">
        <v>2</v>
      </c>
      <c r="H166" s="33">
        <v>16</v>
      </c>
      <c r="I166" s="33">
        <v>6</v>
      </c>
      <c r="J166" s="33">
        <v>4</v>
      </c>
      <c r="K166" s="33">
        <v>243</v>
      </c>
      <c r="L166" s="33">
        <v>3</v>
      </c>
      <c r="M166" s="33">
        <f t="shared" si="14"/>
        <v>246</v>
      </c>
      <c r="N166" s="33">
        <v>0</v>
      </c>
      <c r="O166" s="34">
        <f t="shared" si="15"/>
        <v>0.87398373983739841</v>
      </c>
      <c r="P166" s="34">
        <f t="shared" si="16"/>
        <v>1.6260162601626018E-2</v>
      </c>
      <c r="Q166" s="34">
        <f t="shared" si="17"/>
        <v>6.5040650406504072E-2</v>
      </c>
      <c r="R166" s="34">
        <f t="shared" si="18"/>
        <v>2.4390243902439025E-2</v>
      </c>
      <c r="S166" s="34">
        <f t="shared" si="19"/>
        <v>8.130081300813009E-3</v>
      </c>
      <c r="T166" s="35">
        <v>8</v>
      </c>
      <c r="U166" s="35">
        <v>384</v>
      </c>
      <c r="V166" s="35">
        <v>57</v>
      </c>
      <c r="W166" s="35">
        <v>1</v>
      </c>
      <c r="X166" s="35">
        <v>450</v>
      </c>
      <c r="Y166" s="36">
        <v>1.7777777777777778E-2</v>
      </c>
      <c r="Z166" s="36">
        <v>0.85333333333333339</v>
      </c>
      <c r="AA166" s="36">
        <v>0.12666666666666668</v>
      </c>
      <c r="AB166" s="36">
        <v>2.2222222222222222E-3</v>
      </c>
      <c r="AC166" s="37">
        <v>74.933333333333337</v>
      </c>
      <c r="AD166" s="34">
        <f t="shared" si="20"/>
        <v>0.54666666666666663</v>
      </c>
    </row>
    <row r="167" spans="1:30" x14ac:dyDescent="0.25">
      <c r="A167" s="33"/>
      <c r="B167" s="33"/>
      <c r="C167" s="33"/>
      <c r="D167" s="33">
        <v>2</v>
      </c>
      <c r="E167" s="33">
        <v>342</v>
      </c>
      <c r="F167" s="33">
        <v>321</v>
      </c>
      <c r="G167" s="33">
        <v>0</v>
      </c>
      <c r="H167" s="33">
        <v>18</v>
      </c>
      <c r="I167" s="33">
        <v>0</v>
      </c>
      <c r="J167" s="33">
        <v>2</v>
      </c>
      <c r="K167" s="33">
        <v>341</v>
      </c>
      <c r="L167" s="33">
        <v>1</v>
      </c>
      <c r="M167" s="33">
        <f t="shared" si="14"/>
        <v>342</v>
      </c>
      <c r="N167" s="33">
        <v>0</v>
      </c>
      <c r="O167" s="34">
        <f t="shared" si="15"/>
        <v>0.93859649122807021</v>
      </c>
      <c r="P167" s="34">
        <f t="shared" si="16"/>
        <v>5.8479532163742687E-3</v>
      </c>
      <c r="Q167" s="34">
        <f t="shared" si="17"/>
        <v>5.2631578947368418E-2</v>
      </c>
      <c r="R167" s="34">
        <f t="shared" si="18"/>
        <v>0</v>
      </c>
      <c r="S167" s="34">
        <f t="shared" si="19"/>
        <v>0</v>
      </c>
      <c r="T167" s="35">
        <v>5</v>
      </c>
      <c r="U167" s="35">
        <v>397</v>
      </c>
      <c r="V167" s="35">
        <v>44</v>
      </c>
      <c r="W167" s="35">
        <v>4</v>
      </c>
      <c r="X167" s="35">
        <v>450</v>
      </c>
      <c r="Y167" s="36">
        <v>1.1111111111111112E-2</v>
      </c>
      <c r="Z167" s="36">
        <v>0.88222222222222224</v>
      </c>
      <c r="AA167" s="36">
        <v>9.7777777777777783E-2</v>
      </c>
      <c r="AB167" s="36">
        <v>8.8888888888888889E-3</v>
      </c>
      <c r="AC167" s="37">
        <v>69.208888888888893</v>
      </c>
      <c r="AD167" s="34">
        <f t="shared" si="20"/>
        <v>0.76</v>
      </c>
    </row>
    <row r="168" spans="1:30" x14ac:dyDescent="0.25">
      <c r="A168" s="33"/>
      <c r="B168" s="33"/>
      <c r="C168" s="33"/>
      <c r="D168" s="33">
        <v>3</v>
      </c>
      <c r="E168" s="33">
        <v>361</v>
      </c>
      <c r="F168" s="33">
        <v>328</v>
      </c>
      <c r="G168" s="33">
        <v>0</v>
      </c>
      <c r="H168" s="33">
        <v>19</v>
      </c>
      <c r="I168" s="33">
        <v>1</v>
      </c>
      <c r="J168" s="33">
        <v>9</v>
      </c>
      <c r="K168" s="33">
        <v>357</v>
      </c>
      <c r="L168" s="33">
        <v>4</v>
      </c>
      <c r="M168" s="33">
        <f t="shared" si="14"/>
        <v>361</v>
      </c>
      <c r="N168" s="33">
        <v>0</v>
      </c>
      <c r="O168" s="34">
        <f t="shared" si="15"/>
        <v>0.90858725761772852</v>
      </c>
      <c r="P168" s="34">
        <f t="shared" si="16"/>
        <v>2.4930747922437674E-2</v>
      </c>
      <c r="Q168" s="34">
        <f t="shared" si="17"/>
        <v>5.2631578947368418E-2</v>
      </c>
      <c r="R168" s="34">
        <f t="shared" si="18"/>
        <v>2.7700831024930748E-3</v>
      </c>
      <c r="S168" s="34">
        <f t="shared" si="19"/>
        <v>0</v>
      </c>
      <c r="T168" s="35">
        <v>18</v>
      </c>
      <c r="U168" s="35">
        <v>350</v>
      </c>
      <c r="V168" s="35">
        <v>79</v>
      </c>
      <c r="W168" s="35">
        <v>3</v>
      </c>
      <c r="X168" s="35">
        <v>450</v>
      </c>
      <c r="Y168" s="36">
        <v>0.04</v>
      </c>
      <c r="Z168" s="36">
        <v>0.77777777777777779</v>
      </c>
      <c r="AA168" s="36">
        <v>0.17555555555555555</v>
      </c>
      <c r="AB168" s="36">
        <v>6.6666666666666671E-3</v>
      </c>
      <c r="AC168" s="37">
        <v>59.535555555555554</v>
      </c>
      <c r="AD168" s="34">
        <f t="shared" si="20"/>
        <v>0.80222222222222217</v>
      </c>
    </row>
    <row r="169" spans="1:30" x14ac:dyDescent="0.25">
      <c r="A169" s="33"/>
      <c r="B169" s="33"/>
      <c r="C169" s="33"/>
      <c r="D169" s="33">
        <v>4</v>
      </c>
      <c r="E169" s="33">
        <v>499</v>
      </c>
      <c r="F169" s="33">
        <v>454</v>
      </c>
      <c r="G169" s="33">
        <v>0</v>
      </c>
      <c r="H169" s="33">
        <v>32</v>
      </c>
      <c r="I169" s="33">
        <v>2</v>
      </c>
      <c r="J169" s="33">
        <v>9</v>
      </c>
      <c r="K169" s="33">
        <v>497</v>
      </c>
      <c r="L169" s="33">
        <v>2</v>
      </c>
      <c r="M169" s="33">
        <f t="shared" si="14"/>
        <v>499</v>
      </c>
      <c r="N169" s="33">
        <v>0</v>
      </c>
      <c r="O169" s="34">
        <f t="shared" si="15"/>
        <v>0.90981963927855714</v>
      </c>
      <c r="P169" s="34">
        <f t="shared" si="16"/>
        <v>1.8036072144288578E-2</v>
      </c>
      <c r="Q169" s="34">
        <f t="shared" si="17"/>
        <v>6.4128256513026047E-2</v>
      </c>
      <c r="R169" s="34">
        <f t="shared" si="18"/>
        <v>4.0080160320641279E-3</v>
      </c>
      <c r="S169" s="34">
        <f t="shared" si="19"/>
        <v>0</v>
      </c>
      <c r="T169" s="35">
        <v>14</v>
      </c>
      <c r="U169" s="35">
        <v>482</v>
      </c>
      <c r="V169" s="35">
        <v>120</v>
      </c>
      <c r="W169" s="35">
        <v>4</v>
      </c>
      <c r="X169" s="35">
        <v>620</v>
      </c>
      <c r="Y169" s="36">
        <v>2.2580645161290321E-2</v>
      </c>
      <c r="Z169" s="36">
        <v>0.77741935483870972</v>
      </c>
      <c r="AA169" s="36">
        <v>0.19354838709677419</v>
      </c>
      <c r="AB169" s="36">
        <v>6.4516129032258064E-3</v>
      </c>
      <c r="AC169" s="37">
        <v>49.624193548387098</v>
      </c>
      <c r="AD169" s="34">
        <f t="shared" si="20"/>
        <v>0.80483870967741933</v>
      </c>
    </row>
    <row r="170" spans="1:30" x14ac:dyDescent="0.25">
      <c r="A170" s="33"/>
      <c r="B170" s="33"/>
      <c r="C170" s="33"/>
      <c r="D170" s="33">
        <v>5</v>
      </c>
      <c r="E170" s="33">
        <v>465</v>
      </c>
      <c r="F170" s="33">
        <v>432</v>
      </c>
      <c r="G170" s="33">
        <v>1</v>
      </c>
      <c r="H170" s="33">
        <v>18</v>
      </c>
      <c r="I170" s="33">
        <v>2</v>
      </c>
      <c r="J170" s="33">
        <v>11</v>
      </c>
      <c r="K170" s="33">
        <v>464</v>
      </c>
      <c r="L170" s="33">
        <v>1</v>
      </c>
      <c r="M170" s="33">
        <f t="shared" si="14"/>
        <v>465</v>
      </c>
      <c r="N170" s="33">
        <v>0</v>
      </c>
      <c r="O170" s="34">
        <f t="shared" si="15"/>
        <v>0.92903225806451617</v>
      </c>
      <c r="P170" s="34">
        <f t="shared" si="16"/>
        <v>2.3655913978494623E-2</v>
      </c>
      <c r="Q170" s="34">
        <f t="shared" si="17"/>
        <v>3.870967741935484E-2</v>
      </c>
      <c r="R170" s="34">
        <f t="shared" si="18"/>
        <v>4.3010752688172043E-3</v>
      </c>
      <c r="S170" s="34">
        <f t="shared" si="19"/>
        <v>2.1505376344086021E-3</v>
      </c>
      <c r="T170" s="35">
        <v>35</v>
      </c>
      <c r="U170" s="35">
        <v>418</v>
      </c>
      <c r="V170" s="35">
        <v>164</v>
      </c>
      <c r="W170" s="35">
        <v>3</v>
      </c>
      <c r="X170" s="35">
        <v>620</v>
      </c>
      <c r="Y170" s="36">
        <v>5.6451612903225805E-2</v>
      </c>
      <c r="Z170" s="36">
        <v>0.67419354838709677</v>
      </c>
      <c r="AA170" s="36">
        <v>0.26451612903225807</v>
      </c>
      <c r="AB170" s="36">
        <v>4.8387096774193551E-3</v>
      </c>
      <c r="AC170" s="37">
        <v>40.972580645161287</v>
      </c>
      <c r="AD170" s="34">
        <f t="shared" si="20"/>
        <v>0.75</v>
      </c>
    </row>
    <row r="171" spans="1:30" x14ac:dyDescent="0.25">
      <c r="A171" s="33"/>
      <c r="B171" s="33"/>
      <c r="C171" s="33"/>
      <c r="D171" s="33">
        <v>6</v>
      </c>
      <c r="E171" s="33">
        <v>422</v>
      </c>
      <c r="F171" s="33">
        <v>390</v>
      </c>
      <c r="G171" s="33">
        <v>1</v>
      </c>
      <c r="H171" s="33">
        <v>24</v>
      </c>
      <c r="I171" s="33">
        <v>1</v>
      </c>
      <c r="J171" s="33">
        <v>5</v>
      </c>
      <c r="K171" s="33">
        <v>421</v>
      </c>
      <c r="L171" s="33">
        <v>1</v>
      </c>
      <c r="M171" s="33">
        <f t="shared" si="14"/>
        <v>422</v>
      </c>
      <c r="N171" s="33">
        <v>0</v>
      </c>
      <c r="O171" s="34">
        <f t="shared" si="15"/>
        <v>0.92417061611374407</v>
      </c>
      <c r="P171" s="34">
        <f t="shared" si="16"/>
        <v>1.1848341232227487E-2</v>
      </c>
      <c r="Q171" s="34">
        <f t="shared" si="17"/>
        <v>5.6872037914691941E-2</v>
      </c>
      <c r="R171" s="34">
        <f t="shared" si="18"/>
        <v>2.3696682464454978E-3</v>
      </c>
      <c r="S171" s="34">
        <f t="shared" si="19"/>
        <v>2.3696682464454978E-3</v>
      </c>
      <c r="T171" s="35">
        <v>35</v>
      </c>
      <c r="U171" s="35">
        <v>427</v>
      </c>
      <c r="V171" s="35">
        <v>153</v>
      </c>
      <c r="W171" s="35">
        <v>5</v>
      </c>
      <c r="X171" s="35">
        <v>620</v>
      </c>
      <c r="Y171" s="36">
        <v>5.6451612903225805E-2</v>
      </c>
      <c r="Z171" s="36">
        <v>0.68870967741935485</v>
      </c>
      <c r="AA171" s="36">
        <v>0.24677419354838709</v>
      </c>
      <c r="AB171" s="36">
        <v>8.0645161290322578E-3</v>
      </c>
      <c r="AC171" s="37">
        <v>32.951612903225808</v>
      </c>
      <c r="AD171" s="34">
        <f t="shared" si="20"/>
        <v>0.6806451612903226</v>
      </c>
    </row>
    <row r="172" spans="1:30" x14ac:dyDescent="0.25">
      <c r="A172" s="33"/>
      <c r="B172" s="33"/>
      <c r="C172" s="33"/>
      <c r="D172" s="33">
        <v>7</v>
      </c>
      <c r="E172" s="33">
        <v>471</v>
      </c>
      <c r="F172" s="33">
        <v>439</v>
      </c>
      <c r="G172" s="33">
        <v>2</v>
      </c>
      <c r="H172" s="33">
        <v>12</v>
      </c>
      <c r="I172" s="33">
        <v>0</v>
      </c>
      <c r="J172" s="33">
        <v>17</v>
      </c>
      <c r="K172" s="33">
        <v>470</v>
      </c>
      <c r="L172" s="33">
        <v>1</v>
      </c>
      <c r="M172" s="33">
        <f t="shared" si="14"/>
        <v>471</v>
      </c>
      <c r="N172" s="33">
        <v>0</v>
      </c>
      <c r="O172" s="34">
        <f t="shared" si="15"/>
        <v>0.93205944798301488</v>
      </c>
      <c r="P172" s="34">
        <f t="shared" si="16"/>
        <v>3.6093418259023353E-2</v>
      </c>
      <c r="Q172" s="34">
        <f t="shared" si="17"/>
        <v>2.5477707006369428E-2</v>
      </c>
      <c r="R172" s="34">
        <f t="shared" si="18"/>
        <v>0</v>
      </c>
      <c r="S172" s="34">
        <f t="shared" si="19"/>
        <v>4.246284501061571E-3</v>
      </c>
      <c r="T172" s="35">
        <v>34</v>
      </c>
      <c r="U172" s="35">
        <v>433</v>
      </c>
      <c r="V172" s="35">
        <v>152</v>
      </c>
      <c r="W172" s="35">
        <v>1</v>
      </c>
      <c r="X172" s="35">
        <v>620</v>
      </c>
      <c r="Y172" s="36">
        <v>5.4838709677419356E-2</v>
      </c>
      <c r="Z172" s="36">
        <v>0.69838709677419353</v>
      </c>
      <c r="AA172" s="36">
        <v>0.24516129032258063</v>
      </c>
      <c r="AB172" s="36">
        <v>1.6129032258064516E-3</v>
      </c>
      <c r="AC172" s="37">
        <v>23.629032258064516</v>
      </c>
      <c r="AD172" s="34">
        <f t="shared" si="20"/>
        <v>0.75967741935483868</v>
      </c>
    </row>
    <row r="173" spans="1:30" x14ac:dyDescent="0.25">
      <c r="A173" s="45">
        <v>31</v>
      </c>
      <c r="B173" s="45" t="s">
        <v>219</v>
      </c>
      <c r="C173" s="45" t="s">
        <v>220</v>
      </c>
      <c r="D173" s="45">
        <v>1</v>
      </c>
      <c r="E173" s="45">
        <v>329</v>
      </c>
      <c r="F173" s="45">
        <v>173</v>
      </c>
      <c r="G173" s="45">
        <v>2</v>
      </c>
      <c r="H173" s="45">
        <v>97</v>
      </c>
      <c r="I173" s="45">
        <v>6</v>
      </c>
      <c r="J173" s="45">
        <v>47</v>
      </c>
      <c r="K173" s="45">
        <v>325</v>
      </c>
      <c r="L173" s="45">
        <v>4</v>
      </c>
      <c r="M173" s="45">
        <f t="shared" si="14"/>
        <v>329</v>
      </c>
      <c r="N173" s="45">
        <v>0</v>
      </c>
      <c r="O173" s="46">
        <f t="shared" si="15"/>
        <v>0.52583586626139822</v>
      </c>
      <c r="P173" s="46">
        <f t="shared" si="16"/>
        <v>0.14285714285714285</v>
      </c>
      <c r="Q173" s="46">
        <f t="shared" si="17"/>
        <v>0.29483282674772038</v>
      </c>
      <c r="R173" s="46">
        <f t="shared" si="18"/>
        <v>1.82370820668693E-2</v>
      </c>
      <c r="S173" s="46">
        <f t="shared" si="19"/>
        <v>6.0790273556231003E-3</v>
      </c>
      <c r="T173" s="47">
        <v>230</v>
      </c>
      <c r="U173" s="47">
        <v>93</v>
      </c>
      <c r="V173" s="47">
        <v>121</v>
      </c>
      <c r="W173" s="47">
        <v>6</v>
      </c>
      <c r="X173" s="47">
        <v>450</v>
      </c>
      <c r="Y173" s="48">
        <v>0.51111111111111107</v>
      </c>
      <c r="Z173" s="48">
        <v>0.20666666666666667</v>
      </c>
      <c r="AA173" s="48">
        <v>0.2688888888888889</v>
      </c>
      <c r="AB173" s="48">
        <v>1.3333333333333334E-2</v>
      </c>
      <c r="AC173" s="49">
        <v>68.319999999999993</v>
      </c>
      <c r="AD173" s="46">
        <f t="shared" si="20"/>
        <v>0.73111111111111116</v>
      </c>
    </row>
    <row r="174" spans="1:30" x14ac:dyDescent="0.25">
      <c r="A174" s="45"/>
      <c r="B174" s="45"/>
      <c r="C174" s="45"/>
      <c r="D174" s="45">
        <v>2</v>
      </c>
      <c r="E174" s="45">
        <v>361</v>
      </c>
      <c r="F174" s="45">
        <v>164</v>
      </c>
      <c r="G174" s="45">
        <v>0</v>
      </c>
      <c r="H174" s="45">
        <v>108</v>
      </c>
      <c r="I174" s="45">
        <v>10</v>
      </c>
      <c r="J174" s="45">
        <v>75</v>
      </c>
      <c r="K174" s="45">
        <v>357</v>
      </c>
      <c r="L174" s="45">
        <v>4</v>
      </c>
      <c r="M174" s="45">
        <f t="shared" si="14"/>
        <v>361</v>
      </c>
      <c r="N174" s="45">
        <v>0</v>
      </c>
      <c r="O174" s="46">
        <f t="shared" si="15"/>
        <v>0.45429362880886426</v>
      </c>
      <c r="P174" s="46">
        <f t="shared" si="16"/>
        <v>0.2077562326869806</v>
      </c>
      <c r="Q174" s="46">
        <f t="shared" si="17"/>
        <v>0.29916897506925205</v>
      </c>
      <c r="R174" s="46">
        <f t="shared" si="18"/>
        <v>2.7700831024930747E-2</v>
      </c>
      <c r="S174" s="46">
        <f t="shared" si="19"/>
        <v>0</v>
      </c>
      <c r="T174" s="47">
        <v>238</v>
      </c>
      <c r="U174" s="47">
        <v>96</v>
      </c>
      <c r="V174" s="47">
        <v>111</v>
      </c>
      <c r="W174" s="47">
        <v>5</v>
      </c>
      <c r="X174" s="47">
        <v>450</v>
      </c>
      <c r="Y174" s="48">
        <v>0.52888888888888885</v>
      </c>
      <c r="Z174" s="48">
        <v>0.21333333333333335</v>
      </c>
      <c r="AA174" s="48">
        <v>0.24666666666666667</v>
      </c>
      <c r="AB174" s="48">
        <v>1.1111111111111112E-2</v>
      </c>
      <c r="AC174" s="49">
        <v>64.142222222222216</v>
      </c>
      <c r="AD174" s="46">
        <f t="shared" si="20"/>
        <v>0.80222222222222217</v>
      </c>
    </row>
    <row r="175" spans="1:30" x14ac:dyDescent="0.25">
      <c r="A175" s="45"/>
      <c r="B175" s="45"/>
      <c r="C175" s="45"/>
      <c r="D175" s="45">
        <v>3</v>
      </c>
      <c r="E175" s="45">
        <v>584</v>
      </c>
      <c r="F175" s="45">
        <v>303</v>
      </c>
      <c r="G175" s="45">
        <v>3</v>
      </c>
      <c r="H175" s="45">
        <v>120</v>
      </c>
      <c r="I175" s="45">
        <v>17</v>
      </c>
      <c r="J175" s="45">
        <v>136</v>
      </c>
      <c r="K175" s="45">
        <v>579</v>
      </c>
      <c r="L175" s="45">
        <v>5</v>
      </c>
      <c r="M175" s="45">
        <f t="shared" si="14"/>
        <v>584</v>
      </c>
      <c r="N175" s="45">
        <v>0</v>
      </c>
      <c r="O175" s="46">
        <f t="shared" si="15"/>
        <v>0.51883561643835618</v>
      </c>
      <c r="P175" s="46">
        <f t="shared" si="16"/>
        <v>0.23287671232876711</v>
      </c>
      <c r="Q175" s="46">
        <f t="shared" si="17"/>
        <v>0.20547945205479451</v>
      </c>
      <c r="R175" s="46">
        <f t="shared" si="18"/>
        <v>2.9109589041095889E-2</v>
      </c>
      <c r="S175" s="46">
        <f t="shared" si="19"/>
        <v>5.1369863013698627E-3</v>
      </c>
      <c r="T175" s="47">
        <v>366</v>
      </c>
      <c r="U175" s="47">
        <v>150</v>
      </c>
      <c r="V175" s="47">
        <v>219</v>
      </c>
      <c r="W175" s="47">
        <v>13</v>
      </c>
      <c r="X175" s="47">
        <v>748</v>
      </c>
      <c r="Y175" s="48">
        <v>0.48930481283422461</v>
      </c>
      <c r="Z175" s="48">
        <v>0.20053475935828877</v>
      </c>
      <c r="AA175" s="48">
        <v>0.29278074866310161</v>
      </c>
      <c r="AB175" s="48">
        <v>1.7379679144385027E-2</v>
      </c>
      <c r="AC175" s="49">
        <v>51.308823529411768</v>
      </c>
      <c r="AD175" s="46">
        <f t="shared" si="20"/>
        <v>0.78074866310160429</v>
      </c>
    </row>
    <row r="176" spans="1:30" x14ac:dyDescent="0.25">
      <c r="A176" s="45"/>
      <c r="B176" s="45"/>
      <c r="C176" s="45"/>
      <c r="D176" s="45">
        <v>4</v>
      </c>
      <c r="E176" s="45">
        <v>546</v>
      </c>
      <c r="F176" s="45">
        <v>223</v>
      </c>
      <c r="G176" s="45">
        <v>4</v>
      </c>
      <c r="H176" s="45">
        <v>121</v>
      </c>
      <c r="I176" s="45">
        <v>13</v>
      </c>
      <c r="J176" s="45">
        <v>183</v>
      </c>
      <c r="K176" s="45">
        <v>544</v>
      </c>
      <c r="L176" s="45">
        <v>2</v>
      </c>
      <c r="M176" s="45">
        <f t="shared" si="14"/>
        <v>546</v>
      </c>
      <c r="N176" s="45">
        <v>0</v>
      </c>
      <c r="O176" s="46">
        <f t="shared" si="15"/>
        <v>0.40842490842490842</v>
      </c>
      <c r="P176" s="46">
        <f t="shared" si="16"/>
        <v>0.33516483516483514</v>
      </c>
      <c r="Q176" s="46">
        <f t="shared" si="17"/>
        <v>0.2216117216117216</v>
      </c>
      <c r="R176" s="46">
        <f t="shared" si="18"/>
        <v>2.3809523809523808E-2</v>
      </c>
      <c r="S176" s="46">
        <f t="shared" si="19"/>
        <v>7.326007326007326E-3</v>
      </c>
      <c r="T176" s="47">
        <v>489</v>
      </c>
      <c r="U176" s="47">
        <v>117</v>
      </c>
      <c r="V176" s="47">
        <v>130</v>
      </c>
      <c r="W176" s="47">
        <v>12</v>
      </c>
      <c r="X176" s="47">
        <v>748</v>
      </c>
      <c r="Y176" s="48">
        <v>0.65374331550802134</v>
      </c>
      <c r="Z176" s="48">
        <v>0.15641711229946523</v>
      </c>
      <c r="AA176" s="48">
        <v>0.17379679144385027</v>
      </c>
      <c r="AB176" s="48">
        <v>1.6042780748663103E-2</v>
      </c>
      <c r="AC176" s="49">
        <v>41.054812834224599</v>
      </c>
      <c r="AD176" s="46">
        <f t="shared" si="20"/>
        <v>0.72994652406417115</v>
      </c>
    </row>
    <row r="177" spans="1:30" x14ac:dyDescent="0.25">
      <c r="A177" s="45"/>
      <c r="B177" s="45"/>
      <c r="C177" s="45"/>
      <c r="D177" s="45">
        <v>5</v>
      </c>
      <c r="E177" s="45">
        <v>547</v>
      </c>
      <c r="F177" s="45">
        <v>244</v>
      </c>
      <c r="G177" s="45">
        <v>2</v>
      </c>
      <c r="H177" s="45">
        <v>97</v>
      </c>
      <c r="I177" s="45">
        <v>14</v>
      </c>
      <c r="J177" s="45">
        <v>190</v>
      </c>
      <c r="K177" s="45">
        <v>547</v>
      </c>
      <c r="L177" s="45">
        <v>0</v>
      </c>
      <c r="M177" s="45">
        <f t="shared" si="14"/>
        <v>547</v>
      </c>
      <c r="N177" s="45">
        <v>0</v>
      </c>
      <c r="O177" s="46">
        <f t="shared" si="15"/>
        <v>0.44606946983546619</v>
      </c>
      <c r="P177" s="46">
        <f t="shared" si="16"/>
        <v>0.34734917733089582</v>
      </c>
      <c r="Q177" s="46">
        <f t="shared" si="17"/>
        <v>0.1773308957952468</v>
      </c>
      <c r="R177" s="46">
        <f t="shared" si="18"/>
        <v>2.5594149908592323E-2</v>
      </c>
      <c r="S177" s="46">
        <f t="shared" si="19"/>
        <v>3.6563071297989031E-3</v>
      </c>
      <c r="T177" s="47">
        <v>492</v>
      </c>
      <c r="U177" s="47">
        <v>105</v>
      </c>
      <c r="V177" s="47">
        <v>139</v>
      </c>
      <c r="W177" s="47">
        <v>13</v>
      </c>
      <c r="X177" s="47">
        <v>749</v>
      </c>
      <c r="Y177" s="48">
        <v>0.6568758344459279</v>
      </c>
      <c r="Z177" s="48">
        <v>0.14018691588785046</v>
      </c>
      <c r="AA177" s="48">
        <v>0.1855807743658211</v>
      </c>
      <c r="AB177" s="48">
        <v>1.7356475300400534E-2</v>
      </c>
      <c r="AC177" s="49">
        <v>33.742323097463284</v>
      </c>
      <c r="AD177" s="46">
        <f t="shared" si="20"/>
        <v>0.73030707610146861</v>
      </c>
    </row>
    <row r="178" spans="1:30" x14ac:dyDescent="0.25">
      <c r="A178" s="45"/>
      <c r="B178" s="45"/>
      <c r="C178" s="45"/>
      <c r="D178" s="45">
        <v>6</v>
      </c>
      <c r="E178" s="45">
        <v>604</v>
      </c>
      <c r="F178" s="45">
        <v>299</v>
      </c>
      <c r="G178" s="45">
        <v>2</v>
      </c>
      <c r="H178" s="45">
        <v>98</v>
      </c>
      <c r="I178" s="45">
        <v>12</v>
      </c>
      <c r="J178" s="45">
        <v>193</v>
      </c>
      <c r="K178" s="45">
        <v>604</v>
      </c>
      <c r="L178" s="45">
        <v>0</v>
      </c>
      <c r="M178" s="45">
        <f t="shared" si="14"/>
        <v>604</v>
      </c>
      <c r="N178" s="45">
        <v>0</v>
      </c>
      <c r="O178" s="46">
        <f t="shared" si="15"/>
        <v>0.49503311258278143</v>
      </c>
      <c r="P178" s="46">
        <f t="shared" si="16"/>
        <v>0.31953642384105962</v>
      </c>
      <c r="Q178" s="46">
        <f t="shared" si="17"/>
        <v>0.16225165562913907</v>
      </c>
      <c r="R178" s="46">
        <f t="shared" si="18"/>
        <v>1.9867549668874173E-2</v>
      </c>
      <c r="S178" s="46">
        <f t="shared" si="19"/>
        <v>3.3112582781456954E-3</v>
      </c>
      <c r="T178" s="47">
        <v>530</v>
      </c>
      <c r="U178" s="47">
        <v>63</v>
      </c>
      <c r="V178" s="47">
        <v>151</v>
      </c>
      <c r="W178" s="47">
        <v>5</v>
      </c>
      <c r="X178" s="47">
        <v>749</v>
      </c>
      <c r="Y178" s="48">
        <v>0.70761014686248336</v>
      </c>
      <c r="Z178" s="48">
        <v>8.4112149532710276E-2</v>
      </c>
      <c r="AA178" s="48">
        <v>0.20160213618157544</v>
      </c>
      <c r="AB178" s="48">
        <v>6.6755674232309749E-3</v>
      </c>
      <c r="AC178" s="49">
        <v>24.65954606141522</v>
      </c>
      <c r="AD178" s="46">
        <f t="shared" si="20"/>
        <v>0.80640854472630175</v>
      </c>
    </row>
    <row r="179" spans="1:30" x14ac:dyDescent="0.25">
      <c r="A179" s="45">
        <v>32</v>
      </c>
      <c r="B179" s="45" t="s">
        <v>221</v>
      </c>
      <c r="C179" s="45" t="s">
        <v>222</v>
      </c>
      <c r="D179" s="45">
        <v>1</v>
      </c>
      <c r="E179" s="45">
        <v>225</v>
      </c>
      <c r="F179" s="45">
        <v>164</v>
      </c>
      <c r="G179" s="45">
        <v>1</v>
      </c>
      <c r="H179" s="45">
        <v>43</v>
      </c>
      <c r="I179" s="45">
        <v>2</v>
      </c>
      <c r="J179" s="45">
        <v>7</v>
      </c>
      <c r="K179" s="45">
        <v>217</v>
      </c>
      <c r="L179" s="45">
        <v>8</v>
      </c>
      <c r="M179" s="45">
        <f t="shared" si="14"/>
        <v>225</v>
      </c>
      <c r="N179" s="45">
        <v>0</v>
      </c>
      <c r="O179" s="46">
        <f t="shared" si="15"/>
        <v>0.72888888888888892</v>
      </c>
      <c r="P179" s="46">
        <f t="shared" si="16"/>
        <v>3.111111111111111E-2</v>
      </c>
      <c r="Q179" s="46">
        <f t="shared" si="17"/>
        <v>0.19111111111111112</v>
      </c>
      <c r="R179" s="46">
        <f t="shared" si="18"/>
        <v>8.8888888888888889E-3</v>
      </c>
      <c r="S179" s="46">
        <f t="shared" si="19"/>
        <v>4.4444444444444444E-3</v>
      </c>
      <c r="T179" s="47">
        <v>82</v>
      </c>
      <c r="U179" s="47">
        <v>308</v>
      </c>
      <c r="V179" s="47">
        <v>57</v>
      </c>
      <c r="W179" s="47">
        <v>3</v>
      </c>
      <c r="X179" s="47">
        <v>450</v>
      </c>
      <c r="Y179" s="48">
        <v>0.18222222222222223</v>
      </c>
      <c r="Z179" s="48">
        <v>0.68444444444444441</v>
      </c>
      <c r="AA179" s="48">
        <v>0.12666666666666668</v>
      </c>
      <c r="AB179" s="48">
        <v>6.6666666666666671E-3</v>
      </c>
      <c r="AC179" s="49">
        <v>72.995555555555555</v>
      </c>
      <c r="AD179" s="46">
        <f t="shared" si="20"/>
        <v>0.5</v>
      </c>
    </row>
    <row r="180" spans="1:30" x14ac:dyDescent="0.25">
      <c r="A180" s="45"/>
      <c r="B180" s="45"/>
      <c r="C180" s="45"/>
      <c r="D180" s="45">
        <v>2</v>
      </c>
      <c r="E180" s="45">
        <v>347</v>
      </c>
      <c r="F180" s="45">
        <v>273</v>
      </c>
      <c r="G180" s="45">
        <v>2</v>
      </c>
      <c r="H180" s="45">
        <v>55</v>
      </c>
      <c r="I180" s="45">
        <v>0</v>
      </c>
      <c r="J180" s="45">
        <v>11</v>
      </c>
      <c r="K180" s="45">
        <v>341</v>
      </c>
      <c r="L180" s="45">
        <v>6</v>
      </c>
      <c r="M180" s="45">
        <f t="shared" si="14"/>
        <v>347</v>
      </c>
      <c r="N180" s="45">
        <v>0</v>
      </c>
      <c r="O180" s="46">
        <f t="shared" si="15"/>
        <v>0.78674351585014413</v>
      </c>
      <c r="P180" s="46">
        <f t="shared" si="16"/>
        <v>3.1700288184438041E-2</v>
      </c>
      <c r="Q180" s="46">
        <f t="shared" si="17"/>
        <v>0.15850144092219021</v>
      </c>
      <c r="R180" s="46">
        <f t="shared" si="18"/>
        <v>0</v>
      </c>
      <c r="S180" s="46">
        <f t="shared" si="19"/>
        <v>5.763688760806916E-3</v>
      </c>
      <c r="T180" s="47">
        <v>56</v>
      </c>
      <c r="U180" s="47">
        <v>339</v>
      </c>
      <c r="V180" s="47">
        <v>46</v>
      </c>
      <c r="W180" s="47">
        <v>9</v>
      </c>
      <c r="X180" s="47">
        <v>450</v>
      </c>
      <c r="Y180" s="48">
        <v>0.12444444444444444</v>
      </c>
      <c r="Z180" s="48">
        <v>0.7533333333333333</v>
      </c>
      <c r="AA180" s="48">
        <v>0.10222222222222223</v>
      </c>
      <c r="AB180" s="48">
        <v>0.02</v>
      </c>
      <c r="AC180" s="49">
        <v>70.888888888888886</v>
      </c>
      <c r="AD180" s="46">
        <f t="shared" si="20"/>
        <v>0.77111111111111108</v>
      </c>
    </row>
    <row r="181" spans="1:30" x14ac:dyDescent="0.25">
      <c r="A181" s="45"/>
      <c r="B181" s="45"/>
      <c r="C181" s="45"/>
      <c r="D181" s="45">
        <v>3</v>
      </c>
      <c r="E181" s="45">
        <v>432</v>
      </c>
      <c r="F181" s="45">
        <v>344</v>
      </c>
      <c r="G181" s="45">
        <v>3</v>
      </c>
      <c r="H181" s="45">
        <v>58</v>
      </c>
      <c r="I181" s="45">
        <v>5</v>
      </c>
      <c r="J181" s="45">
        <v>20</v>
      </c>
      <c r="K181" s="45">
        <v>430</v>
      </c>
      <c r="L181" s="45">
        <v>2</v>
      </c>
      <c r="M181" s="45">
        <f t="shared" si="14"/>
        <v>432</v>
      </c>
      <c r="N181" s="45">
        <v>0</v>
      </c>
      <c r="O181" s="46">
        <f t="shared" si="15"/>
        <v>0.79629629629629628</v>
      </c>
      <c r="P181" s="46">
        <f t="shared" si="16"/>
        <v>4.6296296296296294E-2</v>
      </c>
      <c r="Q181" s="46">
        <f t="shared" si="17"/>
        <v>0.13425925925925927</v>
      </c>
      <c r="R181" s="46">
        <f t="shared" si="18"/>
        <v>1.1574074074074073E-2</v>
      </c>
      <c r="S181" s="46">
        <f t="shared" si="19"/>
        <v>6.9444444444444441E-3</v>
      </c>
      <c r="T181" s="47">
        <v>79</v>
      </c>
      <c r="U181" s="47">
        <v>403</v>
      </c>
      <c r="V181" s="47">
        <v>67</v>
      </c>
      <c r="W181" s="47">
        <v>3</v>
      </c>
      <c r="X181" s="47">
        <v>552</v>
      </c>
      <c r="Y181" s="48">
        <v>0.1431159420289855</v>
      </c>
      <c r="Z181" s="48">
        <v>0.73007246376811596</v>
      </c>
      <c r="AA181" s="48">
        <v>0.1213768115942029</v>
      </c>
      <c r="AB181" s="48">
        <v>5.434782608695652E-3</v>
      </c>
      <c r="AC181" s="49">
        <v>63.371376811594203</v>
      </c>
      <c r="AD181" s="46">
        <f t="shared" si="20"/>
        <v>0.78260869565217395</v>
      </c>
    </row>
    <row r="182" spans="1:30" x14ac:dyDescent="0.25">
      <c r="A182" s="45"/>
      <c r="B182" s="45"/>
      <c r="C182" s="45"/>
      <c r="D182" s="45">
        <v>4</v>
      </c>
      <c r="E182" s="45">
        <v>438</v>
      </c>
      <c r="F182" s="45">
        <v>344</v>
      </c>
      <c r="G182" s="45">
        <v>0</v>
      </c>
      <c r="H182" s="45">
        <v>60</v>
      </c>
      <c r="I182" s="45">
        <v>1</v>
      </c>
      <c r="J182" s="45">
        <v>32</v>
      </c>
      <c r="K182" s="45">
        <v>437</v>
      </c>
      <c r="L182" s="45">
        <v>1</v>
      </c>
      <c r="M182" s="45">
        <f t="shared" si="14"/>
        <v>438</v>
      </c>
      <c r="N182" s="45">
        <v>0</v>
      </c>
      <c r="O182" s="46">
        <f t="shared" si="15"/>
        <v>0.78538812785388123</v>
      </c>
      <c r="P182" s="46">
        <f t="shared" si="16"/>
        <v>7.3059360730593603E-2</v>
      </c>
      <c r="Q182" s="46">
        <f t="shared" si="17"/>
        <v>0.13698630136986301</v>
      </c>
      <c r="R182" s="46">
        <f t="shared" si="18"/>
        <v>2.2831050228310501E-3</v>
      </c>
      <c r="S182" s="46">
        <f t="shared" si="19"/>
        <v>0</v>
      </c>
      <c r="T182" s="47">
        <v>105</v>
      </c>
      <c r="U182" s="47">
        <v>367</v>
      </c>
      <c r="V182" s="47">
        <v>76</v>
      </c>
      <c r="W182" s="47">
        <v>5</v>
      </c>
      <c r="X182" s="47">
        <v>553</v>
      </c>
      <c r="Y182" s="48">
        <v>0.189873417721519</v>
      </c>
      <c r="Z182" s="48">
        <v>0.66365280289330919</v>
      </c>
      <c r="AA182" s="48">
        <v>0.13743218806509946</v>
      </c>
      <c r="AB182" s="48">
        <v>9.0415913200723331E-3</v>
      </c>
      <c r="AC182" s="49">
        <v>55.396021699819165</v>
      </c>
      <c r="AD182" s="46">
        <f t="shared" si="20"/>
        <v>0.79204339963833637</v>
      </c>
    </row>
    <row r="183" spans="1:30" x14ac:dyDescent="0.25">
      <c r="A183" s="45"/>
      <c r="B183" s="45"/>
      <c r="C183" s="45"/>
      <c r="D183" s="45">
        <v>5</v>
      </c>
      <c r="E183" s="45">
        <v>428</v>
      </c>
      <c r="F183" s="45">
        <v>315</v>
      </c>
      <c r="G183" s="45">
        <v>1</v>
      </c>
      <c r="H183" s="45">
        <v>62</v>
      </c>
      <c r="I183" s="45">
        <v>1</v>
      </c>
      <c r="J183" s="45">
        <v>48</v>
      </c>
      <c r="K183" s="45">
        <v>427</v>
      </c>
      <c r="L183" s="45">
        <v>1</v>
      </c>
      <c r="M183" s="45">
        <f t="shared" si="14"/>
        <v>428</v>
      </c>
      <c r="N183" s="45">
        <v>0</v>
      </c>
      <c r="O183" s="46">
        <f t="shared" si="15"/>
        <v>0.73598130841121501</v>
      </c>
      <c r="P183" s="46">
        <f t="shared" si="16"/>
        <v>0.11214953271028037</v>
      </c>
      <c r="Q183" s="46">
        <f t="shared" si="17"/>
        <v>0.14485981308411214</v>
      </c>
      <c r="R183" s="46">
        <f t="shared" si="18"/>
        <v>2.3364485981308409E-3</v>
      </c>
      <c r="S183" s="46">
        <f t="shared" si="19"/>
        <v>2.3364485981308409E-3</v>
      </c>
      <c r="T183" s="47">
        <v>136</v>
      </c>
      <c r="U183" s="47">
        <v>324</v>
      </c>
      <c r="V183" s="47">
        <v>88</v>
      </c>
      <c r="W183" s="47">
        <v>5</v>
      </c>
      <c r="X183" s="47">
        <v>553</v>
      </c>
      <c r="Y183" s="48">
        <v>0.24593128390596744</v>
      </c>
      <c r="Z183" s="48">
        <v>0.58589511754068713</v>
      </c>
      <c r="AA183" s="48">
        <v>0.15913200723327306</v>
      </c>
      <c r="AB183" s="48">
        <v>9.0415913200723331E-3</v>
      </c>
      <c r="AC183" s="49">
        <v>46.224231464737791</v>
      </c>
      <c r="AD183" s="46">
        <f t="shared" si="20"/>
        <v>0.77396021699819173</v>
      </c>
    </row>
    <row r="184" spans="1:30" x14ac:dyDescent="0.25">
      <c r="A184" s="45"/>
      <c r="B184" s="45"/>
      <c r="C184" s="45"/>
      <c r="D184" s="45">
        <v>6</v>
      </c>
      <c r="E184" s="45">
        <v>402</v>
      </c>
      <c r="F184" s="45">
        <v>267</v>
      </c>
      <c r="G184" s="45">
        <v>0</v>
      </c>
      <c r="H184" s="45">
        <v>69</v>
      </c>
      <c r="I184" s="45">
        <v>1</v>
      </c>
      <c r="J184" s="45">
        <v>64</v>
      </c>
      <c r="K184" s="45">
        <v>401</v>
      </c>
      <c r="L184" s="45">
        <v>1</v>
      </c>
      <c r="M184" s="45">
        <f t="shared" si="14"/>
        <v>402</v>
      </c>
      <c r="N184" s="45">
        <v>0</v>
      </c>
      <c r="O184" s="46">
        <f t="shared" si="15"/>
        <v>0.66417910447761197</v>
      </c>
      <c r="P184" s="46">
        <f t="shared" si="16"/>
        <v>0.15920398009950248</v>
      </c>
      <c r="Q184" s="46">
        <f t="shared" si="17"/>
        <v>0.17164179104477612</v>
      </c>
      <c r="R184" s="46">
        <f t="shared" si="18"/>
        <v>2.4875621890547263E-3</v>
      </c>
      <c r="S184" s="46">
        <f t="shared" si="19"/>
        <v>0</v>
      </c>
      <c r="T184" s="47">
        <v>194</v>
      </c>
      <c r="U184" s="47">
        <v>260</v>
      </c>
      <c r="V184" s="47">
        <v>91</v>
      </c>
      <c r="W184" s="47">
        <v>8</v>
      </c>
      <c r="X184" s="47">
        <v>553</v>
      </c>
      <c r="Y184" s="48">
        <v>0.35081374321880648</v>
      </c>
      <c r="Z184" s="48">
        <v>0.47016274864376129</v>
      </c>
      <c r="AA184" s="48">
        <v>0.16455696202531644</v>
      </c>
      <c r="AB184" s="48">
        <v>1.4466546112115732E-2</v>
      </c>
      <c r="AC184" s="49">
        <v>37.142857142857146</v>
      </c>
      <c r="AD184" s="46">
        <f t="shared" si="20"/>
        <v>0.72694394213381552</v>
      </c>
    </row>
    <row r="185" spans="1:30" x14ac:dyDescent="0.25">
      <c r="A185" s="45"/>
      <c r="B185" s="45"/>
      <c r="C185" s="45"/>
      <c r="D185" s="45">
        <v>7</v>
      </c>
      <c r="E185" s="45">
        <v>406</v>
      </c>
      <c r="F185" s="45">
        <v>260</v>
      </c>
      <c r="G185" s="45">
        <v>0</v>
      </c>
      <c r="H185" s="45">
        <v>51</v>
      </c>
      <c r="I185" s="45">
        <v>5</v>
      </c>
      <c r="J185" s="45">
        <v>89</v>
      </c>
      <c r="K185" s="45">
        <v>405</v>
      </c>
      <c r="L185" s="45">
        <v>1</v>
      </c>
      <c r="M185" s="45">
        <f t="shared" si="14"/>
        <v>406</v>
      </c>
      <c r="N185" s="45">
        <v>0</v>
      </c>
      <c r="O185" s="46">
        <f t="shared" si="15"/>
        <v>0.64039408866995073</v>
      </c>
      <c r="P185" s="46">
        <f t="shared" si="16"/>
        <v>0.21921182266009853</v>
      </c>
      <c r="Q185" s="46">
        <f t="shared" si="17"/>
        <v>0.12561576354679804</v>
      </c>
      <c r="R185" s="46">
        <f t="shared" si="18"/>
        <v>1.2315270935960592E-2</v>
      </c>
      <c r="S185" s="46">
        <f t="shared" si="19"/>
        <v>0</v>
      </c>
      <c r="T185" s="47">
        <v>236</v>
      </c>
      <c r="U185" s="47">
        <v>240</v>
      </c>
      <c r="V185" s="47">
        <v>68</v>
      </c>
      <c r="W185" s="47">
        <v>9</v>
      </c>
      <c r="X185" s="47">
        <v>553</v>
      </c>
      <c r="Y185" s="48">
        <v>0.4267631103074141</v>
      </c>
      <c r="Z185" s="48">
        <v>0.43399638336347196</v>
      </c>
      <c r="AA185" s="48">
        <v>0.12296564195298372</v>
      </c>
      <c r="AB185" s="48">
        <v>1.62748643761302E-2</v>
      </c>
      <c r="AC185" s="49">
        <v>29.132007233273058</v>
      </c>
      <c r="AD185" s="46">
        <f t="shared" si="20"/>
        <v>0.73417721518987344</v>
      </c>
    </row>
    <row r="186" spans="1:30" x14ac:dyDescent="0.25">
      <c r="A186" s="45"/>
      <c r="B186" s="45"/>
      <c r="C186" s="45"/>
      <c r="D186" s="45">
        <v>8</v>
      </c>
      <c r="E186" s="45">
        <v>452</v>
      </c>
      <c r="F186" s="45">
        <v>300</v>
      </c>
      <c r="G186" s="45">
        <v>1</v>
      </c>
      <c r="H186" s="45">
        <v>45</v>
      </c>
      <c r="I186" s="45">
        <v>1</v>
      </c>
      <c r="J186" s="45">
        <v>105</v>
      </c>
      <c r="K186" s="45">
        <v>452</v>
      </c>
      <c r="L186" s="45">
        <v>0</v>
      </c>
      <c r="M186" s="45">
        <f t="shared" si="14"/>
        <v>452</v>
      </c>
      <c r="N186" s="45">
        <v>0</v>
      </c>
      <c r="O186" s="46">
        <f t="shared" si="15"/>
        <v>0.66371681415929207</v>
      </c>
      <c r="P186" s="46">
        <f t="shared" si="16"/>
        <v>0.23230088495575221</v>
      </c>
      <c r="Q186" s="46">
        <f t="shared" si="17"/>
        <v>9.9557522123893807E-2</v>
      </c>
      <c r="R186" s="46">
        <f t="shared" si="18"/>
        <v>2.2123893805309734E-3</v>
      </c>
      <c r="S186" s="46">
        <f t="shared" si="19"/>
        <v>2.2123893805309734E-3</v>
      </c>
      <c r="T186" s="47">
        <v>247</v>
      </c>
      <c r="U186" s="47">
        <v>246</v>
      </c>
      <c r="V186" s="47">
        <v>59</v>
      </c>
      <c r="W186" s="47">
        <v>1</v>
      </c>
      <c r="X186" s="47">
        <v>553</v>
      </c>
      <c r="Y186" s="48">
        <v>0.44665461121157324</v>
      </c>
      <c r="Z186" s="48">
        <v>0.44484629294755879</v>
      </c>
      <c r="AA186" s="48">
        <v>0.10669077757685352</v>
      </c>
      <c r="AB186" s="48">
        <v>1.8083182640144665E-3</v>
      </c>
      <c r="AC186" s="49">
        <v>21.430379746835442</v>
      </c>
      <c r="AD186" s="46">
        <f t="shared" si="20"/>
        <v>0.81735985533453892</v>
      </c>
    </row>
    <row r="187" spans="1:30" x14ac:dyDescent="0.25">
      <c r="A187" s="45">
        <v>33</v>
      </c>
      <c r="B187" s="45" t="s">
        <v>223</v>
      </c>
      <c r="C187" s="45" t="s">
        <v>224</v>
      </c>
      <c r="D187" s="45">
        <v>1</v>
      </c>
      <c r="E187" s="45">
        <v>285</v>
      </c>
      <c r="F187" s="45">
        <v>256</v>
      </c>
      <c r="G187" s="45">
        <v>0</v>
      </c>
      <c r="H187" s="45">
        <v>20</v>
      </c>
      <c r="I187" s="45">
        <v>1</v>
      </c>
      <c r="J187" s="45">
        <v>4</v>
      </c>
      <c r="K187" s="45">
        <v>281</v>
      </c>
      <c r="L187" s="45">
        <v>4</v>
      </c>
      <c r="M187" s="45">
        <f t="shared" si="14"/>
        <v>285</v>
      </c>
      <c r="N187" s="45">
        <v>0</v>
      </c>
      <c r="O187" s="46">
        <f t="shared" si="15"/>
        <v>0.89824561403508774</v>
      </c>
      <c r="P187" s="46">
        <f t="shared" si="16"/>
        <v>1.4035087719298246E-2</v>
      </c>
      <c r="Q187" s="46">
        <f t="shared" si="17"/>
        <v>7.0175438596491224E-2</v>
      </c>
      <c r="R187" s="46">
        <f t="shared" si="18"/>
        <v>3.5087719298245615E-3</v>
      </c>
      <c r="S187" s="46">
        <f t="shared" si="19"/>
        <v>0</v>
      </c>
      <c r="T187" s="47">
        <v>5</v>
      </c>
      <c r="U187" s="47">
        <v>433</v>
      </c>
      <c r="V187" s="47">
        <v>12</v>
      </c>
      <c r="W187" s="47">
        <v>0</v>
      </c>
      <c r="X187" s="47">
        <v>450</v>
      </c>
      <c r="Y187" s="48">
        <v>1.1111111111111112E-2</v>
      </c>
      <c r="Z187" s="48">
        <v>0.9622222222222222</v>
      </c>
      <c r="AA187" s="48">
        <v>2.6666666666666668E-2</v>
      </c>
      <c r="AB187" s="48">
        <v>0</v>
      </c>
      <c r="AC187" s="49">
        <v>75.72</v>
      </c>
      <c r="AD187" s="46">
        <f t="shared" si="20"/>
        <v>0.6333333333333333</v>
      </c>
    </row>
    <row r="188" spans="1:30" x14ac:dyDescent="0.25">
      <c r="A188" s="45"/>
      <c r="B188" s="45"/>
      <c r="C188" s="45"/>
      <c r="D188" s="45">
        <v>2</v>
      </c>
      <c r="E188" s="45">
        <v>359</v>
      </c>
      <c r="F188" s="45">
        <v>326</v>
      </c>
      <c r="G188" s="45">
        <v>0</v>
      </c>
      <c r="H188" s="45">
        <v>24</v>
      </c>
      <c r="I188" s="45">
        <v>1</v>
      </c>
      <c r="J188" s="45">
        <v>0</v>
      </c>
      <c r="K188" s="45">
        <v>351</v>
      </c>
      <c r="L188" s="45">
        <v>8</v>
      </c>
      <c r="M188" s="45">
        <f t="shared" si="14"/>
        <v>359</v>
      </c>
      <c r="N188" s="45">
        <v>0</v>
      </c>
      <c r="O188" s="46">
        <f t="shared" si="15"/>
        <v>0.9080779944289693</v>
      </c>
      <c r="P188" s="46">
        <f t="shared" si="16"/>
        <v>0</v>
      </c>
      <c r="Q188" s="46">
        <f t="shared" si="17"/>
        <v>6.6852367688022288E-2</v>
      </c>
      <c r="R188" s="46">
        <f t="shared" si="18"/>
        <v>2.7855153203342618E-3</v>
      </c>
      <c r="S188" s="46">
        <f t="shared" si="19"/>
        <v>0</v>
      </c>
      <c r="T188" s="47">
        <v>7</v>
      </c>
      <c r="U188" s="47">
        <v>430</v>
      </c>
      <c r="V188" s="47">
        <v>12</v>
      </c>
      <c r="W188" s="47">
        <v>1</v>
      </c>
      <c r="X188" s="47">
        <v>450</v>
      </c>
      <c r="Y188" s="48">
        <v>1.5555555555555555E-2</v>
      </c>
      <c r="Z188" s="48">
        <v>0.9555555555555556</v>
      </c>
      <c r="AA188" s="48">
        <v>2.6666666666666668E-2</v>
      </c>
      <c r="AB188" s="48">
        <v>2.2222222222222222E-3</v>
      </c>
      <c r="AC188" s="49">
        <v>61.937777777777775</v>
      </c>
      <c r="AD188" s="46">
        <f t="shared" si="20"/>
        <v>0.79777777777777781</v>
      </c>
    </row>
    <row r="189" spans="1:30" x14ac:dyDescent="0.25">
      <c r="A189" s="45"/>
      <c r="B189" s="45"/>
      <c r="C189" s="45"/>
      <c r="D189" s="45">
        <v>3</v>
      </c>
      <c r="E189" s="45">
        <v>516</v>
      </c>
      <c r="F189" s="45">
        <v>463</v>
      </c>
      <c r="G189" s="45">
        <v>0</v>
      </c>
      <c r="H189" s="45">
        <v>39</v>
      </c>
      <c r="I189" s="45">
        <v>1</v>
      </c>
      <c r="J189" s="45">
        <v>10</v>
      </c>
      <c r="K189" s="45">
        <v>513</v>
      </c>
      <c r="L189" s="45">
        <v>3</v>
      </c>
      <c r="M189" s="45">
        <f t="shared" si="14"/>
        <v>516</v>
      </c>
      <c r="N189" s="45">
        <v>0</v>
      </c>
      <c r="O189" s="46">
        <f t="shared" si="15"/>
        <v>0.8972868217054264</v>
      </c>
      <c r="P189" s="46">
        <f t="shared" si="16"/>
        <v>1.937984496124031E-2</v>
      </c>
      <c r="Q189" s="46">
        <f t="shared" si="17"/>
        <v>7.5581395348837205E-2</v>
      </c>
      <c r="R189" s="46">
        <f t="shared" si="18"/>
        <v>1.937984496124031E-3</v>
      </c>
      <c r="S189" s="46">
        <f t="shared" si="19"/>
        <v>0</v>
      </c>
      <c r="T189" s="47">
        <v>34</v>
      </c>
      <c r="U189" s="47">
        <v>592</v>
      </c>
      <c r="V189" s="47">
        <v>44</v>
      </c>
      <c r="W189" s="47">
        <v>0</v>
      </c>
      <c r="X189" s="47">
        <v>670</v>
      </c>
      <c r="Y189" s="48">
        <v>5.0746268656716415E-2</v>
      </c>
      <c r="Z189" s="48">
        <v>0.88358208955223883</v>
      </c>
      <c r="AA189" s="48">
        <v>6.5671641791044774E-2</v>
      </c>
      <c r="AB189" s="48">
        <v>0</v>
      </c>
      <c r="AC189" s="49">
        <v>41.325373134328359</v>
      </c>
      <c r="AD189" s="46">
        <f t="shared" si="20"/>
        <v>0.77014925373134324</v>
      </c>
    </row>
    <row r="190" spans="1:30" x14ac:dyDescent="0.25">
      <c r="A190" s="45">
        <v>34</v>
      </c>
      <c r="B190" s="45" t="s">
        <v>225</v>
      </c>
      <c r="C190" s="45" t="s">
        <v>226</v>
      </c>
      <c r="D190" s="45">
        <v>1</v>
      </c>
      <c r="E190" s="45">
        <v>251</v>
      </c>
      <c r="F190" s="45">
        <v>139</v>
      </c>
      <c r="G190" s="45">
        <v>0</v>
      </c>
      <c r="H190" s="45">
        <v>76</v>
      </c>
      <c r="I190" s="45">
        <v>3</v>
      </c>
      <c r="J190" s="45">
        <v>30</v>
      </c>
      <c r="K190" s="45">
        <v>248</v>
      </c>
      <c r="L190" s="45">
        <v>3</v>
      </c>
      <c r="M190" s="45">
        <f t="shared" si="14"/>
        <v>251</v>
      </c>
      <c r="N190" s="45">
        <v>0</v>
      </c>
      <c r="O190" s="46">
        <f t="shared" si="15"/>
        <v>0.55378486055776888</v>
      </c>
      <c r="P190" s="46">
        <f t="shared" si="16"/>
        <v>0.11952191235059761</v>
      </c>
      <c r="Q190" s="46">
        <f t="shared" si="17"/>
        <v>0.30278884462151395</v>
      </c>
      <c r="R190" s="46">
        <f t="shared" si="18"/>
        <v>1.1952191235059761E-2</v>
      </c>
      <c r="S190" s="46">
        <f t="shared" si="19"/>
        <v>0</v>
      </c>
      <c r="T190" s="47">
        <v>157</v>
      </c>
      <c r="U190" s="47">
        <v>199</v>
      </c>
      <c r="V190" s="47">
        <v>89</v>
      </c>
      <c r="W190" s="47">
        <v>5</v>
      </c>
      <c r="X190" s="47">
        <v>450</v>
      </c>
      <c r="Y190" s="48">
        <v>0.34888888888888892</v>
      </c>
      <c r="Z190" s="48">
        <v>0.44222222222222224</v>
      </c>
      <c r="AA190" s="48">
        <v>0.19777777777777777</v>
      </c>
      <c r="AB190" s="48">
        <v>1.1111111111111112E-2</v>
      </c>
      <c r="AC190" s="49">
        <v>69.011111111111106</v>
      </c>
      <c r="AD190" s="46">
        <f t="shared" si="20"/>
        <v>0.55777777777777782</v>
      </c>
    </row>
    <row r="191" spans="1:30" x14ac:dyDescent="0.25">
      <c r="A191" s="45"/>
      <c r="B191" s="45"/>
      <c r="C191" s="45"/>
      <c r="D191" s="45">
        <v>2</v>
      </c>
      <c r="E191" s="45">
        <v>409</v>
      </c>
      <c r="F191" s="45">
        <v>218</v>
      </c>
      <c r="G191" s="45">
        <v>0</v>
      </c>
      <c r="H191" s="45">
        <v>96</v>
      </c>
      <c r="I191" s="45">
        <v>4</v>
      </c>
      <c r="J191" s="45">
        <v>90</v>
      </c>
      <c r="K191" s="45">
        <v>408</v>
      </c>
      <c r="L191" s="45">
        <v>1</v>
      </c>
      <c r="M191" s="45">
        <f t="shared" si="14"/>
        <v>409</v>
      </c>
      <c r="N191" s="45">
        <v>0</v>
      </c>
      <c r="O191" s="46">
        <f t="shared" si="15"/>
        <v>0.5330073349633252</v>
      </c>
      <c r="P191" s="46">
        <f t="shared" si="16"/>
        <v>0.22004889975550121</v>
      </c>
      <c r="Q191" s="46">
        <f t="shared" si="17"/>
        <v>0.23471882640586797</v>
      </c>
      <c r="R191" s="46">
        <f t="shared" si="18"/>
        <v>9.7799511002444987E-3</v>
      </c>
      <c r="S191" s="46">
        <f t="shared" si="19"/>
        <v>0</v>
      </c>
      <c r="T191" s="47">
        <v>291</v>
      </c>
      <c r="U191" s="47">
        <v>249</v>
      </c>
      <c r="V191" s="47">
        <v>102</v>
      </c>
      <c r="W191" s="47">
        <v>13</v>
      </c>
      <c r="X191" s="47">
        <v>655</v>
      </c>
      <c r="Y191" s="48">
        <v>0.44427480916030532</v>
      </c>
      <c r="Z191" s="48">
        <v>0.3801526717557252</v>
      </c>
      <c r="AA191" s="48">
        <v>0.15572519083969466</v>
      </c>
      <c r="AB191" s="48">
        <v>1.984732824427481E-2</v>
      </c>
      <c r="AC191" s="49">
        <v>42.531297709923663</v>
      </c>
      <c r="AD191" s="46">
        <f t="shared" si="20"/>
        <v>0.62442748091603051</v>
      </c>
    </row>
    <row r="192" spans="1:30" x14ac:dyDescent="0.25">
      <c r="A192" s="45">
        <v>35</v>
      </c>
      <c r="B192" s="45" t="s">
        <v>227</v>
      </c>
      <c r="C192" s="45" t="s">
        <v>228</v>
      </c>
      <c r="D192" s="45">
        <v>1</v>
      </c>
      <c r="E192" s="45">
        <v>263</v>
      </c>
      <c r="F192" s="45">
        <v>218</v>
      </c>
      <c r="G192" s="45">
        <v>2</v>
      </c>
      <c r="H192" s="45">
        <v>23</v>
      </c>
      <c r="I192" s="45">
        <v>1</v>
      </c>
      <c r="J192" s="45">
        <v>13</v>
      </c>
      <c r="K192" s="45">
        <v>257</v>
      </c>
      <c r="L192" s="45">
        <v>6</v>
      </c>
      <c r="M192" s="45">
        <f t="shared" si="14"/>
        <v>263</v>
      </c>
      <c r="N192" s="45">
        <v>0</v>
      </c>
      <c r="O192" s="46">
        <f t="shared" si="15"/>
        <v>0.82889733840304181</v>
      </c>
      <c r="P192" s="46">
        <f t="shared" si="16"/>
        <v>4.9429657794676805E-2</v>
      </c>
      <c r="Q192" s="46">
        <f t="shared" si="17"/>
        <v>8.7452471482889732E-2</v>
      </c>
      <c r="R192" s="46">
        <f t="shared" si="18"/>
        <v>3.8022813688212928E-3</v>
      </c>
      <c r="S192" s="46">
        <f t="shared" si="19"/>
        <v>7.6045627376425855E-3</v>
      </c>
      <c r="T192" s="47">
        <v>52</v>
      </c>
      <c r="U192" s="47">
        <v>334</v>
      </c>
      <c r="V192" s="47">
        <v>40</v>
      </c>
      <c r="W192" s="47">
        <v>6</v>
      </c>
      <c r="X192" s="47">
        <v>432</v>
      </c>
      <c r="Y192" s="48">
        <v>0.12037037037037036</v>
      </c>
      <c r="Z192" s="48">
        <v>0.77314814814814814</v>
      </c>
      <c r="AA192" s="48">
        <v>9.2592592592592587E-2</v>
      </c>
      <c r="AB192" s="48">
        <v>1.3888888888888888E-2</v>
      </c>
      <c r="AC192" s="49">
        <v>70.710648148148152</v>
      </c>
      <c r="AD192" s="46">
        <f t="shared" si="20"/>
        <v>0.60879629629629628</v>
      </c>
    </row>
    <row r="193" spans="1:30" x14ac:dyDescent="0.25">
      <c r="A193" s="45"/>
      <c r="B193" s="45"/>
      <c r="C193" s="45"/>
      <c r="D193" s="45">
        <v>2</v>
      </c>
      <c r="E193" s="45">
        <v>333</v>
      </c>
      <c r="F193" s="45">
        <v>277</v>
      </c>
      <c r="G193" s="45">
        <v>0</v>
      </c>
      <c r="H193" s="45">
        <v>31</v>
      </c>
      <c r="I193" s="45">
        <v>2</v>
      </c>
      <c r="J193" s="45">
        <v>23</v>
      </c>
      <c r="K193" s="45">
        <v>333</v>
      </c>
      <c r="L193" s="45">
        <v>0</v>
      </c>
      <c r="M193" s="45">
        <f t="shared" si="14"/>
        <v>333</v>
      </c>
      <c r="N193" s="45">
        <v>0</v>
      </c>
      <c r="O193" s="46">
        <f t="shared" si="15"/>
        <v>0.83183183183183185</v>
      </c>
      <c r="P193" s="46">
        <f t="shared" si="16"/>
        <v>6.9069069069069067E-2</v>
      </c>
      <c r="Q193" s="46">
        <f t="shared" si="17"/>
        <v>9.3093093093093091E-2</v>
      </c>
      <c r="R193" s="46">
        <f t="shared" si="18"/>
        <v>6.006006006006006E-3</v>
      </c>
      <c r="S193" s="46">
        <f t="shared" si="19"/>
        <v>0</v>
      </c>
      <c r="T193" s="47">
        <v>81</v>
      </c>
      <c r="U193" s="47">
        <v>297</v>
      </c>
      <c r="V193" s="47">
        <v>51</v>
      </c>
      <c r="W193" s="47">
        <v>3</v>
      </c>
      <c r="X193" s="47">
        <v>432</v>
      </c>
      <c r="Y193" s="48">
        <v>0.1875</v>
      </c>
      <c r="Z193" s="48">
        <v>0.6875</v>
      </c>
      <c r="AA193" s="48">
        <v>0.11805555555555555</v>
      </c>
      <c r="AB193" s="48">
        <v>6.9444444444444441E-3</v>
      </c>
      <c r="AC193" s="49">
        <v>55.712962962962962</v>
      </c>
      <c r="AD193" s="46">
        <f t="shared" si="20"/>
        <v>0.77083333333333337</v>
      </c>
    </row>
    <row r="194" spans="1:30" x14ac:dyDescent="0.25">
      <c r="A194" s="45"/>
      <c r="B194" s="45"/>
      <c r="C194" s="45"/>
      <c r="D194" s="45">
        <v>3</v>
      </c>
      <c r="E194" s="45">
        <v>297</v>
      </c>
      <c r="F194" s="45">
        <v>188</v>
      </c>
      <c r="G194" s="45">
        <v>0</v>
      </c>
      <c r="H194" s="45">
        <v>40</v>
      </c>
      <c r="I194" s="45">
        <v>0</v>
      </c>
      <c r="J194" s="45">
        <v>68</v>
      </c>
      <c r="K194" s="45">
        <v>296</v>
      </c>
      <c r="L194" s="45">
        <v>1</v>
      </c>
      <c r="M194" s="45">
        <f t="shared" si="14"/>
        <v>297</v>
      </c>
      <c r="N194" s="45">
        <v>0</v>
      </c>
      <c r="O194" s="46">
        <f t="shared" si="15"/>
        <v>0.632996632996633</v>
      </c>
      <c r="P194" s="46">
        <f t="shared" si="16"/>
        <v>0.22895622895622897</v>
      </c>
      <c r="Q194" s="46">
        <f t="shared" si="17"/>
        <v>0.13468013468013468</v>
      </c>
      <c r="R194" s="46">
        <f t="shared" si="18"/>
        <v>0</v>
      </c>
      <c r="S194" s="46">
        <f t="shared" si="19"/>
        <v>0</v>
      </c>
      <c r="T194" s="47">
        <v>166</v>
      </c>
      <c r="U194" s="47">
        <v>193</v>
      </c>
      <c r="V194" s="47">
        <v>72</v>
      </c>
      <c r="W194" s="47">
        <v>1</v>
      </c>
      <c r="X194" s="47">
        <v>432</v>
      </c>
      <c r="Y194" s="48">
        <v>0.38425925925925924</v>
      </c>
      <c r="Z194" s="48">
        <v>0.44675925925925924</v>
      </c>
      <c r="AA194" s="48">
        <v>0.16666666666666666</v>
      </c>
      <c r="AB194" s="48">
        <v>2.3148148148148147E-3</v>
      </c>
      <c r="AC194" s="49">
        <v>33.030092592592595</v>
      </c>
      <c r="AD194" s="46">
        <f t="shared" si="20"/>
        <v>0.6875</v>
      </c>
    </row>
    <row r="195" spans="1:30" x14ac:dyDescent="0.25">
      <c r="A195" s="22">
        <v>36</v>
      </c>
      <c r="B195" s="22" t="s">
        <v>229</v>
      </c>
      <c r="C195" s="22" t="s">
        <v>230</v>
      </c>
      <c r="D195" s="22">
        <v>1</v>
      </c>
      <c r="E195" s="22">
        <v>316</v>
      </c>
      <c r="F195" s="22">
        <v>80</v>
      </c>
      <c r="G195" s="22">
        <v>1</v>
      </c>
      <c r="H195" s="22">
        <v>151</v>
      </c>
      <c r="I195" s="22">
        <v>4</v>
      </c>
      <c r="J195" s="22">
        <v>75</v>
      </c>
      <c r="K195" s="22">
        <v>311</v>
      </c>
      <c r="L195" s="22">
        <v>5</v>
      </c>
      <c r="M195" s="22">
        <f t="shared" ref="M195:M258" si="21">L195+K195</f>
        <v>316</v>
      </c>
      <c r="N195" s="22">
        <v>0</v>
      </c>
      <c r="O195" s="23">
        <f t="shared" ref="O195:O258" si="22">F195/M195</f>
        <v>0.25316455696202533</v>
      </c>
      <c r="P195" s="23">
        <f t="shared" ref="P195:P258" si="23">J195/M195</f>
        <v>0.23734177215189872</v>
      </c>
      <c r="Q195" s="23">
        <f t="shared" ref="Q195:Q258" si="24">H195/M195</f>
        <v>0.47784810126582278</v>
      </c>
      <c r="R195" s="23">
        <f t="shared" ref="R195:R258" si="25">I195/M195</f>
        <v>1.2658227848101266E-2</v>
      </c>
      <c r="S195" s="23">
        <f t="shared" ref="S195:S258" si="26">G195/M195</f>
        <v>3.1645569620253164E-3</v>
      </c>
      <c r="T195" s="24">
        <v>386</v>
      </c>
      <c r="U195" s="24">
        <v>20</v>
      </c>
      <c r="V195" s="24">
        <v>40</v>
      </c>
      <c r="W195" s="24">
        <v>4</v>
      </c>
      <c r="X195" s="24">
        <v>450</v>
      </c>
      <c r="Y195" s="27">
        <v>0.85777777777777775</v>
      </c>
      <c r="Z195" s="27">
        <v>4.4444444444444446E-2</v>
      </c>
      <c r="AA195" s="27">
        <v>8.8888888888888892E-2</v>
      </c>
      <c r="AB195" s="27">
        <v>8.8888888888888889E-3</v>
      </c>
      <c r="AC195" s="25">
        <v>73.551111111111112</v>
      </c>
      <c r="AD195" s="23">
        <f t="shared" ref="AD195:AD258" si="27">M195/X195</f>
        <v>0.70222222222222219</v>
      </c>
    </row>
    <row r="196" spans="1:30" x14ac:dyDescent="0.25">
      <c r="A196" s="22"/>
      <c r="B196" s="22"/>
      <c r="C196" s="22"/>
      <c r="D196" s="22">
        <v>2</v>
      </c>
      <c r="E196" s="22">
        <v>389</v>
      </c>
      <c r="F196" s="22">
        <v>97</v>
      </c>
      <c r="G196" s="22">
        <v>0</v>
      </c>
      <c r="H196" s="22">
        <v>171</v>
      </c>
      <c r="I196" s="22">
        <v>4</v>
      </c>
      <c r="J196" s="22">
        <v>116</v>
      </c>
      <c r="K196" s="22">
        <v>388</v>
      </c>
      <c r="L196" s="22">
        <v>1</v>
      </c>
      <c r="M196" s="22">
        <f t="shared" si="21"/>
        <v>389</v>
      </c>
      <c r="N196" s="22">
        <v>0</v>
      </c>
      <c r="O196" s="23">
        <f t="shared" si="22"/>
        <v>0.24935732647814909</v>
      </c>
      <c r="P196" s="23">
        <f t="shared" si="23"/>
        <v>0.29820051413881749</v>
      </c>
      <c r="Q196" s="23">
        <f t="shared" si="24"/>
        <v>0.43958868894601544</v>
      </c>
      <c r="R196" s="23">
        <f t="shared" si="25"/>
        <v>1.0282776349614395E-2</v>
      </c>
      <c r="S196" s="23">
        <f t="shared" si="26"/>
        <v>0</v>
      </c>
      <c r="T196" s="24">
        <v>416</v>
      </c>
      <c r="U196" s="24">
        <v>14</v>
      </c>
      <c r="V196" s="24">
        <v>17</v>
      </c>
      <c r="W196" s="24">
        <v>3</v>
      </c>
      <c r="X196" s="24">
        <v>450</v>
      </c>
      <c r="Y196" s="27">
        <v>0.9244444444444444</v>
      </c>
      <c r="Z196" s="27">
        <v>3.111111111111111E-2</v>
      </c>
      <c r="AA196" s="27">
        <v>3.7777777777777778E-2</v>
      </c>
      <c r="AB196" s="27">
        <v>6.6666666666666671E-3</v>
      </c>
      <c r="AC196" s="25">
        <v>68.908888888888896</v>
      </c>
      <c r="AD196" s="23">
        <f t="shared" si="27"/>
        <v>0.86444444444444446</v>
      </c>
    </row>
    <row r="197" spans="1:30" x14ac:dyDescent="0.25">
      <c r="A197" s="22"/>
      <c r="B197" s="22"/>
      <c r="C197" s="22"/>
      <c r="D197" s="22">
        <v>3</v>
      </c>
      <c r="E197" s="22">
        <v>376</v>
      </c>
      <c r="F197" s="22">
        <v>121</v>
      </c>
      <c r="G197" s="22">
        <v>1</v>
      </c>
      <c r="H197" s="22">
        <v>123</v>
      </c>
      <c r="I197" s="22">
        <v>9</v>
      </c>
      <c r="J197" s="22">
        <v>119</v>
      </c>
      <c r="K197" s="22">
        <v>373</v>
      </c>
      <c r="L197" s="22">
        <v>3</v>
      </c>
      <c r="M197" s="22">
        <f t="shared" si="21"/>
        <v>376</v>
      </c>
      <c r="N197" s="22">
        <v>0</v>
      </c>
      <c r="O197" s="23">
        <f t="shared" si="22"/>
        <v>0.32180851063829785</v>
      </c>
      <c r="P197" s="23">
        <f t="shared" si="23"/>
        <v>0.31648936170212766</v>
      </c>
      <c r="Q197" s="23">
        <f t="shared" si="24"/>
        <v>0.3271276595744681</v>
      </c>
      <c r="R197" s="23">
        <f t="shared" si="25"/>
        <v>2.3936170212765957E-2</v>
      </c>
      <c r="S197" s="23">
        <f t="shared" si="26"/>
        <v>2.6595744680851063E-3</v>
      </c>
      <c r="T197" s="24">
        <v>416</v>
      </c>
      <c r="U197" s="24">
        <v>6</v>
      </c>
      <c r="V197" s="24">
        <v>23</v>
      </c>
      <c r="W197" s="24">
        <v>5</v>
      </c>
      <c r="X197" s="24">
        <v>450</v>
      </c>
      <c r="Y197" s="27">
        <v>0.9244444444444444</v>
      </c>
      <c r="Z197" s="27">
        <v>1.3333333333333334E-2</v>
      </c>
      <c r="AA197" s="27">
        <v>5.1111111111111114E-2</v>
      </c>
      <c r="AB197" s="27">
        <v>1.1111111111111112E-2</v>
      </c>
      <c r="AC197" s="25">
        <v>61.108888888888892</v>
      </c>
      <c r="AD197" s="23">
        <f t="shared" si="27"/>
        <v>0.83555555555555561</v>
      </c>
    </row>
    <row r="198" spans="1:30" x14ac:dyDescent="0.25">
      <c r="A198" s="22"/>
      <c r="B198" s="22"/>
      <c r="C198" s="22"/>
      <c r="D198" s="22">
        <v>4</v>
      </c>
      <c r="E198" s="22">
        <v>534</v>
      </c>
      <c r="F198" s="22">
        <v>140</v>
      </c>
      <c r="G198" s="22">
        <v>2</v>
      </c>
      <c r="H198" s="22">
        <v>134</v>
      </c>
      <c r="I198" s="22">
        <v>16</v>
      </c>
      <c r="J198" s="22">
        <v>239</v>
      </c>
      <c r="K198" s="22">
        <v>531</v>
      </c>
      <c r="L198" s="22">
        <v>3</v>
      </c>
      <c r="M198" s="22">
        <f t="shared" si="21"/>
        <v>534</v>
      </c>
      <c r="N198" s="22">
        <v>0</v>
      </c>
      <c r="O198" s="23">
        <f t="shared" si="22"/>
        <v>0.26217228464419473</v>
      </c>
      <c r="P198" s="23">
        <f t="shared" si="23"/>
        <v>0.44756554307116103</v>
      </c>
      <c r="Q198" s="23">
        <f t="shared" si="24"/>
        <v>0.25093632958801498</v>
      </c>
      <c r="R198" s="23">
        <f t="shared" si="25"/>
        <v>2.9962546816479401E-2</v>
      </c>
      <c r="S198" s="23">
        <f t="shared" si="26"/>
        <v>3.7453183520599251E-3</v>
      </c>
      <c r="T198" s="24">
        <v>596</v>
      </c>
      <c r="U198" s="24">
        <v>13</v>
      </c>
      <c r="V198" s="24">
        <v>37</v>
      </c>
      <c r="W198" s="24">
        <v>5</v>
      </c>
      <c r="X198" s="24">
        <v>651</v>
      </c>
      <c r="Y198" s="27">
        <v>0.91551459293394777</v>
      </c>
      <c r="Z198" s="27">
        <v>1.9969278033794162E-2</v>
      </c>
      <c r="AA198" s="27">
        <v>5.683563748079877E-2</v>
      </c>
      <c r="AB198" s="27">
        <v>7.6804915514592934E-3</v>
      </c>
      <c r="AC198" s="25">
        <v>51.485407066052225</v>
      </c>
      <c r="AD198" s="23">
        <f t="shared" si="27"/>
        <v>0.82027649769585254</v>
      </c>
    </row>
    <row r="199" spans="1:30" x14ac:dyDescent="0.25">
      <c r="A199" s="22"/>
      <c r="B199" s="22"/>
      <c r="C199" s="22"/>
      <c r="D199" s="22">
        <v>5</v>
      </c>
      <c r="E199" s="22">
        <v>514</v>
      </c>
      <c r="F199" s="22">
        <v>137</v>
      </c>
      <c r="G199" s="22">
        <v>3</v>
      </c>
      <c r="H199" s="22">
        <v>123</v>
      </c>
      <c r="I199" s="22">
        <v>18</v>
      </c>
      <c r="J199" s="22">
        <v>232</v>
      </c>
      <c r="K199" s="22">
        <v>513</v>
      </c>
      <c r="L199" s="22">
        <v>1</v>
      </c>
      <c r="M199" s="22">
        <f t="shared" si="21"/>
        <v>514</v>
      </c>
      <c r="N199" s="22">
        <v>0</v>
      </c>
      <c r="O199" s="23">
        <f t="shared" si="22"/>
        <v>0.26653696498054474</v>
      </c>
      <c r="P199" s="23">
        <f t="shared" si="23"/>
        <v>0.45136186770428016</v>
      </c>
      <c r="Q199" s="23">
        <f t="shared" si="24"/>
        <v>0.23929961089494164</v>
      </c>
      <c r="R199" s="23">
        <f t="shared" si="25"/>
        <v>3.5019455252918288E-2</v>
      </c>
      <c r="S199" s="23">
        <f t="shared" si="26"/>
        <v>5.8365758754863814E-3</v>
      </c>
      <c r="T199" s="24">
        <v>606</v>
      </c>
      <c r="U199" s="24">
        <v>18</v>
      </c>
      <c r="V199" s="24">
        <v>24</v>
      </c>
      <c r="W199" s="24">
        <v>4</v>
      </c>
      <c r="X199" s="24">
        <v>652</v>
      </c>
      <c r="Y199" s="27">
        <v>0.92944785276073616</v>
      </c>
      <c r="Z199" s="27">
        <v>2.7607361963190184E-2</v>
      </c>
      <c r="AA199" s="27">
        <v>3.6809815950920248E-2</v>
      </c>
      <c r="AB199" s="27">
        <v>6.1349693251533744E-3</v>
      </c>
      <c r="AC199" s="25">
        <v>43.915644171779142</v>
      </c>
      <c r="AD199" s="23">
        <f t="shared" si="27"/>
        <v>0.78834355828220859</v>
      </c>
    </row>
    <row r="200" spans="1:30" x14ac:dyDescent="0.25">
      <c r="A200" s="22"/>
      <c r="B200" s="22"/>
      <c r="C200" s="22"/>
      <c r="D200" s="22">
        <v>6</v>
      </c>
      <c r="E200" s="22">
        <v>498</v>
      </c>
      <c r="F200" s="22">
        <v>125</v>
      </c>
      <c r="G200" s="22">
        <v>2</v>
      </c>
      <c r="H200" s="22">
        <v>144</v>
      </c>
      <c r="I200" s="22">
        <v>13</v>
      </c>
      <c r="J200" s="22">
        <v>208</v>
      </c>
      <c r="K200" s="22">
        <v>492</v>
      </c>
      <c r="L200" s="22">
        <v>6</v>
      </c>
      <c r="M200" s="22">
        <f t="shared" si="21"/>
        <v>498</v>
      </c>
      <c r="N200" s="22">
        <v>0</v>
      </c>
      <c r="O200" s="23">
        <f t="shared" si="22"/>
        <v>0.25100401606425704</v>
      </c>
      <c r="P200" s="23">
        <f t="shared" si="23"/>
        <v>0.41767068273092367</v>
      </c>
      <c r="Q200" s="23">
        <f t="shared" si="24"/>
        <v>0.28915662650602408</v>
      </c>
      <c r="R200" s="23">
        <f t="shared" si="25"/>
        <v>2.6104417670682729E-2</v>
      </c>
      <c r="S200" s="23">
        <f t="shared" si="26"/>
        <v>4.0160642570281121E-3</v>
      </c>
      <c r="T200" s="24">
        <v>616</v>
      </c>
      <c r="U200" s="24">
        <v>16</v>
      </c>
      <c r="V200" s="24">
        <v>19</v>
      </c>
      <c r="W200" s="24">
        <v>1</v>
      </c>
      <c r="X200" s="24">
        <v>652</v>
      </c>
      <c r="Y200" s="27">
        <v>0.94478527607361962</v>
      </c>
      <c r="Z200" s="27">
        <v>2.4539877300613498E-2</v>
      </c>
      <c r="AA200" s="27">
        <v>2.9141104294478526E-2</v>
      </c>
      <c r="AB200" s="27">
        <v>1.5337423312883436E-3</v>
      </c>
      <c r="AC200" s="25">
        <v>38.335889570552148</v>
      </c>
      <c r="AD200" s="23">
        <f t="shared" si="27"/>
        <v>0.76380368098159512</v>
      </c>
    </row>
    <row r="201" spans="1:30" x14ac:dyDescent="0.25">
      <c r="A201" s="22"/>
      <c r="B201" s="22"/>
      <c r="C201" s="22"/>
      <c r="D201" s="22">
        <v>7</v>
      </c>
      <c r="E201" s="22">
        <v>514</v>
      </c>
      <c r="F201" s="22">
        <v>178</v>
      </c>
      <c r="G201" s="22">
        <v>2</v>
      </c>
      <c r="H201" s="22">
        <v>122</v>
      </c>
      <c r="I201" s="22">
        <v>8</v>
      </c>
      <c r="J201" s="22">
        <v>203</v>
      </c>
      <c r="K201" s="22">
        <v>513</v>
      </c>
      <c r="L201" s="22">
        <v>1</v>
      </c>
      <c r="M201" s="22">
        <f t="shared" si="21"/>
        <v>514</v>
      </c>
      <c r="N201" s="22">
        <v>0</v>
      </c>
      <c r="O201" s="23">
        <f t="shared" si="22"/>
        <v>0.34630350194552528</v>
      </c>
      <c r="P201" s="23">
        <f t="shared" si="23"/>
        <v>0.39494163424124512</v>
      </c>
      <c r="Q201" s="23">
        <f t="shared" si="24"/>
        <v>0.23735408560311283</v>
      </c>
      <c r="R201" s="23">
        <f t="shared" si="25"/>
        <v>1.556420233463035E-2</v>
      </c>
      <c r="S201" s="23">
        <f t="shared" si="26"/>
        <v>3.8910505836575876E-3</v>
      </c>
      <c r="T201" s="24">
        <v>627</v>
      </c>
      <c r="U201" s="24">
        <v>6</v>
      </c>
      <c r="V201" s="24">
        <v>19</v>
      </c>
      <c r="W201" s="24">
        <v>0</v>
      </c>
      <c r="X201" s="24">
        <v>652</v>
      </c>
      <c r="Y201" s="27">
        <v>0.96165644171779141</v>
      </c>
      <c r="Z201" s="27">
        <v>9.202453987730062E-3</v>
      </c>
      <c r="AA201" s="27">
        <v>2.9141104294478526E-2</v>
      </c>
      <c r="AB201" s="27">
        <v>0</v>
      </c>
      <c r="AC201" s="25">
        <v>32.138036809815951</v>
      </c>
      <c r="AD201" s="23">
        <f t="shared" si="27"/>
        <v>0.78834355828220859</v>
      </c>
    </row>
    <row r="202" spans="1:30" x14ac:dyDescent="0.25">
      <c r="A202" s="22"/>
      <c r="B202" s="22"/>
      <c r="C202" s="22"/>
      <c r="D202" s="22">
        <v>8</v>
      </c>
      <c r="E202" s="22">
        <v>544</v>
      </c>
      <c r="F202" s="22">
        <v>182</v>
      </c>
      <c r="G202" s="22">
        <v>1</v>
      </c>
      <c r="H202" s="22">
        <v>128</v>
      </c>
      <c r="I202" s="22">
        <v>6</v>
      </c>
      <c r="J202" s="22">
        <v>224</v>
      </c>
      <c r="K202" s="22">
        <v>541</v>
      </c>
      <c r="L202" s="22">
        <v>3</v>
      </c>
      <c r="M202" s="22">
        <f t="shared" si="21"/>
        <v>544</v>
      </c>
      <c r="N202" s="22">
        <v>0</v>
      </c>
      <c r="O202" s="23">
        <f t="shared" si="22"/>
        <v>0.33455882352941174</v>
      </c>
      <c r="P202" s="23">
        <f t="shared" si="23"/>
        <v>0.41176470588235292</v>
      </c>
      <c r="Q202" s="23">
        <f t="shared" si="24"/>
        <v>0.23529411764705882</v>
      </c>
      <c r="R202" s="23">
        <f t="shared" si="25"/>
        <v>1.1029411764705883E-2</v>
      </c>
      <c r="S202" s="23">
        <f t="shared" si="26"/>
        <v>1.838235294117647E-3</v>
      </c>
      <c r="T202" s="24">
        <v>633</v>
      </c>
      <c r="U202" s="24">
        <v>2</v>
      </c>
      <c r="V202" s="24">
        <v>17</v>
      </c>
      <c r="W202" s="24">
        <v>0</v>
      </c>
      <c r="X202" s="24">
        <v>652</v>
      </c>
      <c r="Y202" s="27">
        <v>0.97085889570552142</v>
      </c>
      <c r="Z202" s="27">
        <v>3.0674846625766872E-3</v>
      </c>
      <c r="AA202" s="27">
        <v>2.6073619631901839E-2</v>
      </c>
      <c r="AB202" s="27">
        <v>0</v>
      </c>
      <c r="AC202" s="25">
        <v>23.225460122699385</v>
      </c>
      <c r="AD202" s="23">
        <f t="shared" si="27"/>
        <v>0.83435582822085885</v>
      </c>
    </row>
    <row r="203" spans="1:30" x14ac:dyDescent="0.25">
      <c r="A203" s="22"/>
      <c r="B203" s="22"/>
      <c r="C203" s="22" t="s">
        <v>231</v>
      </c>
      <c r="D203" s="22">
        <v>1</v>
      </c>
      <c r="E203" s="22">
        <v>374</v>
      </c>
      <c r="F203" s="22">
        <v>81</v>
      </c>
      <c r="G203" s="22">
        <v>1</v>
      </c>
      <c r="H203" s="22">
        <v>127</v>
      </c>
      <c r="I203" s="22">
        <v>12</v>
      </c>
      <c r="J203" s="22">
        <v>150</v>
      </c>
      <c r="K203" s="22">
        <v>371</v>
      </c>
      <c r="L203" s="22">
        <v>3</v>
      </c>
      <c r="M203" s="22">
        <f t="shared" si="21"/>
        <v>374</v>
      </c>
      <c r="N203" s="22">
        <v>0</v>
      </c>
      <c r="O203" s="23">
        <f t="shared" si="22"/>
        <v>0.21657754010695188</v>
      </c>
      <c r="P203" s="23">
        <f t="shared" si="23"/>
        <v>0.40106951871657753</v>
      </c>
      <c r="Q203" s="23">
        <f t="shared" si="24"/>
        <v>0.33957219251336901</v>
      </c>
      <c r="R203" s="23">
        <f t="shared" si="25"/>
        <v>3.2085561497326207E-2</v>
      </c>
      <c r="S203" s="23">
        <f t="shared" si="26"/>
        <v>2.6737967914438501E-3</v>
      </c>
      <c r="T203" s="24">
        <v>441</v>
      </c>
      <c r="U203" s="24">
        <v>3</v>
      </c>
      <c r="V203" s="24">
        <v>2</v>
      </c>
      <c r="W203" s="24">
        <v>4</v>
      </c>
      <c r="X203" s="24">
        <v>450</v>
      </c>
      <c r="Y203" s="27">
        <v>0.98</v>
      </c>
      <c r="Z203" s="27">
        <v>6.6666666666666671E-3</v>
      </c>
      <c r="AA203" s="27">
        <v>4.4444444444444444E-3</v>
      </c>
      <c r="AB203" s="27">
        <v>8.8888888888888889E-3</v>
      </c>
      <c r="AC203" s="25">
        <v>60.22</v>
      </c>
      <c r="AD203" s="23">
        <f t="shared" si="27"/>
        <v>0.83111111111111113</v>
      </c>
    </row>
    <row r="204" spans="1:30" x14ac:dyDescent="0.25">
      <c r="A204" s="22"/>
      <c r="B204" s="22"/>
      <c r="C204" s="22"/>
      <c r="D204" s="22">
        <v>2</v>
      </c>
      <c r="E204" s="22">
        <v>357</v>
      </c>
      <c r="F204" s="22">
        <v>75</v>
      </c>
      <c r="G204" s="22">
        <v>1</v>
      </c>
      <c r="H204" s="22">
        <v>87</v>
      </c>
      <c r="I204" s="22">
        <v>10</v>
      </c>
      <c r="J204" s="22">
        <v>182</v>
      </c>
      <c r="K204" s="22">
        <v>355</v>
      </c>
      <c r="L204" s="22">
        <v>2</v>
      </c>
      <c r="M204" s="22">
        <f t="shared" si="21"/>
        <v>357</v>
      </c>
      <c r="N204" s="22">
        <v>0</v>
      </c>
      <c r="O204" s="23">
        <f t="shared" si="22"/>
        <v>0.21008403361344538</v>
      </c>
      <c r="P204" s="23">
        <f t="shared" si="23"/>
        <v>0.50980392156862742</v>
      </c>
      <c r="Q204" s="23">
        <f t="shared" si="24"/>
        <v>0.24369747899159663</v>
      </c>
      <c r="R204" s="23">
        <f t="shared" si="25"/>
        <v>2.8011204481792718E-2</v>
      </c>
      <c r="S204" s="23">
        <f t="shared" si="26"/>
        <v>2.8011204481792717E-3</v>
      </c>
      <c r="T204" s="24">
        <v>452</v>
      </c>
      <c r="U204" s="24">
        <v>2</v>
      </c>
      <c r="V204" s="24">
        <v>4</v>
      </c>
      <c r="W204" s="24">
        <v>1</v>
      </c>
      <c r="X204" s="24">
        <v>459</v>
      </c>
      <c r="Y204" s="27">
        <v>0.98474945533769065</v>
      </c>
      <c r="Z204" s="27">
        <v>4.3572984749455342E-3</v>
      </c>
      <c r="AA204" s="27">
        <v>8.7145969498910684E-3</v>
      </c>
      <c r="AB204" s="27">
        <v>2.1786492374727671E-3</v>
      </c>
      <c r="AC204" s="25">
        <v>39.583877995642702</v>
      </c>
      <c r="AD204" s="23">
        <f t="shared" si="27"/>
        <v>0.77777777777777779</v>
      </c>
    </row>
    <row r="205" spans="1:30" x14ac:dyDescent="0.25">
      <c r="A205" s="22"/>
      <c r="B205" s="22"/>
      <c r="C205" s="22"/>
      <c r="D205" s="22">
        <v>3</v>
      </c>
      <c r="E205" s="22">
        <v>370</v>
      </c>
      <c r="F205" s="22">
        <v>115</v>
      </c>
      <c r="G205" s="22">
        <v>2</v>
      </c>
      <c r="H205" s="22">
        <v>68</v>
      </c>
      <c r="I205" s="22">
        <v>6</v>
      </c>
      <c r="J205" s="22">
        <v>179</v>
      </c>
      <c r="K205" s="22">
        <v>370</v>
      </c>
      <c r="L205" s="22">
        <v>0</v>
      </c>
      <c r="M205" s="22">
        <f t="shared" si="21"/>
        <v>370</v>
      </c>
      <c r="N205" s="22">
        <v>0</v>
      </c>
      <c r="O205" s="23">
        <f t="shared" si="22"/>
        <v>0.3108108108108108</v>
      </c>
      <c r="P205" s="23">
        <f t="shared" si="23"/>
        <v>0.48378378378378378</v>
      </c>
      <c r="Q205" s="23">
        <f t="shared" si="24"/>
        <v>0.18378378378378379</v>
      </c>
      <c r="R205" s="23">
        <f t="shared" si="25"/>
        <v>1.6216216216216217E-2</v>
      </c>
      <c r="S205" s="23">
        <f t="shared" si="26"/>
        <v>5.4054054054054057E-3</v>
      </c>
      <c r="T205" s="24">
        <v>458</v>
      </c>
      <c r="U205" s="24">
        <v>0</v>
      </c>
      <c r="V205" s="24">
        <v>1</v>
      </c>
      <c r="W205" s="24">
        <v>1</v>
      </c>
      <c r="X205" s="24">
        <v>460</v>
      </c>
      <c r="Y205" s="27">
        <v>0.9956521739130435</v>
      </c>
      <c r="Z205" s="27">
        <v>0</v>
      </c>
      <c r="AA205" s="27">
        <v>2.1739130434782609E-3</v>
      </c>
      <c r="AB205" s="27">
        <v>2.1739130434782609E-3</v>
      </c>
      <c r="AC205" s="25">
        <v>30.263043478260869</v>
      </c>
      <c r="AD205" s="23">
        <f t="shared" si="27"/>
        <v>0.80434782608695654</v>
      </c>
    </row>
    <row r="206" spans="1:30" x14ac:dyDescent="0.25">
      <c r="A206" s="22"/>
      <c r="B206" s="22"/>
      <c r="C206" s="22"/>
      <c r="D206" s="22">
        <v>4</v>
      </c>
      <c r="E206" s="22">
        <v>391</v>
      </c>
      <c r="F206" s="22">
        <v>113</v>
      </c>
      <c r="G206" s="22">
        <v>1</v>
      </c>
      <c r="H206" s="22">
        <v>95</v>
      </c>
      <c r="I206" s="22">
        <v>5</v>
      </c>
      <c r="J206" s="22">
        <v>176</v>
      </c>
      <c r="K206" s="22">
        <v>390</v>
      </c>
      <c r="L206" s="22">
        <v>1</v>
      </c>
      <c r="M206" s="22">
        <f t="shared" si="21"/>
        <v>391</v>
      </c>
      <c r="N206" s="22">
        <v>0</v>
      </c>
      <c r="O206" s="23">
        <f t="shared" si="22"/>
        <v>0.28900255754475701</v>
      </c>
      <c r="P206" s="23">
        <f t="shared" si="23"/>
        <v>0.45012787723785164</v>
      </c>
      <c r="Q206" s="23">
        <f t="shared" si="24"/>
        <v>0.24296675191815856</v>
      </c>
      <c r="R206" s="23">
        <f t="shared" si="25"/>
        <v>1.278772378516624E-2</v>
      </c>
      <c r="S206" s="23">
        <f t="shared" si="26"/>
        <v>2.5575447570332483E-3</v>
      </c>
      <c r="T206" s="24">
        <v>459</v>
      </c>
      <c r="U206" s="24">
        <v>0</v>
      </c>
      <c r="V206" s="24">
        <v>1</v>
      </c>
      <c r="W206" s="24">
        <v>0</v>
      </c>
      <c r="X206" s="24">
        <v>460</v>
      </c>
      <c r="Y206" s="27">
        <v>0.99782608695652175</v>
      </c>
      <c r="Z206" s="27">
        <v>0</v>
      </c>
      <c r="AA206" s="27">
        <v>2.1739130434782609E-3</v>
      </c>
      <c r="AB206" s="27">
        <v>0</v>
      </c>
      <c r="AC206" s="25">
        <v>22.39782608695652</v>
      </c>
      <c r="AD206" s="23">
        <f t="shared" si="27"/>
        <v>0.85</v>
      </c>
    </row>
    <row r="207" spans="1:30" x14ac:dyDescent="0.25">
      <c r="A207" s="22">
        <v>37</v>
      </c>
      <c r="B207" s="22" t="s">
        <v>232</v>
      </c>
      <c r="C207" s="22" t="s">
        <v>233</v>
      </c>
      <c r="D207" s="22">
        <v>1</v>
      </c>
      <c r="E207" s="22">
        <v>327</v>
      </c>
      <c r="F207" s="22">
        <v>219</v>
      </c>
      <c r="G207" s="22">
        <v>4</v>
      </c>
      <c r="H207" s="22">
        <v>73</v>
      </c>
      <c r="I207" s="22">
        <v>4</v>
      </c>
      <c r="J207" s="22">
        <v>22</v>
      </c>
      <c r="K207" s="22">
        <v>322</v>
      </c>
      <c r="L207" s="22">
        <v>5</v>
      </c>
      <c r="M207" s="22">
        <f t="shared" si="21"/>
        <v>327</v>
      </c>
      <c r="N207" s="22">
        <v>0</v>
      </c>
      <c r="O207" s="23">
        <f t="shared" si="22"/>
        <v>0.66972477064220182</v>
      </c>
      <c r="P207" s="23">
        <f t="shared" si="23"/>
        <v>6.7278287461773695E-2</v>
      </c>
      <c r="Q207" s="23">
        <f t="shared" si="24"/>
        <v>0.22324159021406728</v>
      </c>
      <c r="R207" s="23">
        <f t="shared" si="25"/>
        <v>1.2232415902140673E-2</v>
      </c>
      <c r="S207" s="23">
        <f t="shared" si="26"/>
        <v>1.2232415902140673E-2</v>
      </c>
      <c r="T207" s="24">
        <v>87</v>
      </c>
      <c r="U207" s="24">
        <v>345</v>
      </c>
      <c r="V207" s="24">
        <v>16</v>
      </c>
      <c r="W207" s="24">
        <v>2</v>
      </c>
      <c r="X207" s="24">
        <v>450</v>
      </c>
      <c r="Y207" s="27">
        <v>0.19333333333333333</v>
      </c>
      <c r="Z207" s="27">
        <v>0.76666666666666672</v>
      </c>
      <c r="AA207" s="27">
        <v>3.5555555555555556E-2</v>
      </c>
      <c r="AB207" s="27">
        <v>4.4444444444444444E-3</v>
      </c>
      <c r="AC207" s="25">
        <v>71.724444444444444</v>
      </c>
      <c r="AD207" s="23">
        <f t="shared" si="27"/>
        <v>0.72666666666666668</v>
      </c>
    </row>
    <row r="208" spans="1:30" x14ac:dyDescent="0.25">
      <c r="A208" s="22"/>
      <c r="B208" s="22"/>
      <c r="C208" s="22"/>
      <c r="D208" s="22">
        <v>2</v>
      </c>
      <c r="E208" s="22">
        <v>377</v>
      </c>
      <c r="F208" s="22">
        <v>269</v>
      </c>
      <c r="G208" s="22">
        <v>1</v>
      </c>
      <c r="H208" s="22">
        <v>70</v>
      </c>
      <c r="I208" s="22">
        <v>8</v>
      </c>
      <c r="J208" s="22">
        <v>23</v>
      </c>
      <c r="K208" s="22">
        <v>371</v>
      </c>
      <c r="L208" s="22">
        <v>6</v>
      </c>
      <c r="M208" s="22">
        <f t="shared" si="21"/>
        <v>377</v>
      </c>
      <c r="N208" s="22">
        <v>0</v>
      </c>
      <c r="O208" s="23">
        <f t="shared" si="22"/>
        <v>0.71352785145888598</v>
      </c>
      <c r="P208" s="23">
        <f t="shared" si="23"/>
        <v>6.1007957559681698E-2</v>
      </c>
      <c r="Q208" s="23">
        <f t="shared" si="24"/>
        <v>0.1856763925729443</v>
      </c>
      <c r="R208" s="23">
        <f t="shared" si="25"/>
        <v>2.1220159151193633E-2</v>
      </c>
      <c r="S208" s="23">
        <f t="shared" si="26"/>
        <v>2.6525198938992041E-3</v>
      </c>
      <c r="T208" s="24">
        <v>114</v>
      </c>
      <c r="U208" s="24">
        <v>319</v>
      </c>
      <c r="V208" s="24">
        <v>12</v>
      </c>
      <c r="W208" s="24">
        <v>5</v>
      </c>
      <c r="X208" s="24">
        <v>450</v>
      </c>
      <c r="Y208" s="27">
        <v>0.25333333333333335</v>
      </c>
      <c r="Z208" s="27">
        <v>0.7088888888888889</v>
      </c>
      <c r="AA208" s="27">
        <v>2.6666666666666668E-2</v>
      </c>
      <c r="AB208" s="27">
        <v>1.1111111111111112E-2</v>
      </c>
      <c r="AC208" s="25">
        <v>61.26</v>
      </c>
      <c r="AD208" s="23">
        <f t="shared" si="27"/>
        <v>0.83777777777777773</v>
      </c>
    </row>
    <row r="209" spans="1:30" x14ac:dyDescent="0.25">
      <c r="A209" s="22"/>
      <c r="B209" s="22"/>
      <c r="C209" s="22"/>
      <c r="D209" s="22">
        <v>3</v>
      </c>
      <c r="E209" s="22">
        <v>508</v>
      </c>
      <c r="F209" s="22">
        <v>402</v>
      </c>
      <c r="G209" s="22">
        <v>0</v>
      </c>
      <c r="H209" s="22">
        <v>46</v>
      </c>
      <c r="I209" s="22">
        <v>4</v>
      </c>
      <c r="J209" s="22">
        <v>54</v>
      </c>
      <c r="K209" s="22">
        <v>506</v>
      </c>
      <c r="L209" s="22">
        <v>2</v>
      </c>
      <c r="M209" s="22">
        <f t="shared" si="21"/>
        <v>508</v>
      </c>
      <c r="N209" s="22">
        <v>0</v>
      </c>
      <c r="O209" s="23">
        <f t="shared" si="22"/>
        <v>0.79133858267716539</v>
      </c>
      <c r="P209" s="23">
        <f t="shared" si="23"/>
        <v>0.1062992125984252</v>
      </c>
      <c r="Q209" s="23">
        <f t="shared" si="24"/>
        <v>9.055118110236221E-2</v>
      </c>
      <c r="R209" s="23">
        <f t="shared" si="25"/>
        <v>7.874015748031496E-3</v>
      </c>
      <c r="S209" s="23">
        <f t="shared" si="26"/>
        <v>0</v>
      </c>
      <c r="T209" s="24">
        <v>136</v>
      </c>
      <c r="U209" s="24">
        <v>477</v>
      </c>
      <c r="V209" s="24">
        <v>8</v>
      </c>
      <c r="W209" s="24">
        <v>1</v>
      </c>
      <c r="X209" s="24">
        <v>622</v>
      </c>
      <c r="Y209" s="27">
        <v>0.21864951768488747</v>
      </c>
      <c r="Z209" s="27">
        <v>0.76688102893890675</v>
      </c>
      <c r="AA209" s="27">
        <v>1.2861736334405145E-2</v>
      </c>
      <c r="AB209" s="27">
        <v>1.6077170418006431E-3</v>
      </c>
      <c r="AC209" s="25">
        <v>50.926045016077168</v>
      </c>
      <c r="AD209" s="23">
        <f t="shared" si="27"/>
        <v>0.81672025723472674</v>
      </c>
    </row>
    <row r="210" spans="1:30" x14ac:dyDescent="0.25">
      <c r="A210" s="22"/>
      <c r="B210" s="22"/>
      <c r="C210" s="22"/>
      <c r="D210" s="22">
        <v>4</v>
      </c>
      <c r="E210" s="22">
        <v>487</v>
      </c>
      <c r="F210" s="22">
        <v>346</v>
      </c>
      <c r="G210" s="22">
        <v>0</v>
      </c>
      <c r="H210" s="22">
        <v>57</v>
      </c>
      <c r="I210" s="22">
        <v>2</v>
      </c>
      <c r="J210" s="22">
        <v>78</v>
      </c>
      <c r="K210" s="22">
        <v>483</v>
      </c>
      <c r="L210" s="22">
        <v>4</v>
      </c>
      <c r="M210" s="22">
        <f t="shared" si="21"/>
        <v>487</v>
      </c>
      <c r="N210" s="22">
        <v>0</v>
      </c>
      <c r="O210" s="23">
        <f t="shared" si="22"/>
        <v>0.71047227926078027</v>
      </c>
      <c r="P210" s="23">
        <f t="shared" si="23"/>
        <v>0.16016427104722791</v>
      </c>
      <c r="Q210" s="23">
        <f t="shared" si="24"/>
        <v>0.11704312114989733</v>
      </c>
      <c r="R210" s="23">
        <f t="shared" si="25"/>
        <v>4.1067761806981521E-3</v>
      </c>
      <c r="S210" s="23">
        <f t="shared" si="26"/>
        <v>0</v>
      </c>
      <c r="T210" s="24">
        <v>190</v>
      </c>
      <c r="U210" s="24">
        <v>405</v>
      </c>
      <c r="V210" s="24">
        <v>25</v>
      </c>
      <c r="W210" s="24">
        <v>2</v>
      </c>
      <c r="X210" s="24">
        <v>622</v>
      </c>
      <c r="Y210" s="27">
        <v>0.30546623794212219</v>
      </c>
      <c r="Z210" s="27">
        <v>0.65112540192926049</v>
      </c>
      <c r="AA210" s="27">
        <v>4.0192926045016078E-2</v>
      </c>
      <c r="AB210" s="27">
        <v>3.2154340836012861E-3</v>
      </c>
      <c r="AC210" s="25">
        <v>38.9935691318328</v>
      </c>
      <c r="AD210" s="23">
        <f t="shared" si="27"/>
        <v>0.78295819935691313</v>
      </c>
    </row>
    <row r="211" spans="1:30" x14ac:dyDescent="0.25">
      <c r="A211" s="22"/>
      <c r="B211" s="22"/>
      <c r="C211" s="22"/>
      <c r="D211" s="22">
        <v>5</v>
      </c>
      <c r="E211" s="22">
        <v>472</v>
      </c>
      <c r="F211" s="22">
        <v>258</v>
      </c>
      <c r="G211" s="22">
        <v>1</v>
      </c>
      <c r="H211" s="22">
        <v>87</v>
      </c>
      <c r="I211" s="22">
        <v>1</v>
      </c>
      <c r="J211" s="22">
        <v>124</v>
      </c>
      <c r="K211" s="22">
        <v>471</v>
      </c>
      <c r="L211" s="22">
        <v>1</v>
      </c>
      <c r="M211" s="22">
        <f t="shared" si="21"/>
        <v>472</v>
      </c>
      <c r="N211" s="22">
        <v>0</v>
      </c>
      <c r="O211" s="23">
        <f t="shared" si="22"/>
        <v>0.54661016949152541</v>
      </c>
      <c r="P211" s="23">
        <f t="shared" si="23"/>
        <v>0.26271186440677968</v>
      </c>
      <c r="Q211" s="23">
        <f t="shared" si="24"/>
        <v>0.18432203389830509</v>
      </c>
      <c r="R211" s="23">
        <f t="shared" si="25"/>
        <v>2.1186440677966102E-3</v>
      </c>
      <c r="S211" s="23">
        <f t="shared" si="26"/>
        <v>2.1186440677966102E-3</v>
      </c>
      <c r="T211" s="24">
        <v>314</v>
      </c>
      <c r="U211" s="24">
        <v>280</v>
      </c>
      <c r="V211" s="24">
        <v>24</v>
      </c>
      <c r="W211" s="24">
        <v>4</v>
      </c>
      <c r="X211" s="24">
        <v>622</v>
      </c>
      <c r="Y211" s="27">
        <v>0.50482315112540188</v>
      </c>
      <c r="Z211" s="27">
        <v>0.45016077170418006</v>
      </c>
      <c r="AA211" s="27">
        <v>3.8585209003215437E-2</v>
      </c>
      <c r="AB211" s="27">
        <v>6.4308681672025723E-3</v>
      </c>
      <c r="AC211" s="25">
        <v>24.340836012861736</v>
      </c>
      <c r="AD211" s="23">
        <f t="shared" si="27"/>
        <v>0.7588424437299035</v>
      </c>
    </row>
    <row r="212" spans="1:30" x14ac:dyDescent="0.25">
      <c r="A212" s="22">
        <v>37</v>
      </c>
      <c r="B212" s="22" t="s">
        <v>232</v>
      </c>
      <c r="C212" s="22" t="s">
        <v>234</v>
      </c>
      <c r="D212" s="22">
        <v>1</v>
      </c>
      <c r="E212" s="22">
        <v>367</v>
      </c>
      <c r="F212" s="22">
        <v>122</v>
      </c>
      <c r="G212" s="22">
        <v>3</v>
      </c>
      <c r="H212" s="22">
        <v>128</v>
      </c>
      <c r="I212" s="22">
        <v>4</v>
      </c>
      <c r="J212" s="22">
        <v>105</v>
      </c>
      <c r="K212" s="22">
        <v>362</v>
      </c>
      <c r="L212" s="22">
        <v>5</v>
      </c>
      <c r="M212" s="22">
        <f t="shared" si="21"/>
        <v>367</v>
      </c>
      <c r="N212" s="22">
        <v>0</v>
      </c>
      <c r="O212" s="23">
        <f t="shared" si="22"/>
        <v>0.33242506811989103</v>
      </c>
      <c r="P212" s="23">
        <f t="shared" si="23"/>
        <v>0.28610354223433243</v>
      </c>
      <c r="Q212" s="23">
        <f t="shared" si="24"/>
        <v>0.34877384196185285</v>
      </c>
      <c r="R212" s="23">
        <f t="shared" si="25"/>
        <v>1.0899182561307902E-2</v>
      </c>
      <c r="S212" s="23">
        <f t="shared" si="26"/>
        <v>8.1743869209809257E-3</v>
      </c>
      <c r="T212" s="24">
        <v>333</v>
      </c>
      <c r="U212" s="24">
        <v>72</v>
      </c>
      <c r="V212" s="24">
        <v>44</v>
      </c>
      <c r="W212" s="24">
        <v>1</v>
      </c>
      <c r="X212" s="24">
        <v>450</v>
      </c>
      <c r="Y212" s="27">
        <v>0.74</v>
      </c>
      <c r="Z212" s="27">
        <v>0.16</v>
      </c>
      <c r="AA212" s="27">
        <v>9.7777777777777783E-2</v>
      </c>
      <c r="AB212" s="27">
        <v>2.2222222222222222E-3</v>
      </c>
      <c r="AC212" s="25">
        <v>65.202222222222218</v>
      </c>
      <c r="AD212" s="23">
        <f t="shared" si="27"/>
        <v>0.81555555555555559</v>
      </c>
    </row>
    <row r="213" spans="1:30" x14ac:dyDescent="0.25">
      <c r="A213" s="22"/>
      <c r="B213" s="22"/>
      <c r="C213" s="22"/>
      <c r="D213" s="22">
        <v>2</v>
      </c>
      <c r="E213" s="22">
        <v>397</v>
      </c>
      <c r="F213" s="22">
        <v>114</v>
      </c>
      <c r="G213" s="22">
        <v>2</v>
      </c>
      <c r="H213" s="22">
        <v>99</v>
      </c>
      <c r="I213" s="22">
        <v>10</v>
      </c>
      <c r="J213" s="22">
        <v>170</v>
      </c>
      <c r="K213" s="22">
        <v>395</v>
      </c>
      <c r="L213" s="22">
        <v>2</v>
      </c>
      <c r="M213" s="22">
        <f t="shared" si="21"/>
        <v>397</v>
      </c>
      <c r="N213" s="22">
        <v>0</v>
      </c>
      <c r="O213" s="23">
        <f t="shared" si="22"/>
        <v>0.2871536523929471</v>
      </c>
      <c r="P213" s="23">
        <f t="shared" si="23"/>
        <v>0.4282115869017632</v>
      </c>
      <c r="Q213" s="23">
        <f t="shared" si="24"/>
        <v>0.24937027707808565</v>
      </c>
      <c r="R213" s="23">
        <f t="shared" si="25"/>
        <v>2.5188916876574308E-2</v>
      </c>
      <c r="S213" s="23">
        <f t="shared" si="26"/>
        <v>5.0377833753148613E-3</v>
      </c>
      <c r="T213" s="24">
        <v>358</v>
      </c>
      <c r="U213" s="24">
        <v>61</v>
      </c>
      <c r="V213" s="24">
        <v>29</v>
      </c>
      <c r="W213" s="24">
        <v>2</v>
      </c>
      <c r="X213" s="24">
        <v>450</v>
      </c>
      <c r="Y213" s="27">
        <v>0.79555555555555557</v>
      </c>
      <c r="Z213" s="27">
        <v>0.13555555555555557</v>
      </c>
      <c r="AA213" s="27">
        <v>6.4444444444444443E-2</v>
      </c>
      <c r="AB213" s="27">
        <v>4.4444444444444444E-3</v>
      </c>
      <c r="AC213" s="25">
        <v>55.204444444444441</v>
      </c>
      <c r="AD213" s="23">
        <f t="shared" si="27"/>
        <v>0.88222222222222224</v>
      </c>
    </row>
    <row r="214" spans="1:30" x14ac:dyDescent="0.25">
      <c r="A214" s="22"/>
      <c r="B214" s="22"/>
      <c r="C214" s="22"/>
      <c r="D214" s="22">
        <v>3</v>
      </c>
      <c r="E214" s="22">
        <v>511</v>
      </c>
      <c r="F214" s="22">
        <v>169</v>
      </c>
      <c r="G214" s="22">
        <v>3</v>
      </c>
      <c r="H214" s="22">
        <v>87</v>
      </c>
      <c r="I214" s="22">
        <v>4</v>
      </c>
      <c r="J214" s="22">
        <v>247</v>
      </c>
      <c r="K214" s="22">
        <v>510</v>
      </c>
      <c r="L214" s="22">
        <v>1</v>
      </c>
      <c r="M214" s="22">
        <f t="shared" si="21"/>
        <v>511</v>
      </c>
      <c r="N214" s="22">
        <v>0</v>
      </c>
      <c r="O214" s="23">
        <f t="shared" si="22"/>
        <v>0.33072407045009783</v>
      </c>
      <c r="P214" s="23">
        <f t="shared" si="23"/>
        <v>0.48336594911937375</v>
      </c>
      <c r="Q214" s="23">
        <f t="shared" si="24"/>
        <v>0.17025440313111545</v>
      </c>
      <c r="R214" s="23">
        <f t="shared" si="25"/>
        <v>7.8277886497064575E-3</v>
      </c>
      <c r="S214" s="23">
        <f t="shared" si="26"/>
        <v>5.8708414872798431E-3</v>
      </c>
      <c r="T214" s="24">
        <v>492</v>
      </c>
      <c r="U214" s="24">
        <v>107</v>
      </c>
      <c r="V214" s="24">
        <v>29</v>
      </c>
      <c r="W214" s="24">
        <v>5</v>
      </c>
      <c r="X214" s="24">
        <v>633</v>
      </c>
      <c r="Y214" s="27">
        <v>0.77725118483412325</v>
      </c>
      <c r="Z214" s="27">
        <v>0.16903633491311215</v>
      </c>
      <c r="AA214" s="27">
        <v>4.5813586097946286E-2</v>
      </c>
      <c r="AB214" s="27">
        <v>7.8988941548183249E-3</v>
      </c>
      <c r="AC214" s="25">
        <v>44.606635071090047</v>
      </c>
      <c r="AD214" s="23">
        <f t="shared" si="27"/>
        <v>0.8072669826224329</v>
      </c>
    </row>
    <row r="215" spans="1:30" x14ac:dyDescent="0.25">
      <c r="A215" s="22"/>
      <c r="B215" s="22"/>
      <c r="C215" s="22"/>
      <c r="D215" s="22">
        <v>4</v>
      </c>
      <c r="E215" s="22">
        <v>482</v>
      </c>
      <c r="F215" s="22">
        <v>147</v>
      </c>
      <c r="G215" s="22">
        <v>2</v>
      </c>
      <c r="H215" s="22">
        <v>86</v>
      </c>
      <c r="I215" s="22">
        <v>4</v>
      </c>
      <c r="J215" s="22">
        <v>240</v>
      </c>
      <c r="K215" s="22">
        <v>479</v>
      </c>
      <c r="L215" s="22">
        <v>3</v>
      </c>
      <c r="M215" s="22">
        <f t="shared" si="21"/>
        <v>482</v>
      </c>
      <c r="N215" s="22">
        <v>0</v>
      </c>
      <c r="O215" s="23">
        <f t="shared" si="22"/>
        <v>0.30497925311203322</v>
      </c>
      <c r="P215" s="23">
        <f t="shared" si="23"/>
        <v>0.49792531120331951</v>
      </c>
      <c r="Q215" s="23">
        <f t="shared" si="24"/>
        <v>0.17842323651452283</v>
      </c>
      <c r="R215" s="23">
        <f t="shared" si="25"/>
        <v>8.2987551867219917E-3</v>
      </c>
      <c r="S215" s="23">
        <f t="shared" si="26"/>
        <v>4.1493775933609959E-3</v>
      </c>
      <c r="T215" s="24">
        <v>509</v>
      </c>
      <c r="U215" s="24">
        <v>89</v>
      </c>
      <c r="V215" s="24">
        <v>35</v>
      </c>
      <c r="W215" s="24">
        <v>0</v>
      </c>
      <c r="X215" s="24">
        <v>633</v>
      </c>
      <c r="Y215" s="27">
        <v>0.80410742496050558</v>
      </c>
      <c r="Z215" s="27">
        <v>0.14060031595576619</v>
      </c>
      <c r="AA215" s="27">
        <v>5.5292259083728278E-2</v>
      </c>
      <c r="AB215" s="27">
        <v>0</v>
      </c>
      <c r="AC215" s="25">
        <v>36.650868878357031</v>
      </c>
      <c r="AD215" s="23">
        <f t="shared" si="27"/>
        <v>0.76145339652448663</v>
      </c>
    </row>
    <row r="216" spans="1:30" x14ac:dyDescent="0.25">
      <c r="A216" s="22"/>
      <c r="B216" s="22"/>
      <c r="C216" s="22"/>
      <c r="D216" s="22">
        <v>5</v>
      </c>
      <c r="E216" s="22">
        <v>510</v>
      </c>
      <c r="F216" s="22">
        <v>201</v>
      </c>
      <c r="G216" s="22">
        <v>1</v>
      </c>
      <c r="H216" s="22">
        <v>98</v>
      </c>
      <c r="I216" s="22">
        <v>7</v>
      </c>
      <c r="J216" s="22">
        <v>202</v>
      </c>
      <c r="K216" s="22">
        <v>509</v>
      </c>
      <c r="L216" s="22">
        <v>1</v>
      </c>
      <c r="M216" s="22">
        <f t="shared" si="21"/>
        <v>510</v>
      </c>
      <c r="N216" s="22">
        <v>0</v>
      </c>
      <c r="O216" s="23">
        <f t="shared" si="22"/>
        <v>0.39411764705882352</v>
      </c>
      <c r="P216" s="23">
        <f t="shared" si="23"/>
        <v>0.396078431372549</v>
      </c>
      <c r="Q216" s="23">
        <f t="shared" si="24"/>
        <v>0.19215686274509805</v>
      </c>
      <c r="R216" s="23">
        <f t="shared" si="25"/>
        <v>1.3725490196078431E-2</v>
      </c>
      <c r="S216" s="23">
        <f t="shared" si="26"/>
        <v>1.9607843137254902E-3</v>
      </c>
      <c r="T216" s="24">
        <v>534</v>
      </c>
      <c r="U216" s="24">
        <v>60</v>
      </c>
      <c r="V216" s="24">
        <v>38</v>
      </c>
      <c r="W216" s="24">
        <v>1</v>
      </c>
      <c r="X216" s="24">
        <v>633</v>
      </c>
      <c r="Y216" s="27">
        <v>0.84360189573459721</v>
      </c>
      <c r="Z216" s="27">
        <v>9.4786729857819899E-2</v>
      </c>
      <c r="AA216" s="27">
        <v>6.0031595576619273E-2</v>
      </c>
      <c r="AB216" s="27">
        <v>1.5797788309636651E-3</v>
      </c>
      <c r="AC216" s="25">
        <v>29.723538704581358</v>
      </c>
      <c r="AD216" s="23">
        <f t="shared" si="27"/>
        <v>0.80568720379146919</v>
      </c>
    </row>
    <row r="217" spans="1:30" x14ac:dyDescent="0.25">
      <c r="A217" s="22"/>
      <c r="B217" s="22"/>
      <c r="C217" s="22"/>
      <c r="D217" s="22">
        <v>6</v>
      </c>
      <c r="E217" s="22">
        <v>527</v>
      </c>
      <c r="F217" s="22">
        <v>220</v>
      </c>
      <c r="G217" s="22">
        <v>3</v>
      </c>
      <c r="H217" s="22">
        <v>85</v>
      </c>
      <c r="I217" s="22">
        <v>9</v>
      </c>
      <c r="J217" s="22">
        <v>209</v>
      </c>
      <c r="K217" s="22">
        <v>526</v>
      </c>
      <c r="L217" s="22">
        <v>1</v>
      </c>
      <c r="M217" s="22">
        <f t="shared" si="21"/>
        <v>527</v>
      </c>
      <c r="N217" s="22">
        <v>0</v>
      </c>
      <c r="O217" s="23">
        <f t="shared" si="22"/>
        <v>0.41745730550284632</v>
      </c>
      <c r="P217" s="23">
        <f t="shared" si="23"/>
        <v>0.396584440227704</v>
      </c>
      <c r="Q217" s="23">
        <f t="shared" si="24"/>
        <v>0.16129032258064516</v>
      </c>
      <c r="R217" s="23">
        <f t="shared" si="25"/>
        <v>1.7077798861480076E-2</v>
      </c>
      <c r="S217" s="23">
        <f t="shared" si="26"/>
        <v>5.6925996204933585E-3</v>
      </c>
      <c r="T217" s="24">
        <v>556</v>
      </c>
      <c r="U217" s="24">
        <v>56</v>
      </c>
      <c r="V217" s="24">
        <v>22</v>
      </c>
      <c r="W217" s="24">
        <v>0</v>
      </c>
      <c r="X217" s="24">
        <v>634</v>
      </c>
      <c r="Y217" s="27">
        <v>0.87697160883280756</v>
      </c>
      <c r="Z217" s="27">
        <v>8.8328075709779186E-2</v>
      </c>
      <c r="AA217" s="27">
        <v>3.4700315457413249E-2</v>
      </c>
      <c r="AB217" s="27">
        <v>0</v>
      </c>
      <c r="AC217" s="25">
        <v>24.347003154574132</v>
      </c>
      <c r="AD217" s="23">
        <f t="shared" si="27"/>
        <v>0.83123028391167197</v>
      </c>
    </row>
    <row r="218" spans="1:30" x14ac:dyDescent="0.25">
      <c r="A218" s="22"/>
      <c r="B218" s="22"/>
      <c r="C218" s="22"/>
      <c r="D218" s="22">
        <v>7</v>
      </c>
      <c r="E218" s="22">
        <v>552</v>
      </c>
      <c r="F218" s="22">
        <v>181</v>
      </c>
      <c r="G218" s="22">
        <v>2</v>
      </c>
      <c r="H218" s="22">
        <v>70</v>
      </c>
      <c r="I218" s="22">
        <v>9</v>
      </c>
      <c r="J218" s="22">
        <v>288</v>
      </c>
      <c r="K218" s="22">
        <v>550</v>
      </c>
      <c r="L218" s="22">
        <v>2</v>
      </c>
      <c r="M218" s="22">
        <f t="shared" si="21"/>
        <v>552</v>
      </c>
      <c r="N218" s="22">
        <v>0</v>
      </c>
      <c r="O218" s="23">
        <f t="shared" si="22"/>
        <v>0.32789855072463769</v>
      </c>
      <c r="P218" s="23">
        <f t="shared" si="23"/>
        <v>0.52173913043478259</v>
      </c>
      <c r="Q218" s="23">
        <f t="shared" si="24"/>
        <v>0.12681159420289856</v>
      </c>
      <c r="R218" s="23">
        <f t="shared" si="25"/>
        <v>1.6304347826086956E-2</v>
      </c>
      <c r="S218" s="23">
        <f t="shared" si="26"/>
        <v>3.6231884057971015E-3</v>
      </c>
      <c r="T218" s="24">
        <v>570</v>
      </c>
      <c r="U218" s="24">
        <v>45</v>
      </c>
      <c r="V218" s="24">
        <v>19</v>
      </c>
      <c r="W218" s="24">
        <v>0</v>
      </c>
      <c r="X218" s="24">
        <v>634</v>
      </c>
      <c r="Y218" s="27">
        <v>0.89905362776025233</v>
      </c>
      <c r="Z218" s="27">
        <v>7.0977917981072558E-2</v>
      </c>
      <c r="AA218" s="27">
        <v>2.996845425867508E-2</v>
      </c>
      <c r="AB218" s="27">
        <v>0</v>
      </c>
      <c r="AC218" s="25">
        <v>19.962145110410095</v>
      </c>
      <c r="AD218" s="23">
        <f t="shared" si="27"/>
        <v>0.87066246056782337</v>
      </c>
    </row>
    <row r="219" spans="1:30" x14ac:dyDescent="0.25">
      <c r="A219" s="22">
        <v>38</v>
      </c>
      <c r="B219" s="22" t="s">
        <v>235</v>
      </c>
      <c r="C219" s="22" t="s">
        <v>236</v>
      </c>
      <c r="D219" s="22">
        <v>1</v>
      </c>
      <c r="E219" s="22">
        <v>328</v>
      </c>
      <c r="F219" s="22">
        <v>205</v>
      </c>
      <c r="G219" s="22">
        <v>2</v>
      </c>
      <c r="H219" s="22">
        <v>65</v>
      </c>
      <c r="I219" s="22">
        <v>5</v>
      </c>
      <c r="J219" s="22">
        <v>36</v>
      </c>
      <c r="K219" s="22">
        <v>313</v>
      </c>
      <c r="L219" s="22">
        <v>15</v>
      </c>
      <c r="M219" s="22">
        <f t="shared" si="21"/>
        <v>328</v>
      </c>
      <c r="N219" s="22">
        <v>0</v>
      </c>
      <c r="O219" s="23">
        <f t="shared" si="22"/>
        <v>0.625</v>
      </c>
      <c r="P219" s="23">
        <f t="shared" si="23"/>
        <v>0.10975609756097561</v>
      </c>
      <c r="Q219" s="23">
        <f t="shared" si="24"/>
        <v>0.19817073170731708</v>
      </c>
      <c r="R219" s="23">
        <f t="shared" si="25"/>
        <v>1.524390243902439E-2</v>
      </c>
      <c r="S219" s="23">
        <f t="shared" si="26"/>
        <v>6.0975609756097563E-3</v>
      </c>
      <c r="T219" s="24">
        <v>148</v>
      </c>
      <c r="U219" s="24">
        <v>200</v>
      </c>
      <c r="V219" s="24">
        <v>98</v>
      </c>
      <c r="W219" s="24">
        <v>4</v>
      </c>
      <c r="X219" s="24">
        <v>450</v>
      </c>
      <c r="Y219" s="27">
        <v>0.3288888888888889</v>
      </c>
      <c r="Z219" s="27">
        <v>0.44444444444444442</v>
      </c>
      <c r="AA219" s="27">
        <v>0.21777777777777776</v>
      </c>
      <c r="AB219" s="27">
        <v>8.8888888888888889E-3</v>
      </c>
      <c r="AC219" s="25">
        <v>65.353333333333339</v>
      </c>
      <c r="AD219" s="23">
        <f t="shared" si="27"/>
        <v>0.72888888888888892</v>
      </c>
    </row>
    <row r="220" spans="1:30" x14ac:dyDescent="0.25">
      <c r="A220" s="22"/>
      <c r="B220" s="22"/>
      <c r="C220" s="22"/>
      <c r="D220" s="22">
        <v>2</v>
      </c>
      <c r="E220" s="22">
        <v>384</v>
      </c>
      <c r="F220" s="22">
        <v>190</v>
      </c>
      <c r="G220" s="22">
        <v>2</v>
      </c>
      <c r="H220" s="22">
        <v>122</v>
      </c>
      <c r="I220" s="22">
        <v>7</v>
      </c>
      <c r="J220" s="22">
        <v>61</v>
      </c>
      <c r="K220" s="22">
        <v>382</v>
      </c>
      <c r="L220" s="22">
        <v>2</v>
      </c>
      <c r="M220" s="22">
        <f t="shared" si="21"/>
        <v>384</v>
      </c>
      <c r="N220" s="22">
        <v>0</v>
      </c>
      <c r="O220" s="23">
        <f t="shared" si="22"/>
        <v>0.49479166666666669</v>
      </c>
      <c r="P220" s="23">
        <f t="shared" si="23"/>
        <v>0.15885416666666666</v>
      </c>
      <c r="Q220" s="23">
        <f t="shared" si="24"/>
        <v>0.31770833333333331</v>
      </c>
      <c r="R220" s="23">
        <f t="shared" si="25"/>
        <v>1.8229166666666668E-2</v>
      </c>
      <c r="S220" s="23">
        <f t="shared" si="26"/>
        <v>5.208333333333333E-3</v>
      </c>
      <c r="T220" s="24">
        <v>216</v>
      </c>
      <c r="U220" s="24">
        <v>169</v>
      </c>
      <c r="V220" s="24">
        <v>61</v>
      </c>
      <c r="W220" s="24">
        <v>4</v>
      </c>
      <c r="X220" s="24">
        <v>450</v>
      </c>
      <c r="Y220" s="27">
        <v>0.48</v>
      </c>
      <c r="Z220" s="27">
        <v>0.37555555555555553</v>
      </c>
      <c r="AA220" s="27">
        <v>0.13555555555555557</v>
      </c>
      <c r="AB220" s="27">
        <v>8.8888888888888889E-3</v>
      </c>
      <c r="AC220" s="25">
        <v>61.548888888888889</v>
      </c>
      <c r="AD220" s="23">
        <f t="shared" si="27"/>
        <v>0.85333333333333339</v>
      </c>
    </row>
    <row r="221" spans="1:30" x14ac:dyDescent="0.25">
      <c r="A221" s="22"/>
      <c r="B221" s="22"/>
      <c r="C221" s="22"/>
      <c r="D221" s="22">
        <v>3</v>
      </c>
      <c r="E221" s="22">
        <v>551</v>
      </c>
      <c r="F221" s="22">
        <v>290</v>
      </c>
      <c r="G221" s="22">
        <v>0</v>
      </c>
      <c r="H221" s="22">
        <v>116</v>
      </c>
      <c r="I221" s="22">
        <v>4</v>
      </c>
      <c r="J221" s="22">
        <v>134</v>
      </c>
      <c r="K221" s="22">
        <v>544</v>
      </c>
      <c r="L221" s="22">
        <v>7</v>
      </c>
      <c r="M221" s="22">
        <f t="shared" si="21"/>
        <v>551</v>
      </c>
      <c r="N221" s="22">
        <v>0</v>
      </c>
      <c r="O221" s="23">
        <f t="shared" si="22"/>
        <v>0.52631578947368418</v>
      </c>
      <c r="P221" s="23">
        <f t="shared" si="23"/>
        <v>0.24319419237749546</v>
      </c>
      <c r="Q221" s="23">
        <f t="shared" si="24"/>
        <v>0.21052631578947367</v>
      </c>
      <c r="R221" s="23">
        <f t="shared" si="25"/>
        <v>7.2595281306715061E-3</v>
      </c>
      <c r="S221" s="23">
        <f t="shared" si="26"/>
        <v>0</v>
      </c>
      <c r="T221" s="24">
        <v>317</v>
      </c>
      <c r="U221" s="24">
        <v>260</v>
      </c>
      <c r="V221" s="24">
        <v>83</v>
      </c>
      <c r="W221" s="24">
        <v>6</v>
      </c>
      <c r="X221" s="24">
        <v>666</v>
      </c>
      <c r="Y221" s="27">
        <v>0.47597597597597596</v>
      </c>
      <c r="Z221" s="27">
        <v>0.39039039039039036</v>
      </c>
      <c r="AA221" s="27">
        <v>0.12462462462462462</v>
      </c>
      <c r="AB221" s="27">
        <v>9.0090090090090089E-3</v>
      </c>
      <c r="AC221" s="25">
        <v>52.996996996996998</v>
      </c>
      <c r="AD221" s="23">
        <f t="shared" si="27"/>
        <v>0.82732732732732728</v>
      </c>
    </row>
    <row r="222" spans="1:30" x14ac:dyDescent="0.25">
      <c r="A222" s="22"/>
      <c r="B222" s="22"/>
      <c r="C222" s="22"/>
      <c r="D222" s="22">
        <v>4</v>
      </c>
      <c r="E222" s="22">
        <v>522</v>
      </c>
      <c r="F222" s="22">
        <v>300</v>
      </c>
      <c r="G222" s="22">
        <v>1</v>
      </c>
      <c r="H222" s="22">
        <v>92</v>
      </c>
      <c r="I222" s="22">
        <v>6</v>
      </c>
      <c r="J222" s="22">
        <v>120</v>
      </c>
      <c r="K222" s="22">
        <v>519</v>
      </c>
      <c r="L222" s="22">
        <v>3</v>
      </c>
      <c r="M222" s="22">
        <f t="shared" si="21"/>
        <v>522</v>
      </c>
      <c r="N222" s="22">
        <v>0</v>
      </c>
      <c r="O222" s="23">
        <f t="shared" si="22"/>
        <v>0.57471264367816088</v>
      </c>
      <c r="P222" s="23">
        <f t="shared" si="23"/>
        <v>0.22988505747126436</v>
      </c>
      <c r="Q222" s="23">
        <f t="shared" si="24"/>
        <v>0.17624521072796934</v>
      </c>
      <c r="R222" s="23">
        <f t="shared" si="25"/>
        <v>1.1494252873563218E-2</v>
      </c>
      <c r="S222" s="23">
        <f t="shared" si="26"/>
        <v>1.9157088122605363E-3</v>
      </c>
      <c r="T222" s="24">
        <v>304</v>
      </c>
      <c r="U222" s="24">
        <v>252</v>
      </c>
      <c r="V222" s="24">
        <v>99</v>
      </c>
      <c r="W222" s="24">
        <v>11</v>
      </c>
      <c r="X222" s="24">
        <v>666</v>
      </c>
      <c r="Y222" s="27">
        <v>0.45645645645645644</v>
      </c>
      <c r="Z222" s="27">
        <v>0.3783783783783784</v>
      </c>
      <c r="AA222" s="27">
        <v>0.14864864864864866</v>
      </c>
      <c r="AB222" s="27">
        <v>1.6516516516516516E-2</v>
      </c>
      <c r="AC222" s="25">
        <v>44.195195195195197</v>
      </c>
      <c r="AD222" s="23">
        <f t="shared" si="27"/>
        <v>0.78378378378378377</v>
      </c>
    </row>
    <row r="223" spans="1:30" x14ac:dyDescent="0.25">
      <c r="A223" s="22"/>
      <c r="B223" s="22"/>
      <c r="C223" s="22"/>
      <c r="D223" s="22">
        <v>5</v>
      </c>
      <c r="E223" s="22">
        <v>482</v>
      </c>
      <c r="F223" s="22">
        <v>253</v>
      </c>
      <c r="G223" s="22">
        <v>3</v>
      </c>
      <c r="H223" s="22">
        <v>82</v>
      </c>
      <c r="I223" s="22">
        <v>4</v>
      </c>
      <c r="J223" s="22">
        <v>138</v>
      </c>
      <c r="K223" s="22">
        <v>480</v>
      </c>
      <c r="L223" s="22">
        <v>2</v>
      </c>
      <c r="M223" s="22">
        <f t="shared" si="21"/>
        <v>482</v>
      </c>
      <c r="N223" s="22">
        <v>0</v>
      </c>
      <c r="O223" s="23">
        <f t="shared" si="22"/>
        <v>0.524896265560166</v>
      </c>
      <c r="P223" s="23">
        <f t="shared" si="23"/>
        <v>0.2863070539419087</v>
      </c>
      <c r="Q223" s="23">
        <f t="shared" si="24"/>
        <v>0.17012448132780084</v>
      </c>
      <c r="R223" s="23">
        <f t="shared" si="25"/>
        <v>8.2987551867219917E-3</v>
      </c>
      <c r="S223" s="23">
        <f t="shared" si="26"/>
        <v>6.2240663900414933E-3</v>
      </c>
      <c r="T223" s="24">
        <v>344</v>
      </c>
      <c r="U223" s="24">
        <v>229</v>
      </c>
      <c r="V223" s="24">
        <v>90</v>
      </c>
      <c r="W223" s="24">
        <v>3</v>
      </c>
      <c r="X223" s="24">
        <v>666</v>
      </c>
      <c r="Y223" s="27">
        <v>0.51651651651651653</v>
      </c>
      <c r="Z223" s="27">
        <v>0.34384384384384387</v>
      </c>
      <c r="AA223" s="27">
        <v>0.13513513513513514</v>
      </c>
      <c r="AB223" s="27">
        <v>4.5045045045045045E-3</v>
      </c>
      <c r="AC223" s="25">
        <v>37.475975975975977</v>
      </c>
      <c r="AD223" s="23">
        <f t="shared" si="27"/>
        <v>0.72372372372372373</v>
      </c>
    </row>
    <row r="224" spans="1:30" x14ac:dyDescent="0.25">
      <c r="A224" s="22"/>
      <c r="B224" s="22"/>
      <c r="C224" s="22"/>
      <c r="D224" s="22">
        <v>6</v>
      </c>
      <c r="E224" s="22">
        <v>499</v>
      </c>
      <c r="F224" s="22">
        <v>243</v>
      </c>
      <c r="G224" s="22">
        <v>0</v>
      </c>
      <c r="H224" s="22">
        <v>81</v>
      </c>
      <c r="I224" s="22">
        <v>4</v>
      </c>
      <c r="J224" s="22">
        <v>171</v>
      </c>
      <c r="K224" s="22">
        <v>499</v>
      </c>
      <c r="L224" s="22">
        <v>0</v>
      </c>
      <c r="M224" s="22">
        <f t="shared" si="21"/>
        <v>499</v>
      </c>
      <c r="N224" s="22">
        <v>0</v>
      </c>
      <c r="O224" s="23">
        <f t="shared" si="22"/>
        <v>0.48697394789579157</v>
      </c>
      <c r="P224" s="23">
        <f t="shared" si="23"/>
        <v>0.34268537074148298</v>
      </c>
      <c r="Q224" s="23">
        <f t="shared" si="24"/>
        <v>0.16232464929859719</v>
      </c>
      <c r="R224" s="23">
        <f t="shared" si="25"/>
        <v>8.0160320641282558E-3</v>
      </c>
      <c r="S224" s="23">
        <f t="shared" si="26"/>
        <v>0</v>
      </c>
      <c r="T224" s="24">
        <v>379</v>
      </c>
      <c r="U224" s="24">
        <v>196</v>
      </c>
      <c r="V224" s="24">
        <v>88</v>
      </c>
      <c r="W224" s="24">
        <v>3</v>
      </c>
      <c r="X224" s="24">
        <v>666</v>
      </c>
      <c r="Y224" s="27">
        <v>0.56906906906906907</v>
      </c>
      <c r="Z224" s="27">
        <v>0.29429429429429427</v>
      </c>
      <c r="AA224" s="27">
        <v>0.13213213213213212</v>
      </c>
      <c r="AB224" s="27">
        <v>4.5045045045045045E-3</v>
      </c>
      <c r="AC224" s="25">
        <v>31.84984984984985</v>
      </c>
      <c r="AD224" s="23">
        <f t="shared" si="27"/>
        <v>0.74924924924924929</v>
      </c>
    </row>
    <row r="225" spans="1:30" x14ac:dyDescent="0.25">
      <c r="A225" s="22"/>
      <c r="B225" s="22"/>
      <c r="C225" s="22"/>
      <c r="D225" s="22">
        <v>7</v>
      </c>
      <c r="E225" s="22">
        <v>501</v>
      </c>
      <c r="F225" s="22">
        <v>227</v>
      </c>
      <c r="G225" s="22">
        <v>1</v>
      </c>
      <c r="H225" s="22">
        <v>89</v>
      </c>
      <c r="I225" s="22">
        <v>6</v>
      </c>
      <c r="J225" s="22">
        <v>177</v>
      </c>
      <c r="K225" s="22">
        <v>500</v>
      </c>
      <c r="L225" s="22">
        <v>1</v>
      </c>
      <c r="M225" s="22">
        <f t="shared" si="21"/>
        <v>501</v>
      </c>
      <c r="N225" s="22">
        <v>0</v>
      </c>
      <c r="O225" s="23">
        <f t="shared" si="22"/>
        <v>0.45309381237524948</v>
      </c>
      <c r="P225" s="23">
        <f t="shared" si="23"/>
        <v>0.3532934131736527</v>
      </c>
      <c r="Q225" s="23">
        <f t="shared" si="24"/>
        <v>0.17764471057884232</v>
      </c>
      <c r="R225" s="23">
        <f t="shared" si="25"/>
        <v>1.1976047904191617E-2</v>
      </c>
      <c r="S225" s="23">
        <f t="shared" si="26"/>
        <v>1.996007984031936E-3</v>
      </c>
      <c r="T225" s="24">
        <v>428</v>
      </c>
      <c r="U225" s="24">
        <v>171</v>
      </c>
      <c r="V225" s="24">
        <v>67</v>
      </c>
      <c r="W225" s="24">
        <v>0</v>
      </c>
      <c r="X225" s="24">
        <v>666</v>
      </c>
      <c r="Y225" s="27">
        <v>0.64264264264264259</v>
      </c>
      <c r="Z225" s="27">
        <v>0.25675675675675674</v>
      </c>
      <c r="AA225" s="27">
        <v>0.1006006006006006</v>
      </c>
      <c r="AB225" s="27">
        <v>0</v>
      </c>
      <c r="AC225" s="25">
        <v>27.208708708708709</v>
      </c>
      <c r="AD225" s="23">
        <f t="shared" si="27"/>
        <v>0.75225225225225223</v>
      </c>
    </row>
    <row r="226" spans="1:30" x14ac:dyDescent="0.25">
      <c r="A226" s="22"/>
      <c r="B226" s="22"/>
      <c r="C226" s="22"/>
      <c r="D226" s="22">
        <v>8</v>
      </c>
      <c r="E226" s="22">
        <v>527</v>
      </c>
      <c r="F226" s="22">
        <v>257</v>
      </c>
      <c r="G226" s="22">
        <v>0</v>
      </c>
      <c r="H226" s="22">
        <v>70</v>
      </c>
      <c r="I226" s="22">
        <v>1</v>
      </c>
      <c r="J226" s="22">
        <v>199</v>
      </c>
      <c r="K226" s="22">
        <v>527</v>
      </c>
      <c r="L226" s="22">
        <v>0</v>
      </c>
      <c r="M226" s="22">
        <f t="shared" si="21"/>
        <v>527</v>
      </c>
      <c r="N226" s="22">
        <v>0</v>
      </c>
      <c r="O226" s="23">
        <f t="shared" si="22"/>
        <v>0.48766603415559773</v>
      </c>
      <c r="P226" s="23">
        <f t="shared" si="23"/>
        <v>0.3776091081593928</v>
      </c>
      <c r="Q226" s="23">
        <f t="shared" si="24"/>
        <v>0.13282732447817835</v>
      </c>
      <c r="R226" s="23">
        <f t="shared" si="25"/>
        <v>1.8975332068311196E-3</v>
      </c>
      <c r="S226" s="23">
        <f t="shared" si="26"/>
        <v>0</v>
      </c>
      <c r="T226" s="24">
        <v>435</v>
      </c>
      <c r="U226" s="24">
        <v>153</v>
      </c>
      <c r="V226" s="24">
        <v>79</v>
      </c>
      <c r="W226" s="24">
        <v>0</v>
      </c>
      <c r="X226" s="24">
        <v>667</v>
      </c>
      <c r="Y226" s="27">
        <v>0.65217391304347827</v>
      </c>
      <c r="Z226" s="27">
        <v>0.22938530734632684</v>
      </c>
      <c r="AA226" s="27">
        <v>0.1184407796101949</v>
      </c>
      <c r="AB226" s="27">
        <v>0</v>
      </c>
      <c r="AC226" s="25">
        <v>23.469265367316343</v>
      </c>
      <c r="AD226" s="23">
        <f t="shared" si="27"/>
        <v>0.79010494752623683</v>
      </c>
    </row>
    <row r="227" spans="1:30" x14ac:dyDescent="0.25">
      <c r="A227" s="22"/>
      <c r="B227" s="22"/>
      <c r="C227" s="22"/>
      <c r="D227" s="22">
        <v>9</v>
      </c>
      <c r="E227" s="22">
        <v>545</v>
      </c>
      <c r="F227" s="22">
        <v>201</v>
      </c>
      <c r="G227" s="22">
        <v>1</v>
      </c>
      <c r="H227" s="22">
        <v>98</v>
      </c>
      <c r="I227" s="22">
        <v>1</v>
      </c>
      <c r="J227" s="22">
        <v>241</v>
      </c>
      <c r="K227" s="22">
        <v>542</v>
      </c>
      <c r="L227" s="22">
        <v>3</v>
      </c>
      <c r="M227" s="22">
        <f t="shared" si="21"/>
        <v>545</v>
      </c>
      <c r="N227" s="22">
        <v>0</v>
      </c>
      <c r="O227" s="23">
        <f t="shared" si="22"/>
        <v>0.3688073394495413</v>
      </c>
      <c r="P227" s="23">
        <f t="shared" si="23"/>
        <v>0.44220183486238535</v>
      </c>
      <c r="Q227" s="23">
        <f t="shared" si="24"/>
        <v>0.1798165137614679</v>
      </c>
      <c r="R227" s="23">
        <f t="shared" si="25"/>
        <v>1.834862385321101E-3</v>
      </c>
      <c r="S227" s="23">
        <f t="shared" si="26"/>
        <v>1.834862385321101E-3</v>
      </c>
      <c r="T227" s="24">
        <v>478</v>
      </c>
      <c r="U227" s="24">
        <v>124</v>
      </c>
      <c r="V227" s="24">
        <v>65</v>
      </c>
      <c r="W227" s="24">
        <v>0</v>
      </c>
      <c r="X227" s="24">
        <v>667</v>
      </c>
      <c r="Y227" s="27">
        <v>0.71664167916041976</v>
      </c>
      <c r="Z227" s="27">
        <v>0.18590704647676162</v>
      </c>
      <c r="AA227" s="27">
        <v>9.7451274362818585E-2</v>
      </c>
      <c r="AB227" s="27">
        <v>0</v>
      </c>
      <c r="AC227" s="25">
        <v>19.751124437781108</v>
      </c>
      <c r="AD227" s="23">
        <f t="shared" si="27"/>
        <v>0.81709145427286356</v>
      </c>
    </row>
    <row r="228" spans="1:30" x14ac:dyDescent="0.25">
      <c r="A228" s="22">
        <v>39</v>
      </c>
      <c r="B228" s="22" t="s">
        <v>237</v>
      </c>
      <c r="C228" s="22" t="s">
        <v>238</v>
      </c>
      <c r="D228" s="22">
        <v>1</v>
      </c>
      <c r="E228" s="22">
        <v>303</v>
      </c>
      <c r="F228" s="22">
        <v>135</v>
      </c>
      <c r="G228" s="22">
        <v>2</v>
      </c>
      <c r="H228" s="22">
        <v>110</v>
      </c>
      <c r="I228" s="22">
        <v>5</v>
      </c>
      <c r="J228" s="22">
        <v>41</v>
      </c>
      <c r="K228" s="22">
        <v>293</v>
      </c>
      <c r="L228" s="22">
        <v>10</v>
      </c>
      <c r="M228" s="22">
        <f t="shared" si="21"/>
        <v>303</v>
      </c>
      <c r="N228" s="22">
        <v>0</v>
      </c>
      <c r="O228" s="23">
        <f t="shared" si="22"/>
        <v>0.44554455445544555</v>
      </c>
      <c r="P228" s="23">
        <f t="shared" si="23"/>
        <v>0.13531353135313531</v>
      </c>
      <c r="Q228" s="23">
        <f t="shared" si="24"/>
        <v>0.36303630363036304</v>
      </c>
      <c r="R228" s="23">
        <f t="shared" si="25"/>
        <v>1.65016501650165E-2</v>
      </c>
      <c r="S228" s="23">
        <f t="shared" si="26"/>
        <v>6.6006600660066007E-3</v>
      </c>
      <c r="T228" s="24">
        <v>263</v>
      </c>
      <c r="U228" s="24">
        <v>83</v>
      </c>
      <c r="V228" s="24">
        <v>94</v>
      </c>
      <c r="W228" s="24">
        <v>10</v>
      </c>
      <c r="X228" s="24">
        <v>450</v>
      </c>
      <c r="Y228" s="27">
        <v>0.58444444444444443</v>
      </c>
      <c r="Z228" s="27">
        <v>0.18444444444444444</v>
      </c>
      <c r="AA228" s="27">
        <v>0.2088888888888889</v>
      </c>
      <c r="AB228" s="27">
        <v>2.2222222222222223E-2</v>
      </c>
      <c r="AC228" s="25">
        <v>72.204444444444448</v>
      </c>
      <c r="AD228" s="23">
        <f t="shared" si="27"/>
        <v>0.67333333333333334</v>
      </c>
    </row>
    <row r="229" spans="1:30" x14ac:dyDescent="0.25">
      <c r="A229" s="22"/>
      <c r="B229" s="22"/>
      <c r="C229" s="22"/>
      <c r="D229" s="22">
        <v>2</v>
      </c>
      <c r="E229" s="22">
        <v>356</v>
      </c>
      <c r="F229" s="22">
        <v>160</v>
      </c>
      <c r="G229" s="22">
        <v>0</v>
      </c>
      <c r="H229" s="22">
        <v>133</v>
      </c>
      <c r="I229" s="22">
        <v>3</v>
      </c>
      <c r="J229" s="22">
        <v>51</v>
      </c>
      <c r="K229" s="22">
        <v>347</v>
      </c>
      <c r="L229" s="22">
        <v>9</v>
      </c>
      <c r="M229" s="22">
        <f t="shared" si="21"/>
        <v>356</v>
      </c>
      <c r="N229" s="22">
        <v>0</v>
      </c>
      <c r="O229" s="23">
        <f t="shared" si="22"/>
        <v>0.449438202247191</v>
      </c>
      <c r="P229" s="23">
        <f t="shared" si="23"/>
        <v>0.14325842696629212</v>
      </c>
      <c r="Q229" s="23">
        <f t="shared" si="24"/>
        <v>0.37359550561797755</v>
      </c>
      <c r="R229" s="23">
        <f t="shared" si="25"/>
        <v>8.4269662921348312E-3</v>
      </c>
      <c r="S229" s="23">
        <f t="shared" si="26"/>
        <v>0</v>
      </c>
      <c r="T229" s="24">
        <v>271</v>
      </c>
      <c r="U229" s="24">
        <v>80</v>
      </c>
      <c r="V229" s="24">
        <v>98</v>
      </c>
      <c r="W229" s="24">
        <v>1</v>
      </c>
      <c r="X229" s="24">
        <v>450</v>
      </c>
      <c r="Y229" s="27">
        <v>0.60222222222222221</v>
      </c>
      <c r="Z229" s="27">
        <v>0.17777777777777778</v>
      </c>
      <c r="AA229" s="27">
        <v>0.21777777777777776</v>
      </c>
      <c r="AB229" s="27">
        <v>2.2222222222222222E-3</v>
      </c>
      <c r="AC229" s="25">
        <v>64.562222222222218</v>
      </c>
      <c r="AD229" s="23">
        <f t="shared" si="27"/>
        <v>0.7911111111111111</v>
      </c>
    </row>
    <row r="230" spans="1:30" x14ac:dyDescent="0.25">
      <c r="A230" s="22"/>
      <c r="B230" s="22"/>
      <c r="C230" s="22"/>
      <c r="D230" s="22">
        <v>3</v>
      </c>
      <c r="E230" s="22">
        <v>390</v>
      </c>
      <c r="F230" s="22">
        <v>171</v>
      </c>
      <c r="G230" s="22">
        <v>1</v>
      </c>
      <c r="H230" s="22">
        <v>109</v>
      </c>
      <c r="I230" s="22">
        <v>12</v>
      </c>
      <c r="J230" s="22">
        <v>93</v>
      </c>
      <c r="K230" s="22">
        <v>386</v>
      </c>
      <c r="L230" s="22">
        <v>4</v>
      </c>
      <c r="M230" s="22">
        <f t="shared" si="21"/>
        <v>390</v>
      </c>
      <c r="N230" s="22">
        <v>0</v>
      </c>
      <c r="O230" s="23">
        <f t="shared" si="22"/>
        <v>0.43846153846153846</v>
      </c>
      <c r="P230" s="23">
        <f t="shared" si="23"/>
        <v>0.23846153846153847</v>
      </c>
      <c r="Q230" s="23">
        <f t="shared" si="24"/>
        <v>0.27948717948717949</v>
      </c>
      <c r="R230" s="23">
        <f t="shared" si="25"/>
        <v>3.0769230769230771E-2</v>
      </c>
      <c r="S230" s="23">
        <f t="shared" si="26"/>
        <v>2.5641025641025641E-3</v>
      </c>
      <c r="T230" s="24">
        <v>310</v>
      </c>
      <c r="U230" s="24">
        <v>101</v>
      </c>
      <c r="V230" s="24">
        <v>79</v>
      </c>
      <c r="W230" s="24">
        <v>3</v>
      </c>
      <c r="X230" s="24">
        <v>493</v>
      </c>
      <c r="Y230" s="27">
        <v>0.62880324543610544</v>
      </c>
      <c r="Z230" s="27">
        <v>0.20486815415821502</v>
      </c>
      <c r="AA230" s="27">
        <v>0.16024340770791076</v>
      </c>
      <c r="AB230" s="27">
        <v>6.0851926977687626E-3</v>
      </c>
      <c r="AC230" s="25">
        <v>53.997971602434077</v>
      </c>
      <c r="AD230" s="23">
        <f t="shared" si="27"/>
        <v>0.79107505070993911</v>
      </c>
    </row>
    <row r="231" spans="1:30" x14ac:dyDescent="0.25">
      <c r="A231" s="22"/>
      <c r="B231" s="22"/>
      <c r="C231" s="22"/>
      <c r="D231" s="22">
        <v>4</v>
      </c>
      <c r="E231" s="22">
        <v>356</v>
      </c>
      <c r="F231" s="22">
        <v>141</v>
      </c>
      <c r="G231" s="22">
        <v>1</v>
      </c>
      <c r="H231" s="22">
        <v>89</v>
      </c>
      <c r="I231" s="22">
        <v>4</v>
      </c>
      <c r="J231" s="22">
        <v>119</v>
      </c>
      <c r="K231" s="22">
        <v>354</v>
      </c>
      <c r="L231" s="22">
        <v>2</v>
      </c>
      <c r="M231" s="22">
        <f t="shared" si="21"/>
        <v>356</v>
      </c>
      <c r="N231" s="22">
        <v>0</v>
      </c>
      <c r="O231" s="23">
        <f t="shared" si="22"/>
        <v>0.3960674157303371</v>
      </c>
      <c r="P231" s="23">
        <f t="shared" si="23"/>
        <v>0.3342696629213483</v>
      </c>
      <c r="Q231" s="23">
        <f t="shared" si="24"/>
        <v>0.25</v>
      </c>
      <c r="R231" s="23">
        <f t="shared" si="25"/>
        <v>1.1235955056179775E-2</v>
      </c>
      <c r="S231" s="23">
        <f t="shared" si="26"/>
        <v>2.8089887640449437E-3</v>
      </c>
      <c r="T231" s="24">
        <v>344</v>
      </c>
      <c r="U231" s="24">
        <v>79</v>
      </c>
      <c r="V231" s="24">
        <v>63</v>
      </c>
      <c r="W231" s="24">
        <v>7</v>
      </c>
      <c r="X231" s="24">
        <v>493</v>
      </c>
      <c r="Y231" s="27">
        <v>0.69776876267748478</v>
      </c>
      <c r="Z231" s="27">
        <v>0.16024340770791076</v>
      </c>
      <c r="AA231" s="27">
        <v>0.12778904665314403</v>
      </c>
      <c r="AB231" s="27">
        <v>1.4198782961460446E-2</v>
      </c>
      <c r="AC231" s="25">
        <v>42.807302231237323</v>
      </c>
      <c r="AD231" s="23">
        <f t="shared" si="27"/>
        <v>0.72210953346855988</v>
      </c>
    </row>
    <row r="232" spans="1:30" x14ac:dyDescent="0.25">
      <c r="A232" s="22"/>
      <c r="B232" s="22"/>
      <c r="C232" s="22"/>
      <c r="D232" s="22">
        <v>5</v>
      </c>
      <c r="E232" s="22">
        <v>363</v>
      </c>
      <c r="F232" s="22">
        <v>133</v>
      </c>
      <c r="G232" s="22">
        <v>0</v>
      </c>
      <c r="H232" s="22">
        <v>83</v>
      </c>
      <c r="I232" s="22">
        <v>3</v>
      </c>
      <c r="J232" s="22">
        <v>142</v>
      </c>
      <c r="K232" s="22">
        <v>361</v>
      </c>
      <c r="L232" s="22">
        <v>2</v>
      </c>
      <c r="M232" s="22">
        <f t="shared" si="21"/>
        <v>363</v>
      </c>
      <c r="N232" s="22">
        <v>0</v>
      </c>
      <c r="O232" s="23">
        <f t="shared" si="22"/>
        <v>0.36639118457300274</v>
      </c>
      <c r="P232" s="23">
        <f t="shared" si="23"/>
        <v>0.39118457300275483</v>
      </c>
      <c r="Q232" s="23">
        <f t="shared" si="24"/>
        <v>0.22865013774104684</v>
      </c>
      <c r="R232" s="23">
        <f t="shared" si="25"/>
        <v>8.2644628099173556E-3</v>
      </c>
      <c r="S232" s="23">
        <f t="shared" si="26"/>
        <v>0</v>
      </c>
      <c r="T232" s="24">
        <v>406</v>
      </c>
      <c r="U232" s="24">
        <v>41</v>
      </c>
      <c r="V232" s="24">
        <v>46</v>
      </c>
      <c r="W232" s="24">
        <v>1</v>
      </c>
      <c r="X232" s="24">
        <v>494</v>
      </c>
      <c r="Y232" s="27">
        <v>0.82186234817813764</v>
      </c>
      <c r="Z232" s="27">
        <v>8.2995951417004055E-2</v>
      </c>
      <c r="AA232" s="27">
        <v>9.3117408906882596E-2</v>
      </c>
      <c r="AB232" s="27">
        <v>2.0242914979757085E-3</v>
      </c>
      <c r="AC232" s="25">
        <v>33.491902834008094</v>
      </c>
      <c r="AD232" s="23">
        <f t="shared" si="27"/>
        <v>0.73481781376518218</v>
      </c>
    </row>
    <row r="233" spans="1:30" x14ac:dyDescent="0.25">
      <c r="A233" s="22"/>
      <c r="B233" s="22"/>
      <c r="C233" s="22"/>
      <c r="D233" s="22">
        <v>6</v>
      </c>
      <c r="E233" s="22">
        <v>365</v>
      </c>
      <c r="F233" s="22">
        <v>135</v>
      </c>
      <c r="G233" s="22">
        <v>1</v>
      </c>
      <c r="H233" s="22">
        <v>88</v>
      </c>
      <c r="I233" s="22">
        <v>4</v>
      </c>
      <c r="J233" s="22">
        <v>137</v>
      </c>
      <c r="K233" s="22">
        <v>365</v>
      </c>
      <c r="L233" s="22">
        <v>0</v>
      </c>
      <c r="M233" s="22">
        <f t="shared" si="21"/>
        <v>365</v>
      </c>
      <c r="N233" s="22">
        <v>0</v>
      </c>
      <c r="O233" s="23">
        <f t="shared" si="22"/>
        <v>0.36986301369863012</v>
      </c>
      <c r="P233" s="23">
        <f t="shared" si="23"/>
        <v>0.37534246575342467</v>
      </c>
      <c r="Q233" s="23">
        <f t="shared" si="24"/>
        <v>0.24109589041095891</v>
      </c>
      <c r="R233" s="23">
        <f t="shared" si="25"/>
        <v>1.0958904109589041E-2</v>
      </c>
      <c r="S233" s="23">
        <f t="shared" si="26"/>
        <v>2.7397260273972603E-3</v>
      </c>
      <c r="T233" s="24">
        <v>409</v>
      </c>
      <c r="U233" s="24">
        <v>42</v>
      </c>
      <c r="V233" s="24">
        <v>41</v>
      </c>
      <c r="W233" s="24">
        <v>2</v>
      </c>
      <c r="X233" s="24">
        <v>494</v>
      </c>
      <c r="Y233" s="27">
        <v>0.82793522267206476</v>
      </c>
      <c r="Z233" s="27">
        <v>8.5020242914979755E-2</v>
      </c>
      <c r="AA233" s="27">
        <v>8.2995951417004055E-2</v>
      </c>
      <c r="AB233" s="27">
        <v>4.048582995951417E-3</v>
      </c>
      <c r="AC233" s="25">
        <v>23.694331983805668</v>
      </c>
      <c r="AD233" s="23">
        <f t="shared" si="27"/>
        <v>0.73886639676113364</v>
      </c>
    </row>
    <row r="234" spans="1:30" x14ac:dyDescent="0.25">
      <c r="A234" s="22">
        <v>40</v>
      </c>
      <c r="B234" s="22" t="s">
        <v>239</v>
      </c>
      <c r="C234" s="22" t="s">
        <v>240</v>
      </c>
      <c r="D234" s="22">
        <v>1</v>
      </c>
      <c r="E234" s="22">
        <v>343</v>
      </c>
      <c r="F234" s="22">
        <v>63</v>
      </c>
      <c r="G234" s="22">
        <v>0</v>
      </c>
      <c r="H234" s="22">
        <v>180</v>
      </c>
      <c r="I234" s="22">
        <v>6</v>
      </c>
      <c r="J234" s="22">
        <v>90</v>
      </c>
      <c r="K234" s="22">
        <v>339</v>
      </c>
      <c r="L234" s="22">
        <v>4</v>
      </c>
      <c r="M234" s="22">
        <f t="shared" si="21"/>
        <v>343</v>
      </c>
      <c r="N234" s="22">
        <v>0</v>
      </c>
      <c r="O234" s="23">
        <f t="shared" si="22"/>
        <v>0.18367346938775511</v>
      </c>
      <c r="P234" s="23">
        <f t="shared" si="23"/>
        <v>0.26239067055393583</v>
      </c>
      <c r="Q234" s="23">
        <f t="shared" si="24"/>
        <v>0.52478134110787167</v>
      </c>
      <c r="R234" s="23">
        <f t="shared" si="25"/>
        <v>1.7492711370262391E-2</v>
      </c>
      <c r="S234" s="23">
        <f t="shared" si="26"/>
        <v>0</v>
      </c>
      <c r="T234" s="24">
        <v>408</v>
      </c>
      <c r="U234" s="24">
        <v>24</v>
      </c>
      <c r="V234" s="24">
        <v>17</v>
      </c>
      <c r="W234" s="24">
        <v>1</v>
      </c>
      <c r="X234" s="24">
        <v>450</v>
      </c>
      <c r="Y234" s="27">
        <v>0.90666666666666662</v>
      </c>
      <c r="Z234" s="27">
        <v>5.3333333333333337E-2</v>
      </c>
      <c r="AA234" s="27">
        <v>3.7777777777777778E-2</v>
      </c>
      <c r="AB234" s="27">
        <v>2.2222222222222222E-3</v>
      </c>
      <c r="AC234" s="25">
        <v>62.684444444444445</v>
      </c>
      <c r="AD234" s="23">
        <f t="shared" si="27"/>
        <v>0.76222222222222225</v>
      </c>
    </row>
    <row r="235" spans="1:30" x14ac:dyDescent="0.25">
      <c r="A235" s="22"/>
      <c r="B235" s="22"/>
      <c r="C235" s="22"/>
      <c r="D235" s="22">
        <v>2</v>
      </c>
      <c r="E235" s="22">
        <v>383</v>
      </c>
      <c r="F235" s="22">
        <v>77</v>
      </c>
      <c r="G235" s="22">
        <v>1</v>
      </c>
      <c r="H235" s="22">
        <v>179</v>
      </c>
      <c r="I235" s="22">
        <v>5</v>
      </c>
      <c r="J235" s="22">
        <v>118</v>
      </c>
      <c r="K235" s="22">
        <v>380</v>
      </c>
      <c r="L235" s="22">
        <v>3</v>
      </c>
      <c r="M235" s="22">
        <f t="shared" si="21"/>
        <v>383</v>
      </c>
      <c r="N235" s="22">
        <v>0</v>
      </c>
      <c r="O235" s="23">
        <f t="shared" si="22"/>
        <v>0.20104438642297651</v>
      </c>
      <c r="P235" s="23">
        <f t="shared" si="23"/>
        <v>0.30809399477806787</v>
      </c>
      <c r="Q235" s="23">
        <f t="shared" si="24"/>
        <v>0.46736292428198434</v>
      </c>
      <c r="R235" s="23">
        <f t="shared" si="25"/>
        <v>1.3054830287206266E-2</v>
      </c>
      <c r="S235" s="23">
        <f t="shared" si="26"/>
        <v>2.6109660574412533E-3</v>
      </c>
      <c r="T235" s="24">
        <v>401</v>
      </c>
      <c r="U235" s="24">
        <v>14</v>
      </c>
      <c r="V235" s="24">
        <v>32</v>
      </c>
      <c r="W235" s="24">
        <v>3</v>
      </c>
      <c r="X235" s="24">
        <v>450</v>
      </c>
      <c r="Y235" s="27">
        <v>0.89111111111111108</v>
      </c>
      <c r="Z235" s="27">
        <v>3.111111111111111E-2</v>
      </c>
      <c r="AA235" s="27">
        <v>7.1111111111111111E-2</v>
      </c>
      <c r="AB235" s="27">
        <v>6.6666666666666671E-3</v>
      </c>
      <c r="AC235" s="25">
        <v>60.528888888888886</v>
      </c>
      <c r="AD235" s="23">
        <f t="shared" si="27"/>
        <v>0.85111111111111115</v>
      </c>
    </row>
    <row r="236" spans="1:30" x14ac:dyDescent="0.25">
      <c r="A236" s="22"/>
      <c r="B236" s="22"/>
      <c r="C236" s="22"/>
      <c r="D236" s="22">
        <v>3</v>
      </c>
      <c r="E236" s="22">
        <v>525</v>
      </c>
      <c r="F236" s="22">
        <v>141</v>
      </c>
      <c r="G236" s="22">
        <v>1</v>
      </c>
      <c r="H236" s="22">
        <v>155</v>
      </c>
      <c r="I236" s="22">
        <v>7</v>
      </c>
      <c r="J236" s="22">
        <v>220</v>
      </c>
      <c r="K236" s="22">
        <v>524</v>
      </c>
      <c r="L236" s="22">
        <v>1</v>
      </c>
      <c r="M236" s="22">
        <f t="shared" si="21"/>
        <v>525</v>
      </c>
      <c r="N236" s="22">
        <v>0</v>
      </c>
      <c r="O236" s="23">
        <f t="shared" si="22"/>
        <v>0.26857142857142857</v>
      </c>
      <c r="P236" s="23">
        <f t="shared" si="23"/>
        <v>0.41904761904761906</v>
      </c>
      <c r="Q236" s="23">
        <f t="shared" si="24"/>
        <v>0.29523809523809524</v>
      </c>
      <c r="R236" s="23">
        <f t="shared" si="25"/>
        <v>1.3333333333333334E-2</v>
      </c>
      <c r="S236" s="23">
        <f t="shared" si="26"/>
        <v>1.9047619047619048E-3</v>
      </c>
      <c r="T236" s="24">
        <v>573</v>
      </c>
      <c r="U236" s="24">
        <v>36</v>
      </c>
      <c r="V236" s="24">
        <v>38</v>
      </c>
      <c r="W236" s="24">
        <v>3</v>
      </c>
      <c r="X236" s="24">
        <v>650</v>
      </c>
      <c r="Y236" s="27">
        <v>0.88153846153846149</v>
      </c>
      <c r="Z236" s="27">
        <v>5.5384615384615386E-2</v>
      </c>
      <c r="AA236" s="27">
        <v>5.8461538461538461E-2</v>
      </c>
      <c r="AB236" s="27">
        <v>4.6153846153846158E-3</v>
      </c>
      <c r="AC236" s="25">
        <v>49.303076923076922</v>
      </c>
      <c r="AD236" s="23">
        <f t="shared" si="27"/>
        <v>0.80769230769230771</v>
      </c>
    </row>
    <row r="237" spans="1:30" x14ac:dyDescent="0.25">
      <c r="A237" s="22"/>
      <c r="B237" s="22"/>
      <c r="C237" s="22"/>
      <c r="D237" s="22">
        <v>4</v>
      </c>
      <c r="E237" s="22">
        <v>503</v>
      </c>
      <c r="F237" s="22">
        <v>105</v>
      </c>
      <c r="G237" s="22">
        <v>1</v>
      </c>
      <c r="H237" s="22">
        <v>131</v>
      </c>
      <c r="I237" s="22">
        <v>5</v>
      </c>
      <c r="J237" s="22">
        <v>256</v>
      </c>
      <c r="K237" s="22">
        <v>498</v>
      </c>
      <c r="L237" s="22">
        <v>5</v>
      </c>
      <c r="M237" s="22">
        <f t="shared" si="21"/>
        <v>503</v>
      </c>
      <c r="N237" s="22">
        <v>0</v>
      </c>
      <c r="O237" s="23">
        <f t="shared" si="22"/>
        <v>0.20874751491053678</v>
      </c>
      <c r="P237" s="23">
        <f t="shared" si="23"/>
        <v>0.50894632206759438</v>
      </c>
      <c r="Q237" s="23">
        <f t="shared" si="24"/>
        <v>0.26043737574552683</v>
      </c>
      <c r="R237" s="23">
        <f t="shared" si="25"/>
        <v>9.9403578528827041E-3</v>
      </c>
      <c r="S237" s="23">
        <f t="shared" si="26"/>
        <v>1.9880715705765406E-3</v>
      </c>
      <c r="T237" s="24">
        <v>593</v>
      </c>
      <c r="U237" s="24">
        <v>27</v>
      </c>
      <c r="V237" s="24">
        <v>29</v>
      </c>
      <c r="W237" s="24">
        <v>1</v>
      </c>
      <c r="X237" s="24">
        <v>650</v>
      </c>
      <c r="Y237" s="27">
        <v>0.91230769230769226</v>
      </c>
      <c r="Z237" s="27">
        <v>4.1538461538461538E-2</v>
      </c>
      <c r="AA237" s="27">
        <v>4.4615384615384612E-2</v>
      </c>
      <c r="AB237" s="27">
        <v>1.5384615384615385E-3</v>
      </c>
      <c r="AC237" s="25">
        <v>38.970769230769228</v>
      </c>
      <c r="AD237" s="23">
        <f t="shared" si="27"/>
        <v>0.77384615384615385</v>
      </c>
    </row>
    <row r="238" spans="1:30" x14ac:dyDescent="0.25">
      <c r="A238" s="22"/>
      <c r="B238" s="22"/>
      <c r="C238" s="22"/>
      <c r="D238" s="22">
        <v>5</v>
      </c>
      <c r="E238" s="22">
        <v>477</v>
      </c>
      <c r="F238" s="22">
        <v>85</v>
      </c>
      <c r="G238" s="22">
        <v>0</v>
      </c>
      <c r="H238" s="22">
        <v>128</v>
      </c>
      <c r="I238" s="22">
        <v>7</v>
      </c>
      <c r="J238" s="22">
        <v>254</v>
      </c>
      <c r="K238" s="22">
        <v>474</v>
      </c>
      <c r="L238" s="22">
        <v>3</v>
      </c>
      <c r="M238" s="22">
        <f t="shared" si="21"/>
        <v>477</v>
      </c>
      <c r="N238" s="22">
        <v>0</v>
      </c>
      <c r="O238" s="23">
        <f t="shared" si="22"/>
        <v>0.17819706498951782</v>
      </c>
      <c r="P238" s="23">
        <f t="shared" si="23"/>
        <v>0.53249475890985321</v>
      </c>
      <c r="Q238" s="23">
        <f t="shared" si="24"/>
        <v>0.26834381551362685</v>
      </c>
      <c r="R238" s="23">
        <f t="shared" si="25"/>
        <v>1.4675052410901468E-2</v>
      </c>
      <c r="S238" s="23">
        <f t="shared" si="26"/>
        <v>0</v>
      </c>
      <c r="T238" s="24">
        <v>589</v>
      </c>
      <c r="U238" s="24">
        <v>25</v>
      </c>
      <c r="V238" s="24">
        <v>35</v>
      </c>
      <c r="W238" s="24">
        <v>1</v>
      </c>
      <c r="X238" s="24">
        <v>650</v>
      </c>
      <c r="Y238" s="27">
        <v>0.9061538461538462</v>
      </c>
      <c r="Z238" s="27">
        <v>3.8461538461538464E-2</v>
      </c>
      <c r="AA238" s="27">
        <v>5.3846153846153849E-2</v>
      </c>
      <c r="AB238" s="27">
        <v>1.5384615384615385E-3</v>
      </c>
      <c r="AC238" s="25">
        <v>33.616923076923079</v>
      </c>
      <c r="AD238" s="23">
        <f t="shared" si="27"/>
        <v>0.73384615384615381</v>
      </c>
    </row>
    <row r="239" spans="1:30" x14ac:dyDescent="0.25">
      <c r="A239" s="22"/>
      <c r="B239" s="22"/>
      <c r="C239" s="22"/>
      <c r="D239" s="22">
        <v>6</v>
      </c>
      <c r="E239" s="22">
        <v>489</v>
      </c>
      <c r="F239" s="22">
        <v>103</v>
      </c>
      <c r="G239" s="22">
        <v>2</v>
      </c>
      <c r="H239" s="22">
        <v>131</v>
      </c>
      <c r="I239" s="22">
        <v>2</v>
      </c>
      <c r="J239" s="22">
        <v>249</v>
      </c>
      <c r="K239" s="22">
        <v>487</v>
      </c>
      <c r="L239" s="22">
        <v>2</v>
      </c>
      <c r="M239" s="22">
        <f t="shared" si="21"/>
        <v>489</v>
      </c>
      <c r="N239" s="22">
        <v>0</v>
      </c>
      <c r="O239" s="23">
        <f t="shared" si="22"/>
        <v>0.21063394683026584</v>
      </c>
      <c r="P239" s="23">
        <f t="shared" si="23"/>
        <v>0.50920245398773001</v>
      </c>
      <c r="Q239" s="23">
        <f t="shared" si="24"/>
        <v>0.26789366053169733</v>
      </c>
      <c r="R239" s="23">
        <f t="shared" si="25"/>
        <v>4.0899795501022499E-3</v>
      </c>
      <c r="S239" s="23">
        <f t="shared" si="26"/>
        <v>4.0899795501022499E-3</v>
      </c>
      <c r="T239" s="24">
        <v>597</v>
      </c>
      <c r="U239" s="24">
        <v>27</v>
      </c>
      <c r="V239" s="24">
        <v>24</v>
      </c>
      <c r="W239" s="24">
        <v>2</v>
      </c>
      <c r="X239" s="24">
        <v>650</v>
      </c>
      <c r="Y239" s="27">
        <v>0.91846153846153844</v>
      </c>
      <c r="Z239" s="27">
        <v>4.1538461538461538E-2</v>
      </c>
      <c r="AA239" s="27">
        <v>3.6923076923076927E-2</v>
      </c>
      <c r="AB239" s="27">
        <v>3.0769230769230769E-3</v>
      </c>
      <c r="AC239" s="25">
        <v>28.26</v>
      </c>
      <c r="AD239" s="23">
        <f t="shared" si="27"/>
        <v>0.75230769230769234</v>
      </c>
    </row>
    <row r="240" spans="1:30" x14ac:dyDescent="0.25">
      <c r="A240" s="22"/>
      <c r="B240" s="22"/>
      <c r="C240" s="22"/>
      <c r="D240" s="22">
        <v>7</v>
      </c>
      <c r="E240" s="22">
        <v>514</v>
      </c>
      <c r="F240" s="22">
        <v>113</v>
      </c>
      <c r="G240" s="22">
        <v>0</v>
      </c>
      <c r="H240" s="22">
        <v>121</v>
      </c>
      <c r="I240" s="22">
        <v>4</v>
      </c>
      <c r="J240" s="22">
        <v>275</v>
      </c>
      <c r="K240" s="22">
        <v>513</v>
      </c>
      <c r="L240" s="22">
        <v>1</v>
      </c>
      <c r="M240" s="22">
        <f t="shared" si="21"/>
        <v>514</v>
      </c>
      <c r="N240" s="22">
        <v>0</v>
      </c>
      <c r="O240" s="23">
        <f t="shared" si="22"/>
        <v>0.21984435797665369</v>
      </c>
      <c r="P240" s="23">
        <f t="shared" si="23"/>
        <v>0.53501945525291827</v>
      </c>
      <c r="Q240" s="23">
        <f t="shared" si="24"/>
        <v>0.23540856031128404</v>
      </c>
      <c r="R240" s="23">
        <f t="shared" si="25"/>
        <v>7.7821011673151752E-3</v>
      </c>
      <c r="S240" s="23">
        <f t="shared" si="26"/>
        <v>0</v>
      </c>
      <c r="T240" s="24">
        <v>614</v>
      </c>
      <c r="U240" s="24">
        <v>11</v>
      </c>
      <c r="V240" s="24">
        <v>26</v>
      </c>
      <c r="W240" s="24">
        <v>0</v>
      </c>
      <c r="X240" s="24">
        <v>651</v>
      </c>
      <c r="Y240" s="27">
        <v>0.94316436251920122</v>
      </c>
      <c r="Z240" s="27">
        <v>1.6897081413210446E-2</v>
      </c>
      <c r="AA240" s="27">
        <v>3.9938556067588324E-2</v>
      </c>
      <c r="AB240" s="27">
        <v>0</v>
      </c>
      <c r="AC240" s="25">
        <v>21.892473118279568</v>
      </c>
      <c r="AD240" s="23">
        <f t="shared" si="27"/>
        <v>0.78955453149001531</v>
      </c>
    </row>
    <row r="241" spans="1:30" x14ac:dyDescent="0.25">
      <c r="A241" s="22"/>
      <c r="B241" s="22"/>
      <c r="C241" s="22" t="s">
        <v>241</v>
      </c>
      <c r="D241" s="22">
        <v>1</v>
      </c>
      <c r="E241" s="22">
        <v>360</v>
      </c>
      <c r="F241" s="22">
        <v>152</v>
      </c>
      <c r="G241" s="22">
        <v>1</v>
      </c>
      <c r="H241" s="22">
        <v>99</v>
      </c>
      <c r="I241" s="22">
        <v>7</v>
      </c>
      <c r="J241" s="22">
        <v>99</v>
      </c>
      <c r="K241" s="22">
        <v>358</v>
      </c>
      <c r="L241" s="22">
        <v>2</v>
      </c>
      <c r="M241" s="22">
        <f t="shared" si="21"/>
        <v>360</v>
      </c>
      <c r="N241" s="22">
        <v>0</v>
      </c>
      <c r="O241" s="23">
        <f t="shared" si="22"/>
        <v>0.42222222222222222</v>
      </c>
      <c r="P241" s="23">
        <f t="shared" si="23"/>
        <v>0.27500000000000002</v>
      </c>
      <c r="Q241" s="23">
        <f t="shared" si="24"/>
        <v>0.27500000000000002</v>
      </c>
      <c r="R241" s="23">
        <f t="shared" si="25"/>
        <v>1.9444444444444445E-2</v>
      </c>
      <c r="S241" s="23">
        <f t="shared" si="26"/>
        <v>2.7777777777777779E-3</v>
      </c>
      <c r="T241" s="24">
        <v>281</v>
      </c>
      <c r="U241" s="24">
        <v>88</v>
      </c>
      <c r="V241" s="24">
        <v>78</v>
      </c>
      <c r="W241" s="24">
        <v>3</v>
      </c>
      <c r="X241" s="24">
        <v>450</v>
      </c>
      <c r="Y241" s="27">
        <v>0.62444444444444447</v>
      </c>
      <c r="Z241" s="27">
        <v>0.19555555555555557</v>
      </c>
      <c r="AA241" s="27">
        <v>0.17333333333333334</v>
      </c>
      <c r="AB241" s="27">
        <v>6.6666666666666671E-3</v>
      </c>
      <c r="AC241" s="25">
        <v>60.453333333333333</v>
      </c>
      <c r="AD241" s="23">
        <f t="shared" si="27"/>
        <v>0.8</v>
      </c>
    </row>
    <row r="242" spans="1:30" x14ac:dyDescent="0.25">
      <c r="A242" s="22"/>
      <c r="B242" s="22"/>
      <c r="C242" s="22"/>
      <c r="D242" s="22">
        <v>2</v>
      </c>
      <c r="E242" s="22">
        <v>620</v>
      </c>
      <c r="F242" s="22">
        <v>273</v>
      </c>
      <c r="G242" s="22">
        <v>0</v>
      </c>
      <c r="H242" s="22">
        <v>114</v>
      </c>
      <c r="I242" s="22">
        <v>8</v>
      </c>
      <c r="J242" s="22">
        <v>222</v>
      </c>
      <c r="K242" s="22">
        <v>617</v>
      </c>
      <c r="L242" s="22">
        <v>3</v>
      </c>
      <c r="M242" s="22">
        <f t="shared" si="21"/>
        <v>620</v>
      </c>
      <c r="N242" s="22">
        <v>0</v>
      </c>
      <c r="O242" s="23">
        <f t="shared" si="22"/>
        <v>0.44032258064516128</v>
      </c>
      <c r="P242" s="23">
        <f t="shared" si="23"/>
        <v>0.35806451612903228</v>
      </c>
      <c r="Q242" s="23">
        <f t="shared" si="24"/>
        <v>0.18387096774193548</v>
      </c>
      <c r="R242" s="23">
        <f t="shared" si="25"/>
        <v>1.2903225806451613E-2</v>
      </c>
      <c r="S242" s="23">
        <f t="shared" si="26"/>
        <v>0</v>
      </c>
      <c r="T242" s="24">
        <v>497</v>
      </c>
      <c r="U242" s="24">
        <v>174</v>
      </c>
      <c r="V242" s="24">
        <v>72</v>
      </c>
      <c r="W242" s="24">
        <v>6</v>
      </c>
      <c r="X242" s="24">
        <v>749</v>
      </c>
      <c r="Y242" s="27">
        <v>0.66355140186915884</v>
      </c>
      <c r="Z242" s="27">
        <v>0.23230974632843793</v>
      </c>
      <c r="AA242" s="27">
        <v>9.6128170894526035E-2</v>
      </c>
      <c r="AB242" s="27">
        <v>8.0106809078771702E-3</v>
      </c>
      <c r="AC242" s="25">
        <v>44.762349799732981</v>
      </c>
      <c r="AD242" s="23">
        <f t="shared" si="27"/>
        <v>0.8277703604806409</v>
      </c>
    </row>
    <row r="243" spans="1:30" x14ac:dyDescent="0.25">
      <c r="A243" s="22"/>
      <c r="B243" s="22"/>
      <c r="C243" s="22"/>
      <c r="D243" s="22">
        <v>3</v>
      </c>
      <c r="E243" s="22">
        <v>532</v>
      </c>
      <c r="F243" s="22">
        <v>270</v>
      </c>
      <c r="G243" s="22">
        <v>2</v>
      </c>
      <c r="H243" s="22">
        <v>67</v>
      </c>
      <c r="I243" s="22">
        <v>4</v>
      </c>
      <c r="J243" s="22">
        <v>189</v>
      </c>
      <c r="K243" s="22">
        <v>532</v>
      </c>
      <c r="L243" s="22">
        <v>0</v>
      </c>
      <c r="M243" s="22">
        <f t="shared" si="21"/>
        <v>532</v>
      </c>
      <c r="N243" s="22">
        <v>0</v>
      </c>
      <c r="O243" s="23">
        <f t="shared" si="22"/>
        <v>0.50751879699248126</v>
      </c>
      <c r="P243" s="23">
        <f t="shared" si="23"/>
        <v>0.35526315789473684</v>
      </c>
      <c r="Q243" s="23">
        <f t="shared" si="24"/>
        <v>0.12593984962406016</v>
      </c>
      <c r="R243" s="23">
        <f t="shared" si="25"/>
        <v>7.5187969924812026E-3</v>
      </c>
      <c r="S243" s="23">
        <f t="shared" si="26"/>
        <v>3.7593984962406013E-3</v>
      </c>
      <c r="T243" s="24">
        <v>465</v>
      </c>
      <c r="U243" s="24">
        <v>200</v>
      </c>
      <c r="V243" s="24">
        <v>80</v>
      </c>
      <c r="W243" s="24">
        <v>4</v>
      </c>
      <c r="X243" s="24">
        <v>749</v>
      </c>
      <c r="Y243" s="27">
        <v>0.62082777036048065</v>
      </c>
      <c r="Z243" s="27">
        <v>0.26702269692923897</v>
      </c>
      <c r="AA243" s="27">
        <v>0.1068090787716956</v>
      </c>
      <c r="AB243" s="27">
        <v>5.3404539385847796E-3</v>
      </c>
      <c r="AC243" s="25">
        <v>32.072096128170891</v>
      </c>
      <c r="AD243" s="23">
        <f t="shared" si="27"/>
        <v>0.71028037383177567</v>
      </c>
    </row>
    <row r="244" spans="1:30" x14ac:dyDescent="0.25">
      <c r="A244" s="22"/>
      <c r="B244" s="22"/>
      <c r="C244" s="22"/>
      <c r="D244" s="22">
        <v>4</v>
      </c>
      <c r="E244" s="22">
        <v>600</v>
      </c>
      <c r="F244" s="22">
        <v>300</v>
      </c>
      <c r="G244" s="22">
        <v>1</v>
      </c>
      <c r="H244" s="22">
        <v>81</v>
      </c>
      <c r="I244" s="22">
        <v>7</v>
      </c>
      <c r="J244" s="22">
        <v>211</v>
      </c>
      <c r="K244" s="22">
        <v>600</v>
      </c>
      <c r="L244" s="22">
        <v>0</v>
      </c>
      <c r="M244" s="22">
        <f t="shared" si="21"/>
        <v>600</v>
      </c>
      <c r="N244" s="22">
        <v>0</v>
      </c>
      <c r="O244" s="23">
        <f t="shared" si="22"/>
        <v>0.5</v>
      </c>
      <c r="P244" s="23">
        <f t="shared" si="23"/>
        <v>0.35166666666666668</v>
      </c>
      <c r="Q244" s="23">
        <f t="shared" si="24"/>
        <v>0.13500000000000001</v>
      </c>
      <c r="R244" s="23">
        <f t="shared" si="25"/>
        <v>1.1666666666666667E-2</v>
      </c>
      <c r="S244" s="23">
        <f t="shared" si="26"/>
        <v>1.6666666666666668E-3</v>
      </c>
      <c r="T244" s="24">
        <v>517</v>
      </c>
      <c r="U244" s="24">
        <v>165</v>
      </c>
      <c r="V244" s="24">
        <v>64</v>
      </c>
      <c r="W244" s="24">
        <v>3</v>
      </c>
      <c r="X244" s="24">
        <v>749</v>
      </c>
      <c r="Y244" s="27">
        <v>0.69025367156208273</v>
      </c>
      <c r="Z244" s="27">
        <v>0.22029372496662217</v>
      </c>
      <c r="AA244" s="27">
        <v>8.5447263017356473E-2</v>
      </c>
      <c r="AB244" s="27">
        <v>4.0053404539385851E-3</v>
      </c>
      <c r="AC244" s="25">
        <v>25.535380507343124</v>
      </c>
      <c r="AD244" s="23">
        <f t="shared" si="27"/>
        <v>0.8010680907877169</v>
      </c>
    </row>
    <row r="245" spans="1:30" x14ac:dyDescent="0.25">
      <c r="A245" s="22"/>
      <c r="B245" s="22"/>
      <c r="C245" s="22"/>
      <c r="D245" s="22">
        <v>5</v>
      </c>
      <c r="E245" s="22">
        <v>644</v>
      </c>
      <c r="F245" s="22">
        <v>289</v>
      </c>
      <c r="G245" s="22">
        <v>2</v>
      </c>
      <c r="H245" s="22">
        <v>92</v>
      </c>
      <c r="I245" s="22">
        <v>8</v>
      </c>
      <c r="J245" s="22">
        <v>252</v>
      </c>
      <c r="K245" s="22">
        <v>643</v>
      </c>
      <c r="L245" s="22">
        <v>1</v>
      </c>
      <c r="M245" s="22">
        <f t="shared" si="21"/>
        <v>644</v>
      </c>
      <c r="N245" s="22">
        <v>0</v>
      </c>
      <c r="O245" s="23">
        <f t="shared" si="22"/>
        <v>0.44875776397515527</v>
      </c>
      <c r="P245" s="23">
        <f t="shared" si="23"/>
        <v>0.39130434782608697</v>
      </c>
      <c r="Q245" s="23">
        <f t="shared" si="24"/>
        <v>0.14285714285714285</v>
      </c>
      <c r="R245" s="23">
        <f t="shared" si="25"/>
        <v>1.2422360248447204E-2</v>
      </c>
      <c r="S245" s="23">
        <f t="shared" si="26"/>
        <v>3.105590062111801E-3</v>
      </c>
      <c r="T245" s="24">
        <v>568</v>
      </c>
      <c r="U245" s="24">
        <v>135</v>
      </c>
      <c r="V245" s="24">
        <v>45</v>
      </c>
      <c r="W245" s="24">
        <v>1</v>
      </c>
      <c r="X245" s="24">
        <v>749</v>
      </c>
      <c r="Y245" s="27">
        <v>0.75834445927903871</v>
      </c>
      <c r="Z245" s="27">
        <v>0.18024032042723631</v>
      </c>
      <c r="AA245" s="27">
        <v>6.008010680907877E-2</v>
      </c>
      <c r="AB245" s="27">
        <v>1.3351134846461949E-3</v>
      </c>
      <c r="AC245" s="25">
        <v>20.429906542056074</v>
      </c>
      <c r="AD245" s="23">
        <f t="shared" si="27"/>
        <v>0.85981308411214952</v>
      </c>
    </row>
    <row r="246" spans="1:30" x14ac:dyDescent="0.25">
      <c r="A246" s="22">
        <v>40</v>
      </c>
      <c r="B246" s="22" t="s">
        <v>239</v>
      </c>
      <c r="C246" s="22" t="s">
        <v>242</v>
      </c>
      <c r="D246" s="22">
        <v>1</v>
      </c>
      <c r="E246" s="22">
        <v>354</v>
      </c>
      <c r="F246" s="22">
        <v>196</v>
      </c>
      <c r="G246" s="22">
        <v>1</v>
      </c>
      <c r="H246" s="22">
        <v>88</v>
      </c>
      <c r="I246" s="22">
        <v>7</v>
      </c>
      <c r="J246" s="22">
        <v>57</v>
      </c>
      <c r="K246" s="22">
        <v>349</v>
      </c>
      <c r="L246" s="22">
        <v>5</v>
      </c>
      <c r="M246" s="22">
        <f t="shared" si="21"/>
        <v>354</v>
      </c>
      <c r="N246" s="22">
        <v>0</v>
      </c>
      <c r="O246" s="23">
        <f t="shared" si="22"/>
        <v>0.5536723163841808</v>
      </c>
      <c r="P246" s="23">
        <f t="shared" si="23"/>
        <v>0.16101694915254236</v>
      </c>
      <c r="Q246" s="23">
        <f t="shared" si="24"/>
        <v>0.24858757062146894</v>
      </c>
      <c r="R246" s="23">
        <f t="shared" si="25"/>
        <v>1.977401129943503E-2</v>
      </c>
      <c r="S246" s="23">
        <f t="shared" si="26"/>
        <v>2.8248587570621469E-3</v>
      </c>
      <c r="T246" s="24">
        <v>216</v>
      </c>
      <c r="U246" s="24">
        <v>170</v>
      </c>
      <c r="V246" s="24">
        <v>61</v>
      </c>
      <c r="W246" s="24">
        <v>3</v>
      </c>
      <c r="X246" s="24">
        <v>450</v>
      </c>
      <c r="Y246" s="27">
        <v>0.48</v>
      </c>
      <c r="Z246" s="27">
        <v>0.37777777777777777</v>
      </c>
      <c r="AA246" s="27">
        <v>0.13555555555555557</v>
      </c>
      <c r="AB246" s="27">
        <v>6.6666666666666671E-3</v>
      </c>
      <c r="AC246" s="25">
        <v>63.153333333333336</v>
      </c>
      <c r="AD246" s="23">
        <f t="shared" si="27"/>
        <v>0.78666666666666663</v>
      </c>
    </row>
    <row r="247" spans="1:30" x14ac:dyDescent="0.25">
      <c r="A247" s="22"/>
      <c r="B247" s="22"/>
      <c r="C247" s="22"/>
      <c r="D247" s="22">
        <v>2</v>
      </c>
      <c r="E247" s="22">
        <v>505</v>
      </c>
      <c r="F247" s="22">
        <v>301</v>
      </c>
      <c r="G247" s="22">
        <v>5</v>
      </c>
      <c r="H247" s="22">
        <v>82</v>
      </c>
      <c r="I247" s="22">
        <v>4</v>
      </c>
      <c r="J247" s="22">
        <v>113</v>
      </c>
      <c r="K247" s="22">
        <v>505</v>
      </c>
      <c r="L247" s="22">
        <v>0</v>
      </c>
      <c r="M247" s="22">
        <f t="shared" si="21"/>
        <v>505</v>
      </c>
      <c r="N247" s="22">
        <v>0</v>
      </c>
      <c r="O247" s="23">
        <f t="shared" si="22"/>
        <v>0.59603960396039601</v>
      </c>
      <c r="P247" s="23">
        <f t="shared" si="23"/>
        <v>0.22376237623762377</v>
      </c>
      <c r="Q247" s="23">
        <f t="shared" si="24"/>
        <v>0.16237623762376238</v>
      </c>
      <c r="R247" s="23">
        <f t="shared" si="25"/>
        <v>7.9207920792079209E-3</v>
      </c>
      <c r="S247" s="23">
        <f t="shared" si="26"/>
        <v>9.9009900990099011E-3</v>
      </c>
      <c r="T247" s="24">
        <v>285</v>
      </c>
      <c r="U247" s="24">
        <v>310</v>
      </c>
      <c r="V247" s="24">
        <v>55</v>
      </c>
      <c r="W247" s="24">
        <v>5</v>
      </c>
      <c r="X247" s="24">
        <v>655</v>
      </c>
      <c r="Y247" s="27">
        <v>0.4351145038167939</v>
      </c>
      <c r="Z247" s="27">
        <v>0.47328244274809161</v>
      </c>
      <c r="AA247" s="27">
        <v>8.3969465648854963E-2</v>
      </c>
      <c r="AB247" s="27">
        <v>7.6335877862595417E-3</v>
      </c>
      <c r="AC247" s="25">
        <v>47.332824427480915</v>
      </c>
      <c r="AD247" s="23">
        <f t="shared" si="27"/>
        <v>0.77099236641221369</v>
      </c>
    </row>
    <row r="248" spans="1:30" x14ac:dyDescent="0.25">
      <c r="A248" s="22"/>
      <c r="B248" s="22"/>
      <c r="C248" s="22"/>
      <c r="D248" s="22">
        <v>3</v>
      </c>
      <c r="E248" s="22">
        <v>504</v>
      </c>
      <c r="F248" s="22">
        <v>278</v>
      </c>
      <c r="G248" s="22">
        <v>3</v>
      </c>
      <c r="H248" s="22">
        <v>66</v>
      </c>
      <c r="I248" s="22">
        <v>5</v>
      </c>
      <c r="J248" s="22">
        <v>150</v>
      </c>
      <c r="K248" s="22">
        <v>502</v>
      </c>
      <c r="L248" s="22">
        <v>0</v>
      </c>
      <c r="M248" s="22">
        <f t="shared" si="21"/>
        <v>502</v>
      </c>
      <c r="N248" s="22">
        <v>2</v>
      </c>
      <c r="O248" s="23">
        <f t="shared" si="22"/>
        <v>0.55378486055776888</v>
      </c>
      <c r="P248" s="23">
        <f t="shared" si="23"/>
        <v>0.29880478087649404</v>
      </c>
      <c r="Q248" s="23">
        <f t="shared" si="24"/>
        <v>0.13147410358565736</v>
      </c>
      <c r="R248" s="23">
        <f t="shared" si="25"/>
        <v>9.9601593625498006E-3</v>
      </c>
      <c r="S248" s="23">
        <f t="shared" si="26"/>
        <v>5.9760956175298804E-3</v>
      </c>
      <c r="T248" s="24">
        <v>386</v>
      </c>
      <c r="U248" s="24">
        <v>195</v>
      </c>
      <c r="V248" s="24">
        <v>73</v>
      </c>
      <c r="W248" s="24">
        <v>1</v>
      </c>
      <c r="X248" s="24">
        <v>655</v>
      </c>
      <c r="Y248" s="27">
        <v>0.58931297709923669</v>
      </c>
      <c r="Z248" s="27">
        <v>0.29770992366412213</v>
      </c>
      <c r="AA248" s="27">
        <v>0.11145038167938931</v>
      </c>
      <c r="AB248" s="27">
        <v>1.5267175572519084E-3</v>
      </c>
      <c r="AC248" s="25">
        <v>33.102290076335876</v>
      </c>
      <c r="AD248" s="23">
        <f t="shared" si="27"/>
        <v>0.76641221374045798</v>
      </c>
    </row>
    <row r="249" spans="1:30" x14ac:dyDescent="0.25">
      <c r="A249" s="22"/>
      <c r="B249" s="22"/>
      <c r="C249" s="22"/>
      <c r="D249" s="22">
        <v>4</v>
      </c>
      <c r="E249" s="22">
        <v>535</v>
      </c>
      <c r="F249" s="22">
        <v>236</v>
      </c>
      <c r="G249" s="22">
        <v>3</v>
      </c>
      <c r="H249" s="22">
        <v>72</v>
      </c>
      <c r="I249" s="22">
        <v>3</v>
      </c>
      <c r="J249" s="22">
        <v>209</v>
      </c>
      <c r="K249" s="22">
        <v>523</v>
      </c>
      <c r="L249" s="22">
        <v>12</v>
      </c>
      <c r="M249" s="22">
        <f t="shared" si="21"/>
        <v>535</v>
      </c>
      <c r="N249" s="22">
        <v>0</v>
      </c>
      <c r="O249" s="23">
        <f t="shared" si="22"/>
        <v>0.44112149532710282</v>
      </c>
      <c r="P249" s="23">
        <f t="shared" si="23"/>
        <v>0.39065420560747666</v>
      </c>
      <c r="Q249" s="23">
        <f t="shared" si="24"/>
        <v>0.13457943925233645</v>
      </c>
      <c r="R249" s="23">
        <f t="shared" si="25"/>
        <v>5.6074766355140183E-3</v>
      </c>
      <c r="S249" s="23">
        <f t="shared" si="26"/>
        <v>5.6074766355140183E-3</v>
      </c>
      <c r="T249" s="24">
        <v>466</v>
      </c>
      <c r="U249" s="24">
        <v>129</v>
      </c>
      <c r="V249" s="24">
        <v>59</v>
      </c>
      <c r="W249" s="24">
        <v>1</v>
      </c>
      <c r="X249" s="24">
        <v>655</v>
      </c>
      <c r="Y249" s="27">
        <v>0.71145038167938934</v>
      </c>
      <c r="Z249" s="27">
        <v>0.19694656488549619</v>
      </c>
      <c r="AA249" s="27">
        <v>9.0076335877862596E-2</v>
      </c>
      <c r="AB249" s="27">
        <v>1.5267175572519084E-3</v>
      </c>
      <c r="AC249" s="25">
        <v>23.279389312977099</v>
      </c>
      <c r="AD249" s="23">
        <f t="shared" si="27"/>
        <v>0.81679389312977102</v>
      </c>
    </row>
    <row r="250" spans="1:30" x14ac:dyDescent="0.25">
      <c r="A250" s="22">
        <v>41</v>
      </c>
      <c r="B250" s="22" t="s">
        <v>243</v>
      </c>
      <c r="C250" s="22" t="s">
        <v>244</v>
      </c>
      <c r="D250" s="22">
        <v>1</v>
      </c>
      <c r="E250" s="22">
        <v>231</v>
      </c>
      <c r="F250" s="22">
        <v>186</v>
      </c>
      <c r="G250" s="22">
        <v>1</v>
      </c>
      <c r="H250" s="22">
        <v>21</v>
      </c>
      <c r="I250" s="22">
        <v>2</v>
      </c>
      <c r="J250" s="22">
        <v>16</v>
      </c>
      <c r="K250" s="22">
        <v>226</v>
      </c>
      <c r="L250" s="22">
        <v>5</v>
      </c>
      <c r="M250" s="22">
        <f t="shared" si="21"/>
        <v>231</v>
      </c>
      <c r="N250" s="22">
        <v>0</v>
      </c>
      <c r="O250" s="23">
        <f t="shared" si="22"/>
        <v>0.80519480519480524</v>
      </c>
      <c r="P250" s="23">
        <f t="shared" si="23"/>
        <v>6.9264069264069264E-2</v>
      </c>
      <c r="Q250" s="23">
        <f t="shared" si="24"/>
        <v>9.0909090909090912E-2</v>
      </c>
      <c r="R250" s="23">
        <f t="shared" si="25"/>
        <v>8.658008658008658E-3</v>
      </c>
      <c r="S250" s="23">
        <f t="shared" si="26"/>
        <v>4.329004329004329E-3</v>
      </c>
      <c r="T250" s="24">
        <v>71</v>
      </c>
      <c r="U250" s="24">
        <v>255</v>
      </c>
      <c r="V250" s="24">
        <v>117</v>
      </c>
      <c r="W250" s="24">
        <v>7</v>
      </c>
      <c r="X250" s="24">
        <v>450</v>
      </c>
      <c r="Y250" s="27">
        <v>0.15777777777777777</v>
      </c>
      <c r="Z250" s="27">
        <v>0.56666666666666665</v>
      </c>
      <c r="AA250" s="27">
        <v>0.26</v>
      </c>
      <c r="AB250" s="27">
        <v>1.5555555555555555E-2</v>
      </c>
      <c r="AC250" s="25">
        <v>75.75555555555556</v>
      </c>
      <c r="AD250" s="23">
        <f t="shared" si="27"/>
        <v>0.51333333333333331</v>
      </c>
    </row>
    <row r="251" spans="1:30" x14ac:dyDescent="0.25">
      <c r="A251" s="22"/>
      <c r="B251" s="22"/>
      <c r="C251" s="22"/>
      <c r="D251" s="22">
        <v>2</v>
      </c>
      <c r="E251" s="22">
        <v>323</v>
      </c>
      <c r="F251" s="22">
        <v>246</v>
      </c>
      <c r="G251" s="22">
        <v>1</v>
      </c>
      <c r="H251" s="22">
        <v>28</v>
      </c>
      <c r="I251" s="22">
        <v>5</v>
      </c>
      <c r="J251" s="22">
        <v>40</v>
      </c>
      <c r="K251" s="22">
        <v>320</v>
      </c>
      <c r="L251" s="22">
        <v>3</v>
      </c>
      <c r="M251" s="22">
        <f t="shared" si="21"/>
        <v>323</v>
      </c>
      <c r="N251" s="22">
        <v>0</v>
      </c>
      <c r="O251" s="23">
        <f t="shared" si="22"/>
        <v>0.76160990712074306</v>
      </c>
      <c r="P251" s="23">
        <f t="shared" si="23"/>
        <v>0.1238390092879257</v>
      </c>
      <c r="Q251" s="23">
        <f t="shared" si="24"/>
        <v>8.6687306501547989E-2</v>
      </c>
      <c r="R251" s="23">
        <f t="shared" si="25"/>
        <v>1.5479876160990712E-2</v>
      </c>
      <c r="S251" s="23">
        <f t="shared" si="26"/>
        <v>3.0959752321981426E-3</v>
      </c>
      <c r="T251" s="24">
        <v>111</v>
      </c>
      <c r="U251" s="24">
        <v>237</v>
      </c>
      <c r="V251" s="24">
        <v>96</v>
      </c>
      <c r="W251" s="24">
        <v>6</v>
      </c>
      <c r="X251" s="24">
        <v>450</v>
      </c>
      <c r="Y251" s="27">
        <v>0.24666666666666667</v>
      </c>
      <c r="Z251" s="27">
        <v>0.52666666666666662</v>
      </c>
      <c r="AA251" s="27">
        <v>0.21333333333333335</v>
      </c>
      <c r="AB251" s="27">
        <v>1.3333333333333334E-2</v>
      </c>
      <c r="AC251" s="25">
        <v>62.104444444444447</v>
      </c>
      <c r="AD251" s="23">
        <f t="shared" si="27"/>
        <v>0.71777777777777774</v>
      </c>
    </row>
    <row r="252" spans="1:30" x14ac:dyDescent="0.25">
      <c r="A252" s="22"/>
      <c r="B252" s="22"/>
      <c r="C252" s="22"/>
      <c r="D252" s="22">
        <v>3</v>
      </c>
      <c r="E252" s="22">
        <v>316</v>
      </c>
      <c r="F252" s="22">
        <v>234</v>
      </c>
      <c r="G252" s="22">
        <v>1</v>
      </c>
      <c r="H252" s="22">
        <v>23</v>
      </c>
      <c r="I252" s="22">
        <v>1</v>
      </c>
      <c r="J252" s="22">
        <v>57</v>
      </c>
      <c r="K252" s="22">
        <v>316</v>
      </c>
      <c r="L252" s="22">
        <v>0</v>
      </c>
      <c r="M252" s="22">
        <f t="shared" si="21"/>
        <v>316</v>
      </c>
      <c r="N252" s="22">
        <v>0</v>
      </c>
      <c r="O252" s="23">
        <f t="shared" si="22"/>
        <v>0.740506329113924</v>
      </c>
      <c r="P252" s="23">
        <f t="shared" si="23"/>
        <v>0.18037974683544303</v>
      </c>
      <c r="Q252" s="23">
        <f t="shared" si="24"/>
        <v>7.2784810126582278E-2</v>
      </c>
      <c r="R252" s="23">
        <f t="shared" si="25"/>
        <v>3.1645569620253164E-3</v>
      </c>
      <c r="S252" s="23">
        <f t="shared" si="26"/>
        <v>3.1645569620253164E-3</v>
      </c>
      <c r="T252" s="24">
        <v>129</v>
      </c>
      <c r="U252" s="24">
        <v>244</v>
      </c>
      <c r="V252" s="24">
        <v>99</v>
      </c>
      <c r="W252" s="24">
        <v>9</v>
      </c>
      <c r="X252" s="24">
        <v>481</v>
      </c>
      <c r="Y252" s="27">
        <v>0.26819126819126821</v>
      </c>
      <c r="Z252" s="27">
        <v>0.5072765072765073</v>
      </c>
      <c r="AA252" s="27">
        <v>0.20582120582120583</v>
      </c>
      <c r="AB252" s="27">
        <v>1.8711018711018712E-2</v>
      </c>
      <c r="AC252" s="25">
        <v>45.634095634095637</v>
      </c>
      <c r="AD252" s="23">
        <f t="shared" si="27"/>
        <v>0.656964656964657</v>
      </c>
    </row>
    <row r="253" spans="1:30" x14ac:dyDescent="0.25">
      <c r="A253" s="22"/>
      <c r="B253" s="22"/>
      <c r="C253" s="22"/>
      <c r="D253" s="22">
        <v>4</v>
      </c>
      <c r="E253" s="22">
        <v>323</v>
      </c>
      <c r="F253" s="22">
        <v>247</v>
      </c>
      <c r="G253" s="22">
        <v>0</v>
      </c>
      <c r="H253" s="22">
        <v>28</v>
      </c>
      <c r="I253" s="22">
        <v>2</v>
      </c>
      <c r="J253" s="22">
        <v>46</v>
      </c>
      <c r="K253" s="22">
        <v>323</v>
      </c>
      <c r="L253" s="22">
        <v>0</v>
      </c>
      <c r="M253" s="22">
        <f t="shared" si="21"/>
        <v>323</v>
      </c>
      <c r="N253" s="22">
        <v>0</v>
      </c>
      <c r="O253" s="23">
        <f t="shared" si="22"/>
        <v>0.76470588235294112</v>
      </c>
      <c r="P253" s="23">
        <f t="shared" si="23"/>
        <v>0.14241486068111456</v>
      </c>
      <c r="Q253" s="23">
        <f t="shared" si="24"/>
        <v>8.6687306501547989E-2</v>
      </c>
      <c r="R253" s="23">
        <f t="shared" si="25"/>
        <v>6.1919504643962852E-3</v>
      </c>
      <c r="S253" s="23">
        <f t="shared" si="26"/>
        <v>0</v>
      </c>
      <c r="T253" s="24">
        <v>171</v>
      </c>
      <c r="U253" s="24">
        <v>196</v>
      </c>
      <c r="V253" s="24">
        <v>109</v>
      </c>
      <c r="W253" s="24">
        <v>5</v>
      </c>
      <c r="X253" s="24">
        <v>481</v>
      </c>
      <c r="Y253" s="27">
        <v>0.35550935550935553</v>
      </c>
      <c r="Z253" s="27">
        <v>0.40748440748440751</v>
      </c>
      <c r="AA253" s="27">
        <v>0.22661122661122662</v>
      </c>
      <c r="AB253" s="27">
        <v>1.0395010395010396E-2</v>
      </c>
      <c r="AC253" s="25">
        <v>27.405405405405407</v>
      </c>
      <c r="AD253" s="23">
        <f t="shared" si="27"/>
        <v>0.6715176715176715</v>
      </c>
    </row>
    <row r="254" spans="1:30" x14ac:dyDescent="0.25">
      <c r="A254" s="22">
        <v>42</v>
      </c>
      <c r="B254" s="22" t="s">
        <v>245</v>
      </c>
      <c r="C254" s="22" t="s">
        <v>246</v>
      </c>
      <c r="D254" s="22">
        <v>1</v>
      </c>
      <c r="E254" s="22">
        <v>306</v>
      </c>
      <c r="F254" s="22">
        <v>90</v>
      </c>
      <c r="G254" s="22">
        <v>0</v>
      </c>
      <c r="H254" s="22">
        <v>149</v>
      </c>
      <c r="I254" s="22">
        <v>6</v>
      </c>
      <c r="J254" s="22">
        <v>61</v>
      </c>
      <c r="K254" s="22">
        <v>306</v>
      </c>
      <c r="L254" s="22">
        <v>0</v>
      </c>
      <c r="M254" s="22">
        <f t="shared" si="21"/>
        <v>306</v>
      </c>
      <c r="N254" s="22">
        <v>0</v>
      </c>
      <c r="O254" s="23">
        <f t="shared" si="22"/>
        <v>0.29411764705882354</v>
      </c>
      <c r="P254" s="23">
        <f t="shared" si="23"/>
        <v>0.19934640522875818</v>
      </c>
      <c r="Q254" s="23">
        <f t="shared" si="24"/>
        <v>0.48692810457516339</v>
      </c>
      <c r="R254" s="23">
        <f t="shared" si="25"/>
        <v>1.9607843137254902E-2</v>
      </c>
      <c r="S254" s="23">
        <f t="shared" si="26"/>
        <v>0</v>
      </c>
      <c r="T254" s="24">
        <v>397</v>
      </c>
      <c r="U254" s="24">
        <v>33</v>
      </c>
      <c r="V254" s="24">
        <v>18</v>
      </c>
      <c r="W254" s="24">
        <v>2</v>
      </c>
      <c r="X254" s="24">
        <v>450</v>
      </c>
      <c r="Y254" s="27">
        <v>0.88222222222222224</v>
      </c>
      <c r="Z254" s="27">
        <v>7.3333333333333334E-2</v>
      </c>
      <c r="AA254" s="27">
        <v>0.04</v>
      </c>
      <c r="AB254" s="27">
        <v>4.4444444444444444E-3</v>
      </c>
      <c r="AC254" s="25">
        <v>73.568888888888893</v>
      </c>
      <c r="AD254" s="23">
        <f t="shared" si="27"/>
        <v>0.68</v>
      </c>
    </row>
    <row r="255" spans="1:30" x14ac:dyDescent="0.25">
      <c r="A255" s="22"/>
      <c r="B255" s="22"/>
      <c r="C255" s="22"/>
      <c r="D255" s="22">
        <v>2</v>
      </c>
      <c r="E255" s="22">
        <v>379</v>
      </c>
      <c r="F255" s="22">
        <v>99</v>
      </c>
      <c r="G255" s="22">
        <v>3</v>
      </c>
      <c r="H255" s="22">
        <v>145</v>
      </c>
      <c r="I255" s="22">
        <v>13</v>
      </c>
      <c r="J255" s="22">
        <v>114</v>
      </c>
      <c r="K255" s="22">
        <v>374</v>
      </c>
      <c r="L255" s="22">
        <v>5</v>
      </c>
      <c r="M255" s="22">
        <f t="shared" si="21"/>
        <v>379</v>
      </c>
      <c r="N255" s="22">
        <v>0</v>
      </c>
      <c r="O255" s="23">
        <f t="shared" si="22"/>
        <v>0.26121372031662271</v>
      </c>
      <c r="P255" s="23">
        <f t="shared" si="23"/>
        <v>0.30079155672823221</v>
      </c>
      <c r="Q255" s="23">
        <f t="shared" si="24"/>
        <v>0.38258575197889183</v>
      </c>
      <c r="R255" s="23">
        <f t="shared" si="25"/>
        <v>3.430079155672823E-2</v>
      </c>
      <c r="S255" s="23">
        <f t="shared" si="26"/>
        <v>7.9155672823219003E-3</v>
      </c>
      <c r="T255" s="24">
        <v>416</v>
      </c>
      <c r="U255" s="24">
        <v>18</v>
      </c>
      <c r="V255" s="24">
        <v>11</v>
      </c>
      <c r="W255" s="24">
        <v>5</v>
      </c>
      <c r="X255" s="24">
        <v>450</v>
      </c>
      <c r="Y255" s="27">
        <v>0.9244444444444444</v>
      </c>
      <c r="Z255" s="27">
        <v>0.04</v>
      </c>
      <c r="AA255" s="27">
        <v>2.4444444444444446E-2</v>
      </c>
      <c r="AB255" s="27">
        <v>1.1111111111111112E-2</v>
      </c>
      <c r="AC255" s="25">
        <v>60.842222222222219</v>
      </c>
      <c r="AD255" s="23">
        <f t="shared" si="27"/>
        <v>0.84222222222222221</v>
      </c>
    </row>
    <row r="256" spans="1:30" x14ac:dyDescent="0.25">
      <c r="A256" s="22"/>
      <c r="B256" s="22"/>
      <c r="C256" s="22"/>
      <c r="D256" s="22">
        <v>3</v>
      </c>
      <c r="E256" s="22">
        <v>485</v>
      </c>
      <c r="F256" s="22">
        <v>110</v>
      </c>
      <c r="G256" s="22">
        <v>0</v>
      </c>
      <c r="H256" s="22">
        <v>144</v>
      </c>
      <c r="I256" s="22">
        <v>13</v>
      </c>
      <c r="J256" s="22">
        <v>215</v>
      </c>
      <c r="K256" s="22">
        <v>482</v>
      </c>
      <c r="L256" s="22">
        <v>3</v>
      </c>
      <c r="M256" s="22">
        <f t="shared" si="21"/>
        <v>485</v>
      </c>
      <c r="N256" s="22">
        <v>0</v>
      </c>
      <c r="O256" s="23">
        <f t="shared" si="22"/>
        <v>0.22680412371134021</v>
      </c>
      <c r="P256" s="23">
        <f t="shared" si="23"/>
        <v>0.44329896907216493</v>
      </c>
      <c r="Q256" s="23">
        <f t="shared" si="24"/>
        <v>0.29690721649484536</v>
      </c>
      <c r="R256" s="23">
        <f t="shared" si="25"/>
        <v>2.6804123711340205E-2</v>
      </c>
      <c r="S256" s="23">
        <f t="shared" si="26"/>
        <v>0</v>
      </c>
      <c r="T256" s="24">
        <v>545</v>
      </c>
      <c r="U256" s="24">
        <v>17</v>
      </c>
      <c r="V256" s="24">
        <v>11</v>
      </c>
      <c r="W256" s="24">
        <v>6</v>
      </c>
      <c r="X256" s="24">
        <v>579</v>
      </c>
      <c r="Y256" s="27">
        <v>0.94127806563039729</v>
      </c>
      <c r="Z256" s="27">
        <v>2.9360967184801381E-2</v>
      </c>
      <c r="AA256" s="27">
        <v>1.8998272884283247E-2</v>
      </c>
      <c r="AB256" s="27">
        <v>1.0362694300518135E-2</v>
      </c>
      <c r="AC256" s="25">
        <v>47.611398963730572</v>
      </c>
      <c r="AD256" s="23">
        <f t="shared" si="27"/>
        <v>0.8376511226252159</v>
      </c>
    </row>
    <row r="257" spans="1:30" x14ac:dyDescent="0.25">
      <c r="A257" s="22"/>
      <c r="B257" s="22"/>
      <c r="C257" s="22"/>
      <c r="D257" s="22">
        <v>4</v>
      </c>
      <c r="E257" s="22">
        <v>474</v>
      </c>
      <c r="F257" s="22">
        <v>148</v>
      </c>
      <c r="G257" s="22">
        <v>1</v>
      </c>
      <c r="H257" s="22">
        <v>107</v>
      </c>
      <c r="I257" s="22">
        <v>4</v>
      </c>
      <c r="J257" s="22">
        <v>212</v>
      </c>
      <c r="K257" s="22">
        <v>472</v>
      </c>
      <c r="L257" s="22">
        <v>2</v>
      </c>
      <c r="M257" s="22">
        <f t="shared" si="21"/>
        <v>474</v>
      </c>
      <c r="N257" s="22">
        <v>0</v>
      </c>
      <c r="O257" s="23">
        <f t="shared" si="22"/>
        <v>0.31223628691983124</v>
      </c>
      <c r="P257" s="23">
        <f t="shared" si="23"/>
        <v>0.4472573839662447</v>
      </c>
      <c r="Q257" s="23">
        <f t="shared" si="24"/>
        <v>0.22573839662447256</v>
      </c>
      <c r="R257" s="23">
        <f t="shared" si="25"/>
        <v>8.4388185654008432E-3</v>
      </c>
      <c r="S257" s="23">
        <f t="shared" si="26"/>
        <v>2.1097046413502108E-3</v>
      </c>
      <c r="T257" s="24">
        <v>557</v>
      </c>
      <c r="U257" s="24">
        <v>16</v>
      </c>
      <c r="V257" s="24">
        <v>5</v>
      </c>
      <c r="W257" s="24">
        <v>2</v>
      </c>
      <c r="X257" s="24">
        <v>580</v>
      </c>
      <c r="Y257" s="27">
        <v>0.96034482758620687</v>
      </c>
      <c r="Z257" s="27">
        <v>2.7586206896551724E-2</v>
      </c>
      <c r="AA257" s="27">
        <v>8.6206896551724137E-3</v>
      </c>
      <c r="AB257" s="27">
        <v>3.4482758620689655E-3</v>
      </c>
      <c r="AC257" s="25">
        <v>29.010344827586206</v>
      </c>
      <c r="AD257" s="23">
        <f t="shared" si="27"/>
        <v>0.8172413793103448</v>
      </c>
    </row>
    <row r="258" spans="1:30" x14ac:dyDescent="0.25">
      <c r="A258" s="22">
        <v>43</v>
      </c>
      <c r="B258" s="22" t="s">
        <v>247</v>
      </c>
      <c r="C258" s="22" t="s">
        <v>248</v>
      </c>
      <c r="D258" s="22">
        <v>1</v>
      </c>
      <c r="E258" s="22">
        <v>309</v>
      </c>
      <c r="F258" s="22">
        <v>72</v>
      </c>
      <c r="G258" s="22">
        <v>2</v>
      </c>
      <c r="H258" s="22">
        <v>136</v>
      </c>
      <c r="I258" s="22">
        <v>9</v>
      </c>
      <c r="J258" s="22">
        <v>87</v>
      </c>
      <c r="K258" s="22">
        <v>306</v>
      </c>
      <c r="L258" s="22">
        <v>3</v>
      </c>
      <c r="M258" s="22">
        <f t="shared" si="21"/>
        <v>309</v>
      </c>
      <c r="N258" s="22">
        <v>0</v>
      </c>
      <c r="O258" s="23">
        <f t="shared" si="22"/>
        <v>0.23300970873786409</v>
      </c>
      <c r="P258" s="23">
        <f t="shared" si="23"/>
        <v>0.28155339805825241</v>
      </c>
      <c r="Q258" s="23">
        <f t="shared" si="24"/>
        <v>0.44012944983818769</v>
      </c>
      <c r="R258" s="23">
        <f t="shared" si="25"/>
        <v>2.9126213592233011E-2</v>
      </c>
      <c r="S258" s="23">
        <f t="shared" si="26"/>
        <v>6.4724919093851136E-3</v>
      </c>
      <c r="T258" s="24">
        <v>434</v>
      </c>
      <c r="U258" s="24">
        <v>9</v>
      </c>
      <c r="V258" s="24">
        <v>5</v>
      </c>
      <c r="W258" s="24">
        <v>2</v>
      </c>
      <c r="X258" s="24">
        <v>450</v>
      </c>
      <c r="Y258" s="27">
        <v>0.96444444444444444</v>
      </c>
      <c r="Z258" s="27">
        <v>0.02</v>
      </c>
      <c r="AA258" s="27">
        <v>1.1111111111111112E-2</v>
      </c>
      <c r="AB258" s="27">
        <v>4.4444444444444444E-3</v>
      </c>
      <c r="AC258" s="25">
        <v>69.011111111111106</v>
      </c>
      <c r="AD258" s="23">
        <f t="shared" si="27"/>
        <v>0.68666666666666665</v>
      </c>
    </row>
    <row r="259" spans="1:30" x14ac:dyDescent="0.25">
      <c r="A259" s="22"/>
      <c r="B259" s="22"/>
      <c r="C259" s="22"/>
      <c r="D259" s="22">
        <v>2</v>
      </c>
      <c r="E259" s="22">
        <v>383</v>
      </c>
      <c r="F259" s="22">
        <v>102</v>
      </c>
      <c r="G259" s="22">
        <v>2</v>
      </c>
      <c r="H259" s="22">
        <v>138</v>
      </c>
      <c r="I259" s="22">
        <v>10</v>
      </c>
      <c r="J259" s="22">
        <v>128</v>
      </c>
      <c r="K259" s="22">
        <v>380</v>
      </c>
      <c r="L259" s="22">
        <v>3</v>
      </c>
      <c r="M259" s="22">
        <f t="shared" ref="M259:M289" si="28">L259+K259</f>
        <v>383</v>
      </c>
      <c r="N259" s="22">
        <v>0</v>
      </c>
      <c r="O259" s="23">
        <f t="shared" ref="O259:O289" si="29">F259/M259</f>
        <v>0.26631853785900783</v>
      </c>
      <c r="P259" s="23">
        <f t="shared" ref="P259:P289" si="30">J259/M259</f>
        <v>0.33420365535248042</v>
      </c>
      <c r="Q259" s="23">
        <f t="shared" ref="Q259:Q289" si="31">H259/M259</f>
        <v>0.36031331592689297</v>
      </c>
      <c r="R259" s="23">
        <f t="shared" ref="R259:R289" si="32">I259/M259</f>
        <v>2.6109660574412531E-2</v>
      </c>
      <c r="S259" s="23">
        <f t="shared" ref="S259:S289" si="33">G259/M259</f>
        <v>5.2219321148825066E-3</v>
      </c>
      <c r="T259" s="24">
        <v>441</v>
      </c>
      <c r="U259" s="24">
        <v>6</v>
      </c>
      <c r="V259" s="24">
        <v>3</v>
      </c>
      <c r="W259" s="24">
        <v>0</v>
      </c>
      <c r="X259" s="24">
        <v>450</v>
      </c>
      <c r="Y259" s="27">
        <v>0.98</v>
      </c>
      <c r="Z259" s="27">
        <v>1.3333333333333334E-2</v>
      </c>
      <c r="AA259" s="27">
        <v>6.6666666666666671E-3</v>
      </c>
      <c r="AB259" s="27">
        <v>0</v>
      </c>
      <c r="AC259" s="25">
        <v>62.026666666666664</v>
      </c>
      <c r="AD259" s="23">
        <f t="shared" ref="AD259:AD291" si="34">M259/X259</f>
        <v>0.85111111111111115</v>
      </c>
    </row>
    <row r="260" spans="1:30" x14ac:dyDescent="0.25">
      <c r="A260" s="22"/>
      <c r="B260" s="22"/>
      <c r="C260" s="22"/>
      <c r="D260" s="22">
        <v>3</v>
      </c>
      <c r="E260" s="22">
        <v>561</v>
      </c>
      <c r="F260" s="22">
        <v>131</v>
      </c>
      <c r="G260" s="22">
        <v>3</v>
      </c>
      <c r="H260" s="22">
        <v>162</v>
      </c>
      <c r="I260" s="22">
        <v>15</v>
      </c>
      <c r="J260" s="22">
        <v>249</v>
      </c>
      <c r="K260" s="22">
        <v>560</v>
      </c>
      <c r="L260" s="22">
        <v>1</v>
      </c>
      <c r="M260" s="22">
        <f t="shared" si="28"/>
        <v>561</v>
      </c>
      <c r="N260" s="22">
        <v>0</v>
      </c>
      <c r="O260" s="23">
        <f t="shared" si="29"/>
        <v>0.23351158645276293</v>
      </c>
      <c r="P260" s="23">
        <f t="shared" si="30"/>
        <v>0.44385026737967914</v>
      </c>
      <c r="Q260" s="23">
        <f t="shared" si="31"/>
        <v>0.28877005347593582</v>
      </c>
      <c r="R260" s="23">
        <f t="shared" si="32"/>
        <v>2.6737967914438502E-2</v>
      </c>
      <c r="S260" s="23">
        <f t="shared" si="33"/>
        <v>5.3475935828877002E-3</v>
      </c>
      <c r="T260" s="24">
        <v>668</v>
      </c>
      <c r="U260" s="24">
        <v>5</v>
      </c>
      <c r="V260" s="24">
        <v>9</v>
      </c>
      <c r="W260" s="24">
        <v>5</v>
      </c>
      <c r="X260" s="24">
        <v>687</v>
      </c>
      <c r="Y260" s="27">
        <v>0.97234352256186318</v>
      </c>
      <c r="Z260" s="27">
        <v>7.2780203784570596E-3</v>
      </c>
      <c r="AA260" s="27">
        <v>1.3100436681222707E-2</v>
      </c>
      <c r="AB260" s="27">
        <v>7.2780203784570596E-3</v>
      </c>
      <c r="AC260" s="25">
        <v>51.786026200873366</v>
      </c>
      <c r="AD260" s="23">
        <f t="shared" si="34"/>
        <v>0.81659388646288211</v>
      </c>
    </row>
    <row r="261" spans="1:30" x14ac:dyDescent="0.25">
      <c r="A261" s="22"/>
      <c r="B261" s="22"/>
      <c r="C261" s="22"/>
      <c r="D261" s="22">
        <v>4</v>
      </c>
      <c r="E261" s="22">
        <v>530</v>
      </c>
      <c r="F261" s="22">
        <v>138</v>
      </c>
      <c r="G261" s="22">
        <v>2</v>
      </c>
      <c r="H261" s="22">
        <v>124</v>
      </c>
      <c r="I261" s="22">
        <v>11</v>
      </c>
      <c r="J261" s="22">
        <v>253</v>
      </c>
      <c r="K261" s="22">
        <v>528</v>
      </c>
      <c r="L261" s="22">
        <v>2</v>
      </c>
      <c r="M261" s="22">
        <f t="shared" si="28"/>
        <v>530</v>
      </c>
      <c r="N261" s="22">
        <v>0</v>
      </c>
      <c r="O261" s="23">
        <f t="shared" si="29"/>
        <v>0.26037735849056604</v>
      </c>
      <c r="P261" s="23">
        <f t="shared" si="30"/>
        <v>0.47735849056603774</v>
      </c>
      <c r="Q261" s="23">
        <f t="shared" si="31"/>
        <v>0.2339622641509434</v>
      </c>
      <c r="R261" s="23">
        <f t="shared" si="32"/>
        <v>2.0754716981132074E-2</v>
      </c>
      <c r="S261" s="23">
        <f t="shared" si="33"/>
        <v>3.7735849056603774E-3</v>
      </c>
      <c r="T261" s="24">
        <v>681</v>
      </c>
      <c r="U261" s="24">
        <v>0</v>
      </c>
      <c r="V261" s="24">
        <v>3</v>
      </c>
      <c r="W261" s="24">
        <v>3</v>
      </c>
      <c r="X261" s="24">
        <v>687</v>
      </c>
      <c r="Y261" s="27">
        <v>0.99126637554585151</v>
      </c>
      <c r="Z261" s="27">
        <v>0</v>
      </c>
      <c r="AA261" s="27">
        <v>4.3668122270742356E-3</v>
      </c>
      <c r="AB261" s="27">
        <v>4.3668122270742356E-3</v>
      </c>
      <c r="AC261" s="25">
        <v>41.262008733624455</v>
      </c>
      <c r="AD261" s="23">
        <f t="shared" si="34"/>
        <v>0.77147016011644831</v>
      </c>
    </row>
    <row r="262" spans="1:30" x14ac:dyDescent="0.25">
      <c r="A262" s="22"/>
      <c r="B262" s="22"/>
      <c r="C262" s="22"/>
      <c r="D262" s="22">
        <v>5</v>
      </c>
      <c r="E262" s="22">
        <v>543</v>
      </c>
      <c r="F262" s="22">
        <v>149</v>
      </c>
      <c r="G262" s="22">
        <v>2</v>
      </c>
      <c r="H262" s="22">
        <v>119</v>
      </c>
      <c r="I262" s="22">
        <v>12</v>
      </c>
      <c r="J262" s="22">
        <v>259</v>
      </c>
      <c r="K262" s="22">
        <v>541</v>
      </c>
      <c r="L262" s="22">
        <v>2</v>
      </c>
      <c r="M262" s="22">
        <f t="shared" si="28"/>
        <v>543</v>
      </c>
      <c r="N262" s="22">
        <v>0</v>
      </c>
      <c r="O262" s="23">
        <f t="shared" si="29"/>
        <v>0.27440147329650094</v>
      </c>
      <c r="P262" s="23">
        <f t="shared" si="30"/>
        <v>0.47697974217311234</v>
      </c>
      <c r="Q262" s="23">
        <f t="shared" si="31"/>
        <v>0.21915285451197053</v>
      </c>
      <c r="R262" s="23">
        <f t="shared" si="32"/>
        <v>2.2099447513812154E-2</v>
      </c>
      <c r="S262" s="23">
        <f t="shared" si="33"/>
        <v>3.6832412523020259E-3</v>
      </c>
      <c r="T262" s="24">
        <v>682</v>
      </c>
      <c r="U262" s="24">
        <v>1</v>
      </c>
      <c r="V262" s="24">
        <v>2</v>
      </c>
      <c r="W262" s="24">
        <v>2</v>
      </c>
      <c r="X262" s="24">
        <v>687</v>
      </c>
      <c r="Y262" s="27">
        <v>0.99272197962154296</v>
      </c>
      <c r="Z262" s="27">
        <v>1.455604075691412E-3</v>
      </c>
      <c r="AA262" s="27">
        <v>2.911208151382824E-3</v>
      </c>
      <c r="AB262" s="27">
        <v>2.911208151382824E-3</v>
      </c>
      <c r="AC262" s="25">
        <v>34.113537117903931</v>
      </c>
      <c r="AD262" s="23">
        <f t="shared" si="34"/>
        <v>0.79039301310043664</v>
      </c>
    </row>
    <row r="263" spans="1:30" x14ac:dyDescent="0.25">
      <c r="A263" s="22"/>
      <c r="B263" s="22"/>
      <c r="C263" s="22"/>
      <c r="D263" s="22">
        <v>6</v>
      </c>
      <c r="E263" s="22">
        <v>544</v>
      </c>
      <c r="F263" s="22">
        <v>213</v>
      </c>
      <c r="G263" s="22">
        <v>4</v>
      </c>
      <c r="H263" s="22">
        <v>98</v>
      </c>
      <c r="I263" s="22">
        <v>8</v>
      </c>
      <c r="J263" s="22">
        <v>221</v>
      </c>
      <c r="K263" s="22">
        <v>544</v>
      </c>
      <c r="L263" s="22">
        <v>0</v>
      </c>
      <c r="M263" s="22">
        <f t="shared" si="28"/>
        <v>544</v>
      </c>
      <c r="N263" s="22">
        <v>0</v>
      </c>
      <c r="O263" s="23">
        <f t="shared" si="29"/>
        <v>0.39154411764705882</v>
      </c>
      <c r="P263" s="23">
        <f t="shared" si="30"/>
        <v>0.40625</v>
      </c>
      <c r="Q263" s="23">
        <f t="shared" si="31"/>
        <v>0.18014705882352941</v>
      </c>
      <c r="R263" s="23">
        <f t="shared" si="32"/>
        <v>1.4705882352941176E-2</v>
      </c>
      <c r="S263" s="23">
        <f t="shared" si="33"/>
        <v>7.3529411764705881E-3</v>
      </c>
      <c r="T263" s="24">
        <v>679</v>
      </c>
      <c r="U263" s="24">
        <v>4</v>
      </c>
      <c r="V263" s="24">
        <v>1</v>
      </c>
      <c r="W263" s="24">
        <v>3</v>
      </c>
      <c r="X263" s="24">
        <v>687</v>
      </c>
      <c r="Y263" s="27">
        <v>0.98835516739446871</v>
      </c>
      <c r="Z263" s="27">
        <v>5.822416302765648E-3</v>
      </c>
      <c r="AA263" s="27">
        <v>1.455604075691412E-3</v>
      </c>
      <c r="AB263" s="27">
        <v>4.3668122270742356E-3</v>
      </c>
      <c r="AC263" s="25">
        <v>27.895196506550217</v>
      </c>
      <c r="AD263" s="23">
        <f t="shared" si="34"/>
        <v>0.79184861717612809</v>
      </c>
    </row>
    <row r="264" spans="1:30" x14ac:dyDescent="0.25">
      <c r="A264" s="22"/>
      <c r="B264" s="22"/>
      <c r="C264" s="22"/>
      <c r="D264" s="22">
        <v>7</v>
      </c>
      <c r="E264" s="22">
        <v>577</v>
      </c>
      <c r="F264" s="22">
        <v>191</v>
      </c>
      <c r="G264" s="22">
        <v>1</v>
      </c>
      <c r="H264" s="22">
        <v>101</v>
      </c>
      <c r="I264" s="22">
        <v>11</v>
      </c>
      <c r="J264" s="22">
        <v>271</v>
      </c>
      <c r="K264" s="22">
        <v>575</v>
      </c>
      <c r="L264" s="22">
        <v>2</v>
      </c>
      <c r="M264" s="22">
        <f t="shared" si="28"/>
        <v>577</v>
      </c>
      <c r="N264" s="22">
        <v>0</v>
      </c>
      <c r="O264" s="23">
        <f t="shared" si="29"/>
        <v>0.33102253032928941</v>
      </c>
      <c r="P264" s="23">
        <f t="shared" si="30"/>
        <v>0.46967071057192372</v>
      </c>
      <c r="Q264" s="23">
        <f t="shared" si="31"/>
        <v>0.17504332755632582</v>
      </c>
      <c r="R264" s="23">
        <f t="shared" si="32"/>
        <v>1.9064124783362217E-2</v>
      </c>
      <c r="S264" s="23">
        <f t="shared" si="33"/>
        <v>1.7331022530329288E-3</v>
      </c>
      <c r="T264" s="24">
        <v>684</v>
      </c>
      <c r="U264" s="24">
        <v>2</v>
      </c>
      <c r="V264" s="24">
        <v>2</v>
      </c>
      <c r="W264" s="24">
        <v>0</v>
      </c>
      <c r="X264" s="24">
        <v>688</v>
      </c>
      <c r="Y264" s="27">
        <v>0.9941860465116279</v>
      </c>
      <c r="Z264" s="27">
        <v>2.9069767441860465E-3</v>
      </c>
      <c r="AA264" s="27">
        <v>2.9069767441860465E-3</v>
      </c>
      <c r="AB264" s="27">
        <v>0</v>
      </c>
      <c r="AC264" s="25">
        <v>21.396802325581394</v>
      </c>
      <c r="AD264" s="23">
        <f t="shared" si="34"/>
        <v>0.83866279069767447</v>
      </c>
    </row>
    <row r="265" spans="1:30" x14ac:dyDescent="0.25">
      <c r="A265" s="22">
        <v>44</v>
      </c>
      <c r="B265" s="22" t="s">
        <v>249</v>
      </c>
      <c r="C265" s="22" t="s">
        <v>250</v>
      </c>
      <c r="D265" s="22">
        <v>1</v>
      </c>
      <c r="E265" s="22">
        <v>346</v>
      </c>
      <c r="F265" s="22">
        <v>75</v>
      </c>
      <c r="G265" s="22">
        <v>0</v>
      </c>
      <c r="H265" s="22">
        <v>142</v>
      </c>
      <c r="I265" s="22">
        <v>12</v>
      </c>
      <c r="J265" s="22">
        <v>114</v>
      </c>
      <c r="K265" s="22">
        <v>343</v>
      </c>
      <c r="L265" s="22">
        <v>3</v>
      </c>
      <c r="M265" s="22">
        <f t="shared" si="28"/>
        <v>346</v>
      </c>
      <c r="N265" s="22">
        <v>0</v>
      </c>
      <c r="O265" s="23">
        <f t="shared" si="29"/>
        <v>0.21676300578034682</v>
      </c>
      <c r="P265" s="23">
        <f t="shared" si="30"/>
        <v>0.32947976878612717</v>
      </c>
      <c r="Q265" s="23">
        <f t="shared" si="31"/>
        <v>0.41040462427745666</v>
      </c>
      <c r="R265" s="23">
        <f t="shared" si="32"/>
        <v>3.4682080924855488E-2</v>
      </c>
      <c r="S265" s="23">
        <f t="shared" si="33"/>
        <v>0</v>
      </c>
      <c r="T265" s="24">
        <v>425</v>
      </c>
      <c r="U265" s="24">
        <v>3</v>
      </c>
      <c r="V265" s="24">
        <v>15</v>
      </c>
      <c r="W265" s="24">
        <v>7</v>
      </c>
      <c r="X265" s="24">
        <v>450</v>
      </c>
      <c r="Y265" s="27">
        <v>0.94444444444444442</v>
      </c>
      <c r="Z265" s="27">
        <v>6.6666666666666671E-3</v>
      </c>
      <c r="AA265" s="27">
        <v>3.3333333333333333E-2</v>
      </c>
      <c r="AB265" s="27">
        <v>1.5555555555555555E-2</v>
      </c>
      <c r="AC265" s="25">
        <v>64.348888888888894</v>
      </c>
      <c r="AD265" s="23">
        <f t="shared" si="34"/>
        <v>0.76888888888888884</v>
      </c>
    </row>
    <row r="266" spans="1:30" x14ac:dyDescent="0.25">
      <c r="A266" s="22"/>
      <c r="B266" s="22"/>
      <c r="C266" s="22"/>
      <c r="D266" s="22">
        <v>2</v>
      </c>
      <c r="E266" s="22">
        <v>439</v>
      </c>
      <c r="F266" s="22">
        <v>105</v>
      </c>
      <c r="G266" s="22">
        <v>1</v>
      </c>
      <c r="H266" s="22">
        <v>141</v>
      </c>
      <c r="I266" s="22">
        <v>11</v>
      </c>
      <c r="J266" s="22">
        <v>181</v>
      </c>
      <c r="K266" s="22">
        <v>439</v>
      </c>
      <c r="L266" s="22">
        <v>0</v>
      </c>
      <c r="M266" s="22">
        <f t="shared" si="28"/>
        <v>439</v>
      </c>
      <c r="N266" s="22">
        <v>0</v>
      </c>
      <c r="O266" s="23">
        <f t="shared" si="29"/>
        <v>0.23917995444191345</v>
      </c>
      <c r="P266" s="23">
        <f t="shared" si="30"/>
        <v>0.41230068337129838</v>
      </c>
      <c r="Q266" s="23">
        <f t="shared" si="31"/>
        <v>0.32118451025056949</v>
      </c>
      <c r="R266" s="23">
        <f t="shared" si="32"/>
        <v>2.5056947608200455E-2</v>
      </c>
      <c r="S266" s="23">
        <f t="shared" si="33"/>
        <v>2.2779043280182231E-3</v>
      </c>
      <c r="T266" s="24">
        <v>513</v>
      </c>
      <c r="U266" s="24">
        <v>17</v>
      </c>
      <c r="V266" s="24">
        <v>14</v>
      </c>
      <c r="W266" s="24">
        <v>2</v>
      </c>
      <c r="X266" s="24">
        <v>546</v>
      </c>
      <c r="Y266" s="27">
        <v>0.93956043956043955</v>
      </c>
      <c r="Z266" s="27">
        <v>3.1135531135531136E-2</v>
      </c>
      <c r="AA266" s="27">
        <v>2.564102564102564E-2</v>
      </c>
      <c r="AB266" s="27">
        <v>3.663003663003663E-3</v>
      </c>
      <c r="AC266" s="25">
        <v>47.31318681318681</v>
      </c>
      <c r="AD266" s="23">
        <f t="shared" si="34"/>
        <v>0.80402930402930406</v>
      </c>
    </row>
    <row r="267" spans="1:30" x14ac:dyDescent="0.25">
      <c r="A267" s="22"/>
      <c r="B267" s="22"/>
      <c r="C267" s="22"/>
      <c r="D267" s="22">
        <v>3</v>
      </c>
      <c r="E267" s="22">
        <v>428</v>
      </c>
      <c r="F267" s="22">
        <v>134</v>
      </c>
      <c r="G267" s="22">
        <v>3</v>
      </c>
      <c r="H267" s="22">
        <v>98</v>
      </c>
      <c r="I267" s="22">
        <v>6</v>
      </c>
      <c r="J267" s="22">
        <v>186</v>
      </c>
      <c r="K267" s="22">
        <v>427</v>
      </c>
      <c r="L267" s="22">
        <v>1</v>
      </c>
      <c r="M267" s="22">
        <f t="shared" si="28"/>
        <v>428</v>
      </c>
      <c r="N267" s="22">
        <v>0</v>
      </c>
      <c r="O267" s="23">
        <f t="shared" si="29"/>
        <v>0.31308411214953269</v>
      </c>
      <c r="P267" s="23">
        <f t="shared" si="30"/>
        <v>0.43457943925233644</v>
      </c>
      <c r="Q267" s="23">
        <f t="shared" si="31"/>
        <v>0.22897196261682243</v>
      </c>
      <c r="R267" s="23">
        <f t="shared" si="32"/>
        <v>1.4018691588785047E-2</v>
      </c>
      <c r="S267" s="23">
        <f t="shared" si="33"/>
        <v>7.0093457943925233E-3</v>
      </c>
      <c r="T267" s="24">
        <v>507</v>
      </c>
      <c r="U267" s="24">
        <v>29</v>
      </c>
      <c r="V267" s="24">
        <v>7</v>
      </c>
      <c r="W267" s="24">
        <v>3</v>
      </c>
      <c r="X267" s="24">
        <v>546</v>
      </c>
      <c r="Y267" s="27">
        <v>0.9285714285714286</v>
      </c>
      <c r="Z267" s="27">
        <v>5.3113553113553112E-2</v>
      </c>
      <c r="AA267" s="27">
        <v>1.282051282051282E-2</v>
      </c>
      <c r="AB267" s="27">
        <v>5.4945054945054949E-3</v>
      </c>
      <c r="AC267" s="25">
        <v>33.734432234432234</v>
      </c>
      <c r="AD267" s="23">
        <f t="shared" si="34"/>
        <v>0.78388278388278387</v>
      </c>
    </row>
    <row r="268" spans="1:30" x14ac:dyDescent="0.25">
      <c r="A268" s="22"/>
      <c r="B268" s="22"/>
      <c r="C268" s="22"/>
      <c r="D268" s="22">
        <v>4</v>
      </c>
      <c r="E268" s="22">
        <v>438</v>
      </c>
      <c r="F268" s="22">
        <v>142</v>
      </c>
      <c r="G268" s="22">
        <v>2</v>
      </c>
      <c r="H268" s="22">
        <v>97</v>
      </c>
      <c r="I268" s="22">
        <v>6</v>
      </c>
      <c r="J268" s="22">
        <v>191</v>
      </c>
      <c r="K268" s="22">
        <v>438</v>
      </c>
      <c r="L268" s="22">
        <v>0</v>
      </c>
      <c r="M268" s="22">
        <f t="shared" si="28"/>
        <v>438</v>
      </c>
      <c r="N268" s="22">
        <v>0</v>
      </c>
      <c r="O268" s="23">
        <f t="shared" si="29"/>
        <v>0.32420091324200911</v>
      </c>
      <c r="P268" s="23">
        <f t="shared" si="30"/>
        <v>0.4360730593607306</v>
      </c>
      <c r="Q268" s="23">
        <f t="shared" si="31"/>
        <v>0.22146118721461186</v>
      </c>
      <c r="R268" s="23">
        <f t="shared" si="32"/>
        <v>1.3698630136986301E-2</v>
      </c>
      <c r="S268" s="23">
        <f t="shared" si="33"/>
        <v>4.5662100456621002E-3</v>
      </c>
      <c r="T268" s="24">
        <v>506</v>
      </c>
      <c r="U268" s="24">
        <v>27</v>
      </c>
      <c r="V268" s="24">
        <v>15</v>
      </c>
      <c r="W268" s="24">
        <v>0</v>
      </c>
      <c r="X268" s="24">
        <v>548</v>
      </c>
      <c r="Y268" s="27">
        <v>0.92335766423357668</v>
      </c>
      <c r="Z268" s="27">
        <v>4.9270072992700732E-2</v>
      </c>
      <c r="AA268" s="27">
        <v>2.7372262773722629E-2</v>
      </c>
      <c r="AB268" s="27">
        <v>0</v>
      </c>
      <c r="AC268" s="25">
        <v>23.240875912408757</v>
      </c>
      <c r="AD268" s="23">
        <f t="shared" si="34"/>
        <v>0.7992700729927007</v>
      </c>
    </row>
    <row r="269" spans="1:30" x14ac:dyDescent="0.25">
      <c r="A269" s="22"/>
      <c r="B269" s="22"/>
      <c r="C269" s="22" t="s">
        <v>251</v>
      </c>
      <c r="D269" s="22">
        <v>1</v>
      </c>
      <c r="E269" s="22">
        <v>321</v>
      </c>
      <c r="F269" s="22">
        <v>139</v>
      </c>
      <c r="G269" s="22">
        <v>3</v>
      </c>
      <c r="H269" s="22">
        <v>103</v>
      </c>
      <c r="I269" s="22">
        <v>2</v>
      </c>
      <c r="J269" s="22">
        <v>67</v>
      </c>
      <c r="K269" s="22">
        <v>314</v>
      </c>
      <c r="L269" s="22">
        <v>7</v>
      </c>
      <c r="M269" s="22">
        <f t="shared" si="28"/>
        <v>321</v>
      </c>
      <c r="N269" s="22">
        <v>0</v>
      </c>
      <c r="O269" s="23">
        <f t="shared" si="29"/>
        <v>0.43302180685358255</v>
      </c>
      <c r="P269" s="23">
        <f t="shared" si="30"/>
        <v>0.2087227414330218</v>
      </c>
      <c r="Q269" s="23">
        <f t="shared" si="31"/>
        <v>0.32087227414330216</v>
      </c>
      <c r="R269" s="23">
        <f t="shared" si="32"/>
        <v>6.2305295950155761E-3</v>
      </c>
      <c r="S269" s="23">
        <f t="shared" si="33"/>
        <v>9.3457943925233638E-3</v>
      </c>
      <c r="T269" s="24">
        <v>270</v>
      </c>
      <c r="U269" s="24">
        <v>107</v>
      </c>
      <c r="V269" s="24">
        <v>68</v>
      </c>
      <c r="W269" s="24">
        <v>5</v>
      </c>
      <c r="X269" s="24">
        <v>450</v>
      </c>
      <c r="Y269" s="27">
        <v>0.6</v>
      </c>
      <c r="Z269" s="27">
        <v>0.23777777777777778</v>
      </c>
      <c r="AA269" s="27">
        <v>0.15111111111111111</v>
      </c>
      <c r="AB269" s="27">
        <v>1.1111111111111112E-2</v>
      </c>
      <c r="AC269" s="25">
        <v>70.357777777777784</v>
      </c>
      <c r="AD269" s="23">
        <f t="shared" si="34"/>
        <v>0.71333333333333337</v>
      </c>
    </row>
    <row r="270" spans="1:30" x14ac:dyDescent="0.25">
      <c r="A270" s="22"/>
      <c r="B270" s="22"/>
      <c r="C270" s="22"/>
      <c r="D270" s="22">
        <v>2</v>
      </c>
      <c r="E270" s="22">
        <v>372</v>
      </c>
      <c r="F270" s="22">
        <v>206</v>
      </c>
      <c r="G270" s="22">
        <v>0</v>
      </c>
      <c r="H270" s="22">
        <v>94</v>
      </c>
      <c r="I270" s="22">
        <v>5</v>
      </c>
      <c r="J270" s="22">
        <v>63</v>
      </c>
      <c r="K270" s="22">
        <v>368</v>
      </c>
      <c r="L270" s="22">
        <v>3</v>
      </c>
      <c r="M270" s="22">
        <f t="shared" si="28"/>
        <v>371</v>
      </c>
      <c r="N270" s="22">
        <v>1</v>
      </c>
      <c r="O270" s="23">
        <f t="shared" si="29"/>
        <v>0.55525606469002697</v>
      </c>
      <c r="P270" s="23">
        <f t="shared" si="30"/>
        <v>0.16981132075471697</v>
      </c>
      <c r="Q270" s="23">
        <f t="shared" si="31"/>
        <v>0.25336927223719674</v>
      </c>
      <c r="R270" s="23">
        <f t="shared" si="32"/>
        <v>1.3477088948787063E-2</v>
      </c>
      <c r="S270" s="23">
        <f t="shared" si="33"/>
        <v>0</v>
      </c>
      <c r="T270" s="24">
        <v>207</v>
      </c>
      <c r="U270" s="24">
        <v>155</v>
      </c>
      <c r="V270" s="24">
        <v>77</v>
      </c>
      <c r="W270" s="24">
        <v>11</v>
      </c>
      <c r="X270" s="24">
        <v>450</v>
      </c>
      <c r="Y270" s="27">
        <v>0.46</v>
      </c>
      <c r="Z270" s="27">
        <v>0.34444444444444444</v>
      </c>
      <c r="AA270" s="27">
        <v>0.1711111111111111</v>
      </c>
      <c r="AB270" s="27">
        <v>2.4444444444444446E-2</v>
      </c>
      <c r="AC270" s="25">
        <v>59.31111111111111</v>
      </c>
      <c r="AD270" s="23">
        <f t="shared" si="34"/>
        <v>0.82444444444444442</v>
      </c>
    </row>
    <row r="271" spans="1:30" x14ac:dyDescent="0.25">
      <c r="A271" s="22"/>
      <c r="B271" s="22"/>
      <c r="C271" s="22"/>
      <c r="D271" s="22">
        <v>3</v>
      </c>
      <c r="E271" s="22">
        <v>390</v>
      </c>
      <c r="F271" s="22">
        <v>258</v>
      </c>
      <c r="G271" s="22">
        <v>0</v>
      </c>
      <c r="H271" s="22">
        <v>65</v>
      </c>
      <c r="I271" s="22">
        <v>2</v>
      </c>
      <c r="J271" s="22">
        <v>64</v>
      </c>
      <c r="K271" s="22">
        <v>389</v>
      </c>
      <c r="L271" s="22">
        <v>1</v>
      </c>
      <c r="M271" s="22">
        <f t="shared" si="28"/>
        <v>390</v>
      </c>
      <c r="N271" s="22">
        <v>0</v>
      </c>
      <c r="O271" s="23">
        <f t="shared" si="29"/>
        <v>0.66153846153846152</v>
      </c>
      <c r="P271" s="23">
        <f t="shared" si="30"/>
        <v>0.1641025641025641</v>
      </c>
      <c r="Q271" s="23">
        <f t="shared" si="31"/>
        <v>0.16666666666666666</v>
      </c>
      <c r="R271" s="23">
        <f t="shared" si="32"/>
        <v>5.1282051282051282E-3</v>
      </c>
      <c r="S271" s="23">
        <f t="shared" si="33"/>
        <v>0</v>
      </c>
      <c r="T271" s="24">
        <v>175</v>
      </c>
      <c r="U271" s="24">
        <v>223</v>
      </c>
      <c r="V271" s="24">
        <v>99</v>
      </c>
      <c r="W271" s="24">
        <v>1</v>
      </c>
      <c r="X271" s="24">
        <v>498</v>
      </c>
      <c r="Y271" s="27">
        <v>0.35140562248995982</v>
      </c>
      <c r="Z271" s="27">
        <v>0.44779116465863456</v>
      </c>
      <c r="AA271" s="27">
        <v>0.19879518072289157</v>
      </c>
      <c r="AB271" s="27">
        <v>2.008032128514056E-3</v>
      </c>
      <c r="AC271" s="25">
        <v>48.556224899598391</v>
      </c>
      <c r="AD271" s="23">
        <f t="shared" si="34"/>
        <v>0.7831325301204819</v>
      </c>
    </row>
    <row r="272" spans="1:30" x14ac:dyDescent="0.25">
      <c r="A272" s="22"/>
      <c r="B272" s="22"/>
      <c r="C272" s="22"/>
      <c r="D272" s="22">
        <v>4</v>
      </c>
      <c r="E272" s="22">
        <v>378</v>
      </c>
      <c r="F272" s="22">
        <v>235</v>
      </c>
      <c r="G272" s="22">
        <v>0</v>
      </c>
      <c r="H272" s="22">
        <v>54</v>
      </c>
      <c r="I272" s="22">
        <v>0</v>
      </c>
      <c r="J272" s="22">
        <v>84</v>
      </c>
      <c r="K272" s="22">
        <v>373</v>
      </c>
      <c r="L272" s="22">
        <v>5</v>
      </c>
      <c r="M272" s="22">
        <f t="shared" si="28"/>
        <v>378</v>
      </c>
      <c r="N272" s="22">
        <v>0</v>
      </c>
      <c r="O272" s="23">
        <f t="shared" si="29"/>
        <v>0.62169312169312174</v>
      </c>
      <c r="P272" s="23">
        <f t="shared" si="30"/>
        <v>0.22222222222222221</v>
      </c>
      <c r="Q272" s="23">
        <f t="shared" si="31"/>
        <v>0.14285714285714285</v>
      </c>
      <c r="R272" s="23">
        <f t="shared" si="32"/>
        <v>0</v>
      </c>
      <c r="S272" s="23">
        <f t="shared" si="33"/>
        <v>0</v>
      </c>
      <c r="T272" s="24">
        <v>220</v>
      </c>
      <c r="U272" s="24">
        <v>178</v>
      </c>
      <c r="V272" s="24">
        <v>99</v>
      </c>
      <c r="W272" s="24">
        <v>2</v>
      </c>
      <c r="X272" s="24">
        <v>499</v>
      </c>
      <c r="Y272" s="27">
        <v>0.4408817635270541</v>
      </c>
      <c r="Z272" s="27">
        <v>0.35671342685370744</v>
      </c>
      <c r="AA272" s="27">
        <v>0.19839679358717435</v>
      </c>
      <c r="AB272" s="27">
        <v>4.0080160320641279E-3</v>
      </c>
      <c r="AC272" s="25">
        <v>40.146292585170343</v>
      </c>
      <c r="AD272" s="23">
        <f t="shared" si="34"/>
        <v>0.75751503006012022</v>
      </c>
    </row>
    <row r="273" spans="1:30" x14ac:dyDescent="0.25">
      <c r="A273" s="22"/>
      <c r="B273" s="22"/>
      <c r="C273" s="22"/>
      <c r="D273" s="22">
        <v>5</v>
      </c>
      <c r="E273" s="22">
        <v>370</v>
      </c>
      <c r="F273" s="22">
        <v>213</v>
      </c>
      <c r="G273" s="22">
        <v>0</v>
      </c>
      <c r="H273" s="22">
        <v>62</v>
      </c>
      <c r="I273" s="22">
        <v>4</v>
      </c>
      <c r="J273" s="22">
        <v>90</v>
      </c>
      <c r="K273" s="22">
        <v>369</v>
      </c>
      <c r="L273" s="22">
        <v>1</v>
      </c>
      <c r="M273" s="22">
        <f t="shared" si="28"/>
        <v>370</v>
      </c>
      <c r="N273" s="22">
        <v>0</v>
      </c>
      <c r="O273" s="23">
        <f t="shared" si="29"/>
        <v>0.57567567567567568</v>
      </c>
      <c r="P273" s="23">
        <f t="shared" si="30"/>
        <v>0.24324324324324326</v>
      </c>
      <c r="Q273" s="23">
        <f t="shared" si="31"/>
        <v>0.16756756756756758</v>
      </c>
      <c r="R273" s="23">
        <f t="shared" si="32"/>
        <v>1.0810810810810811E-2</v>
      </c>
      <c r="S273" s="23">
        <f t="shared" si="33"/>
        <v>0</v>
      </c>
      <c r="T273" s="24">
        <v>245</v>
      </c>
      <c r="U273" s="24">
        <v>171</v>
      </c>
      <c r="V273" s="24">
        <v>83</v>
      </c>
      <c r="W273" s="24">
        <v>0</v>
      </c>
      <c r="X273" s="24">
        <v>499</v>
      </c>
      <c r="Y273" s="27">
        <v>0.4909819639278557</v>
      </c>
      <c r="Z273" s="27">
        <v>0.34268537074148298</v>
      </c>
      <c r="AA273" s="27">
        <v>0.16633266533066132</v>
      </c>
      <c r="AB273" s="27">
        <v>0</v>
      </c>
      <c r="AC273" s="25">
        <v>32.198396793587172</v>
      </c>
      <c r="AD273" s="23">
        <f t="shared" si="34"/>
        <v>0.74148296593186369</v>
      </c>
    </row>
    <row r="274" spans="1:30" x14ac:dyDescent="0.25">
      <c r="A274" s="22"/>
      <c r="B274" s="22"/>
      <c r="C274" s="22"/>
      <c r="D274" s="22">
        <v>6</v>
      </c>
      <c r="E274" s="22">
        <v>384</v>
      </c>
      <c r="F274" s="22">
        <v>210</v>
      </c>
      <c r="G274" s="22">
        <v>0</v>
      </c>
      <c r="H274" s="22">
        <v>68</v>
      </c>
      <c r="I274" s="22">
        <v>0</v>
      </c>
      <c r="J274" s="22">
        <v>104</v>
      </c>
      <c r="K274" s="22">
        <v>382</v>
      </c>
      <c r="L274" s="22">
        <v>2</v>
      </c>
      <c r="M274" s="22">
        <f t="shared" si="28"/>
        <v>384</v>
      </c>
      <c r="N274" s="22">
        <v>0</v>
      </c>
      <c r="O274" s="23">
        <f t="shared" si="29"/>
        <v>0.546875</v>
      </c>
      <c r="P274" s="23">
        <f t="shared" si="30"/>
        <v>0.27083333333333331</v>
      </c>
      <c r="Q274" s="23">
        <f t="shared" si="31"/>
        <v>0.17708333333333334</v>
      </c>
      <c r="R274" s="23">
        <f t="shared" si="32"/>
        <v>0</v>
      </c>
      <c r="S274" s="23">
        <f t="shared" si="33"/>
        <v>0</v>
      </c>
      <c r="T274" s="24">
        <v>276</v>
      </c>
      <c r="U274" s="24">
        <v>144</v>
      </c>
      <c r="V274" s="24">
        <v>78</v>
      </c>
      <c r="W274" s="24">
        <v>1</v>
      </c>
      <c r="X274" s="24">
        <v>499</v>
      </c>
      <c r="Y274" s="27">
        <v>0.5531062124248497</v>
      </c>
      <c r="Z274" s="27">
        <v>0.28857715430861725</v>
      </c>
      <c r="AA274" s="27">
        <v>0.15631262525050099</v>
      </c>
      <c r="AB274" s="27">
        <v>2.004008016032064E-3</v>
      </c>
      <c r="AC274" s="25">
        <v>23.092184368737474</v>
      </c>
      <c r="AD274" s="23">
        <f t="shared" si="34"/>
        <v>0.76953907815631262</v>
      </c>
    </row>
    <row r="275" spans="1:30" x14ac:dyDescent="0.25">
      <c r="A275" s="22">
        <v>45</v>
      </c>
      <c r="B275" s="22" t="s">
        <v>252</v>
      </c>
      <c r="C275" s="22" t="s">
        <v>253</v>
      </c>
      <c r="D275" s="22">
        <v>1</v>
      </c>
      <c r="E275" s="22">
        <v>295</v>
      </c>
      <c r="F275" s="22">
        <v>176</v>
      </c>
      <c r="G275" s="22">
        <v>0</v>
      </c>
      <c r="H275" s="22">
        <v>75</v>
      </c>
      <c r="I275" s="22">
        <v>5</v>
      </c>
      <c r="J275" s="22">
        <v>27</v>
      </c>
      <c r="K275" s="22">
        <v>283</v>
      </c>
      <c r="L275" s="22">
        <v>12</v>
      </c>
      <c r="M275" s="22">
        <f t="shared" si="28"/>
        <v>295</v>
      </c>
      <c r="N275" s="22">
        <v>0</v>
      </c>
      <c r="O275" s="23">
        <f t="shared" si="29"/>
        <v>0.59661016949152545</v>
      </c>
      <c r="P275" s="23">
        <f t="shared" si="30"/>
        <v>9.152542372881356E-2</v>
      </c>
      <c r="Q275" s="23">
        <f t="shared" si="31"/>
        <v>0.25423728813559321</v>
      </c>
      <c r="R275" s="23">
        <f t="shared" si="32"/>
        <v>1.6949152542372881E-2</v>
      </c>
      <c r="S275" s="23">
        <f t="shared" si="33"/>
        <v>0</v>
      </c>
      <c r="T275" s="24">
        <v>153</v>
      </c>
      <c r="U275" s="24">
        <v>215</v>
      </c>
      <c r="V275" s="24">
        <v>81</v>
      </c>
      <c r="W275" s="24">
        <v>1</v>
      </c>
      <c r="X275" s="24">
        <v>450</v>
      </c>
      <c r="Y275" s="27">
        <v>0.34</v>
      </c>
      <c r="Z275" s="27">
        <v>0.4777777777777778</v>
      </c>
      <c r="AA275" s="27">
        <v>0.18</v>
      </c>
      <c r="AB275" s="27">
        <v>2.2222222222222222E-3</v>
      </c>
      <c r="AC275" s="25">
        <v>71.048888888888882</v>
      </c>
      <c r="AD275" s="23">
        <f t="shared" si="34"/>
        <v>0.65555555555555556</v>
      </c>
    </row>
    <row r="276" spans="1:30" x14ac:dyDescent="0.25">
      <c r="A276" s="22"/>
      <c r="B276" s="22"/>
      <c r="C276" s="22"/>
      <c r="D276" s="22">
        <v>2</v>
      </c>
      <c r="E276" s="22">
        <v>370</v>
      </c>
      <c r="F276" s="22">
        <v>222</v>
      </c>
      <c r="G276" s="22">
        <v>0</v>
      </c>
      <c r="H276" s="22">
        <v>91</v>
      </c>
      <c r="I276" s="22">
        <v>5</v>
      </c>
      <c r="J276" s="22">
        <v>44</v>
      </c>
      <c r="K276" s="22">
        <v>362</v>
      </c>
      <c r="L276" s="22">
        <v>8</v>
      </c>
      <c r="M276" s="22">
        <f t="shared" si="28"/>
        <v>370</v>
      </c>
      <c r="N276" s="22">
        <v>0</v>
      </c>
      <c r="O276" s="23">
        <f t="shared" si="29"/>
        <v>0.6</v>
      </c>
      <c r="P276" s="23">
        <f t="shared" si="30"/>
        <v>0.11891891891891893</v>
      </c>
      <c r="Q276" s="23">
        <f t="shared" si="31"/>
        <v>0.24594594594594596</v>
      </c>
      <c r="R276" s="23">
        <f t="shared" si="32"/>
        <v>1.3513513513513514E-2</v>
      </c>
      <c r="S276" s="23">
        <f t="shared" si="33"/>
        <v>0</v>
      </c>
      <c r="T276" s="24">
        <v>151</v>
      </c>
      <c r="U276" s="24">
        <v>213</v>
      </c>
      <c r="V276" s="24">
        <v>80</v>
      </c>
      <c r="W276" s="24">
        <v>6</v>
      </c>
      <c r="X276" s="24">
        <v>450</v>
      </c>
      <c r="Y276" s="27">
        <v>0.33555555555555555</v>
      </c>
      <c r="Z276" s="27">
        <v>0.47333333333333333</v>
      </c>
      <c r="AA276" s="27">
        <v>0.17777777777777778</v>
      </c>
      <c r="AB276" s="27">
        <v>1.3333333333333334E-2</v>
      </c>
      <c r="AC276" s="25">
        <v>63.69777777777778</v>
      </c>
      <c r="AD276" s="23">
        <f t="shared" si="34"/>
        <v>0.82222222222222219</v>
      </c>
    </row>
    <row r="277" spans="1:30" x14ac:dyDescent="0.25">
      <c r="A277" s="22"/>
      <c r="B277" s="22"/>
      <c r="C277" s="22"/>
      <c r="D277" s="22">
        <v>3</v>
      </c>
      <c r="E277" s="22">
        <v>369</v>
      </c>
      <c r="F277" s="22">
        <v>197</v>
      </c>
      <c r="G277" s="22">
        <v>0</v>
      </c>
      <c r="H277" s="22">
        <v>99</v>
      </c>
      <c r="I277" s="22">
        <v>4</v>
      </c>
      <c r="J277" s="22">
        <v>66</v>
      </c>
      <c r="K277" s="22">
        <v>366</v>
      </c>
      <c r="L277" s="22">
        <v>3</v>
      </c>
      <c r="M277" s="22">
        <f t="shared" si="28"/>
        <v>369</v>
      </c>
      <c r="N277" s="22">
        <v>0</v>
      </c>
      <c r="O277" s="23">
        <f t="shared" si="29"/>
        <v>0.53387533875338755</v>
      </c>
      <c r="P277" s="23">
        <f t="shared" si="30"/>
        <v>0.17886178861788618</v>
      </c>
      <c r="Q277" s="23">
        <f t="shared" si="31"/>
        <v>0.26829268292682928</v>
      </c>
      <c r="R277" s="23">
        <f t="shared" si="32"/>
        <v>1.0840108401084011E-2</v>
      </c>
      <c r="S277" s="23">
        <f t="shared" si="33"/>
        <v>0</v>
      </c>
      <c r="T277" s="24">
        <v>213</v>
      </c>
      <c r="U277" s="24">
        <v>171</v>
      </c>
      <c r="V277" s="24">
        <v>60</v>
      </c>
      <c r="W277" s="24">
        <v>6</v>
      </c>
      <c r="X277" s="24">
        <v>450</v>
      </c>
      <c r="Y277" s="27">
        <v>0.47333333333333333</v>
      </c>
      <c r="Z277" s="27">
        <v>0.38</v>
      </c>
      <c r="AA277" s="27">
        <v>0.13333333333333333</v>
      </c>
      <c r="AB277" s="27">
        <v>1.3333333333333334E-2</v>
      </c>
      <c r="AC277" s="25">
        <v>56.462222222222223</v>
      </c>
      <c r="AD277" s="23">
        <f t="shared" si="34"/>
        <v>0.82</v>
      </c>
    </row>
    <row r="278" spans="1:30" x14ac:dyDescent="0.25">
      <c r="A278" s="22"/>
      <c r="B278" s="22"/>
      <c r="C278" s="22"/>
      <c r="D278" s="22">
        <v>4</v>
      </c>
      <c r="E278" s="22">
        <v>450</v>
      </c>
      <c r="F278" s="22">
        <v>235</v>
      </c>
      <c r="G278" s="22">
        <v>0</v>
      </c>
      <c r="H278" s="22">
        <v>81</v>
      </c>
      <c r="I278" s="22">
        <v>8</v>
      </c>
      <c r="J278" s="22">
        <v>125</v>
      </c>
      <c r="K278" s="22">
        <v>449</v>
      </c>
      <c r="L278" s="22">
        <v>1</v>
      </c>
      <c r="M278" s="22">
        <f t="shared" si="28"/>
        <v>450</v>
      </c>
      <c r="N278" s="22">
        <v>0</v>
      </c>
      <c r="O278" s="23">
        <f t="shared" si="29"/>
        <v>0.52222222222222225</v>
      </c>
      <c r="P278" s="23">
        <f t="shared" si="30"/>
        <v>0.27777777777777779</v>
      </c>
      <c r="Q278" s="23">
        <f t="shared" si="31"/>
        <v>0.18</v>
      </c>
      <c r="R278" s="23">
        <f t="shared" si="32"/>
        <v>1.7777777777777778E-2</v>
      </c>
      <c r="S278" s="23">
        <f t="shared" si="33"/>
        <v>0</v>
      </c>
      <c r="T278" s="24">
        <v>297</v>
      </c>
      <c r="U278" s="24">
        <v>169</v>
      </c>
      <c r="V278" s="24">
        <v>95</v>
      </c>
      <c r="W278" s="24">
        <v>2</v>
      </c>
      <c r="X278" s="24">
        <v>563</v>
      </c>
      <c r="Y278" s="27">
        <v>0.52753108348134992</v>
      </c>
      <c r="Z278" s="27">
        <v>0.30017761989342806</v>
      </c>
      <c r="AA278" s="27">
        <v>0.16873889875666073</v>
      </c>
      <c r="AB278" s="27">
        <v>3.552397868561279E-3</v>
      </c>
      <c r="AC278" s="25">
        <v>47.838365896980463</v>
      </c>
      <c r="AD278" s="23">
        <f t="shared" si="34"/>
        <v>0.79928952042628776</v>
      </c>
    </row>
    <row r="279" spans="1:30" x14ac:dyDescent="0.25">
      <c r="A279" s="22"/>
      <c r="B279" s="22"/>
      <c r="C279" s="22"/>
      <c r="D279" s="22">
        <v>5</v>
      </c>
      <c r="E279" s="22">
        <v>440</v>
      </c>
      <c r="F279" s="22">
        <v>203</v>
      </c>
      <c r="G279" s="22">
        <v>1</v>
      </c>
      <c r="H279" s="22">
        <v>89</v>
      </c>
      <c r="I279" s="22">
        <v>3</v>
      </c>
      <c r="J279" s="22">
        <v>144</v>
      </c>
      <c r="K279" s="22">
        <v>440</v>
      </c>
      <c r="L279" s="22">
        <v>0</v>
      </c>
      <c r="M279" s="22">
        <f t="shared" si="28"/>
        <v>440</v>
      </c>
      <c r="N279" s="22">
        <v>0</v>
      </c>
      <c r="O279" s="23">
        <f t="shared" si="29"/>
        <v>0.46136363636363636</v>
      </c>
      <c r="P279" s="23">
        <f t="shared" si="30"/>
        <v>0.32727272727272727</v>
      </c>
      <c r="Q279" s="23">
        <f t="shared" si="31"/>
        <v>0.20227272727272727</v>
      </c>
      <c r="R279" s="23">
        <f t="shared" si="32"/>
        <v>6.8181818181818179E-3</v>
      </c>
      <c r="S279" s="23">
        <f t="shared" si="33"/>
        <v>2.2727272727272726E-3</v>
      </c>
      <c r="T279" s="24">
        <v>336</v>
      </c>
      <c r="U279" s="24">
        <v>156</v>
      </c>
      <c r="V279" s="24">
        <v>68</v>
      </c>
      <c r="W279" s="24">
        <v>3</v>
      </c>
      <c r="X279" s="24">
        <v>563</v>
      </c>
      <c r="Y279" s="27">
        <v>0.5968028419182948</v>
      </c>
      <c r="Z279" s="27">
        <v>0.27708703374777977</v>
      </c>
      <c r="AA279" s="27">
        <v>0.12078152753108348</v>
      </c>
      <c r="AB279" s="27">
        <v>5.3285968028419185E-3</v>
      </c>
      <c r="AC279" s="25">
        <v>38.404973357015983</v>
      </c>
      <c r="AD279" s="23">
        <f t="shared" si="34"/>
        <v>0.78152753108348139</v>
      </c>
    </row>
    <row r="280" spans="1:30" x14ac:dyDescent="0.25">
      <c r="A280" s="22"/>
      <c r="B280" s="22"/>
      <c r="C280" s="22"/>
      <c r="D280" s="22">
        <v>6</v>
      </c>
      <c r="E280" s="22">
        <v>426</v>
      </c>
      <c r="F280" s="22">
        <v>197</v>
      </c>
      <c r="G280" s="22">
        <v>1</v>
      </c>
      <c r="H280" s="22">
        <v>81</v>
      </c>
      <c r="I280" s="22">
        <v>3</v>
      </c>
      <c r="J280" s="22">
        <v>143</v>
      </c>
      <c r="K280" s="22">
        <v>425</v>
      </c>
      <c r="L280" s="22">
        <v>1</v>
      </c>
      <c r="M280" s="22">
        <f t="shared" si="28"/>
        <v>426</v>
      </c>
      <c r="N280" s="22">
        <v>0</v>
      </c>
      <c r="O280" s="23">
        <f t="shared" si="29"/>
        <v>0.46244131455399062</v>
      </c>
      <c r="P280" s="23">
        <f t="shared" si="30"/>
        <v>0.33568075117370894</v>
      </c>
      <c r="Q280" s="23">
        <f t="shared" si="31"/>
        <v>0.19014084507042253</v>
      </c>
      <c r="R280" s="23">
        <f t="shared" si="32"/>
        <v>7.0422535211267607E-3</v>
      </c>
      <c r="S280" s="23">
        <f t="shared" si="33"/>
        <v>2.3474178403755869E-3</v>
      </c>
      <c r="T280" s="24">
        <v>347</v>
      </c>
      <c r="U280" s="24">
        <v>133</v>
      </c>
      <c r="V280" s="24">
        <v>79</v>
      </c>
      <c r="W280" s="24">
        <v>4</v>
      </c>
      <c r="X280" s="24">
        <v>563</v>
      </c>
      <c r="Y280" s="27">
        <v>0.61634103019538189</v>
      </c>
      <c r="Z280" s="27">
        <v>0.23623445825932504</v>
      </c>
      <c r="AA280" s="27">
        <v>0.14031971580817051</v>
      </c>
      <c r="AB280" s="27">
        <v>7.104795737122558E-3</v>
      </c>
      <c r="AC280" s="25">
        <v>30.307282415630549</v>
      </c>
      <c r="AD280" s="23">
        <f t="shared" si="34"/>
        <v>0.75666074600355238</v>
      </c>
    </row>
    <row r="281" spans="1:30" x14ac:dyDescent="0.25">
      <c r="A281" s="22"/>
      <c r="B281" s="22"/>
      <c r="C281" s="22"/>
      <c r="D281" s="22">
        <v>7</v>
      </c>
      <c r="E281" s="22">
        <v>466</v>
      </c>
      <c r="F281" s="22">
        <v>203</v>
      </c>
      <c r="G281" s="22">
        <v>1</v>
      </c>
      <c r="H281" s="22">
        <v>89</v>
      </c>
      <c r="I281" s="22">
        <v>1</v>
      </c>
      <c r="J281" s="22">
        <v>172</v>
      </c>
      <c r="K281" s="22">
        <v>466</v>
      </c>
      <c r="L281" s="22">
        <v>0</v>
      </c>
      <c r="M281" s="22">
        <f t="shared" si="28"/>
        <v>466</v>
      </c>
      <c r="N281" s="22">
        <v>0</v>
      </c>
      <c r="O281" s="23">
        <f t="shared" si="29"/>
        <v>0.4356223175965665</v>
      </c>
      <c r="P281" s="23">
        <f t="shared" si="30"/>
        <v>0.36909871244635195</v>
      </c>
      <c r="Q281" s="23">
        <f t="shared" si="31"/>
        <v>0.19098712446351931</v>
      </c>
      <c r="R281" s="23">
        <f t="shared" si="32"/>
        <v>2.1459227467811159E-3</v>
      </c>
      <c r="S281" s="23">
        <f t="shared" si="33"/>
        <v>2.1459227467811159E-3</v>
      </c>
      <c r="T281" s="24">
        <v>393</v>
      </c>
      <c r="U281" s="24">
        <v>100</v>
      </c>
      <c r="V281" s="24">
        <v>71</v>
      </c>
      <c r="W281" s="24">
        <v>0</v>
      </c>
      <c r="X281" s="24">
        <v>564</v>
      </c>
      <c r="Y281" s="27">
        <v>0.69680851063829785</v>
      </c>
      <c r="Z281" s="27">
        <v>0.1773049645390071</v>
      </c>
      <c r="AA281" s="27">
        <v>0.12588652482269502</v>
      </c>
      <c r="AB281" s="27">
        <v>0</v>
      </c>
      <c r="AC281" s="25">
        <v>22.382978723404257</v>
      </c>
      <c r="AD281" s="23">
        <f t="shared" si="34"/>
        <v>0.82624113475177308</v>
      </c>
    </row>
    <row r="282" spans="1:30" x14ac:dyDescent="0.25">
      <c r="A282" s="22">
        <v>46</v>
      </c>
      <c r="B282" s="22" t="s">
        <v>254</v>
      </c>
      <c r="C282" s="22" t="s">
        <v>255</v>
      </c>
      <c r="D282" s="22">
        <v>1</v>
      </c>
      <c r="E282" s="22">
        <v>329</v>
      </c>
      <c r="F282" s="22">
        <v>89</v>
      </c>
      <c r="G282" s="22">
        <v>1</v>
      </c>
      <c r="H282" s="22">
        <v>146</v>
      </c>
      <c r="I282" s="22">
        <v>8</v>
      </c>
      <c r="J282" s="22">
        <v>80</v>
      </c>
      <c r="K282" s="22">
        <v>324</v>
      </c>
      <c r="L282" s="22">
        <v>5</v>
      </c>
      <c r="M282" s="22">
        <f t="shared" si="28"/>
        <v>329</v>
      </c>
      <c r="N282" s="22">
        <v>0</v>
      </c>
      <c r="O282" s="23">
        <f t="shared" si="29"/>
        <v>0.27051671732522797</v>
      </c>
      <c r="P282" s="23">
        <f t="shared" si="30"/>
        <v>0.24316109422492402</v>
      </c>
      <c r="Q282" s="23">
        <f t="shared" si="31"/>
        <v>0.44376899696048633</v>
      </c>
      <c r="R282" s="23">
        <f t="shared" si="32"/>
        <v>2.4316109422492401E-2</v>
      </c>
      <c r="S282" s="23">
        <f t="shared" si="33"/>
        <v>3.0395136778115501E-3</v>
      </c>
      <c r="T282" s="24">
        <v>386</v>
      </c>
      <c r="U282" s="24">
        <v>28</v>
      </c>
      <c r="V282" s="24">
        <v>31</v>
      </c>
      <c r="W282" s="24">
        <v>5</v>
      </c>
      <c r="X282" s="24">
        <v>450</v>
      </c>
      <c r="Y282" s="27">
        <v>0.85777777777777775</v>
      </c>
      <c r="Z282" s="27">
        <v>6.222222222222222E-2</v>
      </c>
      <c r="AA282" s="27">
        <v>6.8888888888888888E-2</v>
      </c>
      <c r="AB282" s="27">
        <v>1.1111111111111112E-2</v>
      </c>
      <c r="AC282" s="25">
        <v>69.833333333333329</v>
      </c>
      <c r="AD282" s="23">
        <f t="shared" si="34"/>
        <v>0.73111111111111116</v>
      </c>
    </row>
    <row r="283" spans="1:30" x14ac:dyDescent="0.25">
      <c r="A283" s="22"/>
      <c r="B283" s="22"/>
      <c r="C283" s="22"/>
      <c r="D283" s="22">
        <v>2</v>
      </c>
      <c r="E283" s="22">
        <v>378</v>
      </c>
      <c r="F283" s="22">
        <v>92</v>
      </c>
      <c r="G283" s="22">
        <v>0</v>
      </c>
      <c r="H283" s="22">
        <v>141</v>
      </c>
      <c r="I283" s="22">
        <v>13</v>
      </c>
      <c r="J283" s="22">
        <v>129</v>
      </c>
      <c r="K283" s="22">
        <v>375</v>
      </c>
      <c r="L283" s="22">
        <v>3</v>
      </c>
      <c r="M283" s="22">
        <f t="shared" si="28"/>
        <v>378</v>
      </c>
      <c r="N283" s="22">
        <v>0</v>
      </c>
      <c r="O283" s="23">
        <f t="shared" si="29"/>
        <v>0.24338624338624337</v>
      </c>
      <c r="P283" s="23">
        <f t="shared" si="30"/>
        <v>0.34126984126984128</v>
      </c>
      <c r="Q283" s="23">
        <f t="shared" si="31"/>
        <v>0.37301587301587302</v>
      </c>
      <c r="R283" s="23">
        <f t="shared" si="32"/>
        <v>3.439153439153439E-2</v>
      </c>
      <c r="S283" s="23">
        <f t="shared" si="33"/>
        <v>0</v>
      </c>
      <c r="T283" s="24">
        <v>400</v>
      </c>
      <c r="U283" s="24">
        <v>22</v>
      </c>
      <c r="V283" s="24">
        <v>26</v>
      </c>
      <c r="W283" s="24">
        <v>2</v>
      </c>
      <c r="X283" s="24">
        <v>450</v>
      </c>
      <c r="Y283" s="27">
        <v>0.88888888888888884</v>
      </c>
      <c r="Z283" s="27">
        <v>4.8888888888888891E-2</v>
      </c>
      <c r="AA283" s="27">
        <v>5.7777777777777775E-2</v>
      </c>
      <c r="AB283" s="27">
        <v>4.4444444444444444E-3</v>
      </c>
      <c r="AC283" s="25">
        <v>59.717777777777776</v>
      </c>
      <c r="AD283" s="23">
        <f t="shared" si="34"/>
        <v>0.84</v>
      </c>
    </row>
    <row r="284" spans="1:30" x14ac:dyDescent="0.25">
      <c r="A284" s="22"/>
      <c r="B284" s="22"/>
      <c r="C284" s="22"/>
      <c r="D284" s="22">
        <v>3</v>
      </c>
      <c r="E284" s="22">
        <v>573</v>
      </c>
      <c r="F284" s="22">
        <v>121</v>
      </c>
      <c r="G284" s="22">
        <v>1</v>
      </c>
      <c r="H284" s="22">
        <v>166</v>
      </c>
      <c r="I284" s="22">
        <v>12</v>
      </c>
      <c r="J284" s="22">
        <v>266</v>
      </c>
      <c r="K284" s="22">
        <v>566</v>
      </c>
      <c r="L284" s="22">
        <v>7</v>
      </c>
      <c r="M284" s="22">
        <f t="shared" si="28"/>
        <v>573</v>
      </c>
      <c r="N284" s="22">
        <v>0</v>
      </c>
      <c r="O284" s="23">
        <f t="shared" si="29"/>
        <v>0.2111692844677138</v>
      </c>
      <c r="P284" s="23">
        <f t="shared" si="30"/>
        <v>0.46422338568935428</v>
      </c>
      <c r="Q284" s="23">
        <f t="shared" si="31"/>
        <v>0.28970331588132636</v>
      </c>
      <c r="R284" s="23">
        <f t="shared" si="32"/>
        <v>2.0942408376963352E-2</v>
      </c>
      <c r="S284" s="23">
        <f t="shared" si="33"/>
        <v>1.7452006980802793E-3</v>
      </c>
      <c r="T284" s="24">
        <v>656</v>
      </c>
      <c r="U284" s="24">
        <v>23</v>
      </c>
      <c r="V284" s="24">
        <v>25</v>
      </c>
      <c r="W284" s="24">
        <v>10</v>
      </c>
      <c r="X284" s="24">
        <v>714</v>
      </c>
      <c r="Y284" s="27">
        <v>0.91876750700280108</v>
      </c>
      <c r="Z284" s="27">
        <v>3.2212885154061621E-2</v>
      </c>
      <c r="AA284" s="27">
        <v>3.5014005602240897E-2</v>
      </c>
      <c r="AB284" s="27">
        <v>1.4005602240896359E-2</v>
      </c>
      <c r="AC284" s="25">
        <v>48.757703081232492</v>
      </c>
      <c r="AD284" s="23">
        <f t="shared" si="34"/>
        <v>0.80252100840336138</v>
      </c>
    </row>
    <row r="285" spans="1:30" x14ac:dyDescent="0.25">
      <c r="A285" s="22"/>
      <c r="B285" s="22"/>
      <c r="C285" s="22"/>
      <c r="D285" s="22">
        <v>4</v>
      </c>
      <c r="E285" s="22">
        <v>555</v>
      </c>
      <c r="F285" s="22">
        <v>96</v>
      </c>
      <c r="G285" s="22">
        <v>2</v>
      </c>
      <c r="H285" s="22">
        <v>146</v>
      </c>
      <c r="I285" s="22">
        <v>10</v>
      </c>
      <c r="J285" s="22">
        <v>299</v>
      </c>
      <c r="K285" s="22">
        <v>553</v>
      </c>
      <c r="L285" s="22">
        <v>2</v>
      </c>
      <c r="M285" s="22">
        <f t="shared" si="28"/>
        <v>555</v>
      </c>
      <c r="N285" s="22">
        <v>0</v>
      </c>
      <c r="O285" s="23">
        <f t="shared" si="29"/>
        <v>0.17297297297297298</v>
      </c>
      <c r="P285" s="23">
        <f t="shared" si="30"/>
        <v>0.53873873873873879</v>
      </c>
      <c r="Q285" s="23">
        <f t="shared" si="31"/>
        <v>0.26306306306306304</v>
      </c>
      <c r="R285" s="23">
        <f t="shared" si="32"/>
        <v>1.8018018018018018E-2</v>
      </c>
      <c r="S285" s="23">
        <f t="shared" si="33"/>
        <v>3.6036036036036037E-3</v>
      </c>
      <c r="T285" s="24">
        <v>685</v>
      </c>
      <c r="U285" s="24">
        <v>16</v>
      </c>
      <c r="V285" s="24">
        <v>4</v>
      </c>
      <c r="W285" s="24">
        <v>9</v>
      </c>
      <c r="X285" s="24">
        <v>714</v>
      </c>
      <c r="Y285" s="27">
        <v>0.95938375350140059</v>
      </c>
      <c r="Z285" s="27">
        <v>2.2408963585434174E-2</v>
      </c>
      <c r="AA285" s="27">
        <v>5.6022408963585435E-3</v>
      </c>
      <c r="AB285" s="27">
        <v>1.2605042016806723E-2</v>
      </c>
      <c r="AC285" s="25">
        <v>35.717086834733891</v>
      </c>
      <c r="AD285" s="23">
        <f t="shared" si="34"/>
        <v>0.77731092436974791</v>
      </c>
    </row>
    <row r="286" spans="1:30" x14ac:dyDescent="0.25">
      <c r="A286" s="22"/>
      <c r="B286" s="22"/>
      <c r="C286" s="22"/>
      <c r="D286" s="22">
        <v>5</v>
      </c>
      <c r="E286" s="22">
        <v>600</v>
      </c>
      <c r="F286" s="22">
        <v>169</v>
      </c>
      <c r="G286" s="22">
        <v>0</v>
      </c>
      <c r="H286" s="22">
        <v>114</v>
      </c>
      <c r="I286" s="22">
        <v>7</v>
      </c>
      <c r="J286" s="22">
        <v>305</v>
      </c>
      <c r="K286" s="22">
        <v>595</v>
      </c>
      <c r="L286" s="22">
        <v>5</v>
      </c>
      <c r="M286" s="22">
        <f t="shared" si="28"/>
        <v>600</v>
      </c>
      <c r="N286" s="22">
        <v>0</v>
      </c>
      <c r="O286" s="23">
        <f t="shared" si="29"/>
        <v>0.28166666666666668</v>
      </c>
      <c r="P286" s="23">
        <f t="shared" si="30"/>
        <v>0.5083333333333333</v>
      </c>
      <c r="Q286" s="23">
        <f t="shared" si="31"/>
        <v>0.19</v>
      </c>
      <c r="R286" s="23">
        <f t="shared" si="32"/>
        <v>1.1666666666666667E-2</v>
      </c>
      <c r="S286" s="23">
        <f t="shared" si="33"/>
        <v>0</v>
      </c>
      <c r="T286" s="24">
        <v>702</v>
      </c>
      <c r="U286" s="24">
        <v>3</v>
      </c>
      <c r="V286" s="24">
        <v>5</v>
      </c>
      <c r="W286" s="24">
        <v>4</v>
      </c>
      <c r="X286" s="24">
        <v>714</v>
      </c>
      <c r="Y286" s="27">
        <v>0.98319327731092432</v>
      </c>
      <c r="Z286" s="27">
        <v>4.2016806722689074E-3</v>
      </c>
      <c r="AA286" s="27">
        <v>7.0028011204481795E-3</v>
      </c>
      <c r="AB286" s="27">
        <v>5.6022408963585435E-3</v>
      </c>
      <c r="AC286" s="25">
        <v>24.260504201680671</v>
      </c>
      <c r="AD286" s="23">
        <f t="shared" si="34"/>
        <v>0.84033613445378152</v>
      </c>
    </row>
    <row r="287" spans="1:30" x14ac:dyDescent="0.25">
      <c r="A287" s="22"/>
      <c r="B287" s="22"/>
      <c r="C287" s="22" t="s">
        <v>256</v>
      </c>
      <c r="D287" s="22">
        <v>1</v>
      </c>
      <c r="E287" s="22">
        <v>364</v>
      </c>
      <c r="F287" s="22">
        <v>54</v>
      </c>
      <c r="G287" s="22">
        <v>1</v>
      </c>
      <c r="H287" s="22">
        <v>160</v>
      </c>
      <c r="I287" s="22">
        <v>8</v>
      </c>
      <c r="J287" s="22">
        <v>128</v>
      </c>
      <c r="K287" s="22">
        <v>351</v>
      </c>
      <c r="L287" s="22">
        <v>12</v>
      </c>
      <c r="M287" s="22">
        <f t="shared" si="28"/>
        <v>363</v>
      </c>
      <c r="N287" s="22">
        <v>1</v>
      </c>
      <c r="O287" s="23">
        <f t="shared" si="29"/>
        <v>0.1487603305785124</v>
      </c>
      <c r="P287" s="23">
        <f t="shared" si="30"/>
        <v>0.35261707988980717</v>
      </c>
      <c r="Q287" s="23">
        <f t="shared" si="31"/>
        <v>0.44077134986225897</v>
      </c>
      <c r="R287" s="23">
        <f t="shared" si="32"/>
        <v>2.2038567493112948E-2</v>
      </c>
      <c r="S287" s="23">
        <f t="shared" si="33"/>
        <v>2.7548209366391185E-3</v>
      </c>
      <c r="T287" s="24">
        <v>438</v>
      </c>
      <c r="U287" s="24">
        <v>1</v>
      </c>
      <c r="V287" s="24">
        <v>10</v>
      </c>
      <c r="W287" s="24">
        <v>1</v>
      </c>
      <c r="X287" s="24">
        <v>450</v>
      </c>
      <c r="Y287" s="27">
        <v>0.97333333333333338</v>
      </c>
      <c r="Z287" s="27">
        <v>2.2222222222222222E-3</v>
      </c>
      <c r="AA287" s="27">
        <v>2.2222222222222223E-2</v>
      </c>
      <c r="AB287" s="27">
        <v>2.2222222222222222E-3</v>
      </c>
      <c r="AC287" s="25">
        <v>61.224444444444444</v>
      </c>
      <c r="AD287" s="23">
        <f t="shared" si="34"/>
        <v>0.80666666666666664</v>
      </c>
    </row>
    <row r="288" spans="1:30" x14ac:dyDescent="0.25">
      <c r="A288" s="22"/>
      <c r="B288" s="22"/>
      <c r="C288" s="22"/>
      <c r="D288" s="22">
        <v>2</v>
      </c>
      <c r="E288" s="22">
        <v>461</v>
      </c>
      <c r="F288" s="22">
        <v>93</v>
      </c>
      <c r="G288" s="22">
        <v>1</v>
      </c>
      <c r="H288" s="22">
        <v>146</v>
      </c>
      <c r="I288" s="22">
        <v>8</v>
      </c>
      <c r="J288" s="22">
        <v>210</v>
      </c>
      <c r="K288" s="22">
        <v>458</v>
      </c>
      <c r="L288" s="22">
        <v>3</v>
      </c>
      <c r="M288" s="22">
        <f t="shared" si="28"/>
        <v>461</v>
      </c>
      <c r="N288" s="22">
        <v>0</v>
      </c>
      <c r="O288" s="23">
        <f t="shared" si="29"/>
        <v>0.2017353579175705</v>
      </c>
      <c r="P288" s="23">
        <f t="shared" si="30"/>
        <v>0.45553145336225598</v>
      </c>
      <c r="Q288" s="23">
        <f t="shared" si="31"/>
        <v>0.31670281995661603</v>
      </c>
      <c r="R288" s="23">
        <f t="shared" si="32"/>
        <v>1.735357917570499E-2</v>
      </c>
      <c r="S288" s="23">
        <f t="shared" si="33"/>
        <v>2.1691973969631237E-3</v>
      </c>
      <c r="T288" s="24">
        <v>571</v>
      </c>
      <c r="U288" s="24">
        <v>0</v>
      </c>
      <c r="V288" s="24">
        <v>3</v>
      </c>
      <c r="W288" s="24">
        <v>4</v>
      </c>
      <c r="X288" s="24">
        <v>578</v>
      </c>
      <c r="Y288" s="27">
        <v>0.98788927335640142</v>
      </c>
      <c r="Z288" s="27">
        <v>0</v>
      </c>
      <c r="AA288" s="27">
        <v>5.1903114186851208E-3</v>
      </c>
      <c r="AB288" s="27">
        <v>6.920415224913495E-3</v>
      </c>
      <c r="AC288" s="25">
        <v>33.48096885813149</v>
      </c>
      <c r="AD288" s="23">
        <f t="shared" si="34"/>
        <v>0.79757785467128028</v>
      </c>
    </row>
    <row r="289" spans="1:30" x14ac:dyDescent="0.25">
      <c r="A289" s="22" t="s">
        <v>257</v>
      </c>
      <c r="B289" s="22"/>
      <c r="C289" s="22"/>
      <c r="D289" s="22">
        <v>287</v>
      </c>
      <c r="E289" s="22">
        <v>124729</v>
      </c>
      <c r="F289" s="22">
        <v>63920</v>
      </c>
      <c r="G289" s="22">
        <v>373</v>
      </c>
      <c r="H289" s="22">
        <v>24584</v>
      </c>
      <c r="I289" s="22">
        <v>1336</v>
      </c>
      <c r="J289" s="22">
        <v>33076</v>
      </c>
      <c r="K289" s="22">
        <v>123289</v>
      </c>
      <c r="L289" s="22">
        <v>1109</v>
      </c>
      <c r="M289" s="22">
        <f t="shared" si="28"/>
        <v>124398</v>
      </c>
      <c r="N289" s="22">
        <v>331</v>
      </c>
      <c r="O289" s="23">
        <f t="shared" si="29"/>
        <v>0.51383462756635956</v>
      </c>
      <c r="P289" s="23">
        <f t="shared" si="30"/>
        <v>0.26588851910802425</v>
      </c>
      <c r="Q289" s="23">
        <f t="shared" si="31"/>
        <v>0.19762375600893906</v>
      </c>
      <c r="R289" s="23">
        <f t="shared" si="32"/>
        <v>1.0739722503577229E-2</v>
      </c>
      <c r="S289" s="23">
        <f t="shared" si="33"/>
        <v>2.9984404893969355E-3</v>
      </c>
      <c r="T289" s="24">
        <v>84591</v>
      </c>
      <c r="U289" s="24">
        <v>49826</v>
      </c>
      <c r="V289" s="24">
        <v>21221</v>
      </c>
      <c r="W289" s="24">
        <v>1606</v>
      </c>
      <c r="X289" s="24">
        <v>157244</v>
      </c>
      <c r="Y289" s="27">
        <v>0.53796011294548596</v>
      </c>
      <c r="Z289" s="27">
        <v>0.31687059601638218</v>
      </c>
      <c r="AA289" s="27">
        <v>0.13495586477067487</v>
      </c>
      <c r="AB289" s="27">
        <v>1.0213426267456947E-2</v>
      </c>
      <c r="AC289" s="25">
        <v>44.898597278720182</v>
      </c>
      <c r="AD289" s="23">
        <f t="shared" si="34"/>
        <v>0.79111444633817507</v>
      </c>
    </row>
    <row r="291" spans="1:30" x14ac:dyDescent="0.25">
      <c r="A291" s="22"/>
      <c r="B291" s="22"/>
      <c r="C291" s="22" t="s">
        <v>379</v>
      </c>
      <c r="D291" s="22"/>
      <c r="E291" s="22">
        <f>SUM(E3:E9)</f>
        <v>1465</v>
      </c>
      <c r="F291" s="22">
        <f t="shared" ref="F291:N291" si="35">SUM(F3:F9)</f>
        <v>83</v>
      </c>
      <c r="G291" s="22">
        <f t="shared" si="35"/>
        <v>2</v>
      </c>
      <c r="H291" s="22">
        <f t="shared" si="35"/>
        <v>715</v>
      </c>
      <c r="I291" s="22">
        <f t="shared" si="35"/>
        <v>14</v>
      </c>
      <c r="J291" s="22">
        <f t="shared" si="35"/>
        <v>642</v>
      </c>
      <c r="K291" s="22">
        <f t="shared" si="35"/>
        <v>1456</v>
      </c>
      <c r="L291" s="22">
        <f t="shared" si="35"/>
        <v>9</v>
      </c>
      <c r="M291" s="22">
        <f t="shared" si="35"/>
        <v>1465</v>
      </c>
      <c r="N291" s="22">
        <f t="shared" si="35"/>
        <v>0</v>
      </c>
      <c r="O291" s="23">
        <f t="shared" ref="O291" si="36">F291/M291</f>
        <v>5.665529010238908E-2</v>
      </c>
      <c r="P291" s="23">
        <f t="shared" ref="P291" si="37">J291/M291</f>
        <v>0.43822525597269624</v>
      </c>
      <c r="Q291" s="23">
        <f t="shared" ref="Q291" si="38">H291/M291</f>
        <v>0.48805460750853241</v>
      </c>
      <c r="R291" s="23">
        <f t="shared" ref="R291" si="39">I291/M291</f>
        <v>9.5563139931740607E-3</v>
      </c>
      <c r="S291" s="23">
        <f t="shared" ref="S291" si="40">G291/M291</f>
        <v>1.3651877133105802E-3</v>
      </c>
      <c r="T291" s="22">
        <f t="shared" ref="T291:X291" si="41">SUM(T3:T9)</f>
        <v>2089</v>
      </c>
      <c r="U291" s="22">
        <f t="shared" si="41"/>
        <v>30</v>
      </c>
      <c r="V291" s="22">
        <f t="shared" si="41"/>
        <v>86</v>
      </c>
      <c r="W291" s="22">
        <f t="shared" si="41"/>
        <v>65</v>
      </c>
      <c r="X291" s="22">
        <f t="shared" si="41"/>
        <v>2270</v>
      </c>
      <c r="Y291" s="23">
        <f>T291/X291</f>
        <v>0.92026431718061674</v>
      </c>
      <c r="Z291" s="23">
        <f>U291/X291</f>
        <v>1.3215859030837005E-2</v>
      </c>
      <c r="AA291" s="23">
        <f>V291/X291</f>
        <v>3.7885462555066078E-2</v>
      </c>
      <c r="AB291" s="23">
        <f>W291/X291</f>
        <v>2.8634361233480177E-2</v>
      </c>
      <c r="AC291" s="28">
        <f>AVERAGE(AC3:AC9)</f>
        <v>37.144076941799383</v>
      </c>
      <c r="AD291" s="23">
        <f t="shared" si="34"/>
        <v>0.64537444933920707</v>
      </c>
    </row>
    <row r="293" spans="1:30" ht="13.8" x14ac:dyDescent="0.3">
      <c r="B293" s="39" t="s">
        <v>380</v>
      </c>
      <c r="C293" s="39" t="s">
        <v>381</v>
      </c>
      <c r="D293" s="22"/>
      <c r="E293" s="22">
        <f>SUM(E10:E58)</f>
        <v>21335</v>
      </c>
      <c r="F293" s="22">
        <f t="shared" ref="F293:N293" si="42">SUM(F10:F58)</f>
        <v>6860</v>
      </c>
      <c r="G293" s="22">
        <f t="shared" si="42"/>
        <v>70</v>
      </c>
      <c r="H293" s="22">
        <f t="shared" si="42"/>
        <v>6360</v>
      </c>
      <c r="I293" s="22">
        <f t="shared" si="42"/>
        <v>249</v>
      </c>
      <c r="J293" s="22">
        <f t="shared" si="42"/>
        <v>7604</v>
      </c>
      <c r="K293" s="22">
        <f t="shared" si="42"/>
        <v>21143</v>
      </c>
      <c r="L293" s="22">
        <f t="shared" si="42"/>
        <v>189</v>
      </c>
      <c r="M293" s="22">
        <f t="shared" si="42"/>
        <v>21332</v>
      </c>
      <c r="N293" s="22">
        <f t="shared" si="42"/>
        <v>3</v>
      </c>
      <c r="O293" s="23">
        <f t="shared" ref="O293:O298" si="43">F293/M293</f>
        <v>0.32158259891243202</v>
      </c>
      <c r="P293" s="23">
        <f t="shared" ref="P293:P298" si="44">J293/M293</f>
        <v>0.35645977873617102</v>
      </c>
      <c r="Q293" s="23">
        <f t="shared" ref="Q293:Q298" si="45">H293/M293</f>
        <v>0.29814363397712357</v>
      </c>
      <c r="R293" s="23">
        <f t="shared" ref="R293:R298" si="46">I293/M293</f>
        <v>1.1672604537783611E-2</v>
      </c>
      <c r="S293" s="23">
        <f t="shared" ref="S293:S298" si="47">G293/M293</f>
        <v>3.2814550909431839E-3</v>
      </c>
      <c r="T293" s="22">
        <f t="shared" ref="T293:X293" si="48">SUM(T10:T58)</f>
        <v>20931</v>
      </c>
      <c r="U293" s="22">
        <f t="shared" si="48"/>
        <v>4116</v>
      </c>
      <c r="V293" s="22">
        <f t="shared" si="48"/>
        <v>1421</v>
      </c>
      <c r="W293" s="22">
        <f t="shared" si="48"/>
        <v>460</v>
      </c>
      <c r="X293" s="22">
        <f t="shared" si="48"/>
        <v>26928</v>
      </c>
      <c r="Y293" s="23">
        <f t="shared" ref="Y293:Y298" si="49">T293/X293</f>
        <v>0.77729500891265602</v>
      </c>
      <c r="Z293" s="23">
        <f t="shared" ref="Z293:Z298" si="50">U293/X293</f>
        <v>0.15285204991087345</v>
      </c>
      <c r="AA293" s="23">
        <f t="shared" ref="AA293:AA298" si="51">V293/X293</f>
        <v>5.2770350564468209E-2</v>
      </c>
      <c r="AB293" s="23">
        <f t="shared" ref="AB293:AB298" si="52">W293/X293</f>
        <v>1.7082590612002378E-2</v>
      </c>
      <c r="AC293" s="28"/>
      <c r="AD293" s="23">
        <f t="shared" ref="AD293:AD298" si="53">M293/X293</f>
        <v>0.79218657159833628</v>
      </c>
    </row>
    <row r="294" spans="1:30" ht="13.8" x14ac:dyDescent="0.3">
      <c r="B294" s="39" t="s">
        <v>382</v>
      </c>
      <c r="C294" s="39" t="s">
        <v>383</v>
      </c>
      <c r="D294" s="22"/>
      <c r="E294" s="22">
        <f>SUM(E59:E129)</f>
        <v>32096</v>
      </c>
      <c r="F294" s="22">
        <f t="shared" ref="F294:N294" si="54">SUM(F59:F129)</f>
        <v>18871</v>
      </c>
      <c r="G294" s="22">
        <f t="shared" si="54"/>
        <v>118</v>
      </c>
      <c r="H294" s="22">
        <f t="shared" si="54"/>
        <v>4687</v>
      </c>
      <c r="I294" s="22">
        <f t="shared" si="54"/>
        <v>294</v>
      </c>
      <c r="J294" s="22">
        <f t="shared" si="54"/>
        <v>7909</v>
      </c>
      <c r="K294" s="22">
        <f t="shared" si="54"/>
        <v>31879</v>
      </c>
      <c r="L294" s="22">
        <f t="shared" si="54"/>
        <v>216</v>
      </c>
      <c r="M294" s="22">
        <f t="shared" si="54"/>
        <v>32095</v>
      </c>
      <c r="N294" s="22">
        <f t="shared" si="54"/>
        <v>1</v>
      </c>
      <c r="O294" s="23">
        <f t="shared" si="43"/>
        <v>0.58797320454899515</v>
      </c>
      <c r="P294" s="23">
        <f t="shared" si="44"/>
        <v>0.24642467674092539</v>
      </c>
      <c r="Q294" s="23">
        <f t="shared" si="45"/>
        <v>0.1460352079763203</v>
      </c>
      <c r="R294" s="23">
        <f t="shared" si="46"/>
        <v>9.1603053435114507E-3</v>
      </c>
      <c r="S294" s="23">
        <f t="shared" si="47"/>
        <v>3.6765851378719426E-3</v>
      </c>
      <c r="T294" s="22">
        <f t="shared" ref="T294:X294" si="55">SUM(T59:T129)</f>
        <v>18142</v>
      </c>
      <c r="U294" s="22">
        <f t="shared" si="55"/>
        <v>13368</v>
      </c>
      <c r="V294" s="22">
        <f t="shared" si="55"/>
        <v>8792</v>
      </c>
      <c r="W294" s="22">
        <f t="shared" si="55"/>
        <v>414</v>
      </c>
      <c r="X294" s="22">
        <f t="shared" si="55"/>
        <v>40716</v>
      </c>
      <c r="Y294" s="23">
        <f t="shared" si="49"/>
        <v>0.44557422143629039</v>
      </c>
      <c r="Z294" s="23">
        <f t="shared" si="50"/>
        <v>0.32832301797819041</v>
      </c>
      <c r="AA294" s="23">
        <f t="shared" si="51"/>
        <v>0.2159347676589056</v>
      </c>
      <c r="AB294" s="23">
        <f t="shared" si="52"/>
        <v>1.0167992926613616E-2</v>
      </c>
      <c r="AC294" s="28"/>
      <c r="AD294" s="23">
        <f t="shared" si="53"/>
        <v>0.78826505550643478</v>
      </c>
    </row>
    <row r="295" spans="1:30" ht="13.8" x14ac:dyDescent="0.3">
      <c r="B295" s="39" t="s">
        <v>384</v>
      </c>
      <c r="C295" s="39" t="s">
        <v>385</v>
      </c>
      <c r="D295" s="22"/>
      <c r="E295" s="22">
        <f>SUM(E130:E172)</f>
        <v>17107</v>
      </c>
      <c r="F295" s="22">
        <f t="shared" ref="F295:N295" si="56">SUM(F130:F172)</f>
        <v>15344</v>
      </c>
      <c r="G295" s="22">
        <f t="shared" si="56"/>
        <v>31</v>
      </c>
      <c r="H295" s="22">
        <f t="shared" si="56"/>
        <v>1117</v>
      </c>
      <c r="I295" s="22">
        <f t="shared" si="56"/>
        <v>45</v>
      </c>
      <c r="J295" s="22">
        <f t="shared" si="56"/>
        <v>431</v>
      </c>
      <c r="K295" s="22">
        <f t="shared" si="56"/>
        <v>16968</v>
      </c>
      <c r="L295" s="22">
        <f t="shared" si="56"/>
        <v>136</v>
      </c>
      <c r="M295" s="22">
        <f t="shared" si="56"/>
        <v>17104</v>
      </c>
      <c r="N295" s="22">
        <f t="shared" si="56"/>
        <v>3</v>
      </c>
      <c r="O295" s="23">
        <f t="shared" si="43"/>
        <v>0.89710009354536946</v>
      </c>
      <c r="P295" s="23">
        <f t="shared" si="44"/>
        <v>2.5198783910196445E-2</v>
      </c>
      <c r="Q295" s="23">
        <f t="shared" si="45"/>
        <v>6.5306361085126288E-2</v>
      </c>
      <c r="R295" s="23">
        <f t="shared" si="46"/>
        <v>2.6309635173058935E-3</v>
      </c>
      <c r="S295" s="23">
        <f t="shared" si="47"/>
        <v>1.8124415341440599E-3</v>
      </c>
      <c r="T295" s="22">
        <f t="shared" ref="T295:X295" si="57">SUM(T130:T172)</f>
        <v>1230</v>
      </c>
      <c r="U295" s="22">
        <f t="shared" si="57"/>
        <v>16799</v>
      </c>
      <c r="V295" s="22">
        <f t="shared" si="57"/>
        <v>4970</v>
      </c>
      <c r="W295" s="22">
        <f t="shared" si="57"/>
        <v>260</v>
      </c>
      <c r="X295" s="22">
        <f t="shared" si="57"/>
        <v>23259</v>
      </c>
      <c r="Y295" s="23">
        <f t="shared" si="49"/>
        <v>5.2882755062556429E-2</v>
      </c>
      <c r="Z295" s="23">
        <f t="shared" si="50"/>
        <v>0.72225805064706139</v>
      </c>
      <c r="AA295" s="23">
        <f t="shared" si="51"/>
        <v>0.21368072574057353</v>
      </c>
      <c r="AB295" s="23">
        <f t="shared" si="52"/>
        <v>1.1178468549808676E-2</v>
      </c>
      <c r="AC295" s="28"/>
      <c r="AD295" s="23">
        <f t="shared" si="53"/>
        <v>0.73537125413818305</v>
      </c>
    </row>
    <row r="296" spans="1:30" ht="13.8" x14ac:dyDescent="0.3">
      <c r="B296" s="39" t="s">
        <v>386</v>
      </c>
      <c r="C296" s="39" t="s">
        <v>387</v>
      </c>
      <c r="D296" s="22"/>
      <c r="E296" s="22">
        <f>SUM(E173:E194)</f>
        <v>8814</v>
      </c>
      <c r="F296" s="22">
        <f t="shared" ref="F296:N296" si="58">SUM(F173:F194)</f>
        <v>5758</v>
      </c>
      <c r="G296" s="22">
        <f t="shared" si="58"/>
        <v>23</v>
      </c>
      <c r="H296" s="22">
        <f t="shared" si="58"/>
        <v>1433</v>
      </c>
      <c r="I296" s="22">
        <f t="shared" si="58"/>
        <v>101</v>
      </c>
      <c r="J296" s="22">
        <f t="shared" si="58"/>
        <v>1438</v>
      </c>
      <c r="K296" s="22">
        <f t="shared" si="58"/>
        <v>8753</v>
      </c>
      <c r="L296" s="22">
        <f t="shared" si="58"/>
        <v>61</v>
      </c>
      <c r="M296" s="22">
        <f t="shared" si="58"/>
        <v>8814</v>
      </c>
      <c r="N296" s="22">
        <f t="shared" si="58"/>
        <v>0</v>
      </c>
      <c r="O296" s="23">
        <f t="shared" si="43"/>
        <v>0.65327887451781252</v>
      </c>
      <c r="P296" s="23">
        <f t="shared" si="44"/>
        <v>0.16314953483095077</v>
      </c>
      <c r="Q296" s="23">
        <f t="shared" si="45"/>
        <v>0.16258225550260949</v>
      </c>
      <c r="R296" s="23">
        <f t="shared" si="46"/>
        <v>1.145904243249376E-2</v>
      </c>
      <c r="S296" s="23">
        <f t="shared" si="47"/>
        <v>2.6094849103698663E-3</v>
      </c>
      <c r="T296" s="22">
        <f t="shared" ref="T296:X296" si="59">SUM(T173:T194)</f>
        <v>4273</v>
      </c>
      <c r="U296" s="22">
        <f t="shared" si="59"/>
        <v>5838</v>
      </c>
      <c r="V296" s="22">
        <f t="shared" si="59"/>
        <v>1845</v>
      </c>
      <c r="W296" s="22">
        <f t="shared" si="59"/>
        <v>126</v>
      </c>
      <c r="X296" s="22">
        <f t="shared" si="59"/>
        <v>12082</v>
      </c>
      <c r="Y296" s="23">
        <f t="shared" si="49"/>
        <v>0.3536666114881642</v>
      </c>
      <c r="Z296" s="23">
        <f t="shared" si="50"/>
        <v>0.48319814600231747</v>
      </c>
      <c r="AA296" s="23">
        <f t="shared" si="51"/>
        <v>0.15270650554543949</v>
      </c>
      <c r="AB296" s="23">
        <f t="shared" si="52"/>
        <v>1.0428736964078795E-2</v>
      </c>
      <c r="AC296" s="28"/>
      <c r="AD296" s="23">
        <f t="shared" si="53"/>
        <v>0.7295149809634166</v>
      </c>
    </row>
    <row r="297" spans="1:30" ht="13.8" x14ac:dyDescent="0.3">
      <c r="B297" s="39" t="s">
        <v>388</v>
      </c>
      <c r="C297" s="39" t="s">
        <v>389</v>
      </c>
      <c r="D297" s="22"/>
      <c r="E297" s="22">
        <f>SUM(E195:E249)</f>
        <v>25054</v>
      </c>
      <c r="F297" s="22">
        <f t="shared" ref="F297:N297" si="60">SUM(F195:F249)</f>
        <v>10115</v>
      </c>
      <c r="G297" s="22">
        <f t="shared" si="60"/>
        <v>77</v>
      </c>
      <c r="H297" s="22">
        <f t="shared" si="60"/>
        <v>5672</v>
      </c>
      <c r="I297" s="22">
        <f t="shared" si="60"/>
        <v>335</v>
      </c>
      <c r="J297" s="22">
        <f t="shared" si="60"/>
        <v>8689</v>
      </c>
      <c r="K297" s="22">
        <f t="shared" si="60"/>
        <v>24888</v>
      </c>
      <c r="L297" s="22">
        <f t="shared" si="60"/>
        <v>164</v>
      </c>
      <c r="M297" s="22">
        <f t="shared" si="60"/>
        <v>25052</v>
      </c>
      <c r="N297" s="22">
        <f t="shared" si="60"/>
        <v>2</v>
      </c>
      <c r="O297" s="23">
        <f t="shared" si="43"/>
        <v>0.40376017882803766</v>
      </c>
      <c r="P297" s="23">
        <f t="shared" si="44"/>
        <v>0.34683857576241417</v>
      </c>
      <c r="Q297" s="23">
        <f t="shared" si="45"/>
        <v>0.22640906913619671</v>
      </c>
      <c r="R297" s="23">
        <f t="shared" si="46"/>
        <v>1.3372185853424876E-2</v>
      </c>
      <c r="S297" s="23">
        <f t="shared" si="47"/>
        <v>3.0736068976528821E-3</v>
      </c>
      <c r="T297" s="22">
        <f t="shared" ref="T297:X297" si="61">SUM(T195:T249)</f>
        <v>22807</v>
      </c>
      <c r="U297" s="22">
        <f t="shared" si="61"/>
        <v>6326</v>
      </c>
      <c r="V297" s="22">
        <f t="shared" si="61"/>
        <v>2444</v>
      </c>
      <c r="W297" s="22">
        <f t="shared" si="61"/>
        <v>144</v>
      </c>
      <c r="X297" s="22">
        <f t="shared" si="61"/>
        <v>31721</v>
      </c>
      <c r="Y297" s="23">
        <f t="shared" si="49"/>
        <v>0.71898742158191731</v>
      </c>
      <c r="Z297" s="23">
        <f t="shared" si="50"/>
        <v>0.19942624759622962</v>
      </c>
      <c r="AA297" s="23">
        <f t="shared" si="51"/>
        <v>7.7046751363450086E-2</v>
      </c>
      <c r="AB297" s="23">
        <f t="shared" si="52"/>
        <v>4.5395794584029503E-3</v>
      </c>
      <c r="AC297" s="28"/>
      <c r="AD297" s="23">
        <f t="shared" si="53"/>
        <v>0.78976072633271333</v>
      </c>
    </row>
    <row r="298" spans="1:30" ht="13.8" x14ac:dyDescent="0.3">
      <c r="B298" s="39" t="s">
        <v>390</v>
      </c>
      <c r="C298" s="39" t="s">
        <v>391</v>
      </c>
      <c r="D298" s="22"/>
      <c r="E298" s="22">
        <f>SUM(E250:E288)</f>
        <v>16226</v>
      </c>
      <c r="F298" s="22">
        <f t="shared" ref="F298:N298" si="62">SUM(F250:F288)</f>
        <v>6220</v>
      </c>
      <c r="G298" s="22">
        <f t="shared" si="62"/>
        <v>41</v>
      </c>
      <c r="H298" s="22">
        <f t="shared" si="62"/>
        <v>4071</v>
      </c>
      <c r="I298" s="22">
        <f t="shared" si="62"/>
        <v>265</v>
      </c>
      <c r="J298" s="22">
        <f t="shared" si="62"/>
        <v>5511</v>
      </c>
      <c r="K298" s="22">
        <f t="shared" si="62"/>
        <v>16108</v>
      </c>
      <c r="L298" s="22">
        <f t="shared" si="62"/>
        <v>116</v>
      </c>
      <c r="M298" s="22">
        <f t="shared" si="62"/>
        <v>16224</v>
      </c>
      <c r="N298" s="22">
        <f t="shared" si="62"/>
        <v>2</v>
      </c>
      <c r="O298" s="23">
        <f t="shared" si="43"/>
        <v>0.3833826429980276</v>
      </c>
      <c r="P298" s="23">
        <f t="shared" si="44"/>
        <v>0.33968195266272189</v>
      </c>
      <c r="Q298" s="23">
        <f t="shared" si="45"/>
        <v>0.25092455621301774</v>
      </c>
      <c r="R298" s="23">
        <f t="shared" si="46"/>
        <v>1.6333826429980276E-2</v>
      </c>
      <c r="S298" s="23">
        <f t="shared" si="47"/>
        <v>2.5271203155818539E-3</v>
      </c>
      <c r="T298" s="22">
        <f t="shared" ref="T298:X298" si="63">SUM(T250:T288)</f>
        <v>15738</v>
      </c>
      <c r="U298" s="22">
        <f t="shared" si="63"/>
        <v>3347</v>
      </c>
      <c r="V298" s="22">
        <f t="shared" si="63"/>
        <v>1684</v>
      </c>
      <c r="W298" s="22">
        <f t="shared" si="63"/>
        <v>146</v>
      </c>
      <c r="X298" s="22">
        <f t="shared" si="63"/>
        <v>20915</v>
      </c>
      <c r="Y298" s="23">
        <f t="shared" si="49"/>
        <v>0.75247430074109489</v>
      </c>
      <c r="Z298" s="23">
        <f t="shared" si="50"/>
        <v>0.1600286875448243</v>
      </c>
      <c r="AA298" s="23">
        <f t="shared" si="51"/>
        <v>8.0516375806837195E-2</v>
      </c>
      <c r="AB298" s="23">
        <f t="shared" si="52"/>
        <v>6.9806359072436047E-3</v>
      </c>
      <c r="AC298" s="28"/>
      <c r="AD298" s="23">
        <f t="shared" si="53"/>
        <v>0.77571121204876881</v>
      </c>
    </row>
  </sheetData>
  <autoFilter ref="A1:AD289" xr:uid="{5A34967A-0F01-4F72-8F41-5D60DACB07E9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B74BF-3981-41E7-B0C1-4E1C3E848DB8}">
  <dimension ref="A1:AB72"/>
  <sheetViews>
    <sheetView workbookViewId="0">
      <pane xSplit="4" ySplit="1" topLeftCell="L20" activePane="bottomRight" state="frozen"/>
      <selection pane="topRight" activeCell="E1" sqref="E1"/>
      <selection pane="bottomLeft" activeCell="A2" sqref="A2"/>
      <selection pane="bottomRight" activeCell="AD30" sqref="AD30"/>
    </sheetView>
  </sheetViews>
  <sheetFormatPr defaultRowHeight="13.2" x14ac:dyDescent="0.25"/>
  <cols>
    <col min="1" max="1" width="8.44140625" bestFit="1" customWidth="1"/>
    <col min="2" max="7" width="6" bestFit="1" customWidth="1"/>
    <col min="8" max="8" width="5" bestFit="1" customWidth="1"/>
    <col min="9" max="9" width="7.33203125" bestFit="1" customWidth="1"/>
  </cols>
  <sheetData>
    <row r="1" spans="1:28" x14ac:dyDescent="0.25">
      <c r="A1" s="22" t="s">
        <v>378</v>
      </c>
      <c r="B1" s="22" t="s">
        <v>259</v>
      </c>
      <c r="C1" s="22" t="s">
        <v>260</v>
      </c>
      <c r="D1" s="22" t="s">
        <v>261</v>
      </c>
      <c r="E1" s="22" t="s">
        <v>368</v>
      </c>
      <c r="F1" s="22" t="s">
        <v>369</v>
      </c>
      <c r="G1" s="22" t="s">
        <v>370</v>
      </c>
      <c r="H1" s="22" t="s">
        <v>371</v>
      </c>
      <c r="I1" s="22" t="s">
        <v>372</v>
      </c>
    </row>
    <row r="2" spans="1:28" x14ac:dyDescent="0.25">
      <c r="A2" s="41">
        <v>0.71333333333333337</v>
      </c>
      <c r="B2" s="41">
        <v>0.74454828660436134</v>
      </c>
      <c r="C2" s="41">
        <v>9.0342679127725853E-2</v>
      </c>
      <c r="D2" s="41">
        <v>0.13707165109034267</v>
      </c>
      <c r="E2" s="43">
        <v>0.16888888888888889</v>
      </c>
      <c r="F2" s="43">
        <v>0.72666666666666668</v>
      </c>
      <c r="G2" s="43">
        <v>0.10222222222222223</v>
      </c>
      <c r="H2" s="43">
        <v>2.2222222222222222E-3</v>
      </c>
      <c r="I2" s="44">
        <v>64.771111111111111</v>
      </c>
    </row>
    <row r="3" spans="1:28" x14ac:dyDescent="0.25">
      <c r="A3" s="41">
        <v>0.8612040133779264</v>
      </c>
      <c r="B3" s="41">
        <v>0.65048543689320393</v>
      </c>
      <c r="C3" s="41">
        <v>0.22524271844660193</v>
      </c>
      <c r="D3" s="41">
        <v>0.10097087378640776</v>
      </c>
      <c r="E3" s="43">
        <v>0.35451505016722407</v>
      </c>
      <c r="F3" s="43">
        <v>0.50167224080267558</v>
      </c>
      <c r="G3" s="43">
        <v>0.14046822742474915</v>
      </c>
      <c r="H3" s="43">
        <v>3.3444816053511705E-3</v>
      </c>
      <c r="I3" s="44">
        <v>50.394648829431439</v>
      </c>
      <c r="K3" t="s">
        <v>392</v>
      </c>
      <c r="T3" t="s">
        <v>395</v>
      </c>
    </row>
    <row r="4" spans="1:28" x14ac:dyDescent="0.25">
      <c r="A4" s="41">
        <v>0.73076923076923073</v>
      </c>
      <c r="B4" s="41">
        <v>0.60640732265446229</v>
      </c>
      <c r="C4" s="41">
        <v>0.27459954233409611</v>
      </c>
      <c r="D4" s="41">
        <v>0.10755148741418764</v>
      </c>
      <c r="E4" s="43">
        <v>0.43311036789297658</v>
      </c>
      <c r="F4" s="43">
        <v>0.36622073578595316</v>
      </c>
      <c r="G4" s="43">
        <v>0.18729096989966554</v>
      </c>
      <c r="H4" s="43">
        <v>1.3377926421404682E-2</v>
      </c>
      <c r="I4" s="44">
        <v>36.754180602006691</v>
      </c>
    </row>
    <row r="5" spans="1:28" x14ac:dyDescent="0.25">
      <c r="A5" s="41">
        <v>0.7976588628762542</v>
      </c>
      <c r="B5" s="41">
        <v>0.45492662473794548</v>
      </c>
      <c r="C5" s="41">
        <v>0.44025157232704404</v>
      </c>
      <c r="D5" s="41">
        <v>0.10272536687631027</v>
      </c>
      <c r="E5" s="43">
        <v>0.62876254180602009</v>
      </c>
      <c r="F5" s="43">
        <v>0.20234113712374582</v>
      </c>
      <c r="G5" s="43">
        <v>0.16387959866220736</v>
      </c>
      <c r="H5" s="43">
        <v>5.016722408026756E-3</v>
      </c>
      <c r="I5" s="44">
        <v>26.588628762541806</v>
      </c>
    </row>
    <row r="6" spans="1:28" x14ac:dyDescent="0.25">
      <c r="A6" s="41">
        <v>0.8330550918196995</v>
      </c>
      <c r="B6" s="41">
        <v>0.34869739478957917</v>
      </c>
      <c r="C6" s="41">
        <v>0.53707414829659317</v>
      </c>
      <c r="D6" s="41">
        <v>0.10020040080160321</v>
      </c>
      <c r="E6" s="43">
        <v>0.77629382303839733</v>
      </c>
      <c r="F6" s="43">
        <v>9.849749582637729E-2</v>
      </c>
      <c r="G6" s="43">
        <v>0.12353923205342238</v>
      </c>
      <c r="H6" s="43">
        <v>1.6694490818030051E-3</v>
      </c>
      <c r="I6" s="44">
        <v>20.582637729549248</v>
      </c>
    </row>
    <row r="7" spans="1:28" x14ac:dyDescent="0.25">
      <c r="A7" s="41">
        <v>0.70444444444444443</v>
      </c>
      <c r="B7" s="41">
        <v>0.66876971608832803</v>
      </c>
      <c r="C7" s="41">
        <v>0.1167192429022082</v>
      </c>
      <c r="D7" s="41">
        <v>0.18296529968454259</v>
      </c>
      <c r="E7" s="43">
        <v>0.25555555555555554</v>
      </c>
      <c r="F7" s="43">
        <v>0.46666666666666667</v>
      </c>
      <c r="G7" s="43">
        <v>0.27333333333333332</v>
      </c>
      <c r="H7" s="43">
        <v>4.4444444444444444E-3</v>
      </c>
      <c r="I7" s="44">
        <v>68.24444444444444</v>
      </c>
      <c r="S7" s="30">
        <f>0.0517+0.7651</f>
        <v>0.81679999999999997</v>
      </c>
      <c r="AB7" s="30">
        <f>-0.6885+0.8897</f>
        <v>0.20120000000000005</v>
      </c>
    </row>
    <row r="8" spans="1:28" x14ac:dyDescent="0.25">
      <c r="A8" s="41">
        <v>0.81645569620253167</v>
      </c>
      <c r="B8" s="41">
        <v>0.65891472868217049</v>
      </c>
      <c r="C8" s="41">
        <v>0.16020671834625322</v>
      </c>
      <c r="D8" s="41">
        <v>0.16537467700258399</v>
      </c>
      <c r="E8" s="43">
        <v>0.29113924050632911</v>
      </c>
      <c r="F8" s="43">
        <v>0.48523206751054854</v>
      </c>
      <c r="G8" s="43">
        <v>0.21940928270042195</v>
      </c>
      <c r="H8" s="43">
        <v>4.2194092827004216E-3</v>
      </c>
      <c r="I8" s="44">
        <v>52.12658227848101</v>
      </c>
    </row>
    <row r="9" spans="1:28" x14ac:dyDescent="0.25">
      <c r="A9" s="41">
        <v>0.78481012658227844</v>
      </c>
      <c r="B9" s="41">
        <v>0.63440860215053763</v>
      </c>
      <c r="C9" s="41">
        <v>0.19892473118279569</v>
      </c>
      <c r="D9" s="41">
        <v>0.15053763440860216</v>
      </c>
      <c r="E9" s="43">
        <v>0.41561181434599154</v>
      </c>
      <c r="F9" s="43">
        <v>0.36075949367088606</v>
      </c>
      <c r="G9" s="43">
        <v>0.21729957805907174</v>
      </c>
      <c r="H9" s="43">
        <v>6.3291139240506328E-3</v>
      </c>
      <c r="I9" s="44">
        <v>38.803797468354432</v>
      </c>
    </row>
    <row r="10" spans="1:28" x14ac:dyDescent="0.25">
      <c r="A10" s="41">
        <v>0.81263157894736837</v>
      </c>
      <c r="B10" s="41">
        <v>0.61658031088082899</v>
      </c>
      <c r="C10" s="41">
        <v>0.23056994818652848</v>
      </c>
      <c r="D10" s="41">
        <v>0.14766839378238342</v>
      </c>
      <c r="E10" s="43">
        <v>0.44</v>
      </c>
      <c r="F10" s="43">
        <v>0.28421052631578947</v>
      </c>
      <c r="G10" s="43">
        <v>0.27368421052631581</v>
      </c>
      <c r="H10" s="43">
        <v>2.1052631578947368E-3</v>
      </c>
      <c r="I10" s="44">
        <v>25.602105263157895</v>
      </c>
    </row>
    <row r="11" spans="1:28" x14ac:dyDescent="0.25">
      <c r="A11" s="41">
        <v>0.77555555555555555</v>
      </c>
      <c r="B11" s="41">
        <v>0.34957020057306593</v>
      </c>
      <c r="C11" s="41">
        <v>0.19197707736389685</v>
      </c>
      <c r="D11" s="41">
        <v>0.38395415472779371</v>
      </c>
      <c r="E11" s="43">
        <v>0.50666666666666671</v>
      </c>
      <c r="F11" s="43">
        <v>7.1111111111111111E-2</v>
      </c>
      <c r="G11" s="43">
        <v>0.39333333333333331</v>
      </c>
      <c r="H11" s="43">
        <v>2.8888888888888888E-2</v>
      </c>
      <c r="I11" s="44">
        <v>65.644444444444446</v>
      </c>
    </row>
    <row r="12" spans="1:28" x14ac:dyDescent="0.25">
      <c r="A12" s="41">
        <v>0.88</v>
      </c>
      <c r="B12" s="41">
        <v>0.44191919191919193</v>
      </c>
      <c r="C12" s="41">
        <v>0.23232323232323232</v>
      </c>
      <c r="D12" s="41">
        <v>0.30303030303030304</v>
      </c>
      <c r="E12" s="43">
        <v>0.5377777777777778</v>
      </c>
      <c r="F12" s="43">
        <v>8.4444444444444447E-2</v>
      </c>
      <c r="G12" s="43">
        <v>0.33333333333333331</v>
      </c>
      <c r="H12" s="43">
        <v>4.4444444444444446E-2</v>
      </c>
      <c r="I12" s="44">
        <v>54.208888888888886</v>
      </c>
    </row>
    <row r="13" spans="1:28" x14ac:dyDescent="0.25">
      <c r="A13" s="41">
        <v>0.83479532163742687</v>
      </c>
      <c r="B13" s="41">
        <v>0.45359019264448336</v>
      </c>
      <c r="C13" s="41">
        <v>0.3309982486865149</v>
      </c>
      <c r="D13" s="41">
        <v>0.20140105078809106</v>
      </c>
      <c r="E13" s="43">
        <v>0.57602339181286555</v>
      </c>
      <c r="F13" s="43">
        <v>0.10964912280701754</v>
      </c>
      <c r="G13" s="43">
        <v>0.27485380116959063</v>
      </c>
      <c r="H13" s="43">
        <v>3.9473684210526314E-2</v>
      </c>
      <c r="I13" s="44">
        <v>42.254385964912281</v>
      </c>
    </row>
    <row r="14" spans="1:28" x14ac:dyDescent="0.25">
      <c r="A14" s="41">
        <v>0.7792397660818714</v>
      </c>
      <c r="B14" s="41">
        <v>0.45028142589118197</v>
      </c>
      <c r="C14" s="41">
        <v>0.3696060037523452</v>
      </c>
      <c r="D14" s="41">
        <v>0.16135084427767354</v>
      </c>
      <c r="E14" s="43">
        <v>0.67836257309941517</v>
      </c>
      <c r="F14" s="43">
        <v>7.0175438596491224E-2</v>
      </c>
      <c r="G14" s="43">
        <v>0.22368421052631579</v>
      </c>
      <c r="H14" s="43">
        <v>2.7777777777777776E-2</v>
      </c>
      <c r="I14" s="44">
        <v>30.760233918128655</v>
      </c>
    </row>
    <row r="15" spans="1:28" x14ac:dyDescent="0.25">
      <c r="A15" s="41">
        <v>0.79854014598540146</v>
      </c>
      <c r="B15" s="41">
        <v>0.36197440585009139</v>
      </c>
      <c r="C15" s="41">
        <v>0.45703839122486289</v>
      </c>
      <c r="D15" s="41">
        <v>0.16087751371115175</v>
      </c>
      <c r="E15" s="43">
        <v>0.76934306569343069</v>
      </c>
      <c r="F15" s="43">
        <v>4.8175182481751823E-2</v>
      </c>
      <c r="G15" s="43">
        <v>0.18102189781021899</v>
      </c>
      <c r="H15" s="43">
        <v>1.4598540145985401E-3</v>
      </c>
      <c r="I15" s="44">
        <v>21.747445255474453</v>
      </c>
    </row>
    <row r="16" spans="1:28" x14ac:dyDescent="0.25">
      <c r="A16" s="41">
        <v>0.76444444444444448</v>
      </c>
      <c r="B16" s="41">
        <v>0.75</v>
      </c>
      <c r="C16" s="41">
        <v>5.5232558139534885E-2</v>
      </c>
      <c r="D16" s="41">
        <v>0.14244186046511628</v>
      </c>
      <c r="E16" s="43">
        <v>4.4444444444444446E-2</v>
      </c>
      <c r="F16" s="43">
        <v>0.73777777777777775</v>
      </c>
      <c r="G16" s="43">
        <v>0.21555555555555556</v>
      </c>
      <c r="H16" s="43">
        <v>2.2222222222222222E-3</v>
      </c>
      <c r="I16" s="44">
        <v>66.935555555555553</v>
      </c>
    </row>
    <row r="17" spans="1:28" x14ac:dyDescent="0.25">
      <c r="A17" s="41">
        <v>0.82960413080895012</v>
      </c>
      <c r="B17" s="41">
        <v>0.84024896265560167</v>
      </c>
      <c r="C17" s="41">
        <v>6.8464730290456438E-2</v>
      </c>
      <c r="D17" s="41">
        <v>8.0912863070539423E-2</v>
      </c>
      <c r="E17" s="43">
        <v>0.11015490533562823</v>
      </c>
      <c r="F17" s="43">
        <v>0.59552495697074015</v>
      </c>
      <c r="G17" s="43">
        <v>0.28915662650602408</v>
      </c>
      <c r="H17" s="43">
        <v>5.1635111876075735E-3</v>
      </c>
      <c r="I17" s="44">
        <v>47.633390705679865</v>
      </c>
    </row>
    <row r="18" spans="1:28" x14ac:dyDescent="0.25">
      <c r="A18" s="41">
        <v>0.81927710843373491</v>
      </c>
      <c r="B18" s="41">
        <v>0.71218487394957986</v>
      </c>
      <c r="C18" s="41">
        <v>0.17436974789915966</v>
      </c>
      <c r="D18" s="41">
        <v>9.2436974789915971E-2</v>
      </c>
      <c r="E18" s="43">
        <v>0.36144578313253012</v>
      </c>
      <c r="F18" s="43">
        <v>0.32702237521514632</v>
      </c>
      <c r="G18" s="43">
        <v>0.30636833046471601</v>
      </c>
      <c r="H18" s="43">
        <v>5.1635111876075735E-3</v>
      </c>
      <c r="I18" s="44">
        <v>27.342512908777969</v>
      </c>
    </row>
    <row r="19" spans="1:28" x14ac:dyDescent="0.25">
      <c r="A19" s="41">
        <v>0.76666666666666672</v>
      </c>
      <c r="B19" s="41">
        <v>0.35072463768115941</v>
      </c>
      <c r="C19" s="41">
        <v>0.19130434782608696</v>
      </c>
      <c r="D19" s="41">
        <v>0.41449275362318838</v>
      </c>
      <c r="E19" s="43">
        <v>0.56666666666666665</v>
      </c>
      <c r="F19" s="43">
        <v>0.11333333333333333</v>
      </c>
      <c r="G19" s="43">
        <v>0.29555555555555557</v>
      </c>
      <c r="H19" s="43">
        <v>2.4444444444444446E-2</v>
      </c>
      <c r="I19" s="44">
        <v>64.588888888888889</v>
      </c>
    </row>
    <row r="20" spans="1:28" x14ac:dyDescent="0.25">
      <c r="A20" s="41">
        <v>0.76682316118935834</v>
      </c>
      <c r="B20" s="41">
        <v>0.30204081632653063</v>
      </c>
      <c r="C20" s="41">
        <v>0.4</v>
      </c>
      <c r="D20" s="41">
        <v>0.27346938775510204</v>
      </c>
      <c r="E20" s="43">
        <v>0.78090766823161184</v>
      </c>
      <c r="F20" s="43">
        <v>7.5117370892018781E-2</v>
      </c>
      <c r="G20" s="43">
        <v>0.10954616588419405</v>
      </c>
      <c r="H20" s="43">
        <v>3.4428794992175271E-2</v>
      </c>
      <c r="I20" s="44">
        <v>40.350547730829419</v>
      </c>
    </row>
    <row r="21" spans="1:28" x14ac:dyDescent="0.25">
      <c r="A21" s="41">
        <v>0.784037558685446</v>
      </c>
      <c r="B21" s="41">
        <v>0.30339321357285431</v>
      </c>
      <c r="C21" s="41">
        <v>0.44111776447105788</v>
      </c>
      <c r="D21" s="41">
        <v>0.2315369261477046</v>
      </c>
      <c r="E21" s="43">
        <v>0.82316118935837246</v>
      </c>
      <c r="F21" s="43">
        <v>8.2942097026604072E-2</v>
      </c>
      <c r="G21" s="43">
        <v>9.2331768388106417E-2</v>
      </c>
      <c r="H21" s="43">
        <v>1.5649452269170579E-3</v>
      </c>
      <c r="I21" s="44">
        <v>23.369327073552427</v>
      </c>
    </row>
    <row r="22" spans="1:28" x14ac:dyDescent="0.25">
      <c r="A22" s="41">
        <v>0.70222222222222219</v>
      </c>
      <c r="B22" s="41">
        <v>0.70253164556962022</v>
      </c>
      <c r="C22" s="41">
        <v>8.2278481012658222E-2</v>
      </c>
      <c r="D22" s="41">
        <v>0.15822784810126583</v>
      </c>
      <c r="E22" s="43">
        <v>0.18</v>
      </c>
      <c r="F22" s="43">
        <v>0.64666666666666661</v>
      </c>
      <c r="G22" s="43">
        <v>0.16</v>
      </c>
      <c r="H22" s="43">
        <v>1.3333333333333334E-2</v>
      </c>
      <c r="I22" s="44">
        <v>66.722222222222229</v>
      </c>
      <c r="K22" t="s">
        <v>393</v>
      </c>
      <c r="T22" t="s">
        <v>396</v>
      </c>
    </row>
    <row r="23" spans="1:28" x14ac:dyDescent="0.25">
      <c r="A23" s="41">
        <v>0.77963737796373778</v>
      </c>
      <c r="B23" s="41">
        <v>0.59928443649373886</v>
      </c>
      <c r="C23" s="41">
        <v>0.23971377459749552</v>
      </c>
      <c r="D23" s="41">
        <v>0.14311270125223613</v>
      </c>
      <c r="E23" s="43">
        <v>0.42398884239888424</v>
      </c>
      <c r="F23" s="43">
        <v>0.38912133891213391</v>
      </c>
      <c r="G23" s="43">
        <v>0.1701534170153417</v>
      </c>
      <c r="H23" s="43">
        <v>1.6736401673640166E-2</v>
      </c>
      <c r="I23" s="44">
        <v>42.216178521617849</v>
      </c>
    </row>
    <row r="24" spans="1:28" x14ac:dyDescent="0.25">
      <c r="A24" s="41">
        <v>0.78133704735376042</v>
      </c>
      <c r="B24" s="41">
        <v>0.32798573975044565</v>
      </c>
      <c r="C24" s="41">
        <v>0.45632798573975042</v>
      </c>
      <c r="D24" s="41">
        <v>0.20499108734402852</v>
      </c>
      <c r="E24" s="43">
        <v>0.75766016713091922</v>
      </c>
      <c r="F24" s="43">
        <v>9.8885793871866301E-2</v>
      </c>
      <c r="G24" s="43">
        <v>0.13370473537604458</v>
      </c>
      <c r="H24" s="43">
        <v>9.7493036211699167E-3</v>
      </c>
      <c r="I24" s="44">
        <v>23.394150417827298</v>
      </c>
    </row>
    <row r="25" spans="1:28" x14ac:dyDescent="0.25">
      <c r="A25" s="41">
        <v>0.74772727272727268</v>
      </c>
      <c r="B25" s="41">
        <v>0.83586626139817632</v>
      </c>
      <c r="C25" s="41">
        <v>6.0790273556231003E-3</v>
      </c>
      <c r="D25" s="41">
        <v>0.1337386018237082</v>
      </c>
      <c r="E25" s="43">
        <v>2.5000000000000001E-2</v>
      </c>
      <c r="F25" s="43">
        <v>0.94772727272727275</v>
      </c>
      <c r="G25" s="43">
        <v>2.7272727272727271E-2</v>
      </c>
      <c r="H25" s="43">
        <v>0</v>
      </c>
      <c r="I25" s="44">
        <v>72.427272727272722</v>
      </c>
    </row>
    <row r="26" spans="1:28" x14ac:dyDescent="0.25">
      <c r="A26" s="41">
        <v>0.7924107142857143</v>
      </c>
      <c r="B26" s="41">
        <v>0.87323943661971826</v>
      </c>
      <c r="C26" s="41">
        <v>1.1267605633802818E-2</v>
      </c>
      <c r="D26" s="41">
        <v>0.10140845070422536</v>
      </c>
      <c r="E26" s="43">
        <v>4.0178571428571432E-2</v>
      </c>
      <c r="F26" s="43">
        <v>0.8928571428571429</v>
      </c>
      <c r="G26" s="43">
        <v>6.4732142857142863E-2</v>
      </c>
      <c r="H26" s="43">
        <v>2.232142857142857E-3</v>
      </c>
      <c r="I26" s="44">
        <v>54.5625</v>
      </c>
    </row>
    <row r="27" spans="1:28" x14ac:dyDescent="0.25">
      <c r="A27" s="41">
        <v>0.7455357142857143</v>
      </c>
      <c r="B27" s="41">
        <v>0.89221556886227549</v>
      </c>
      <c r="C27" s="41">
        <v>2.0958083832335328E-2</v>
      </c>
      <c r="D27" s="41">
        <v>8.3832335329341312E-2</v>
      </c>
      <c r="E27" s="43">
        <v>6.9196428571428575E-2</v>
      </c>
      <c r="F27" s="43">
        <v>0.796875</v>
      </c>
      <c r="G27" s="43">
        <v>0.13169642857142858</v>
      </c>
      <c r="H27" s="43">
        <v>2.232142857142857E-3</v>
      </c>
      <c r="I27" s="44">
        <v>39.433035714285715</v>
      </c>
      <c r="S27" s="30">
        <f>-0.0578+0.8072</f>
        <v>0.74940000000000007</v>
      </c>
      <c r="AB27">
        <f>0.635+0.3765</f>
        <v>1.0115000000000001</v>
      </c>
    </row>
    <row r="28" spans="1:28" x14ac:dyDescent="0.25">
      <c r="A28" s="41">
        <v>0.7455357142857143</v>
      </c>
      <c r="B28" s="41">
        <v>0.88323353293413176</v>
      </c>
      <c r="C28" s="41">
        <v>3.5928143712574849E-2</v>
      </c>
      <c r="D28" s="41">
        <v>7.7844311377245512E-2</v>
      </c>
      <c r="E28" s="43">
        <v>6.25E-2</v>
      </c>
      <c r="F28" s="43">
        <v>0.7633928571428571</v>
      </c>
      <c r="G28" s="43">
        <v>0.171875</v>
      </c>
      <c r="H28" s="43">
        <v>2.232142857142857E-3</v>
      </c>
      <c r="I28" s="44">
        <v>24.642857142857142</v>
      </c>
    </row>
    <row r="29" spans="1:28" x14ac:dyDescent="0.25">
      <c r="A29" s="41">
        <v>0.61333333333333329</v>
      </c>
      <c r="B29" s="41">
        <v>0.78260869565217395</v>
      </c>
      <c r="C29" s="41">
        <v>3.6231884057971016E-2</v>
      </c>
      <c r="D29" s="41">
        <v>0.17028985507246377</v>
      </c>
      <c r="E29" s="43">
        <v>8.4444444444444447E-2</v>
      </c>
      <c r="F29" s="43">
        <v>0.82666666666666666</v>
      </c>
      <c r="G29" s="43">
        <v>8.666666666666667E-2</v>
      </c>
      <c r="H29" s="43">
        <v>2.2222222222222222E-3</v>
      </c>
      <c r="I29" s="44">
        <v>74.444444444444443</v>
      </c>
    </row>
    <row r="30" spans="1:28" x14ac:dyDescent="0.25">
      <c r="A30" s="41">
        <v>0.7844444444444445</v>
      </c>
      <c r="B30" s="41">
        <v>0.8101983002832861</v>
      </c>
      <c r="C30" s="41">
        <v>2.5495750708215296E-2</v>
      </c>
      <c r="D30" s="41">
        <v>0.15297450424929179</v>
      </c>
      <c r="E30" s="43">
        <v>9.1111111111111115E-2</v>
      </c>
      <c r="F30" s="43">
        <v>0.82222222222222219</v>
      </c>
      <c r="G30" s="43">
        <v>8.666666666666667E-2</v>
      </c>
      <c r="H30" s="43">
        <v>0</v>
      </c>
      <c r="I30" s="44">
        <v>66.371111111111105</v>
      </c>
    </row>
    <row r="31" spans="1:28" x14ac:dyDescent="0.25">
      <c r="A31" s="41">
        <v>0.82444444444444442</v>
      </c>
      <c r="B31" s="41">
        <v>0.83557951482479786</v>
      </c>
      <c r="C31" s="41">
        <v>3.5040431266846361E-2</v>
      </c>
      <c r="D31" s="41">
        <v>0.10242587601078167</v>
      </c>
      <c r="E31" s="43">
        <v>0.10222222222222223</v>
      </c>
      <c r="F31" s="43">
        <v>0.77777777777777779</v>
      </c>
      <c r="G31" s="43">
        <v>0.11555555555555555</v>
      </c>
      <c r="H31" s="43">
        <v>4.4444444444444444E-3</v>
      </c>
      <c r="I31" s="44">
        <v>58.571111111111108</v>
      </c>
    </row>
    <row r="32" spans="1:28" x14ac:dyDescent="0.25">
      <c r="A32" s="41">
        <v>0.80555555555555558</v>
      </c>
      <c r="B32" s="41">
        <v>0.84210526315789469</v>
      </c>
      <c r="C32" s="41">
        <v>4.3557168784029036E-2</v>
      </c>
      <c r="D32" s="41">
        <v>0.10344827586206896</v>
      </c>
      <c r="E32" s="43">
        <v>0.10964912280701754</v>
      </c>
      <c r="F32" s="43">
        <v>0.72368421052631582</v>
      </c>
      <c r="G32" s="43">
        <v>0.15350877192982457</v>
      </c>
      <c r="H32" s="43">
        <v>1.3157894736842105E-2</v>
      </c>
      <c r="I32" s="44">
        <v>50.001461988304094</v>
      </c>
    </row>
    <row r="33" spans="1:28" x14ac:dyDescent="0.25">
      <c r="A33" s="41">
        <v>0.80555555555555558</v>
      </c>
      <c r="B33" s="41">
        <v>0.82032667876588017</v>
      </c>
      <c r="C33" s="41">
        <v>8.1669691470054442E-2</v>
      </c>
      <c r="D33" s="41">
        <v>8.3484573502722328E-2</v>
      </c>
      <c r="E33" s="43">
        <v>0.16081871345029239</v>
      </c>
      <c r="F33" s="43">
        <v>0.62865497076023391</v>
      </c>
      <c r="G33" s="43">
        <v>0.20175438596491227</v>
      </c>
      <c r="H33" s="43">
        <v>8.771929824561403E-3</v>
      </c>
      <c r="I33" s="44">
        <v>40.320175438596493</v>
      </c>
    </row>
    <row r="34" spans="1:28" x14ac:dyDescent="0.25">
      <c r="A34" s="41">
        <v>0.78801169590643272</v>
      </c>
      <c r="B34" s="41">
        <v>0.80705009276437845</v>
      </c>
      <c r="C34" s="41">
        <v>7.9777365491651209E-2</v>
      </c>
      <c r="D34" s="41">
        <v>0.10760667903525047</v>
      </c>
      <c r="E34" s="43">
        <v>0.16959064327485379</v>
      </c>
      <c r="F34" s="43">
        <v>0.60526315789473684</v>
      </c>
      <c r="G34" s="43">
        <v>0.22222222222222221</v>
      </c>
      <c r="H34" s="43">
        <v>2.9239766081871343E-3</v>
      </c>
      <c r="I34" s="44">
        <v>31.619883040935672</v>
      </c>
    </row>
    <row r="35" spans="1:28" x14ac:dyDescent="0.25">
      <c r="A35" s="41">
        <v>0.79239766081871343</v>
      </c>
      <c r="B35" s="41">
        <v>0.77490774907749083</v>
      </c>
      <c r="C35" s="41">
        <v>0.14022140221402213</v>
      </c>
      <c r="D35" s="41">
        <v>8.3025830258302583E-2</v>
      </c>
      <c r="E35" s="43">
        <v>0.26608187134502925</v>
      </c>
      <c r="F35" s="43">
        <v>0.53801169590643272</v>
      </c>
      <c r="G35" s="43">
        <v>0.195906432748538</v>
      </c>
      <c r="H35" s="43">
        <v>0</v>
      </c>
      <c r="I35" s="44">
        <v>22.359649122807017</v>
      </c>
    </row>
    <row r="36" spans="1:28" x14ac:dyDescent="0.25">
      <c r="A36" s="41">
        <v>0.83750000000000002</v>
      </c>
      <c r="B36" s="41">
        <v>0.77014925373134324</v>
      </c>
      <c r="C36" s="41">
        <v>6.8656716417910449E-2</v>
      </c>
      <c r="D36" s="41">
        <v>0.12238805970149254</v>
      </c>
      <c r="E36" s="43">
        <v>0.10249999999999999</v>
      </c>
      <c r="F36" s="43">
        <v>0.48</v>
      </c>
      <c r="G36" s="43">
        <v>0.40500000000000003</v>
      </c>
      <c r="H36" s="43">
        <v>1.2500000000000001E-2</v>
      </c>
      <c r="I36" s="44">
        <v>53.59</v>
      </c>
    </row>
    <row r="37" spans="1:28" x14ac:dyDescent="0.25">
      <c r="A37" s="41">
        <v>0.80382775119617222</v>
      </c>
      <c r="B37" s="41">
        <v>0.88988095238095233</v>
      </c>
      <c r="C37" s="41">
        <v>4.1666666666666664E-2</v>
      </c>
      <c r="D37" s="41">
        <v>6.5476190476190479E-2</v>
      </c>
      <c r="E37" s="43">
        <v>8.3732057416267949E-2</v>
      </c>
      <c r="F37" s="43">
        <v>0.50239234449760761</v>
      </c>
      <c r="G37" s="43">
        <v>0.4138755980861244</v>
      </c>
      <c r="H37" s="43">
        <v>0</v>
      </c>
      <c r="I37" s="44">
        <v>37.28708133971292</v>
      </c>
    </row>
    <row r="38" spans="1:28" x14ac:dyDescent="0.25">
      <c r="A38" s="41">
        <v>0.78708133971291872</v>
      </c>
      <c r="B38" s="41">
        <v>0.79939209726443772</v>
      </c>
      <c r="C38" s="41">
        <v>8.8145896656534953E-2</v>
      </c>
      <c r="D38" s="41">
        <v>0.10638297872340426</v>
      </c>
      <c r="E38" s="43">
        <v>0.1674641148325359</v>
      </c>
      <c r="F38" s="43">
        <v>0.45454545454545453</v>
      </c>
      <c r="G38" s="43">
        <v>0.37799043062200954</v>
      </c>
      <c r="H38" s="43">
        <v>0</v>
      </c>
      <c r="I38" s="44">
        <v>24.157894736842106</v>
      </c>
    </row>
    <row r="39" spans="1:28" x14ac:dyDescent="0.25">
      <c r="A39" s="41">
        <v>0.7466666666666667</v>
      </c>
      <c r="B39" s="41">
        <v>0.62202380952380953</v>
      </c>
      <c r="C39" s="41">
        <v>6.25E-2</v>
      </c>
      <c r="D39" s="41">
        <v>0.26488095238095238</v>
      </c>
      <c r="E39" s="43">
        <v>0.23555555555555555</v>
      </c>
      <c r="F39" s="43">
        <v>0.44888888888888889</v>
      </c>
      <c r="G39" s="43">
        <v>0.29333333333333333</v>
      </c>
      <c r="H39" s="43">
        <v>2.2222222222222223E-2</v>
      </c>
      <c r="I39" s="44">
        <v>63.855555555555554</v>
      </c>
    </row>
    <row r="40" spans="1:28" x14ac:dyDescent="0.25">
      <c r="A40" s="41">
        <v>0.86291739894551844</v>
      </c>
      <c r="B40" s="41">
        <v>0.77596741344195519</v>
      </c>
      <c r="C40" s="41">
        <v>7.128309572301425E-2</v>
      </c>
      <c r="D40" s="41">
        <v>0.13645621181262729</v>
      </c>
      <c r="E40" s="43">
        <v>0.15641476274165203</v>
      </c>
      <c r="F40" s="43">
        <v>0.5061511423550088</v>
      </c>
      <c r="G40" s="43">
        <v>0.33040421792618629</v>
      </c>
      <c r="H40" s="43">
        <v>7.0298769771528994E-3</v>
      </c>
      <c r="I40" s="44">
        <v>48.945518453427063</v>
      </c>
    </row>
    <row r="41" spans="1:28" x14ac:dyDescent="0.25">
      <c r="A41" s="41">
        <v>0.79261862917398951</v>
      </c>
      <c r="B41" s="41">
        <v>0.73835920177383596</v>
      </c>
      <c r="C41" s="41">
        <v>0.10643015521064302</v>
      </c>
      <c r="D41" s="41">
        <v>0.14855875831485588</v>
      </c>
      <c r="E41" s="43">
        <v>0.23198594024604569</v>
      </c>
      <c r="F41" s="43">
        <v>0.43760984182776802</v>
      </c>
      <c r="G41" s="43">
        <v>0.32688927943760981</v>
      </c>
      <c r="H41" s="43">
        <v>3.5149384885764497E-3</v>
      </c>
      <c r="I41" s="44">
        <v>37.328646748681898</v>
      </c>
      <c r="K41" t="s">
        <v>394</v>
      </c>
      <c r="T41" t="s">
        <v>397</v>
      </c>
    </row>
    <row r="42" spans="1:28" x14ac:dyDescent="0.25">
      <c r="A42" s="41">
        <v>0.78207381370826012</v>
      </c>
      <c r="B42" s="41">
        <v>0.72584269662921352</v>
      </c>
      <c r="C42" s="41">
        <v>0.15730337078651685</v>
      </c>
      <c r="D42" s="41">
        <v>0.10337078651685393</v>
      </c>
      <c r="E42" s="43">
        <v>0.25483304042179261</v>
      </c>
      <c r="F42" s="43">
        <v>0.4024604569420035</v>
      </c>
      <c r="G42" s="43">
        <v>0.34094903339191562</v>
      </c>
      <c r="H42" s="43">
        <v>1.7574692442882249E-3</v>
      </c>
      <c r="I42" s="44">
        <v>25.022847100175746</v>
      </c>
    </row>
    <row r="43" spans="1:28" x14ac:dyDescent="0.25">
      <c r="A43" s="41">
        <v>0.66888888888888887</v>
      </c>
      <c r="B43" s="41">
        <v>0.78073089700996678</v>
      </c>
      <c r="C43" s="41">
        <v>2.3255813953488372E-2</v>
      </c>
      <c r="D43" s="41">
        <v>0.15946843853820597</v>
      </c>
      <c r="E43" s="43">
        <v>5.3333333333333337E-2</v>
      </c>
      <c r="F43" s="43">
        <v>0.78888888888888886</v>
      </c>
      <c r="G43" s="43">
        <v>0.15333333333333332</v>
      </c>
      <c r="H43" s="43">
        <v>4.4444444444444444E-3</v>
      </c>
      <c r="I43" s="44">
        <v>69.353333333333339</v>
      </c>
    </row>
    <row r="44" spans="1:28" x14ac:dyDescent="0.25">
      <c r="A44" s="41">
        <v>0.81555555555555559</v>
      </c>
      <c r="B44" s="41">
        <v>0.82561307901907355</v>
      </c>
      <c r="C44" s="41">
        <v>3.2697547683923703E-2</v>
      </c>
      <c r="D44" s="41">
        <v>0.13623978201634879</v>
      </c>
      <c r="E44" s="43">
        <v>0.10444444444444445</v>
      </c>
      <c r="F44" s="43">
        <v>0.67777777777777781</v>
      </c>
      <c r="G44" s="43">
        <v>0.21111111111111111</v>
      </c>
      <c r="H44" s="43">
        <v>6.6666666666666671E-3</v>
      </c>
      <c r="I44" s="44">
        <v>55.453333333333333</v>
      </c>
    </row>
    <row r="45" spans="1:28" x14ac:dyDescent="0.25">
      <c r="A45" s="41">
        <v>0.78600269179004034</v>
      </c>
      <c r="B45" s="41">
        <v>0.84931506849315064</v>
      </c>
      <c r="C45" s="41">
        <v>7.8767123287671229E-2</v>
      </c>
      <c r="D45" s="41">
        <v>6.1643835616438353E-2</v>
      </c>
      <c r="E45" s="43">
        <v>0.12382234185733512</v>
      </c>
      <c r="F45" s="43">
        <v>0.55181695827725441</v>
      </c>
      <c r="G45" s="43">
        <v>0.32166890982503366</v>
      </c>
      <c r="H45" s="43">
        <v>2.6917900403768506E-3</v>
      </c>
      <c r="I45" s="44">
        <v>40.495289367429343</v>
      </c>
    </row>
    <row r="46" spans="1:28" x14ac:dyDescent="0.25">
      <c r="A46" s="41">
        <v>0.7876344086021505</v>
      </c>
      <c r="B46" s="41">
        <v>0.7696245733788396</v>
      </c>
      <c r="C46" s="41">
        <v>0.15187713310580206</v>
      </c>
      <c r="D46" s="41">
        <v>5.6313993174061432E-2</v>
      </c>
      <c r="E46" s="43">
        <v>0.22715053763440859</v>
      </c>
      <c r="F46" s="43">
        <v>0.41263440860215056</v>
      </c>
      <c r="G46" s="43">
        <v>0.35618279569892475</v>
      </c>
      <c r="H46" s="43">
        <v>4.0322580645161289E-3</v>
      </c>
      <c r="I46" s="44">
        <v>24.587365591397848</v>
      </c>
      <c r="S46" s="30">
        <f>0.0478+0.7765</f>
        <v>0.82429999999999992</v>
      </c>
      <c r="AB46" s="30">
        <f>0.3654+0.5199</f>
        <v>0.88529999999999998</v>
      </c>
    </row>
    <row r="47" spans="1:28" x14ac:dyDescent="0.25">
      <c r="A47" s="41">
        <v>0.81555555555555559</v>
      </c>
      <c r="B47" s="41">
        <v>0.1226158038147139</v>
      </c>
      <c r="C47" s="41">
        <v>0.16621253405994552</v>
      </c>
      <c r="D47" s="41">
        <v>0.69482288828337879</v>
      </c>
      <c r="E47" s="43">
        <v>0.87777777777777777</v>
      </c>
      <c r="F47" s="43">
        <v>3.111111111111111E-2</v>
      </c>
      <c r="G47" s="43">
        <v>6.8888888888888888E-2</v>
      </c>
      <c r="H47" s="43">
        <v>2.2222222222222223E-2</v>
      </c>
      <c r="I47" s="44">
        <v>62.111111111111114</v>
      </c>
    </row>
    <row r="48" spans="1:28" x14ac:dyDescent="0.25">
      <c r="A48" s="41">
        <v>0.82640144665461124</v>
      </c>
      <c r="B48" s="41">
        <v>0.22538293216630198</v>
      </c>
      <c r="C48" s="41">
        <v>0.32166301969365424</v>
      </c>
      <c r="D48" s="41">
        <v>0.42231947483588622</v>
      </c>
      <c r="E48" s="43">
        <v>0.76672694394213381</v>
      </c>
      <c r="F48" s="43">
        <v>0.10126582278481013</v>
      </c>
      <c r="G48" s="43">
        <v>7.5949367088607597E-2</v>
      </c>
      <c r="H48" s="43">
        <v>5.6057866184448461E-2</v>
      </c>
      <c r="I48" s="44">
        <v>46.634719710669074</v>
      </c>
    </row>
    <row r="49" spans="1:9" x14ac:dyDescent="0.25">
      <c r="A49" s="41">
        <v>0.81193490054249551</v>
      </c>
      <c r="B49" s="41">
        <v>0.22717149220489977</v>
      </c>
      <c r="C49" s="41">
        <v>0.38975501113585748</v>
      </c>
      <c r="D49" s="41">
        <v>0.37416481069042318</v>
      </c>
      <c r="E49" s="43">
        <v>0.83363471971066905</v>
      </c>
      <c r="F49" s="43">
        <v>7.5949367088607597E-2</v>
      </c>
      <c r="G49" s="43">
        <v>6.50994575045208E-2</v>
      </c>
      <c r="H49" s="43">
        <v>2.5316455696202531E-2</v>
      </c>
      <c r="I49" s="44">
        <v>31.78119349005425</v>
      </c>
    </row>
    <row r="50" spans="1:9" x14ac:dyDescent="0.25">
      <c r="A50" s="41">
        <v>0.85225225225225221</v>
      </c>
      <c r="B50" s="41">
        <v>0.21987315010570824</v>
      </c>
      <c r="C50" s="41">
        <v>0.49682875264270615</v>
      </c>
      <c r="D50" s="41">
        <v>0.27695560253699791</v>
      </c>
      <c r="E50" s="43">
        <v>0.8666666666666667</v>
      </c>
      <c r="F50" s="43">
        <v>5.4054054054054057E-2</v>
      </c>
      <c r="G50" s="43">
        <v>7.9279279279279274E-2</v>
      </c>
      <c r="H50" s="43">
        <v>0</v>
      </c>
      <c r="I50" s="44">
        <v>22.272072072072071</v>
      </c>
    </row>
    <row r="51" spans="1:9" x14ac:dyDescent="0.25">
      <c r="A51" s="41">
        <v>0.70666666666666667</v>
      </c>
      <c r="B51" s="41">
        <v>0.57232704402515722</v>
      </c>
      <c r="C51" s="41">
        <v>0.20125786163522014</v>
      </c>
      <c r="D51" s="41">
        <v>0.16037735849056603</v>
      </c>
      <c r="E51" s="43">
        <v>0.36444444444444446</v>
      </c>
      <c r="F51" s="43">
        <v>0.18888888888888888</v>
      </c>
      <c r="G51" s="43">
        <v>0.43555555555555553</v>
      </c>
      <c r="H51" s="43">
        <v>1.1111111111111112E-2</v>
      </c>
      <c r="I51" s="44">
        <v>65.448888888888888</v>
      </c>
    </row>
    <row r="52" spans="1:9" x14ac:dyDescent="0.25">
      <c r="A52" s="41">
        <v>0.83777777777777773</v>
      </c>
      <c r="B52" s="41">
        <v>0.53846153846153844</v>
      </c>
      <c r="C52" s="41">
        <v>0.3156498673740053</v>
      </c>
      <c r="D52" s="41">
        <v>0.1273209549071618</v>
      </c>
      <c r="E52" s="43">
        <v>0.47333333333333333</v>
      </c>
      <c r="F52" s="43">
        <v>0.18</v>
      </c>
      <c r="G52" s="43">
        <v>0.33111111111111113</v>
      </c>
      <c r="H52" s="43">
        <v>1.5555555555555555E-2</v>
      </c>
      <c r="I52" s="44">
        <v>54.37777777777778</v>
      </c>
    </row>
    <row r="53" spans="1:9" x14ac:dyDescent="0.25">
      <c r="A53" s="41">
        <v>0.81021897810218979</v>
      </c>
      <c r="B53" s="41">
        <v>0.51711711711711716</v>
      </c>
      <c r="C53" s="41">
        <v>0.36756756756756759</v>
      </c>
      <c r="D53" s="41">
        <v>9.3693693693693694E-2</v>
      </c>
      <c r="E53" s="43">
        <v>0.53868613138686128</v>
      </c>
      <c r="F53" s="43">
        <v>0.12554744525547445</v>
      </c>
      <c r="G53" s="43">
        <v>0.31532846715328466</v>
      </c>
      <c r="H53" s="43">
        <v>2.0437956204379562E-2</v>
      </c>
      <c r="I53" s="44">
        <v>45.268613138686135</v>
      </c>
    </row>
    <row r="54" spans="1:9" x14ac:dyDescent="0.25">
      <c r="A54" s="41">
        <v>0.74452554744525545</v>
      </c>
      <c r="B54" s="41">
        <v>0.53921568627450978</v>
      </c>
      <c r="C54" s="41">
        <v>0.34509803921568627</v>
      </c>
      <c r="D54" s="41">
        <v>9.6078431372549025E-2</v>
      </c>
      <c r="E54" s="43">
        <v>0.54598540145985397</v>
      </c>
      <c r="F54" s="43">
        <v>0.15474452554744525</v>
      </c>
      <c r="G54" s="43">
        <v>0.28467153284671531</v>
      </c>
      <c r="H54" s="43">
        <v>1.4598540145985401E-2</v>
      </c>
      <c r="I54" s="44">
        <v>36.801459854014595</v>
      </c>
    </row>
    <row r="55" spans="1:9" x14ac:dyDescent="0.25">
      <c r="A55" s="41">
        <v>0.75036496350364967</v>
      </c>
      <c r="B55" s="41">
        <v>0.56809338521400776</v>
      </c>
      <c r="C55" s="41">
        <v>0.33073929961089493</v>
      </c>
      <c r="D55" s="41">
        <v>7.9766536964980539E-2</v>
      </c>
      <c r="E55" s="43">
        <v>0.63065693430656933</v>
      </c>
      <c r="F55" s="43">
        <v>0.10948905109489052</v>
      </c>
      <c r="G55" s="43">
        <v>0.25255474452554744</v>
      </c>
      <c r="H55" s="43">
        <v>7.2992700729927005E-3</v>
      </c>
      <c r="I55" s="44">
        <v>28.446715328467153</v>
      </c>
    </row>
    <row r="56" spans="1:9" x14ac:dyDescent="0.25">
      <c r="A56" s="41">
        <v>0.82481751824817517</v>
      </c>
      <c r="B56" s="41">
        <v>0.53805309734513274</v>
      </c>
      <c r="C56" s="41">
        <v>0.36460176991150445</v>
      </c>
      <c r="D56" s="41">
        <v>7.9646017699115043E-2</v>
      </c>
      <c r="E56" s="43">
        <v>0.66277372262773726</v>
      </c>
      <c r="F56" s="43">
        <v>9.7810218978102187E-2</v>
      </c>
      <c r="G56" s="43">
        <v>0.23941605839416058</v>
      </c>
      <c r="H56" s="43">
        <v>0</v>
      </c>
      <c r="I56" s="44">
        <v>23.15182481751825</v>
      </c>
    </row>
    <row r="57" spans="1:9" x14ac:dyDescent="0.25">
      <c r="A57" s="41">
        <v>0.82481751824817517</v>
      </c>
      <c r="B57" s="41">
        <v>0.38938053097345132</v>
      </c>
      <c r="C57" s="41">
        <v>0.49734513274336284</v>
      </c>
      <c r="D57" s="41">
        <v>9.7345132743362831E-2</v>
      </c>
      <c r="E57" s="43">
        <v>0.76496350364963506</v>
      </c>
      <c r="F57" s="43">
        <v>7.7372262773722625E-2</v>
      </c>
      <c r="G57" s="43">
        <v>0.15474452554744525</v>
      </c>
      <c r="H57" s="43">
        <v>2.9197080291970801E-3</v>
      </c>
      <c r="I57" s="44">
        <v>19.439416058394162</v>
      </c>
    </row>
    <row r="58" spans="1:9" x14ac:dyDescent="0.25">
      <c r="A58" s="41">
        <v>0.78</v>
      </c>
      <c r="B58" s="41">
        <v>0.4985754985754986</v>
      </c>
      <c r="C58" s="41">
        <v>0.27635327635327633</v>
      </c>
      <c r="D58" s="41">
        <v>0.17663817663817663</v>
      </c>
      <c r="E58" s="43">
        <v>0.5</v>
      </c>
      <c r="F58" s="43">
        <v>0.18222222222222223</v>
      </c>
      <c r="G58" s="43">
        <v>0.29777777777777775</v>
      </c>
      <c r="H58" s="43">
        <v>0.02</v>
      </c>
      <c r="I58" s="44">
        <v>62.673333333333332</v>
      </c>
    </row>
    <row r="59" spans="1:9" x14ac:dyDescent="0.25">
      <c r="A59" s="41">
        <v>0.83333333333333337</v>
      </c>
      <c r="B59" s="41">
        <v>0.48533333333333334</v>
      </c>
      <c r="C59" s="41">
        <v>0.28799999999999998</v>
      </c>
      <c r="D59" s="41">
        <v>0.19466666666666665</v>
      </c>
      <c r="E59" s="43">
        <v>0.52888888888888885</v>
      </c>
      <c r="F59" s="43">
        <v>0.19777777777777777</v>
      </c>
      <c r="G59" s="43">
        <v>0.26</v>
      </c>
      <c r="H59" s="43">
        <v>1.3333333333333334E-2</v>
      </c>
      <c r="I59" s="44">
        <v>56.404444444444444</v>
      </c>
    </row>
    <row r="60" spans="1:9" x14ac:dyDescent="0.25">
      <c r="A60" s="41">
        <v>0.779020979020979</v>
      </c>
      <c r="B60" s="41">
        <v>0.54039497307001794</v>
      </c>
      <c r="C60" s="41">
        <v>0.31418312387791741</v>
      </c>
      <c r="D60" s="41">
        <v>0.12567324955116696</v>
      </c>
      <c r="E60" s="43">
        <v>0.50909090909090904</v>
      </c>
      <c r="F60" s="43">
        <v>0.19300699300699301</v>
      </c>
      <c r="G60" s="43">
        <v>0.28111888111888111</v>
      </c>
      <c r="H60" s="43">
        <v>1.6783216783216783E-2</v>
      </c>
      <c r="I60" s="44">
        <v>48.485314685314684</v>
      </c>
    </row>
    <row r="61" spans="1:9" x14ac:dyDescent="0.25">
      <c r="A61" s="41">
        <v>0.779020979020979</v>
      </c>
      <c r="B61" s="41">
        <v>0.53321364452423703</v>
      </c>
      <c r="C61" s="41">
        <v>0.33931777378815081</v>
      </c>
      <c r="D61" s="41">
        <v>9.8743267504488336E-2</v>
      </c>
      <c r="E61" s="43">
        <v>0.54405594405594404</v>
      </c>
      <c r="F61" s="43">
        <v>0.11888111888111888</v>
      </c>
      <c r="G61" s="43">
        <v>0.31888111888111886</v>
      </c>
      <c r="H61" s="43">
        <v>1.8181818181818181E-2</v>
      </c>
      <c r="I61" s="44">
        <v>40.158041958041956</v>
      </c>
    </row>
    <row r="62" spans="1:9" x14ac:dyDescent="0.25">
      <c r="A62" s="41">
        <v>0.72727272727272729</v>
      </c>
      <c r="B62" s="41">
        <v>0.52115384615384619</v>
      </c>
      <c r="C62" s="41">
        <v>0.37307692307692308</v>
      </c>
      <c r="D62" s="41">
        <v>7.8846153846153844E-2</v>
      </c>
      <c r="E62" s="43">
        <v>0.62937062937062938</v>
      </c>
      <c r="F62" s="43">
        <v>0.1048951048951049</v>
      </c>
      <c r="G62" s="43">
        <v>0.25174825174825177</v>
      </c>
      <c r="H62" s="43">
        <v>1.3986013986013986E-2</v>
      </c>
      <c r="I62" s="44">
        <v>33.229370629370628</v>
      </c>
    </row>
    <row r="63" spans="1:9" x14ac:dyDescent="0.25">
      <c r="A63" s="41">
        <v>0.77342657342657339</v>
      </c>
      <c r="B63" s="41">
        <v>0.51537070524412298</v>
      </c>
      <c r="C63" s="41">
        <v>0.36708860759493672</v>
      </c>
      <c r="D63" s="41">
        <v>0.10307414104882459</v>
      </c>
      <c r="E63" s="43">
        <v>0.6685314685314685</v>
      </c>
      <c r="F63" s="43">
        <v>9.5104895104895101E-2</v>
      </c>
      <c r="G63" s="43">
        <v>0.23496503496503496</v>
      </c>
      <c r="H63" s="43">
        <v>1.3986013986013986E-3</v>
      </c>
      <c r="I63" s="44">
        <v>27.935664335664335</v>
      </c>
    </row>
    <row r="64" spans="1:9" x14ac:dyDescent="0.25">
      <c r="A64" s="41">
        <v>0.81284916201117319</v>
      </c>
      <c r="B64" s="41">
        <v>0.49828178694158076</v>
      </c>
      <c r="C64" s="41">
        <v>0.36597938144329895</v>
      </c>
      <c r="D64" s="41">
        <v>0.12371134020618557</v>
      </c>
      <c r="E64" s="43">
        <v>0.73463687150837986</v>
      </c>
      <c r="F64" s="43">
        <v>6.4245810055865923E-2</v>
      </c>
      <c r="G64" s="43">
        <v>0.2011173184357542</v>
      </c>
      <c r="H64" s="43">
        <v>0</v>
      </c>
      <c r="I64" s="44">
        <v>23.673184357541899</v>
      </c>
    </row>
    <row r="65" spans="1:9" x14ac:dyDescent="0.25">
      <c r="A65" s="41">
        <v>0.82960893854748607</v>
      </c>
      <c r="B65" s="41">
        <v>0.43771043771043772</v>
      </c>
      <c r="C65" s="41">
        <v>0.43434343434343436</v>
      </c>
      <c r="D65" s="41">
        <v>0.1026936026936027</v>
      </c>
      <c r="E65" s="43">
        <v>0.76117318435754189</v>
      </c>
      <c r="F65" s="43">
        <v>5.4469273743016758E-2</v>
      </c>
      <c r="G65" s="43">
        <v>0.18435754189944134</v>
      </c>
      <c r="H65" s="43">
        <v>0</v>
      </c>
      <c r="I65" s="44">
        <v>19.773743016759777</v>
      </c>
    </row>
    <row r="66" spans="1:9" x14ac:dyDescent="0.25">
      <c r="A66" s="41">
        <v>0.80666666666666664</v>
      </c>
      <c r="B66" s="41">
        <v>0.58677685950413228</v>
      </c>
      <c r="C66" s="41">
        <v>0.2231404958677686</v>
      </c>
      <c r="D66" s="41">
        <v>0.17079889807162535</v>
      </c>
      <c r="E66" s="43">
        <v>0.46888888888888891</v>
      </c>
      <c r="F66" s="43">
        <v>0.28444444444444444</v>
      </c>
      <c r="G66" s="43">
        <v>0.2311111111111111</v>
      </c>
      <c r="H66" s="43">
        <v>1.5555555555555555E-2</v>
      </c>
      <c r="I66" s="44">
        <v>61.515555555555558</v>
      </c>
    </row>
    <row r="67" spans="1:9" x14ac:dyDescent="0.25">
      <c r="A67" s="41">
        <v>0.83137829912023464</v>
      </c>
      <c r="B67" s="41">
        <v>0.53262786596119926</v>
      </c>
      <c r="C67" s="41">
        <v>0.35449735449735448</v>
      </c>
      <c r="D67" s="41">
        <v>8.8183421516754845E-2</v>
      </c>
      <c r="E67" s="43">
        <v>0.51466275659824046</v>
      </c>
      <c r="F67" s="43">
        <v>0.26392961876832843</v>
      </c>
      <c r="G67" s="43">
        <v>0.19941348973607037</v>
      </c>
      <c r="H67" s="43">
        <v>2.1994134897360705E-2</v>
      </c>
      <c r="I67" s="44">
        <v>50.112903225806448</v>
      </c>
    </row>
    <row r="68" spans="1:9" x14ac:dyDescent="0.25">
      <c r="A68" s="41">
        <v>0.74633431085043989</v>
      </c>
      <c r="B68" s="41">
        <v>0.57760314341846763</v>
      </c>
      <c r="C68" s="41">
        <v>0.32416502946954812</v>
      </c>
      <c r="D68" s="41">
        <v>8.0550098231827114E-2</v>
      </c>
      <c r="E68" s="43">
        <v>0.51466275659824046</v>
      </c>
      <c r="F68" s="43">
        <v>0.26979472140762462</v>
      </c>
      <c r="G68" s="43">
        <v>0.20381231671554254</v>
      </c>
      <c r="H68" s="43">
        <v>1.1730205278592375E-2</v>
      </c>
      <c r="I68" s="44">
        <v>39.995601173020525</v>
      </c>
    </row>
    <row r="69" spans="1:9" x14ac:dyDescent="0.25">
      <c r="A69" s="41">
        <v>0.72580645161290325</v>
      </c>
      <c r="B69" s="41">
        <v>0.5757575757575758</v>
      </c>
      <c r="C69" s="41">
        <v>0.32727272727272727</v>
      </c>
      <c r="D69" s="41">
        <v>7.8787878787878782E-2</v>
      </c>
      <c r="E69" s="43">
        <v>0.55425219941348969</v>
      </c>
      <c r="F69" s="43">
        <v>0.26686217008797652</v>
      </c>
      <c r="G69" s="43">
        <v>0.17008797653958943</v>
      </c>
      <c r="H69" s="43">
        <v>8.7976539589442824E-3</v>
      </c>
      <c r="I69" s="44">
        <v>31.227272727272727</v>
      </c>
    </row>
    <row r="70" spans="1:9" x14ac:dyDescent="0.25">
      <c r="A70" s="41">
        <v>0.75366568914956011</v>
      </c>
      <c r="B70" s="41">
        <v>0.63229571984435795</v>
      </c>
      <c r="C70" s="41">
        <v>0.27042801556420232</v>
      </c>
      <c r="D70" s="41">
        <v>8.171206225680934E-2</v>
      </c>
      <c r="E70" s="43">
        <v>0.59677419354838712</v>
      </c>
      <c r="F70" s="43">
        <v>0.24340175953079179</v>
      </c>
      <c r="G70" s="43">
        <v>0.15689149560117302</v>
      </c>
      <c r="H70" s="43">
        <v>2.9325513196480938E-3</v>
      </c>
      <c r="I70" s="44">
        <v>26.067448680351905</v>
      </c>
    </row>
    <row r="71" spans="1:9" x14ac:dyDescent="0.25">
      <c r="A71" s="41">
        <v>0.82258064516129037</v>
      </c>
      <c r="B71" s="41">
        <v>0.59001782531194291</v>
      </c>
      <c r="C71" s="41">
        <v>0.32976827094474154</v>
      </c>
      <c r="D71" s="41">
        <v>6.5953654188948302E-2</v>
      </c>
      <c r="E71" s="43">
        <v>0.63049853372434017</v>
      </c>
      <c r="F71" s="43">
        <v>0.23753665689149561</v>
      </c>
      <c r="G71" s="43">
        <v>0.13196480938416422</v>
      </c>
      <c r="H71" s="43">
        <v>0</v>
      </c>
      <c r="I71" s="44">
        <v>22.439882697947215</v>
      </c>
    </row>
    <row r="72" spans="1:9" x14ac:dyDescent="0.25">
      <c r="A72" s="41">
        <v>0.83333333333333337</v>
      </c>
      <c r="B72" s="41">
        <v>0.52982456140350875</v>
      </c>
      <c r="C72" s="41">
        <v>0.4</v>
      </c>
      <c r="D72" s="41">
        <v>5.9649122807017542E-2</v>
      </c>
      <c r="E72" s="43">
        <v>0.66812865497076024</v>
      </c>
      <c r="F72" s="43">
        <v>0.20175438596491227</v>
      </c>
      <c r="G72" s="43">
        <v>0.12573099415204678</v>
      </c>
      <c r="H72" s="43">
        <v>4.3859649122807015E-3</v>
      </c>
      <c r="I72" s="44">
        <v>19.345029239766081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217A0-BE2A-4BD5-AE57-A5C75F3DFD38}">
  <dimension ref="A1:AB45"/>
  <sheetViews>
    <sheetView workbookViewId="0">
      <pane xSplit="4" ySplit="1" topLeftCell="K35" activePane="bottomRight" state="frozen"/>
      <selection pane="topRight" activeCell="E1" sqref="E1"/>
      <selection pane="bottomLeft" activeCell="A2" sqref="A2"/>
      <selection pane="bottomRight" activeCell="AB45" sqref="AB45"/>
    </sheetView>
  </sheetViews>
  <sheetFormatPr defaultRowHeight="13.2" x14ac:dyDescent="0.25"/>
  <cols>
    <col min="1" max="1" width="8.44140625" bestFit="1" customWidth="1"/>
    <col min="2" max="2" width="6" bestFit="1" customWidth="1"/>
    <col min="3" max="3" width="5" bestFit="1" customWidth="1"/>
    <col min="4" max="7" width="6" bestFit="1" customWidth="1"/>
    <col min="8" max="8" width="5" bestFit="1" customWidth="1"/>
    <col min="9" max="9" width="7.33203125" bestFit="1" customWidth="1"/>
  </cols>
  <sheetData>
    <row r="1" spans="1:28" x14ac:dyDescent="0.25">
      <c r="A1" s="22" t="s">
        <v>378</v>
      </c>
      <c r="B1" s="22" t="s">
        <v>259</v>
      </c>
      <c r="C1" s="22" t="s">
        <v>260</v>
      </c>
      <c r="D1" s="22" t="s">
        <v>261</v>
      </c>
      <c r="E1" s="22" t="s">
        <v>368</v>
      </c>
      <c r="F1" s="22" t="s">
        <v>369</v>
      </c>
      <c r="G1" s="22" t="s">
        <v>370</v>
      </c>
      <c r="H1" s="22" t="s">
        <v>371</v>
      </c>
      <c r="I1" s="22" t="s">
        <v>372</v>
      </c>
    </row>
    <row r="2" spans="1:28" x14ac:dyDescent="0.25">
      <c r="A2" s="34">
        <v>0.68888888888888888</v>
      </c>
      <c r="B2" s="34">
        <v>0.75806451612903225</v>
      </c>
      <c r="C2" s="34">
        <v>2.5806451612903226E-2</v>
      </c>
      <c r="D2" s="34">
        <v>0.16451612903225807</v>
      </c>
      <c r="E2" s="36">
        <v>0.10444444444444445</v>
      </c>
      <c r="F2" s="36">
        <v>0.49333333333333335</v>
      </c>
      <c r="G2" s="36">
        <v>0.36888888888888888</v>
      </c>
      <c r="H2" s="36">
        <v>3.3333333333333333E-2</v>
      </c>
      <c r="I2" s="37">
        <v>66.900000000000006</v>
      </c>
    </row>
    <row r="3" spans="1:28" x14ac:dyDescent="0.25">
      <c r="A3" s="34">
        <v>0.81555555555555559</v>
      </c>
      <c r="B3" s="34">
        <v>0.7438692098092643</v>
      </c>
      <c r="C3" s="34">
        <v>4.632152588555858E-2</v>
      </c>
      <c r="D3" s="34">
        <v>0.18256130790190736</v>
      </c>
      <c r="E3" s="36">
        <v>0.14000000000000001</v>
      </c>
      <c r="F3" s="36">
        <v>0.38</v>
      </c>
      <c r="G3" s="36">
        <v>0.43111111111111111</v>
      </c>
      <c r="H3" s="36">
        <v>4.8888888888888891E-2</v>
      </c>
      <c r="I3" s="37">
        <v>59.728888888888889</v>
      </c>
      <c r="K3" t="s">
        <v>392</v>
      </c>
      <c r="T3" t="s">
        <v>395</v>
      </c>
    </row>
    <row r="4" spans="1:28" x14ac:dyDescent="0.25">
      <c r="A4" s="34">
        <v>0.78239999999999998</v>
      </c>
      <c r="B4" s="34">
        <v>0.88139059304703471</v>
      </c>
      <c r="C4" s="34">
        <v>3.4764826175869123E-2</v>
      </c>
      <c r="D4" s="34">
        <v>7.3619631901840496E-2</v>
      </c>
      <c r="E4" s="36">
        <v>7.6799999999999993E-2</v>
      </c>
      <c r="F4" s="36">
        <v>0.49759999999999999</v>
      </c>
      <c r="G4" s="36">
        <v>0.38080000000000003</v>
      </c>
      <c r="H4" s="36">
        <v>4.48E-2</v>
      </c>
      <c r="I4" s="37">
        <v>50.776000000000003</v>
      </c>
    </row>
    <row r="5" spans="1:28" x14ac:dyDescent="0.25">
      <c r="A5" s="34">
        <v>0.76480000000000004</v>
      </c>
      <c r="B5" s="34">
        <v>0.87447698744769875</v>
      </c>
      <c r="C5" s="34">
        <v>3.1380753138075312E-2</v>
      </c>
      <c r="D5" s="34">
        <v>9.2050209205020925E-2</v>
      </c>
      <c r="E5" s="36">
        <v>6.5600000000000006E-2</v>
      </c>
      <c r="F5" s="36">
        <v>0.4864</v>
      </c>
      <c r="G5" s="36">
        <v>0.38080000000000003</v>
      </c>
      <c r="H5" s="36">
        <v>6.7199999999999996E-2</v>
      </c>
      <c r="I5" s="37">
        <v>42.887999999999998</v>
      </c>
    </row>
    <row r="6" spans="1:28" x14ac:dyDescent="0.25">
      <c r="A6" s="34">
        <v>0.75039999999999996</v>
      </c>
      <c r="B6" s="34">
        <v>0.84861407249466947</v>
      </c>
      <c r="C6" s="34">
        <v>4.6908315565031986E-2</v>
      </c>
      <c r="D6" s="34">
        <v>9.3816631130063971E-2</v>
      </c>
      <c r="E6" s="36">
        <v>8.9599999999999999E-2</v>
      </c>
      <c r="F6" s="36">
        <v>0.40639999999999998</v>
      </c>
      <c r="G6" s="36">
        <v>0.4304</v>
      </c>
      <c r="H6" s="36">
        <v>7.3599999999999999E-2</v>
      </c>
      <c r="I6" s="37">
        <v>36.1584</v>
      </c>
    </row>
    <row r="7" spans="1:28" x14ac:dyDescent="0.25">
      <c r="A7" s="34">
        <v>0.7248</v>
      </c>
      <c r="B7" s="34">
        <v>0.8123620309050773</v>
      </c>
      <c r="C7" s="34">
        <v>8.6092715231788075E-2</v>
      </c>
      <c r="D7" s="34">
        <v>0.10154525386313466</v>
      </c>
      <c r="E7" s="36">
        <v>0.18240000000000001</v>
      </c>
      <c r="F7" s="36">
        <v>0.3856</v>
      </c>
      <c r="G7" s="36">
        <v>0.41599999999999998</v>
      </c>
      <c r="H7" s="36">
        <v>1.6E-2</v>
      </c>
      <c r="I7" s="37">
        <v>29.52</v>
      </c>
    </row>
    <row r="8" spans="1:28" x14ac:dyDescent="0.25">
      <c r="A8" s="34">
        <v>0.77280000000000004</v>
      </c>
      <c r="B8" s="34">
        <v>0.81366459627329191</v>
      </c>
      <c r="C8" s="34">
        <v>9.5238095238095233E-2</v>
      </c>
      <c r="D8" s="34">
        <v>8.4886128364389232E-2</v>
      </c>
      <c r="E8" s="36">
        <v>0.20960000000000001</v>
      </c>
      <c r="F8" s="36">
        <v>0.36320000000000002</v>
      </c>
      <c r="G8" s="36">
        <v>0.41920000000000002</v>
      </c>
      <c r="H8" s="36">
        <v>8.0000000000000002E-3</v>
      </c>
      <c r="I8" s="37">
        <v>21.9968</v>
      </c>
      <c r="S8" s="30">
        <f>0.2224+0.7215</f>
        <v>0.94389999999999996</v>
      </c>
      <c r="AB8" s="30">
        <f>-0.5726+0.9232</f>
        <v>0.35060000000000002</v>
      </c>
    </row>
    <row r="9" spans="1:28" x14ac:dyDescent="0.25">
      <c r="A9" s="34">
        <v>0.55111111111111111</v>
      </c>
      <c r="B9" s="34">
        <v>0.87903225806451613</v>
      </c>
      <c r="C9" s="34">
        <v>2.8225806451612902E-2</v>
      </c>
      <c r="D9" s="34">
        <v>6.4516129032258063E-2</v>
      </c>
      <c r="E9" s="36">
        <v>8.8888888888888889E-3</v>
      </c>
      <c r="F9" s="36">
        <v>0.77111111111111108</v>
      </c>
      <c r="G9" s="36">
        <v>0.21777777777777776</v>
      </c>
      <c r="H9" s="36">
        <v>2.2222222222222222E-3</v>
      </c>
      <c r="I9" s="37">
        <v>75.691111111111113</v>
      </c>
    </row>
    <row r="10" spans="1:28" x14ac:dyDescent="0.25">
      <c r="A10" s="34">
        <v>0.76888888888888884</v>
      </c>
      <c r="B10" s="34">
        <v>0.90462427745664742</v>
      </c>
      <c r="C10" s="34">
        <v>8.670520231213872E-3</v>
      </c>
      <c r="D10" s="34">
        <v>7.2254335260115612E-2</v>
      </c>
      <c r="E10" s="36">
        <v>4.4444444444444444E-3</v>
      </c>
      <c r="F10" s="36">
        <v>0.74888888888888894</v>
      </c>
      <c r="G10" s="36">
        <v>0.24444444444444444</v>
      </c>
      <c r="H10" s="36">
        <v>2.2222222222222222E-3</v>
      </c>
      <c r="I10" s="37">
        <v>68.968888888888884</v>
      </c>
    </row>
    <row r="11" spans="1:28" x14ac:dyDescent="0.25">
      <c r="A11" s="34">
        <v>0.81333333333333335</v>
      </c>
      <c r="B11" s="34">
        <v>0.89344262295081966</v>
      </c>
      <c r="C11" s="34">
        <v>1.092896174863388E-2</v>
      </c>
      <c r="D11" s="34">
        <v>6.5573770491803282E-2</v>
      </c>
      <c r="E11" s="36">
        <v>1.5555555555555555E-2</v>
      </c>
      <c r="F11" s="36">
        <v>0.77777777777777779</v>
      </c>
      <c r="G11" s="36">
        <v>0.20444444444444446</v>
      </c>
      <c r="H11" s="36">
        <v>2.2222222222222222E-3</v>
      </c>
      <c r="I11" s="37">
        <v>62.184444444444445</v>
      </c>
    </row>
    <row r="12" spans="1:28" x14ac:dyDescent="0.25">
      <c r="A12" s="34">
        <v>0.8353552859618717</v>
      </c>
      <c r="B12" s="34">
        <v>0.89211618257261416</v>
      </c>
      <c r="C12" s="34">
        <v>1.6597510373443983E-2</v>
      </c>
      <c r="D12" s="34">
        <v>7.2614107883817433E-2</v>
      </c>
      <c r="E12" s="36">
        <v>3.6395147313691506E-2</v>
      </c>
      <c r="F12" s="36">
        <v>0.74523396880415949</v>
      </c>
      <c r="G12" s="36">
        <v>0.21143847487001732</v>
      </c>
      <c r="H12" s="36">
        <v>6.9324090121317154E-3</v>
      </c>
      <c r="I12" s="37">
        <v>55.852686308492203</v>
      </c>
    </row>
    <row r="13" spans="1:28" x14ac:dyDescent="0.25">
      <c r="A13" s="34">
        <v>0.77989601386481799</v>
      </c>
      <c r="B13" s="34">
        <v>0.91555555555555557</v>
      </c>
      <c r="C13" s="34">
        <v>1.5555555555555555E-2</v>
      </c>
      <c r="D13" s="34">
        <v>6.222222222222222E-2</v>
      </c>
      <c r="E13" s="36">
        <v>4.5060658578856154E-2</v>
      </c>
      <c r="F13" s="36">
        <v>0.7365684575389948</v>
      </c>
      <c r="G13" s="36">
        <v>0.20623916811091855</v>
      </c>
      <c r="H13" s="36">
        <v>1.2131715771230503E-2</v>
      </c>
      <c r="I13" s="37">
        <v>48.802426343154245</v>
      </c>
    </row>
    <row r="14" spans="1:28" x14ac:dyDescent="0.25">
      <c r="A14" s="34">
        <v>0.75909878682842291</v>
      </c>
      <c r="B14" s="34">
        <v>0.9360730593607306</v>
      </c>
      <c r="C14" s="34">
        <v>1.8264840182648401E-2</v>
      </c>
      <c r="D14" s="34">
        <v>3.6529680365296802E-2</v>
      </c>
      <c r="E14" s="36">
        <v>2.4263431542461005E-2</v>
      </c>
      <c r="F14" s="36">
        <v>0.75216637781629114</v>
      </c>
      <c r="G14" s="36">
        <v>0.21837088388214904</v>
      </c>
      <c r="H14" s="36">
        <v>5.1993067590987872E-3</v>
      </c>
      <c r="I14" s="37">
        <v>42.133448873483538</v>
      </c>
    </row>
    <row r="15" spans="1:28" x14ac:dyDescent="0.25">
      <c r="A15" s="34">
        <v>0.69324090121317161</v>
      </c>
      <c r="B15" s="34">
        <v>0.92749999999999999</v>
      </c>
      <c r="C15" s="34">
        <v>2.2499999999999999E-2</v>
      </c>
      <c r="D15" s="34">
        <v>0.05</v>
      </c>
      <c r="E15" s="36">
        <v>6.2391681109185443E-2</v>
      </c>
      <c r="F15" s="36">
        <v>0.7036395147313691</v>
      </c>
      <c r="G15" s="36">
        <v>0.22876949740034663</v>
      </c>
      <c r="H15" s="36">
        <v>5.1993067590987872E-3</v>
      </c>
      <c r="I15" s="37">
        <v>36.048526863084923</v>
      </c>
    </row>
    <row r="16" spans="1:28" x14ac:dyDescent="0.25">
      <c r="A16" s="34">
        <v>0.66551126516464476</v>
      </c>
      <c r="B16" s="34">
        <v>0.90104166666666663</v>
      </c>
      <c r="C16" s="34">
        <v>3.6458333333333336E-2</v>
      </c>
      <c r="D16" s="34">
        <v>4.6875E-2</v>
      </c>
      <c r="E16" s="36">
        <v>6.9324090121317156E-2</v>
      </c>
      <c r="F16" s="36">
        <v>0.71057192374350087</v>
      </c>
      <c r="G16" s="36">
        <v>0.21663778162911612</v>
      </c>
      <c r="H16" s="36">
        <v>3.4662045060658577E-3</v>
      </c>
      <c r="I16" s="37">
        <v>29.535528596187174</v>
      </c>
    </row>
    <row r="17" spans="1:28" x14ac:dyDescent="0.25">
      <c r="A17" s="34">
        <v>0.79757785467128028</v>
      </c>
      <c r="B17" s="34">
        <v>0.93058568329718006</v>
      </c>
      <c r="C17" s="34">
        <v>1.5184381778741865E-2</v>
      </c>
      <c r="D17" s="34">
        <v>3.6876355748373099E-2</v>
      </c>
      <c r="E17" s="36">
        <v>5.0173010380622836E-2</v>
      </c>
      <c r="F17" s="36">
        <v>0.69377162629757783</v>
      </c>
      <c r="G17" s="36">
        <v>0.25259515570934254</v>
      </c>
      <c r="H17" s="36">
        <v>3.4602076124567475E-3</v>
      </c>
      <c r="I17" s="37">
        <v>22.044982698961938</v>
      </c>
    </row>
    <row r="18" spans="1:28" x14ac:dyDescent="0.25">
      <c r="A18" s="34">
        <v>0.54222222222222227</v>
      </c>
      <c r="B18" s="34">
        <v>0.86885245901639341</v>
      </c>
      <c r="C18" s="34">
        <v>2.4590163934426229E-2</v>
      </c>
      <c r="D18" s="34">
        <v>9.0163934426229511E-2</v>
      </c>
      <c r="E18" s="36">
        <v>1.7777777777777778E-2</v>
      </c>
      <c r="F18" s="36">
        <v>0.74444444444444446</v>
      </c>
      <c r="G18" s="36">
        <v>0.22</v>
      </c>
      <c r="H18" s="36">
        <v>1.7777777777777778E-2</v>
      </c>
      <c r="I18" s="37">
        <v>77.58</v>
      </c>
    </row>
    <row r="19" spans="1:28" x14ac:dyDescent="0.25">
      <c r="A19" s="34">
        <v>0.76666666666666672</v>
      </c>
      <c r="B19" s="34">
        <v>0.86376811594202896</v>
      </c>
      <c r="C19" s="34">
        <v>1.4492753623188406E-2</v>
      </c>
      <c r="D19" s="34">
        <v>8.1159420289855067E-2</v>
      </c>
      <c r="E19" s="36">
        <v>1.3333333333333334E-2</v>
      </c>
      <c r="F19" s="36">
        <v>0.76</v>
      </c>
      <c r="G19" s="36">
        <v>0.22</v>
      </c>
      <c r="H19" s="36">
        <v>6.6666666666666671E-3</v>
      </c>
      <c r="I19" s="37">
        <v>67.186666666666667</v>
      </c>
    </row>
    <row r="20" spans="1:28" x14ac:dyDescent="0.25">
      <c r="A20" s="34">
        <v>0.78222222222222226</v>
      </c>
      <c r="B20" s="34">
        <v>0.91761363636363635</v>
      </c>
      <c r="C20" s="34">
        <v>1.7045454545454544E-2</v>
      </c>
      <c r="D20" s="34">
        <v>5.113636363636364E-2</v>
      </c>
      <c r="E20" s="36">
        <v>6.6666666666666671E-3</v>
      </c>
      <c r="F20" s="36">
        <v>0.76</v>
      </c>
      <c r="G20" s="36">
        <v>0.23333333333333334</v>
      </c>
      <c r="H20" s="36">
        <v>0</v>
      </c>
      <c r="I20" s="37">
        <v>58.44</v>
      </c>
    </row>
    <row r="21" spans="1:28" x14ac:dyDescent="0.25">
      <c r="A21" s="34">
        <v>0.78125</v>
      </c>
      <c r="B21" s="34">
        <v>0.93333333333333335</v>
      </c>
      <c r="C21" s="34">
        <v>8.8888888888888889E-3</v>
      </c>
      <c r="D21" s="34">
        <v>5.3333333333333337E-2</v>
      </c>
      <c r="E21" s="36">
        <v>2.6041666666666668E-2</v>
      </c>
      <c r="F21" s="36">
        <v>0.80034722222222221</v>
      </c>
      <c r="G21" s="36">
        <v>0.16840277777777779</v>
      </c>
      <c r="H21" s="36">
        <v>5.208333333333333E-3</v>
      </c>
      <c r="I21" s="37">
        <v>46.246527777777779</v>
      </c>
    </row>
    <row r="22" spans="1:28" x14ac:dyDescent="0.25">
      <c r="A22" s="34">
        <v>0.75909878682842291</v>
      </c>
      <c r="B22" s="34">
        <v>0.91552511415525117</v>
      </c>
      <c r="C22" s="34">
        <v>3.4246575342465752E-2</v>
      </c>
      <c r="D22" s="34">
        <v>4.7945205479452052E-2</v>
      </c>
      <c r="E22" s="36">
        <v>5.7192374350086658E-2</v>
      </c>
      <c r="F22" s="36">
        <v>0.70537261698440212</v>
      </c>
      <c r="G22" s="36">
        <v>0.23223570190641249</v>
      </c>
      <c r="H22" s="36">
        <v>5.1993067590987872E-3</v>
      </c>
      <c r="I22" s="37">
        <v>29.759098786828424</v>
      </c>
      <c r="K22" t="s">
        <v>393</v>
      </c>
      <c r="T22" t="s">
        <v>396</v>
      </c>
    </row>
    <row r="23" spans="1:28" x14ac:dyDescent="0.25">
      <c r="A23" s="34">
        <v>0.6</v>
      </c>
      <c r="B23" s="34">
        <v>0.88518518518518519</v>
      </c>
      <c r="C23" s="34">
        <v>1.1111111111111112E-2</v>
      </c>
      <c r="D23" s="34">
        <v>8.5185185185185183E-2</v>
      </c>
      <c r="E23" s="36">
        <v>3.111111111111111E-2</v>
      </c>
      <c r="F23" s="36">
        <v>0.86444444444444446</v>
      </c>
      <c r="G23" s="36">
        <v>9.555555555555556E-2</v>
      </c>
      <c r="H23" s="36">
        <v>8.8888888888888889E-3</v>
      </c>
      <c r="I23" s="37">
        <v>74.63333333333334</v>
      </c>
    </row>
    <row r="24" spans="1:28" x14ac:dyDescent="0.25">
      <c r="A24" s="34">
        <v>0.76444444444444448</v>
      </c>
      <c r="B24" s="34">
        <v>0.88953488372093026</v>
      </c>
      <c r="C24" s="34">
        <v>1.4534883720930232E-2</v>
      </c>
      <c r="D24" s="34">
        <v>7.8488372093023256E-2</v>
      </c>
      <c r="E24" s="36">
        <v>0.02</v>
      </c>
      <c r="F24" s="36">
        <v>0.87111111111111106</v>
      </c>
      <c r="G24" s="36">
        <v>9.555555555555556E-2</v>
      </c>
      <c r="H24" s="36">
        <v>1.3333333333333334E-2</v>
      </c>
      <c r="I24" s="37">
        <v>68.271111111111111</v>
      </c>
    </row>
    <row r="25" spans="1:28" x14ac:dyDescent="0.25">
      <c r="A25" s="34">
        <v>0.78</v>
      </c>
      <c r="B25" s="34">
        <v>0.90313390313390318</v>
      </c>
      <c r="C25" s="34">
        <v>1.7094017094017096E-2</v>
      </c>
      <c r="D25" s="34">
        <v>5.6980056980056981E-2</v>
      </c>
      <c r="E25" s="36">
        <v>0.02</v>
      </c>
      <c r="F25" s="36">
        <v>0.82222222222222219</v>
      </c>
      <c r="G25" s="36">
        <v>0.15333333333333332</v>
      </c>
      <c r="H25" s="36">
        <v>4.4444444444444444E-3</v>
      </c>
      <c r="I25" s="37">
        <v>60.488888888888887</v>
      </c>
    </row>
    <row r="26" spans="1:28" x14ac:dyDescent="0.25">
      <c r="A26" s="34">
        <v>0.75450762829403606</v>
      </c>
      <c r="B26" s="34">
        <v>0.92647058823529416</v>
      </c>
      <c r="C26" s="34">
        <v>9.1911764705882356E-3</v>
      </c>
      <c r="D26" s="34">
        <v>5.6985294117647058E-2</v>
      </c>
      <c r="E26" s="36">
        <v>3.6061026352288486E-2</v>
      </c>
      <c r="F26" s="36">
        <v>0.76560332871012482</v>
      </c>
      <c r="G26" s="36">
        <v>0.1941747572815534</v>
      </c>
      <c r="H26" s="36">
        <v>4.160887656033287E-3</v>
      </c>
      <c r="I26" s="37">
        <v>51.08876560332871</v>
      </c>
      <c r="S26" s="30">
        <f>-0.1029+0.8079</f>
        <v>0.70499999999999996</v>
      </c>
      <c r="AB26" s="30">
        <f>0.189+0.7564</f>
        <v>0.94540000000000002</v>
      </c>
    </row>
    <row r="27" spans="1:28" x14ac:dyDescent="0.25">
      <c r="A27" s="34">
        <v>0.7434119278779473</v>
      </c>
      <c r="B27" s="34">
        <v>0.92910447761194026</v>
      </c>
      <c r="C27" s="34">
        <v>2.4253731343283583E-2</v>
      </c>
      <c r="D27" s="34">
        <v>4.2910447761194029E-2</v>
      </c>
      <c r="E27" s="36">
        <v>5.5478502080443831E-2</v>
      </c>
      <c r="F27" s="36">
        <v>0.78085991678224687</v>
      </c>
      <c r="G27" s="36">
        <v>0.15811373092926492</v>
      </c>
      <c r="H27" s="36">
        <v>5.5478502080443829E-3</v>
      </c>
      <c r="I27" s="37">
        <v>41.471567267683774</v>
      </c>
    </row>
    <row r="28" spans="1:28" x14ac:dyDescent="0.25">
      <c r="A28" s="34">
        <v>0.69902912621359226</v>
      </c>
      <c r="B28" s="34">
        <v>0.92063492063492058</v>
      </c>
      <c r="C28" s="34">
        <v>2.3809523809523808E-2</v>
      </c>
      <c r="D28" s="34">
        <v>5.3571428571428568E-2</v>
      </c>
      <c r="E28" s="36">
        <v>6.9348127600554782E-2</v>
      </c>
      <c r="F28" s="36">
        <v>0.75034674063800277</v>
      </c>
      <c r="G28" s="36">
        <v>0.17753120665742025</v>
      </c>
      <c r="H28" s="36">
        <v>2.7739251040221915E-3</v>
      </c>
      <c r="I28" s="37">
        <v>33.277392510402223</v>
      </c>
    </row>
    <row r="29" spans="1:28" x14ac:dyDescent="0.25">
      <c r="A29" s="34">
        <v>0.71883656509695293</v>
      </c>
      <c r="B29" s="34">
        <v>0.90558766859344897</v>
      </c>
      <c r="C29" s="34">
        <v>3.2755298651252408E-2</v>
      </c>
      <c r="D29" s="34">
        <v>5.5876685934489405E-2</v>
      </c>
      <c r="E29" s="36">
        <v>7.3407202216066489E-2</v>
      </c>
      <c r="F29" s="36">
        <v>0.75069252077562332</v>
      </c>
      <c r="G29" s="36">
        <v>0.17590027700831026</v>
      </c>
      <c r="H29" s="36">
        <v>0</v>
      </c>
      <c r="I29" s="37">
        <v>23.70360110803324</v>
      </c>
    </row>
    <row r="30" spans="1:28" x14ac:dyDescent="0.25">
      <c r="A30" s="34">
        <v>0.47555555555555556</v>
      </c>
      <c r="B30" s="34">
        <v>0.83177570093457942</v>
      </c>
      <c r="C30" s="34">
        <v>2.8037383177570093E-2</v>
      </c>
      <c r="D30" s="34">
        <v>0.10280373831775701</v>
      </c>
      <c r="E30" s="36">
        <v>1.7777777777777778E-2</v>
      </c>
      <c r="F30" s="36">
        <v>0.9244444444444444</v>
      </c>
      <c r="G30" s="36">
        <v>5.7777777777777775E-2</v>
      </c>
      <c r="H30" s="36">
        <v>0</v>
      </c>
      <c r="I30" s="37">
        <v>80.295555555555552</v>
      </c>
    </row>
    <row r="31" spans="1:28" x14ac:dyDescent="0.25">
      <c r="A31" s="34">
        <v>0.7155555555555555</v>
      </c>
      <c r="B31" s="34">
        <v>0.89440993788819878</v>
      </c>
      <c r="C31" s="34">
        <v>9.316770186335404E-3</v>
      </c>
      <c r="D31" s="34">
        <v>6.8322981366459631E-2</v>
      </c>
      <c r="E31" s="36">
        <v>6.6666666666666671E-3</v>
      </c>
      <c r="F31" s="36">
        <v>0.93333333333333335</v>
      </c>
      <c r="G31" s="36">
        <v>0.06</v>
      </c>
      <c r="H31" s="36">
        <v>0</v>
      </c>
      <c r="I31" s="37">
        <v>73.355555555555554</v>
      </c>
    </row>
    <row r="32" spans="1:28" x14ac:dyDescent="0.25">
      <c r="A32" s="34">
        <v>0.71777777777777774</v>
      </c>
      <c r="B32" s="34">
        <v>0.92879256965944268</v>
      </c>
      <c r="C32" s="34">
        <v>6.1919504643962852E-3</v>
      </c>
      <c r="D32" s="34">
        <v>4.9535603715170282E-2</v>
      </c>
      <c r="E32" s="36">
        <v>1.7777777777777778E-2</v>
      </c>
      <c r="F32" s="36">
        <v>0.91555555555555557</v>
      </c>
      <c r="G32" s="36">
        <v>6.222222222222222E-2</v>
      </c>
      <c r="H32" s="36">
        <v>4.4444444444444444E-3</v>
      </c>
      <c r="I32" s="37">
        <v>67.077777777777783</v>
      </c>
    </row>
    <row r="33" spans="1:28" x14ac:dyDescent="0.25">
      <c r="A33" s="34">
        <v>0.79560439560439555</v>
      </c>
      <c r="B33" s="34">
        <v>0.91988950276243098</v>
      </c>
      <c r="C33" s="34">
        <v>1.3812154696132596E-2</v>
      </c>
      <c r="D33" s="34">
        <v>6.3535911602209949E-2</v>
      </c>
      <c r="E33" s="36">
        <v>8.7912087912087912E-3</v>
      </c>
      <c r="F33" s="36">
        <v>0.90329670329670331</v>
      </c>
      <c r="G33" s="36">
        <v>8.1318681318681321E-2</v>
      </c>
      <c r="H33" s="36">
        <v>6.5934065934065934E-3</v>
      </c>
      <c r="I33" s="37">
        <v>62.098901098901102</v>
      </c>
    </row>
    <row r="34" spans="1:28" x14ac:dyDescent="0.25">
      <c r="A34" s="34">
        <v>0.818359375</v>
      </c>
      <c r="B34" s="34">
        <v>0.91885441527446299</v>
      </c>
      <c r="C34" s="34">
        <v>9.5465393794749408E-3</v>
      </c>
      <c r="D34" s="34">
        <v>6.205250596658711E-2</v>
      </c>
      <c r="E34" s="36">
        <v>2.34375E-2</v>
      </c>
      <c r="F34" s="36">
        <v>0.888671875</v>
      </c>
      <c r="G34" s="36">
        <v>8.203125E-2</v>
      </c>
      <c r="H34" s="36">
        <v>5.859375E-3</v>
      </c>
      <c r="I34" s="37">
        <v>56.52734375</v>
      </c>
    </row>
    <row r="35" spans="1:28" x14ac:dyDescent="0.25">
      <c r="A35" s="34">
        <v>0.775390625</v>
      </c>
      <c r="B35" s="34">
        <v>0.93450881612090675</v>
      </c>
      <c r="C35" s="34">
        <v>1.0075566750629723E-2</v>
      </c>
      <c r="D35" s="34">
        <v>4.7858942065491183E-2</v>
      </c>
      <c r="E35" s="36">
        <v>3.90625E-2</v>
      </c>
      <c r="F35" s="36">
        <v>0.900390625</v>
      </c>
      <c r="G35" s="36">
        <v>5.859375E-2</v>
      </c>
      <c r="H35" s="36">
        <v>1.953125E-3</v>
      </c>
      <c r="I35" s="37">
        <v>49.05859375</v>
      </c>
    </row>
    <row r="36" spans="1:28" x14ac:dyDescent="0.25">
      <c r="A36" s="34">
        <v>0.71484375</v>
      </c>
      <c r="B36" s="34">
        <v>0.94808743169398912</v>
      </c>
      <c r="C36" s="34">
        <v>1.6393442622950821E-2</v>
      </c>
      <c r="D36" s="34">
        <v>3.2786885245901641E-2</v>
      </c>
      <c r="E36" s="36">
        <v>4.8828125E-2</v>
      </c>
      <c r="F36" s="36">
        <v>0.822265625</v>
      </c>
      <c r="G36" s="36">
        <v>0.12890625</v>
      </c>
      <c r="H36" s="36">
        <v>0</v>
      </c>
      <c r="I36" s="37">
        <v>39.755859375</v>
      </c>
    </row>
    <row r="37" spans="1:28" x14ac:dyDescent="0.25">
      <c r="A37" s="34">
        <v>0.73046875</v>
      </c>
      <c r="B37" s="34">
        <v>0.9064171122994652</v>
      </c>
      <c r="C37" s="34">
        <v>4.2780748663101602E-2</v>
      </c>
      <c r="D37" s="34">
        <v>4.5454545454545456E-2</v>
      </c>
      <c r="E37" s="36">
        <v>0.109375</v>
      </c>
      <c r="F37" s="36">
        <v>0.79296875</v>
      </c>
      <c r="G37" s="36">
        <v>9.765625E-2</v>
      </c>
      <c r="H37" s="36">
        <v>0</v>
      </c>
      <c r="I37" s="37">
        <v>26.494140625</v>
      </c>
    </row>
    <row r="38" spans="1:28" x14ac:dyDescent="0.25">
      <c r="A38" s="34">
        <v>0.54666666666666663</v>
      </c>
      <c r="B38" s="34">
        <v>0.87398373983739841</v>
      </c>
      <c r="C38" s="34">
        <v>1.6260162601626018E-2</v>
      </c>
      <c r="D38" s="34">
        <v>6.5040650406504072E-2</v>
      </c>
      <c r="E38" s="36">
        <v>1.7777777777777778E-2</v>
      </c>
      <c r="F38" s="36">
        <v>0.85333333333333339</v>
      </c>
      <c r="G38" s="36">
        <v>0.12666666666666668</v>
      </c>
      <c r="H38" s="36">
        <v>2.2222222222222222E-3</v>
      </c>
      <c r="I38" s="37">
        <v>74.933333333333337</v>
      </c>
    </row>
    <row r="39" spans="1:28" x14ac:dyDescent="0.25">
      <c r="A39" s="34">
        <v>0.76</v>
      </c>
      <c r="B39" s="34">
        <v>0.93859649122807021</v>
      </c>
      <c r="C39" s="34">
        <v>5.8479532163742687E-3</v>
      </c>
      <c r="D39" s="34">
        <v>5.2631578947368418E-2</v>
      </c>
      <c r="E39" s="36">
        <v>1.1111111111111112E-2</v>
      </c>
      <c r="F39" s="36">
        <v>0.88222222222222224</v>
      </c>
      <c r="G39" s="36">
        <v>9.7777777777777783E-2</v>
      </c>
      <c r="H39" s="36">
        <v>8.8888888888888889E-3</v>
      </c>
      <c r="I39" s="37">
        <v>69.208888888888893</v>
      </c>
    </row>
    <row r="40" spans="1:28" x14ac:dyDescent="0.25">
      <c r="A40" s="34">
        <v>0.80222222222222217</v>
      </c>
      <c r="B40" s="34">
        <v>0.90858725761772852</v>
      </c>
      <c r="C40" s="34">
        <v>2.4930747922437674E-2</v>
      </c>
      <c r="D40" s="34">
        <v>5.2631578947368418E-2</v>
      </c>
      <c r="E40" s="36">
        <v>0.04</v>
      </c>
      <c r="F40" s="36">
        <v>0.77777777777777779</v>
      </c>
      <c r="G40" s="36">
        <v>0.17555555555555555</v>
      </c>
      <c r="H40" s="36">
        <v>6.6666666666666671E-3</v>
      </c>
      <c r="I40" s="37">
        <v>59.535555555555554</v>
      </c>
    </row>
    <row r="41" spans="1:28" x14ac:dyDescent="0.25">
      <c r="A41" s="34">
        <v>0.80483870967741933</v>
      </c>
      <c r="B41" s="34">
        <v>0.90981963927855714</v>
      </c>
      <c r="C41" s="34">
        <v>1.8036072144288578E-2</v>
      </c>
      <c r="D41" s="34">
        <v>6.4128256513026047E-2</v>
      </c>
      <c r="E41" s="36">
        <v>2.2580645161290321E-2</v>
      </c>
      <c r="F41" s="36">
        <v>0.77741935483870972</v>
      </c>
      <c r="G41" s="36">
        <v>0.19354838709677419</v>
      </c>
      <c r="H41" s="36">
        <v>6.4516129032258064E-3</v>
      </c>
      <c r="I41" s="37">
        <v>49.624193548387098</v>
      </c>
      <c r="K41" t="s">
        <v>398</v>
      </c>
      <c r="T41" t="s">
        <v>397</v>
      </c>
    </row>
    <row r="42" spans="1:28" x14ac:dyDescent="0.25">
      <c r="A42" s="34">
        <v>0.75</v>
      </c>
      <c r="B42" s="34">
        <v>0.92903225806451617</v>
      </c>
      <c r="C42" s="34">
        <v>2.3655913978494623E-2</v>
      </c>
      <c r="D42" s="34">
        <v>3.870967741935484E-2</v>
      </c>
      <c r="E42" s="36">
        <v>5.6451612903225805E-2</v>
      </c>
      <c r="F42" s="36">
        <v>0.67419354838709677</v>
      </c>
      <c r="G42" s="36">
        <v>0.26451612903225807</v>
      </c>
      <c r="H42" s="36">
        <v>4.8387096774193551E-3</v>
      </c>
      <c r="I42" s="37">
        <v>40.972580645161287</v>
      </c>
    </row>
    <row r="43" spans="1:28" x14ac:dyDescent="0.25">
      <c r="A43" s="34">
        <v>0.6806451612903226</v>
      </c>
      <c r="B43" s="34">
        <v>0.92417061611374407</v>
      </c>
      <c r="C43" s="34">
        <v>1.1848341232227487E-2</v>
      </c>
      <c r="D43" s="34">
        <v>5.6872037914691941E-2</v>
      </c>
      <c r="E43" s="36">
        <v>5.6451612903225805E-2</v>
      </c>
      <c r="F43" s="36">
        <v>0.68870967741935485</v>
      </c>
      <c r="G43" s="36">
        <v>0.24677419354838709</v>
      </c>
      <c r="H43" s="36">
        <v>8.0645161290322578E-3</v>
      </c>
      <c r="I43" s="37">
        <v>32.951612903225808</v>
      </c>
    </row>
    <row r="44" spans="1:28" x14ac:dyDescent="0.25">
      <c r="A44" s="34">
        <v>0.75967741935483868</v>
      </c>
      <c r="B44" s="34">
        <v>0.93205944798301488</v>
      </c>
      <c r="C44" s="34">
        <v>3.6093418259023353E-2</v>
      </c>
      <c r="D44" s="34">
        <v>2.5477707006369428E-2</v>
      </c>
      <c r="E44" s="36">
        <v>5.4838709677419356E-2</v>
      </c>
      <c r="F44" s="36">
        <v>0.69838709677419353</v>
      </c>
      <c r="G44" s="36">
        <v>0.24516129032258063</v>
      </c>
      <c r="H44" s="36">
        <v>1.6129032258064516E-3</v>
      </c>
      <c r="I44" s="37">
        <v>23.629032258064516</v>
      </c>
    </row>
    <row r="45" spans="1:28" x14ac:dyDescent="0.25">
      <c r="S45" s="30">
        <f>0.1546+0.7005</f>
        <v>0.85509999999999997</v>
      </c>
      <c r="AB45" s="30">
        <f>-0.2488+0.9463</f>
        <v>0.69750000000000001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DD966-6A3A-4CB4-A5D9-DEA333296CD4}">
  <dimension ref="A1:AB46"/>
  <sheetViews>
    <sheetView tabSelected="1" workbookViewId="0">
      <pane xSplit="4" ySplit="1" topLeftCell="J38" activePane="bottomRight" state="frozen"/>
      <selection pane="topRight" activeCell="E1" sqref="E1"/>
      <selection pane="bottomLeft" activeCell="A2" sqref="A2"/>
      <selection pane="bottomRight" activeCell="AB47" sqref="AB47"/>
    </sheetView>
  </sheetViews>
  <sheetFormatPr defaultRowHeight="13.2" x14ac:dyDescent="0.25"/>
  <cols>
    <col min="1" max="1" width="8.44140625" bestFit="1" customWidth="1"/>
    <col min="2" max="7" width="6" bestFit="1" customWidth="1"/>
    <col min="8" max="8" width="5" bestFit="1" customWidth="1"/>
    <col min="9" max="9" width="7.33203125" bestFit="1" customWidth="1"/>
  </cols>
  <sheetData>
    <row r="1" spans="1:28" x14ac:dyDescent="0.25">
      <c r="A1" s="22" t="s">
        <v>378</v>
      </c>
      <c r="B1" s="22" t="s">
        <v>259</v>
      </c>
      <c r="C1" s="22" t="s">
        <v>260</v>
      </c>
      <c r="D1" s="22" t="s">
        <v>261</v>
      </c>
      <c r="E1" s="22" t="s">
        <v>368</v>
      </c>
      <c r="F1" s="22" t="s">
        <v>369</v>
      </c>
      <c r="G1" s="22" t="s">
        <v>370</v>
      </c>
      <c r="H1" s="22" t="s">
        <v>371</v>
      </c>
      <c r="I1" s="22" t="s">
        <v>372</v>
      </c>
    </row>
    <row r="2" spans="1:28" x14ac:dyDescent="0.25">
      <c r="A2" s="46">
        <v>0.73111111111111116</v>
      </c>
      <c r="B2" s="46">
        <v>0.52583586626139822</v>
      </c>
      <c r="C2" s="46">
        <v>0.14285714285714285</v>
      </c>
      <c r="D2" s="46">
        <v>0.29483282674772038</v>
      </c>
      <c r="E2" s="48">
        <v>0.51111111111111107</v>
      </c>
      <c r="F2" s="48">
        <v>0.20666666666666667</v>
      </c>
      <c r="G2" s="48">
        <v>0.2688888888888889</v>
      </c>
      <c r="H2" s="48">
        <v>1.3333333333333334E-2</v>
      </c>
      <c r="I2" s="49">
        <v>68.319999999999993</v>
      </c>
      <c r="K2" t="s">
        <v>392</v>
      </c>
      <c r="T2" t="s">
        <v>395</v>
      </c>
    </row>
    <row r="3" spans="1:28" x14ac:dyDescent="0.25">
      <c r="A3" s="46">
        <v>0.80222222222222217</v>
      </c>
      <c r="B3" s="46">
        <v>0.45429362880886426</v>
      </c>
      <c r="C3" s="46">
        <v>0.2077562326869806</v>
      </c>
      <c r="D3" s="46">
        <v>0.29916897506925205</v>
      </c>
      <c r="E3" s="48">
        <v>0.52888888888888885</v>
      </c>
      <c r="F3" s="48">
        <v>0.21333333333333335</v>
      </c>
      <c r="G3" s="48">
        <v>0.24666666666666667</v>
      </c>
      <c r="H3" s="48">
        <v>1.1111111111111112E-2</v>
      </c>
      <c r="I3" s="49">
        <v>64.142222222222216</v>
      </c>
    </row>
    <row r="4" spans="1:28" x14ac:dyDescent="0.25">
      <c r="A4" s="46">
        <v>0.78074866310160429</v>
      </c>
      <c r="B4" s="46">
        <v>0.51883561643835618</v>
      </c>
      <c r="C4" s="46">
        <v>0.23287671232876711</v>
      </c>
      <c r="D4" s="46">
        <v>0.20547945205479451</v>
      </c>
      <c r="E4" s="48">
        <v>0.48930481283422461</v>
      </c>
      <c r="F4" s="48">
        <v>0.20053475935828877</v>
      </c>
      <c r="G4" s="48">
        <v>0.29278074866310161</v>
      </c>
      <c r="H4" s="48">
        <v>1.7379679144385027E-2</v>
      </c>
      <c r="I4" s="49">
        <v>51.308823529411768</v>
      </c>
    </row>
    <row r="5" spans="1:28" x14ac:dyDescent="0.25">
      <c r="A5" s="46">
        <v>0.72994652406417115</v>
      </c>
      <c r="B5" s="46">
        <v>0.40842490842490842</v>
      </c>
      <c r="C5" s="46">
        <v>0.33516483516483514</v>
      </c>
      <c r="D5" s="46">
        <v>0.2216117216117216</v>
      </c>
      <c r="E5" s="48">
        <v>0.65374331550802134</v>
      </c>
      <c r="F5" s="48">
        <v>0.15641711229946523</v>
      </c>
      <c r="G5" s="48">
        <v>0.17379679144385027</v>
      </c>
      <c r="H5" s="48">
        <v>1.6042780748663103E-2</v>
      </c>
      <c r="I5" s="49">
        <v>41.054812834224599</v>
      </c>
    </row>
    <row r="6" spans="1:28" x14ac:dyDescent="0.25">
      <c r="A6" s="46">
        <v>0.73030707610146861</v>
      </c>
      <c r="B6" s="46">
        <v>0.44606946983546619</v>
      </c>
      <c r="C6" s="46">
        <v>0.34734917733089582</v>
      </c>
      <c r="D6" s="46">
        <v>0.1773308957952468</v>
      </c>
      <c r="E6" s="48">
        <v>0.6568758344459279</v>
      </c>
      <c r="F6" s="48">
        <v>0.14018691588785046</v>
      </c>
      <c r="G6" s="48">
        <v>0.1855807743658211</v>
      </c>
      <c r="H6" s="48">
        <v>1.7356475300400534E-2</v>
      </c>
      <c r="I6" s="49">
        <v>33.742323097463284</v>
      </c>
    </row>
    <row r="7" spans="1:28" x14ac:dyDescent="0.25">
      <c r="A7" s="46">
        <v>0.80640854472630175</v>
      </c>
      <c r="B7" s="46">
        <v>0.49503311258278143</v>
      </c>
      <c r="C7" s="46">
        <v>0.31953642384105962</v>
      </c>
      <c r="D7" s="46">
        <v>0.16225165562913907</v>
      </c>
      <c r="E7" s="48">
        <v>0.70761014686248336</v>
      </c>
      <c r="F7" s="48">
        <v>8.4112149532710276E-2</v>
      </c>
      <c r="G7" s="48">
        <v>0.20160213618157544</v>
      </c>
      <c r="H7" s="48">
        <v>6.6755674232309749E-3</v>
      </c>
      <c r="I7" s="49">
        <v>24.65954606141522</v>
      </c>
      <c r="AB7" s="30">
        <f>-0.7146+0.9043</f>
        <v>0.18969999999999998</v>
      </c>
    </row>
    <row r="8" spans="1:28" x14ac:dyDescent="0.25">
      <c r="A8" s="46">
        <v>0.5</v>
      </c>
      <c r="B8" s="46">
        <v>0.72888888888888892</v>
      </c>
      <c r="C8" s="46">
        <v>3.111111111111111E-2</v>
      </c>
      <c r="D8" s="46">
        <v>0.19111111111111112</v>
      </c>
      <c r="E8" s="48">
        <v>0.18222222222222223</v>
      </c>
      <c r="F8" s="48">
        <v>0.68444444444444441</v>
      </c>
      <c r="G8" s="48">
        <v>0.12666666666666668</v>
      </c>
      <c r="H8" s="48">
        <v>6.6666666666666671E-3</v>
      </c>
      <c r="I8" s="49">
        <v>72.995555555555555</v>
      </c>
      <c r="S8" s="30">
        <f>0.0682+0.7017</f>
        <v>0.76990000000000003</v>
      </c>
    </row>
    <row r="9" spans="1:28" x14ac:dyDescent="0.25">
      <c r="A9" s="46">
        <v>0.77111111111111108</v>
      </c>
      <c r="B9" s="46">
        <v>0.78674351585014413</v>
      </c>
      <c r="C9" s="46">
        <v>3.1700288184438041E-2</v>
      </c>
      <c r="D9" s="46">
        <v>0.15850144092219021</v>
      </c>
      <c r="E9" s="48">
        <v>0.12444444444444444</v>
      </c>
      <c r="F9" s="48">
        <v>0.7533333333333333</v>
      </c>
      <c r="G9" s="48">
        <v>0.10222222222222223</v>
      </c>
      <c r="H9" s="48">
        <v>0.02</v>
      </c>
      <c r="I9" s="49">
        <v>70.888888888888886</v>
      </c>
    </row>
    <row r="10" spans="1:28" x14ac:dyDescent="0.25">
      <c r="A10" s="46">
        <v>0.78260869565217395</v>
      </c>
      <c r="B10" s="46">
        <v>0.79629629629629628</v>
      </c>
      <c r="C10" s="46">
        <v>4.6296296296296294E-2</v>
      </c>
      <c r="D10" s="46">
        <v>0.13425925925925927</v>
      </c>
      <c r="E10" s="48">
        <v>0.1431159420289855</v>
      </c>
      <c r="F10" s="48">
        <v>0.73007246376811596</v>
      </c>
      <c r="G10" s="48">
        <v>0.1213768115942029</v>
      </c>
      <c r="H10" s="48">
        <v>5.434782608695652E-3</v>
      </c>
      <c r="I10" s="49">
        <v>63.371376811594203</v>
      </c>
    </row>
    <row r="11" spans="1:28" x14ac:dyDescent="0.25">
      <c r="A11" s="46">
        <v>0.79204339963833637</v>
      </c>
      <c r="B11" s="46">
        <v>0.78538812785388123</v>
      </c>
      <c r="C11" s="46">
        <v>7.3059360730593603E-2</v>
      </c>
      <c r="D11" s="46">
        <v>0.13698630136986301</v>
      </c>
      <c r="E11" s="48">
        <v>0.189873417721519</v>
      </c>
      <c r="F11" s="48">
        <v>0.66365280289330919</v>
      </c>
      <c r="G11" s="48">
        <v>0.13743218806509946</v>
      </c>
      <c r="H11" s="48">
        <v>9.0415913200723331E-3</v>
      </c>
      <c r="I11" s="49">
        <v>55.396021699819165</v>
      </c>
    </row>
    <row r="12" spans="1:28" x14ac:dyDescent="0.25">
      <c r="A12" s="46">
        <v>0.77396021699819173</v>
      </c>
      <c r="B12" s="46">
        <v>0.73598130841121501</v>
      </c>
      <c r="C12" s="46">
        <v>0.11214953271028037</v>
      </c>
      <c r="D12" s="46">
        <v>0.14485981308411214</v>
      </c>
      <c r="E12" s="48">
        <v>0.24593128390596744</v>
      </c>
      <c r="F12" s="48">
        <v>0.58589511754068713</v>
      </c>
      <c r="G12" s="48">
        <v>0.15913200723327306</v>
      </c>
      <c r="H12" s="48">
        <v>9.0415913200723331E-3</v>
      </c>
      <c r="I12" s="49">
        <v>46.224231464737791</v>
      </c>
    </row>
    <row r="13" spans="1:28" x14ac:dyDescent="0.25">
      <c r="A13" s="46">
        <v>0.72694394213381552</v>
      </c>
      <c r="B13" s="46">
        <v>0.66417910447761197</v>
      </c>
      <c r="C13" s="46">
        <v>0.15920398009950248</v>
      </c>
      <c r="D13" s="46">
        <v>0.17164179104477612</v>
      </c>
      <c r="E13" s="48">
        <v>0.35081374321880648</v>
      </c>
      <c r="F13" s="48">
        <v>0.47016274864376129</v>
      </c>
      <c r="G13" s="48">
        <v>0.16455696202531644</v>
      </c>
      <c r="H13" s="48">
        <v>1.4466546112115732E-2</v>
      </c>
      <c r="I13" s="49">
        <v>37.142857142857146</v>
      </c>
    </row>
    <row r="14" spans="1:28" x14ac:dyDescent="0.25">
      <c r="A14" s="46">
        <v>0.73417721518987344</v>
      </c>
      <c r="B14" s="46">
        <v>0.64039408866995073</v>
      </c>
      <c r="C14" s="46">
        <v>0.21921182266009853</v>
      </c>
      <c r="D14" s="46">
        <v>0.12561576354679804</v>
      </c>
      <c r="E14" s="48">
        <v>0.4267631103074141</v>
      </c>
      <c r="F14" s="48">
        <v>0.43399638336347196</v>
      </c>
      <c r="G14" s="48">
        <v>0.12296564195298372</v>
      </c>
      <c r="H14" s="48">
        <v>1.62748643761302E-2</v>
      </c>
      <c r="I14" s="49">
        <v>29.132007233273058</v>
      </c>
    </row>
    <row r="15" spans="1:28" x14ac:dyDescent="0.25">
      <c r="A15" s="46">
        <v>0.81735985533453892</v>
      </c>
      <c r="B15" s="46">
        <v>0.66371681415929207</v>
      </c>
      <c r="C15" s="46">
        <v>0.23230088495575221</v>
      </c>
      <c r="D15" s="46">
        <v>9.9557522123893807E-2</v>
      </c>
      <c r="E15" s="48">
        <v>0.44665461121157324</v>
      </c>
      <c r="F15" s="48">
        <v>0.44484629294755879</v>
      </c>
      <c r="G15" s="48">
        <v>0.10669077757685352</v>
      </c>
      <c r="H15" s="48">
        <v>1.8083182640144665E-3</v>
      </c>
      <c r="I15" s="49">
        <v>21.430379746835442</v>
      </c>
    </row>
    <row r="16" spans="1:28" x14ac:dyDescent="0.25">
      <c r="A16" s="46">
        <v>0.6333333333333333</v>
      </c>
      <c r="B16" s="46">
        <v>0.89824561403508774</v>
      </c>
      <c r="C16" s="46">
        <v>1.4035087719298246E-2</v>
      </c>
      <c r="D16" s="46">
        <v>7.0175438596491224E-2</v>
      </c>
      <c r="E16" s="48">
        <v>1.1111111111111112E-2</v>
      </c>
      <c r="F16" s="48">
        <v>0.9622222222222222</v>
      </c>
      <c r="G16" s="48">
        <v>2.6666666666666668E-2</v>
      </c>
      <c r="H16" s="48">
        <v>0</v>
      </c>
      <c r="I16" s="49">
        <v>75.72</v>
      </c>
    </row>
    <row r="17" spans="1:28" x14ac:dyDescent="0.25">
      <c r="A17" s="46">
        <v>0.79777777777777781</v>
      </c>
      <c r="B17" s="46">
        <v>0.9080779944289693</v>
      </c>
      <c r="C17" s="46">
        <v>0</v>
      </c>
      <c r="D17" s="46">
        <v>6.6852367688022288E-2</v>
      </c>
      <c r="E17" s="48">
        <v>1.5555555555555555E-2</v>
      </c>
      <c r="F17" s="48">
        <v>0.9555555555555556</v>
      </c>
      <c r="G17" s="48">
        <v>2.6666666666666668E-2</v>
      </c>
      <c r="H17" s="48">
        <v>2.2222222222222222E-3</v>
      </c>
      <c r="I17" s="49">
        <v>61.937777777777775</v>
      </c>
    </row>
    <row r="18" spans="1:28" x14ac:dyDescent="0.25">
      <c r="A18" s="46">
        <v>0.77014925373134324</v>
      </c>
      <c r="B18" s="46">
        <v>0.8972868217054264</v>
      </c>
      <c r="C18" s="46">
        <v>1.937984496124031E-2</v>
      </c>
      <c r="D18" s="46">
        <v>7.5581395348837205E-2</v>
      </c>
      <c r="E18" s="48">
        <v>5.0746268656716415E-2</v>
      </c>
      <c r="F18" s="48">
        <v>0.88358208955223883</v>
      </c>
      <c r="G18" s="48">
        <v>6.5671641791044774E-2</v>
      </c>
      <c r="H18" s="48">
        <v>0</v>
      </c>
      <c r="I18" s="49">
        <v>41.325373134328359</v>
      </c>
    </row>
    <row r="19" spans="1:28" x14ac:dyDescent="0.25">
      <c r="A19" s="46">
        <v>0.55777777777777782</v>
      </c>
      <c r="B19" s="46">
        <v>0.55378486055776888</v>
      </c>
      <c r="C19" s="46">
        <v>0.11952191235059761</v>
      </c>
      <c r="D19" s="46">
        <v>0.30278884462151395</v>
      </c>
      <c r="E19" s="48">
        <v>0.34888888888888892</v>
      </c>
      <c r="F19" s="48">
        <v>0.44222222222222224</v>
      </c>
      <c r="G19" s="48">
        <v>0.19777777777777777</v>
      </c>
      <c r="H19" s="48">
        <v>1.1111111111111112E-2</v>
      </c>
      <c r="I19" s="49">
        <v>69.011111111111106</v>
      </c>
    </row>
    <row r="20" spans="1:28" x14ac:dyDescent="0.25">
      <c r="A20" s="46">
        <v>0.62442748091603051</v>
      </c>
      <c r="B20" s="46">
        <v>0.5330073349633252</v>
      </c>
      <c r="C20" s="46">
        <v>0.22004889975550121</v>
      </c>
      <c r="D20" s="46">
        <v>0.23471882640586797</v>
      </c>
      <c r="E20" s="48">
        <v>0.44427480916030532</v>
      </c>
      <c r="F20" s="48">
        <v>0.3801526717557252</v>
      </c>
      <c r="G20" s="48">
        <v>0.15572519083969466</v>
      </c>
      <c r="H20" s="48">
        <v>1.984732824427481E-2</v>
      </c>
      <c r="I20" s="49">
        <v>42.531297709923663</v>
      </c>
    </row>
    <row r="21" spans="1:28" x14ac:dyDescent="0.25">
      <c r="A21" s="46">
        <v>0.60879629629629628</v>
      </c>
      <c r="B21" s="46">
        <v>0.82889733840304181</v>
      </c>
      <c r="C21" s="46">
        <v>4.9429657794676805E-2</v>
      </c>
      <c r="D21" s="46">
        <v>8.7452471482889732E-2</v>
      </c>
      <c r="E21" s="48">
        <v>0.12037037037037036</v>
      </c>
      <c r="F21" s="48">
        <v>0.77314814814814814</v>
      </c>
      <c r="G21" s="48">
        <v>9.2592592592592587E-2</v>
      </c>
      <c r="H21" s="48">
        <v>1.3888888888888888E-2</v>
      </c>
      <c r="I21" s="49">
        <v>70.710648148148152</v>
      </c>
    </row>
    <row r="22" spans="1:28" x14ac:dyDescent="0.25">
      <c r="A22" s="46">
        <v>0.77083333333333337</v>
      </c>
      <c r="B22" s="46">
        <v>0.83183183183183185</v>
      </c>
      <c r="C22" s="46">
        <v>6.9069069069069067E-2</v>
      </c>
      <c r="D22" s="46">
        <v>9.3093093093093091E-2</v>
      </c>
      <c r="E22" s="48">
        <v>0.1875</v>
      </c>
      <c r="F22" s="48">
        <v>0.6875</v>
      </c>
      <c r="G22" s="48">
        <v>0.11805555555555555</v>
      </c>
      <c r="H22" s="48">
        <v>6.9444444444444441E-3</v>
      </c>
      <c r="I22" s="49">
        <v>55.712962962962962</v>
      </c>
      <c r="K22" t="s">
        <v>393</v>
      </c>
      <c r="T22" t="s">
        <v>396</v>
      </c>
    </row>
    <row r="23" spans="1:28" x14ac:dyDescent="0.25">
      <c r="A23" s="46">
        <v>0.6875</v>
      </c>
      <c r="B23" s="46">
        <v>0.632996632996633</v>
      </c>
      <c r="C23" s="46">
        <v>0.22895622895622897</v>
      </c>
      <c r="D23" s="46">
        <v>0.13468013468013468</v>
      </c>
      <c r="E23" s="48">
        <v>0.38425925925925924</v>
      </c>
      <c r="F23" s="48">
        <v>0.44675925925925924</v>
      </c>
      <c r="G23" s="48">
        <v>0.16666666666666666</v>
      </c>
      <c r="H23" s="48">
        <v>2.3148148148148147E-3</v>
      </c>
      <c r="I23" s="49">
        <v>33.030092592592595</v>
      </c>
    </row>
    <row r="26" spans="1:28" x14ac:dyDescent="0.25">
      <c r="S26" s="30">
        <f>-0.0487+0.7491</f>
        <v>0.70040000000000002</v>
      </c>
      <c r="AB26" s="30">
        <f>0.5676+0.3782</f>
        <v>0.94579999999999997</v>
      </c>
    </row>
    <row r="41" spans="11:28" x14ac:dyDescent="0.25">
      <c r="K41" t="s">
        <v>399</v>
      </c>
      <c r="T41" t="s">
        <v>397</v>
      </c>
    </row>
    <row r="46" spans="11:28" x14ac:dyDescent="0.25">
      <c r="S46" s="30">
        <f>0.1201+0.7063</f>
        <v>0.82640000000000002</v>
      </c>
      <c r="AB46" t="s">
        <v>400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B76FB-F8D0-40BD-9E64-0DB59E32C320}">
  <dimension ref="A1:Y318"/>
  <sheetViews>
    <sheetView workbookViewId="0">
      <pane xSplit="4" ySplit="1" topLeftCell="O266" activePane="bottomRight" state="frozen"/>
      <selection pane="topRight" activeCell="E1" sqref="E1"/>
      <selection pane="bottomLeft" activeCell="A2" sqref="A2"/>
      <selection pane="bottomRight" activeCell="P2" sqref="P2:Y280"/>
    </sheetView>
  </sheetViews>
  <sheetFormatPr defaultRowHeight="13.2" x14ac:dyDescent="0.25"/>
  <cols>
    <col min="1" max="1" width="8" bestFit="1" customWidth="1"/>
    <col min="2" max="2" width="27.44140625" bestFit="1" customWidth="1"/>
    <col min="3" max="3" width="76.77734375" bestFit="1" customWidth="1"/>
    <col min="4" max="4" width="8.21875" bestFit="1" customWidth="1"/>
    <col min="5" max="5" width="8.5546875" bestFit="1" customWidth="1"/>
    <col min="6" max="6" width="13.77734375" bestFit="1" customWidth="1"/>
    <col min="7" max="7" width="15.5546875" bestFit="1" customWidth="1"/>
    <col min="8" max="9" width="6" bestFit="1" customWidth="1"/>
    <col min="10" max="10" width="7.5546875" bestFit="1" customWidth="1"/>
    <col min="11" max="11" width="6.44140625" bestFit="1" customWidth="1"/>
    <col min="13" max="13" width="7.6640625" bestFit="1" customWidth="1"/>
    <col min="14" max="14" width="7" style="26" bestFit="1" customWidth="1"/>
    <col min="15" max="15" width="15" bestFit="1" customWidth="1"/>
    <col min="16" max="18" width="6" bestFit="1" customWidth="1"/>
    <col min="19" max="19" width="5" bestFit="1" customWidth="1"/>
    <col min="20" max="22" width="7" bestFit="1" customWidth="1"/>
    <col min="23" max="24" width="6" bestFit="1" customWidth="1"/>
    <col min="25" max="25" width="7.33203125" bestFit="1" customWidth="1"/>
  </cols>
  <sheetData>
    <row r="1" spans="1:25" x14ac:dyDescent="0.25">
      <c r="A1" s="24" t="s">
        <v>264</v>
      </c>
      <c r="B1" s="24" t="s">
        <v>265</v>
      </c>
      <c r="C1" s="24" t="s">
        <v>266</v>
      </c>
      <c r="D1" s="24" t="s">
        <v>267</v>
      </c>
      <c r="E1" s="24" t="s">
        <v>268</v>
      </c>
      <c r="F1" s="24" t="s">
        <v>269</v>
      </c>
      <c r="G1" s="24" t="s">
        <v>270</v>
      </c>
      <c r="H1" s="24" t="s">
        <v>271</v>
      </c>
      <c r="I1" s="24" t="s">
        <v>272</v>
      </c>
      <c r="J1" s="24" t="s">
        <v>273</v>
      </c>
      <c r="K1" s="24" t="s">
        <v>274</v>
      </c>
      <c r="L1" s="24" t="s">
        <v>275</v>
      </c>
      <c r="M1" s="24" t="s">
        <v>276</v>
      </c>
      <c r="N1" s="25" t="s">
        <v>277</v>
      </c>
      <c r="O1" s="24" t="s">
        <v>278</v>
      </c>
      <c r="P1" s="24" t="s">
        <v>363</v>
      </c>
      <c r="Q1" s="24" t="s">
        <v>364</v>
      </c>
      <c r="R1" s="24" t="s">
        <v>365</v>
      </c>
      <c r="S1" s="24" t="s">
        <v>366</v>
      </c>
      <c r="T1" s="24" t="s">
        <v>367</v>
      </c>
      <c r="U1" s="24" t="s">
        <v>368</v>
      </c>
      <c r="V1" s="24" t="s">
        <v>369</v>
      </c>
      <c r="W1" s="24" t="s">
        <v>370</v>
      </c>
      <c r="X1" s="24" t="s">
        <v>371</v>
      </c>
      <c r="Y1" s="24" t="s">
        <v>372</v>
      </c>
    </row>
    <row r="2" spans="1:25" x14ac:dyDescent="0.25">
      <c r="A2" s="24" t="s">
        <v>279</v>
      </c>
      <c r="B2" s="24" t="s">
        <v>280</v>
      </c>
      <c r="C2" s="24" t="s">
        <v>159</v>
      </c>
      <c r="D2" s="24">
        <v>1</v>
      </c>
      <c r="E2" s="24">
        <v>1</v>
      </c>
      <c r="F2" s="24"/>
      <c r="G2" s="24"/>
      <c r="H2" s="24">
        <v>348</v>
      </c>
      <c r="I2" s="24">
        <v>8</v>
      </c>
      <c r="J2" s="24"/>
      <c r="K2" s="24">
        <v>93</v>
      </c>
      <c r="L2" s="24"/>
      <c r="M2" s="24">
        <v>450</v>
      </c>
      <c r="N2" s="25">
        <v>65.806666666666672</v>
      </c>
      <c r="O2" s="24" t="s">
        <v>281</v>
      </c>
      <c r="P2" s="24">
        <f t="shared" ref="P2:P59" si="0">K2</f>
        <v>93</v>
      </c>
      <c r="Q2" s="24">
        <f t="shared" ref="Q2:Q59" si="1">H2</f>
        <v>348</v>
      </c>
      <c r="R2" s="24">
        <f t="shared" ref="R2:R59" si="2">I2</f>
        <v>8</v>
      </c>
      <c r="S2" s="24">
        <f t="shared" ref="S2:S59" si="3">M2-SUM(P2:R2)</f>
        <v>1</v>
      </c>
      <c r="T2" s="24">
        <f t="shared" ref="T2:T59" si="4">SUM(P2:S2)</f>
        <v>450</v>
      </c>
      <c r="U2" s="27">
        <f t="shared" ref="U2:U59" si="5">P2/M2</f>
        <v>0.20666666666666667</v>
      </c>
      <c r="V2" s="27">
        <f t="shared" ref="V2:V59" si="6">Q2/M2</f>
        <v>0.77333333333333332</v>
      </c>
      <c r="W2" s="27">
        <f t="shared" ref="W2:W59" si="7">R2/M2</f>
        <v>1.7777777777777778E-2</v>
      </c>
      <c r="X2" s="27">
        <f t="shared" ref="X2:X59" si="8">S2/M2</f>
        <v>2.2222222222222222E-3</v>
      </c>
      <c r="Y2" s="25">
        <f t="shared" ref="Y2:Y59" si="9">N2</f>
        <v>65.806666666666672</v>
      </c>
    </row>
    <row r="3" spans="1:25" x14ac:dyDescent="0.25">
      <c r="A3" s="24" t="s">
        <v>279</v>
      </c>
      <c r="B3" s="24" t="s">
        <v>280</v>
      </c>
      <c r="C3" s="24" t="s">
        <v>159</v>
      </c>
      <c r="D3" s="24">
        <v>2</v>
      </c>
      <c r="E3" s="24"/>
      <c r="F3" s="24"/>
      <c r="G3" s="24"/>
      <c r="H3" s="24">
        <v>364</v>
      </c>
      <c r="I3" s="24">
        <v>7</v>
      </c>
      <c r="J3" s="24"/>
      <c r="K3" s="24">
        <v>108</v>
      </c>
      <c r="L3" s="24"/>
      <c r="M3" s="24">
        <v>479</v>
      </c>
      <c r="N3" s="25">
        <v>45.396659707724424</v>
      </c>
      <c r="O3" s="24" t="s">
        <v>281</v>
      </c>
      <c r="P3" s="24">
        <f t="shared" si="0"/>
        <v>108</v>
      </c>
      <c r="Q3" s="24">
        <f t="shared" si="1"/>
        <v>364</v>
      </c>
      <c r="R3" s="24">
        <f t="shared" si="2"/>
        <v>7</v>
      </c>
      <c r="S3" s="24">
        <f t="shared" si="3"/>
        <v>0</v>
      </c>
      <c r="T3" s="24">
        <f t="shared" si="4"/>
        <v>479</v>
      </c>
      <c r="U3" s="27">
        <f t="shared" si="5"/>
        <v>0.22546972860125261</v>
      </c>
      <c r="V3" s="27">
        <f t="shared" si="6"/>
        <v>0.75991649269311068</v>
      </c>
      <c r="W3" s="27">
        <f t="shared" si="7"/>
        <v>1.4613778705636743E-2</v>
      </c>
      <c r="X3" s="27">
        <f t="shared" si="8"/>
        <v>0</v>
      </c>
      <c r="Y3" s="25">
        <f t="shared" si="9"/>
        <v>45.396659707724424</v>
      </c>
    </row>
    <row r="4" spans="1:25" x14ac:dyDescent="0.25">
      <c r="A4" s="24" t="s">
        <v>279</v>
      </c>
      <c r="B4" s="24" t="s">
        <v>280</v>
      </c>
      <c r="C4" s="24" t="s">
        <v>159</v>
      </c>
      <c r="D4" s="24">
        <v>3</v>
      </c>
      <c r="E4" s="24"/>
      <c r="F4" s="24"/>
      <c r="G4" s="24">
        <v>1</v>
      </c>
      <c r="H4" s="24">
        <v>297</v>
      </c>
      <c r="I4" s="24">
        <v>16</v>
      </c>
      <c r="J4" s="24"/>
      <c r="K4" s="24">
        <v>163</v>
      </c>
      <c r="L4" s="24">
        <v>2</v>
      </c>
      <c r="M4" s="24">
        <v>479</v>
      </c>
      <c r="N4" s="25">
        <v>27.064718162839249</v>
      </c>
      <c r="O4" s="24" t="s">
        <v>281</v>
      </c>
      <c r="P4" s="24">
        <f t="shared" si="0"/>
        <v>163</v>
      </c>
      <c r="Q4" s="24">
        <f t="shared" si="1"/>
        <v>297</v>
      </c>
      <c r="R4" s="24">
        <f t="shared" si="2"/>
        <v>16</v>
      </c>
      <c r="S4" s="24">
        <f t="shared" si="3"/>
        <v>3</v>
      </c>
      <c r="T4" s="24">
        <f t="shared" si="4"/>
        <v>479</v>
      </c>
      <c r="U4" s="27">
        <f t="shared" si="5"/>
        <v>0.34029227557411273</v>
      </c>
      <c r="V4" s="27">
        <f t="shared" si="6"/>
        <v>0.62004175365344472</v>
      </c>
      <c r="W4" s="27">
        <f t="shared" si="7"/>
        <v>3.3402922755741124E-2</v>
      </c>
      <c r="X4" s="27">
        <f t="shared" si="8"/>
        <v>6.2630480167014616E-3</v>
      </c>
      <c r="Y4" s="25">
        <f t="shared" si="9"/>
        <v>27.064718162839249</v>
      </c>
    </row>
    <row r="5" spans="1:25" x14ac:dyDescent="0.25">
      <c r="A5" s="24" t="s">
        <v>282</v>
      </c>
      <c r="B5" s="24" t="s">
        <v>283</v>
      </c>
      <c r="C5" s="24" t="s">
        <v>165</v>
      </c>
      <c r="D5" s="24">
        <v>1</v>
      </c>
      <c r="E5" s="24"/>
      <c r="F5" s="24"/>
      <c r="G5" s="24">
        <v>2</v>
      </c>
      <c r="H5" s="24">
        <v>156</v>
      </c>
      <c r="I5" s="24">
        <v>77</v>
      </c>
      <c r="J5" s="24"/>
      <c r="K5" s="24">
        <v>175</v>
      </c>
      <c r="L5" s="24">
        <v>40</v>
      </c>
      <c r="M5" s="24">
        <v>450</v>
      </c>
      <c r="N5" s="25">
        <v>69.962222222222223</v>
      </c>
      <c r="O5" s="24" t="s">
        <v>281</v>
      </c>
      <c r="P5" s="24">
        <f t="shared" si="0"/>
        <v>175</v>
      </c>
      <c r="Q5" s="24">
        <f t="shared" si="1"/>
        <v>156</v>
      </c>
      <c r="R5" s="24">
        <f t="shared" si="2"/>
        <v>77</v>
      </c>
      <c r="S5" s="24">
        <f t="shared" si="3"/>
        <v>42</v>
      </c>
      <c r="T5" s="24">
        <f t="shared" si="4"/>
        <v>450</v>
      </c>
      <c r="U5" s="27">
        <f t="shared" si="5"/>
        <v>0.3888888888888889</v>
      </c>
      <c r="V5" s="27">
        <f t="shared" si="6"/>
        <v>0.34666666666666668</v>
      </c>
      <c r="W5" s="27">
        <f t="shared" si="7"/>
        <v>0.1711111111111111</v>
      </c>
      <c r="X5" s="27">
        <f t="shared" si="8"/>
        <v>9.3333333333333338E-2</v>
      </c>
      <c r="Y5" s="25">
        <f t="shared" si="9"/>
        <v>69.962222222222223</v>
      </c>
    </row>
    <row r="6" spans="1:25" x14ac:dyDescent="0.25">
      <c r="A6" s="24" t="s">
        <v>282</v>
      </c>
      <c r="B6" s="24" t="s">
        <v>283</v>
      </c>
      <c r="C6" s="24" t="s">
        <v>165</v>
      </c>
      <c r="D6" s="24">
        <v>2</v>
      </c>
      <c r="E6" s="24"/>
      <c r="F6" s="24"/>
      <c r="G6" s="24"/>
      <c r="H6" s="24">
        <v>139</v>
      </c>
      <c r="I6" s="24">
        <v>67</v>
      </c>
      <c r="J6" s="24"/>
      <c r="K6" s="24">
        <v>169</v>
      </c>
      <c r="L6" s="24">
        <v>75</v>
      </c>
      <c r="M6" s="24">
        <v>450</v>
      </c>
      <c r="N6" s="25">
        <v>54.604444444444447</v>
      </c>
      <c r="O6" s="24" t="s">
        <v>281</v>
      </c>
      <c r="P6" s="24">
        <f t="shared" si="0"/>
        <v>169</v>
      </c>
      <c r="Q6" s="24">
        <f t="shared" si="1"/>
        <v>139</v>
      </c>
      <c r="R6" s="24">
        <f t="shared" si="2"/>
        <v>67</v>
      </c>
      <c r="S6" s="24">
        <f t="shared" si="3"/>
        <v>75</v>
      </c>
      <c r="T6" s="24">
        <f t="shared" si="4"/>
        <v>450</v>
      </c>
      <c r="U6" s="27">
        <f t="shared" si="5"/>
        <v>0.37555555555555553</v>
      </c>
      <c r="V6" s="27">
        <f t="shared" si="6"/>
        <v>0.30888888888888888</v>
      </c>
      <c r="W6" s="27">
        <f t="shared" si="7"/>
        <v>0.14888888888888888</v>
      </c>
      <c r="X6" s="27">
        <f t="shared" si="8"/>
        <v>0.16666666666666666</v>
      </c>
      <c r="Y6" s="25">
        <f t="shared" si="9"/>
        <v>54.604444444444447</v>
      </c>
    </row>
    <row r="7" spans="1:25" x14ac:dyDescent="0.25">
      <c r="A7" s="24" t="s">
        <v>282</v>
      </c>
      <c r="B7" s="24" t="s">
        <v>283</v>
      </c>
      <c r="C7" s="24" t="s">
        <v>165</v>
      </c>
      <c r="D7" s="24">
        <v>3</v>
      </c>
      <c r="E7" s="24"/>
      <c r="F7" s="24"/>
      <c r="G7" s="24">
        <v>2</v>
      </c>
      <c r="H7" s="24">
        <v>156</v>
      </c>
      <c r="I7" s="24">
        <v>87</v>
      </c>
      <c r="J7" s="24"/>
      <c r="K7" s="24">
        <v>302</v>
      </c>
      <c r="L7" s="24">
        <v>134</v>
      </c>
      <c r="M7" s="24">
        <v>681</v>
      </c>
      <c r="N7" s="25">
        <v>40.022026431718061</v>
      </c>
      <c r="O7" s="24" t="s">
        <v>281</v>
      </c>
      <c r="P7" s="24">
        <f t="shared" si="0"/>
        <v>302</v>
      </c>
      <c r="Q7" s="24">
        <f t="shared" si="1"/>
        <v>156</v>
      </c>
      <c r="R7" s="24">
        <f t="shared" si="2"/>
        <v>87</v>
      </c>
      <c r="S7" s="24">
        <f t="shared" si="3"/>
        <v>136</v>
      </c>
      <c r="T7" s="24">
        <f t="shared" si="4"/>
        <v>681</v>
      </c>
      <c r="U7" s="27">
        <f t="shared" si="5"/>
        <v>0.44346549192364171</v>
      </c>
      <c r="V7" s="27">
        <f t="shared" si="6"/>
        <v>0.22907488986784141</v>
      </c>
      <c r="W7" s="27">
        <f t="shared" si="7"/>
        <v>0.1277533039647577</v>
      </c>
      <c r="X7" s="27">
        <f t="shared" si="8"/>
        <v>0.19970631424375918</v>
      </c>
      <c r="Y7" s="25">
        <f t="shared" si="9"/>
        <v>40.022026431718061</v>
      </c>
    </row>
    <row r="8" spans="1:25" x14ac:dyDescent="0.25">
      <c r="A8" s="24" t="s">
        <v>282</v>
      </c>
      <c r="B8" s="24" t="s">
        <v>283</v>
      </c>
      <c r="C8" s="24" t="s">
        <v>165</v>
      </c>
      <c r="D8" s="24">
        <v>4</v>
      </c>
      <c r="E8" s="24">
        <v>1</v>
      </c>
      <c r="F8" s="24"/>
      <c r="G8" s="24">
        <v>7</v>
      </c>
      <c r="H8" s="24">
        <v>141</v>
      </c>
      <c r="I8" s="24">
        <v>89</v>
      </c>
      <c r="J8" s="24">
        <v>1</v>
      </c>
      <c r="K8" s="24">
        <v>424</v>
      </c>
      <c r="L8" s="24">
        <v>19</v>
      </c>
      <c r="M8" s="24">
        <v>682</v>
      </c>
      <c r="N8" s="25">
        <v>25.920821114369502</v>
      </c>
      <c r="O8" s="24" t="s">
        <v>281</v>
      </c>
      <c r="P8" s="24">
        <f t="shared" si="0"/>
        <v>424</v>
      </c>
      <c r="Q8" s="24">
        <f t="shared" si="1"/>
        <v>141</v>
      </c>
      <c r="R8" s="24">
        <f t="shared" si="2"/>
        <v>89</v>
      </c>
      <c r="S8" s="24">
        <f t="shared" si="3"/>
        <v>28</v>
      </c>
      <c r="T8" s="24">
        <f t="shared" si="4"/>
        <v>682</v>
      </c>
      <c r="U8" s="27">
        <f t="shared" si="5"/>
        <v>0.6217008797653959</v>
      </c>
      <c r="V8" s="27">
        <f t="shared" si="6"/>
        <v>0.20674486803519063</v>
      </c>
      <c r="W8" s="27">
        <f t="shared" si="7"/>
        <v>0.13049853372434017</v>
      </c>
      <c r="X8" s="27">
        <f t="shared" si="8"/>
        <v>4.1055718475073312E-2</v>
      </c>
      <c r="Y8" s="25">
        <f t="shared" si="9"/>
        <v>25.920821114369502</v>
      </c>
    </row>
    <row r="9" spans="1:25" x14ac:dyDescent="0.25">
      <c r="A9" s="24" t="s">
        <v>284</v>
      </c>
      <c r="B9" s="24" t="s">
        <v>285</v>
      </c>
      <c r="C9" s="24" t="s">
        <v>167</v>
      </c>
      <c r="D9" s="24">
        <v>1</v>
      </c>
      <c r="E9" s="24"/>
      <c r="F9" s="24"/>
      <c r="G9" s="24"/>
      <c r="H9" s="24">
        <v>5</v>
      </c>
      <c r="I9" s="24">
        <v>53</v>
      </c>
      <c r="J9" s="24">
        <v>2</v>
      </c>
      <c r="K9" s="24">
        <v>390</v>
      </c>
      <c r="L9" s="24"/>
      <c r="M9" s="24">
        <v>450</v>
      </c>
      <c r="N9" s="25">
        <v>67.331111111111113</v>
      </c>
      <c r="O9" s="24" t="s">
        <v>281</v>
      </c>
      <c r="P9" s="24">
        <f t="shared" si="0"/>
        <v>390</v>
      </c>
      <c r="Q9" s="24">
        <f t="shared" si="1"/>
        <v>5</v>
      </c>
      <c r="R9" s="24">
        <f t="shared" si="2"/>
        <v>53</v>
      </c>
      <c r="S9" s="24">
        <f t="shared" si="3"/>
        <v>2</v>
      </c>
      <c r="T9" s="24">
        <f t="shared" si="4"/>
        <v>450</v>
      </c>
      <c r="U9" s="27">
        <f t="shared" si="5"/>
        <v>0.8666666666666667</v>
      </c>
      <c r="V9" s="27">
        <f t="shared" si="6"/>
        <v>1.1111111111111112E-2</v>
      </c>
      <c r="W9" s="27">
        <f t="shared" si="7"/>
        <v>0.11777777777777777</v>
      </c>
      <c r="X9" s="27">
        <f t="shared" si="8"/>
        <v>4.4444444444444444E-3</v>
      </c>
      <c r="Y9" s="25">
        <f t="shared" si="9"/>
        <v>67.331111111111113</v>
      </c>
    </row>
    <row r="10" spans="1:25" x14ac:dyDescent="0.25">
      <c r="A10" s="24" t="s">
        <v>284</v>
      </c>
      <c r="B10" s="24" t="s">
        <v>285</v>
      </c>
      <c r="C10" s="24" t="s">
        <v>167</v>
      </c>
      <c r="D10" s="24">
        <v>2</v>
      </c>
      <c r="E10" s="24"/>
      <c r="F10" s="24"/>
      <c r="G10" s="24">
        <v>1</v>
      </c>
      <c r="H10" s="24">
        <v>5</v>
      </c>
      <c r="I10" s="24">
        <v>30</v>
      </c>
      <c r="J10" s="24"/>
      <c r="K10" s="24">
        <v>526</v>
      </c>
      <c r="L10" s="24"/>
      <c r="M10" s="24">
        <v>562</v>
      </c>
      <c r="N10" s="25">
        <v>45.439501779359432</v>
      </c>
      <c r="O10" s="24" t="s">
        <v>281</v>
      </c>
      <c r="P10" s="24">
        <f t="shared" si="0"/>
        <v>526</v>
      </c>
      <c r="Q10" s="24">
        <f t="shared" si="1"/>
        <v>5</v>
      </c>
      <c r="R10" s="24">
        <f t="shared" si="2"/>
        <v>30</v>
      </c>
      <c r="S10" s="24">
        <f t="shared" si="3"/>
        <v>1</v>
      </c>
      <c r="T10" s="24">
        <f t="shared" si="4"/>
        <v>562</v>
      </c>
      <c r="U10" s="27">
        <f t="shared" si="5"/>
        <v>0.93594306049822062</v>
      </c>
      <c r="V10" s="27">
        <f t="shared" si="6"/>
        <v>8.8967971530249119E-3</v>
      </c>
      <c r="W10" s="27">
        <f t="shared" si="7"/>
        <v>5.3380782918149468E-2</v>
      </c>
      <c r="X10" s="27">
        <f t="shared" si="8"/>
        <v>1.7793594306049821E-3</v>
      </c>
      <c r="Y10" s="25">
        <f t="shared" si="9"/>
        <v>45.439501779359432</v>
      </c>
    </row>
    <row r="11" spans="1:25" x14ac:dyDescent="0.25">
      <c r="A11" s="24" t="s">
        <v>284</v>
      </c>
      <c r="B11" s="24" t="s">
        <v>285</v>
      </c>
      <c r="C11" s="24" t="s">
        <v>167</v>
      </c>
      <c r="D11" s="24">
        <v>3</v>
      </c>
      <c r="E11" s="24"/>
      <c r="F11" s="24"/>
      <c r="G11" s="24"/>
      <c r="H11" s="24">
        <v>6</v>
      </c>
      <c r="I11" s="24">
        <v>4</v>
      </c>
      <c r="J11" s="24"/>
      <c r="K11" s="24">
        <v>553</v>
      </c>
      <c r="L11" s="24"/>
      <c r="M11" s="24">
        <v>563</v>
      </c>
      <c r="N11" s="25">
        <v>25.811722912966253</v>
      </c>
      <c r="O11" s="24" t="s">
        <v>281</v>
      </c>
      <c r="P11" s="24">
        <f t="shared" si="0"/>
        <v>553</v>
      </c>
      <c r="Q11" s="24">
        <f t="shared" si="1"/>
        <v>6</v>
      </c>
      <c r="R11" s="24">
        <f t="shared" si="2"/>
        <v>4</v>
      </c>
      <c r="S11" s="24">
        <f t="shared" si="3"/>
        <v>0</v>
      </c>
      <c r="T11" s="24">
        <f t="shared" si="4"/>
        <v>563</v>
      </c>
      <c r="U11" s="27">
        <f t="shared" si="5"/>
        <v>0.98223801065719363</v>
      </c>
      <c r="V11" s="27">
        <f t="shared" si="6"/>
        <v>1.0657193605683837E-2</v>
      </c>
      <c r="W11" s="27">
        <f t="shared" si="7"/>
        <v>7.104795737122558E-3</v>
      </c>
      <c r="X11" s="27">
        <f t="shared" si="8"/>
        <v>0</v>
      </c>
      <c r="Y11" s="25">
        <f t="shared" si="9"/>
        <v>25.811722912966253</v>
      </c>
    </row>
    <row r="12" spans="1:25" x14ac:dyDescent="0.25">
      <c r="A12" s="24" t="s">
        <v>286</v>
      </c>
      <c r="B12" s="24" t="s">
        <v>287</v>
      </c>
      <c r="C12" s="24" t="s">
        <v>169</v>
      </c>
      <c r="D12" s="24">
        <v>1</v>
      </c>
      <c r="E12" s="24"/>
      <c r="F12" s="24">
        <v>1</v>
      </c>
      <c r="G12" s="24"/>
      <c r="H12" s="24">
        <v>2</v>
      </c>
      <c r="I12" s="24">
        <v>10</v>
      </c>
      <c r="J12" s="24">
        <v>1</v>
      </c>
      <c r="K12" s="24">
        <v>436</v>
      </c>
      <c r="L12" s="24"/>
      <c r="M12" s="24">
        <v>450</v>
      </c>
      <c r="N12" s="25">
        <v>67.62222222222222</v>
      </c>
      <c r="O12" s="24" t="s">
        <v>281</v>
      </c>
      <c r="P12" s="24">
        <f t="shared" si="0"/>
        <v>436</v>
      </c>
      <c r="Q12" s="24">
        <f t="shared" si="1"/>
        <v>2</v>
      </c>
      <c r="R12" s="24">
        <f t="shared" si="2"/>
        <v>10</v>
      </c>
      <c r="S12" s="24">
        <f t="shared" si="3"/>
        <v>2</v>
      </c>
      <c r="T12" s="24">
        <f t="shared" si="4"/>
        <v>450</v>
      </c>
      <c r="U12" s="27">
        <f t="shared" si="5"/>
        <v>0.96888888888888891</v>
      </c>
      <c r="V12" s="27">
        <f t="shared" si="6"/>
        <v>4.4444444444444444E-3</v>
      </c>
      <c r="W12" s="27">
        <f t="shared" si="7"/>
        <v>2.2222222222222223E-2</v>
      </c>
      <c r="X12" s="27">
        <f t="shared" si="8"/>
        <v>4.4444444444444444E-3</v>
      </c>
      <c r="Y12" s="25">
        <f t="shared" si="9"/>
        <v>67.62222222222222</v>
      </c>
    </row>
    <row r="13" spans="1:25" x14ac:dyDescent="0.25">
      <c r="A13" s="24" t="s">
        <v>286</v>
      </c>
      <c r="B13" s="24" t="s">
        <v>287</v>
      </c>
      <c r="C13" s="24" t="s">
        <v>169</v>
      </c>
      <c r="D13" s="24">
        <v>2</v>
      </c>
      <c r="E13" s="24"/>
      <c r="F13" s="24">
        <v>1</v>
      </c>
      <c r="G13" s="24"/>
      <c r="H13" s="24">
        <v>4</v>
      </c>
      <c r="I13" s="24">
        <v>7</v>
      </c>
      <c r="J13" s="24"/>
      <c r="K13" s="24">
        <v>590</v>
      </c>
      <c r="L13" s="24">
        <v>1</v>
      </c>
      <c r="M13" s="24">
        <v>603</v>
      </c>
      <c r="N13" s="25">
        <v>47.266998341625204</v>
      </c>
      <c r="O13" s="24" t="s">
        <v>281</v>
      </c>
      <c r="P13" s="24">
        <f t="shared" si="0"/>
        <v>590</v>
      </c>
      <c r="Q13" s="24">
        <f t="shared" si="1"/>
        <v>4</v>
      </c>
      <c r="R13" s="24">
        <f t="shared" si="2"/>
        <v>7</v>
      </c>
      <c r="S13" s="24">
        <f t="shared" si="3"/>
        <v>2</v>
      </c>
      <c r="T13" s="24">
        <f t="shared" si="4"/>
        <v>603</v>
      </c>
      <c r="U13" s="27">
        <f t="shared" si="5"/>
        <v>0.97844112769485903</v>
      </c>
      <c r="V13" s="27">
        <f t="shared" si="6"/>
        <v>6.6334991708126038E-3</v>
      </c>
      <c r="W13" s="27">
        <f t="shared" si="7"/>
        <v>1.1608623548922056E-2</v>
      </c>
      <c r="X13" s="27">
        <f t="shared" si="8"/>
        <v>3.3167495854063019E-3</v>
      </c>
      <c r="Y13" s="25">
        <f t="shared" si="9"/>
        <v>47.266998341625204</v>
      </c>
    </row>
    <row r="14" spans="1:25" x14ac:dyDescent="0.25">
      <c r="A14" s="24" t="s">
        <v>286</v>
      </c>
      <c r="B14" s="24" t="s">
        <v>287</v>
      </c>
      <c r="C14" s="24" t="s">
        <v>169</v>
      </c>
      <c r="D14" s="24">
        <v>3</v>
      </c>
      <c r="E14" s="24"/>
      <c r="F14" s="24"/>
      <c r="G14" s="24">
        <v>1</v>
      </c>
      <c r="H14" s="24">
        <v>6</v>
      </c>
      <c r="I14" s="24">
        <v>8</v>
      </c>
      <c r="J14" s="24"/>
      <c r="K14" s="24">
        <v>588</v>
      </c>
      <c r="L14" s="24"/>
      <c r="M14" s="24">
        <v>603</v>
      </c>
      <c r="N14" s="25">
        <v>26.601990049751244</v>
      </c>
      <c r="O14" s="24" t="s">
        <v>281</v>
      </c>
      <c r="P14" s="24">
        <f t="shared" si="0"/>
        <v>588</v>
      </c>
      <c r="Q14" s="24">
        <f t="shared" si="1"/>
        <v>6</v>
      </c>
      <c r="R14" s="24">
        <f t="shared" si="2"/>
        <v>8</v>
      </c>
      <c r="S14" s="24">
        <f t="shared" si="3"/>
        <v>1</v>
      </c>
      <c r="T14" s="24">
        <f t="shared" si="4"/>
        <v>603</v>
      </c>
      <c r="U14" s="27">
        <f t="shared" si="5"/>
        <v>0.97512437810945274</v>
      </c>
      <c r="V14" s="27">
        <f t="shared" si="6"/>
        <v>9.9502487562189053E-3</v>
      </c>
      <c r="W14" s="27">
        <f t="shared" si="7"/>
        <v>1.3266998341625208E-2</v>
      </c>
      <c r="X14" s="27">
        <f t="shared" si="8"/>
        <v>1.658374792703151E-3</v>
      </c>
      <c r="Y14" s="25">
        <f t="shared" si="9"/>
        <v>26.601990049751244</v>
      </c>
    </row>
    <row r="15" spans="1:25" x14ac:dyDescent="0.25">
      <c r="A15" s="24" t="s">
        <v>288</v>
      </c>
      <c r="B15" s="24" t="s">
        <v>289</v>
      </c>
      <c r="C15" s="24" t="s">
        <v>171</v>
      </c>
      <c r="D15" s="24">
        <v>1</v>
      </c>
      <c r="E15" s="24"/>
      <c r="F15" s="24"/>
      <c r="G15" s="24"/>
      <c r="H15" s="24">
        <v>86</v>
      </c>
      <c r="I15" s="24">
        <v>11</v>
      </c>
      <c r="J15" s="24"/>
      <c r="K15" s="24">
        <v>352</v>
      </c>
      <c r="L15" s="24">
        <v>1</v>
      </c>
      <c r="M15" s="24">
        <v>450</v>
      </c>
      <c r="N15" s="25">
        <v>61.782222222222224</v>
      </c>
      <c r="O15" s="24" t="s">
        <v>281</v>
      </c>
      <c r="P15" s="24">
        <f t="shared" si="0"/>
        <v>352</v>
      </c>
      <c r="Q15" s="24">
        <f t="shared" si="1"/>
        <v>86</v>
      </c>
      <c r="R15" s="24">
        <f t="shared" si="2"/>
        <v>11</v>
      </c>
      <c r="S15" s="24">
        <f t="shared" si="3"/>
        <v>1</v>
      </c>
      <c r="T15" s="24">
        <f t="shared" si="4"/>
        <v>450</v>
      </c>
      <c r="U15" s="27">
        <f t="shared" si="5"/>
        <v>0.78222222222222226</v>
      </c>
      <c r="V15" s="27">
        <f t="shared" si="6"/>
        <v>0.19111111111111112</v>
      </c>
      <c r="W15" s="27">
        <f t="shared" si="7"/>
        <v>2.4444444444444446E-2</v>
      </c>
      <c r="X15" s="27">
        <f t="shared" si="8"/>
        <v>2.2222222222222222E-3</v>
      </c>
      <c r="Y15" s="25">
        <f t="shared" si="9"/>
        <v>61.782222222222224</v>
      </c>
    </row>
    <row r="16" spans="1:25" x14ac:dyDescent="0.25">
      <c r="A16" s="24" t="s">
        <v>288</v>
      </c>
      <c r="B16" s="24" t="s">
        <v>289</v>
      </c>
      <c r="C16" s="24" t="s">
        <v>171</v>
      </c>
      <c r="D16" s="24">
        <v>2</v>
      </c>
      <c r="E16" s="24"/>
      <c r="F16" s="24"/>
      <c r="G16" s="24"/>
      <c r="H16" s="24">
        <v>60</v>
      </c>
      <c r="I16" s="24">
        <v>17</v>
      </c>
      <c r="J16" s="24"/>
      <c r="K16" s="24">
        <v>421</v>
      </c>
      <c r="L16" s="24"/>
      <c r="M16" s="24">
        <v>498</v>
      </c>
      <c r="N16" s="25">
        <v>34.365461847389561</v>
      </c>
      <c r="O16" s="24" t="s">
        <v>281</v>
      </c>
      <c r="P16" s="24">
        <f t="shared" si="0"/>
        <v>421</v>
      </c>
      <c r="Q16" s="24">
        <f t="shared" si="1"/>
        <v>60</v>
      </c>
      <c r="R16" s="24">
        <f t="shared" si="2"/>
        <v>17</v>
      </c>
      <c r="S16" s="24">
        <f t="shared" si="3"/>
        <v>0</v>
      </c>
      <c r="T16" s="24">
        <f t="shared" si="4"/>
        <v>498</v>
      </c>
      <c r="U16" s="27">
        <f t="shared" si="5"/>
        <v>0.84538152610441764</v>
      </c>
      <c r="V16" s="27">
        <f t="shared" si="6"/>
        <v>0.12048192771084337</v>
      </c>
      <c r="W16" s="27">
        <f t="shared" si="7"/>
        <v>3.4136546184738957E-2</v>
      </c>
      <c r="X16" s="27">
        <f t="shared" si="8"/>
        <v>0</v>
      </c>
      <c r="Y16" s="25">
        <f t="shared" si="9"/>
        <v>34.365461847389561</v>
      </c>
    </row>
    <row r="17" spans="1:25" x14ac:dyDescent="0.25">
      <c r="A17" s="24" t="s">
        <v>290</v>
      </c>
      <c r="B17" s="24" t="s">
        <v>291</v>
      </c>
      <c r="C17" s="24" t="s">
        <v>173</v>
      </c>
      <c r="D17" s="24">
        <v>1</v>
      </c>
      <c r="E17" s="24"/>
      <c r="F17" s="24"/>
      <c r="G17" s="24"/>
      <c r="H17" s="24">
        <v>1</v>
      </c>
      <c r="I17" s="24">
        <v>3</v>
      </c>
      <c r="J17" s="24">
        <v>1</v>
      </c>
      <c r="K17" s="24">
        <v>444</v>
      </c>
      <c r="L17" s="24">
        <v>1</v>
      </c>
      <c r="M17" s="24">
        <v>450</v>
      </c>
      <c r="N17" s="25">
        <v>66.766666666666666</v>
      </c>
      <c r="O17" s="24" t="s">
        <v>281</v>
      </c>
      <c r="P17" s="24">
        <f t="shared" si="0"/>
        <v>444</v>
      </c>
      <c r="Q17" s="24">
        <f t="shared" si="1"/>
        <v>1</v>
      </c>
      <c r="R17" s="24">
        <f t="shared" si="2"/>
        <v>3</v>
      </c>
      <c r="S17" s="24">
        <f t="shared" si="3"/>
        <v>2</v>
      </c>
      <c r="T17" s="24">
        <f t="shared" si="4"/>
        <v>450</v>
      </c>
      <c r="U17" s="27">
        <f t="shared" si="5"/>
        <v>0.98666666666666669</v>
      </c>
      <c r="V17" s="27">
        <f t="shared" si="6"/>
        <v>2.2222222222222222E-3</v>
      </c>
      <c r="W17" s="27">
        <f t="shared" si="7"/>
        <v>6.6666666666666671E-3</v>
      </c>
      <c r="X17" s="27">
        <f t="shared" si="8"/>
        <v>4.4444444444444444E-3</v>
      </c>
      <c r="Y17" s="25">
        <f t="shared" si="9"/>
        <v>66.766666666666666</v>
      </c>
    </row>
    <row r="18" spans="1:25" x14ac:dyDescent="0.25">
      <c r="A18" s="24" t="s">
        <v>290</v>
      </c>
      <c r="B18" s="24" t="s">
        <v>291</v>
      </c>
      <c r="C18" s="24" t="s">
        <v>173</v>
      </c>
      <c r="D18" s="24">
        <v>2</v>
      </c>
      <c r="E18" s="24"/>
      <c r="F18" s="24">
        <v>1</v>
      </c>
      <c r="G18" s="24"/>
      <c r="H18" s="24"/>
      <c r="I18" s="24">
        <v>2</v>
      </c>
      <c r="J18" s="24"/>
      <c r="K18" s="24">
        <v>552</v>
      </c>
      <c r="L18" s="24">
        <v>3</v>
      </c>
      <c r="M18" s="24">
        <v>558</v>
      </c>
      <c r="N18" s="25">
        <v>51.043010752688168</v>
      </c>
      <c r="O18" s="24" t="s">
        <v>281</v>
      </c>
      <c r="P18" s="24">
        <f t="shared" si="0"/>
        <v>552</v>
      </c>
      <c r="Q18" s="24">
        <f t="shared" si="1"/>
        <v>0</v>
      </c>
      <c r="R18" s="24">
        <f t="shared" si="2"/>
        <v>2</v>
      </c>
      <c r="S18" s="24">
        <f t="shared" si="3"/>
        <v>4</v>
      </c>
      <c r="T18" s="24">
        <f t="shared" si="4"/>
        <v>558</v>
      </c>
      <c r="U18" s="27">
        <f t="shared" si="5"/>
        <v>0.989247311827957</v>
      </c>
      <c r="V18" s="27">
        <f t="shared" si="6"/>
        <v>0</v>
      </c>
      <c r="W18" s="27">
        <f t="shared" si="7"/>
        <v>3.5842293906810036E-3</v>
      </c>
      <c r="X18" s="27">
        <f t="shared" si="8"/>
        <v>7.1684587813620072E-3</v>
      </c>
      <c r="Y18" s="25">
        <f t="shared" si="9"/>
        <v>51.043010752688168</v>
      </c>
    </row>
    <row r="19" spans="1:25" x14ac:dyDescent="0.25">
      <c r="A19" s="24" t="s">
        <v>290</v>
      </c>
      <c r="B19" s="24" t="s">
        <v>291</v>
      </c>
      <c r="C19" s="24" t="s">
        <v>173</v>
      </c>
      <c r="D19" s="24">
        <v>3</v>
      </c>
      <c r="E19" s="24"/>
      <c r="F19" s="24"/>
      <c r="G19" s="24"/>
      <c r="H19" s="24">
        <v>1</v>
      </c>
      <c r="I19" s="24"/>
      <c r="J19" s="24">
        <v>1</v>
      </c>
      <c r="K19" s="24">
        <v>555</v>
      </c>
      <c r="L19" s="24">
        <v>1</v>
      </c>
      <c r="M19" s="24">
        <v>558</v>
      </c>
      <c r="N19" s="25">
        <v>34.804659498207883</v>
      </c>
      <c r="O19" s="24" t="s">
        <v>281</v>
      </c>
      <c r="P19" s="24">
        <f t="shared" si="0"/>
        <v>555</v>
      </c>
      <c r="Q19" s="24">
        <f t="shared" si="1"/>
        <v>1</v>
      </c>
      <c r="R19" s="24">
        <f t="shared" si="2"/>
        <v>0</v>
      </c>
      <c r="S19" s="24">
        <f t="shared" si="3"/>
        <v>2</v>
      </c>
      <c r="T19" s="24">
        <f t="shared" si="4"/>
        <v>558</v>
      </c>
      <c r="U19" s="27">
        <f t="shared" si="5"/>
        <v>0.9946236559139785</v>
      </c>
      <c r="V19" s="27">
        <f t="shared" si="6"/>
        <v>1.7921146953405018E-3</v>
      </c>
      <c r="W19" s="27">
        <f t="shared" si="7"/>
        <v>0</v>
      </c>
      <c r="X19" s="27">
        <f t="shared" si="8"/>
        <v>3.5842293906810036E-3</v>
      </c>
      <c r="Y19" s="25">
        <f t="shared" si="9"/>
        <v>34.804659498207883</v>
      </c>
    </row>
    <row r="20" spans="1:25" x14ac:dyDescent="0.25">
      <c r="A20" s="24" t="s">
        <v>290</v>
      </c>
      <c r="B20" s="24" t="s">
        <v>291</v>
      </c>
      <c r="C20" s="24" t="s">
        <v>173</v>
      </c>
      <c r="D20" s="24">
        <v>4</v>
      </c>
      <c r="E20" s="24"/>
      <c r="F20" s="24"/>
      <c r="G20" s="24"/>
      <c r="H20" s="24"/>
      <c r="I20" s="24"/>
      <c r="J20" s="24"/>
      <c r="K20" s="24">
        <v>559</v>
      </c>
      <c r="L20" s="24"/>
      <c r="M20" s="24">
        <v>559</v>
      </c>
      <c r="N20" s="25">
        <v>23.493738819320214</v>
      </c>
      <c r="O20" s="24" t="s">
        <v>281</v>
      </c>
      <c r="P20" s="24">
        <f t="shared" si="0"/>
        <v>559</v>
      </c>
      <c r="Q20" s="24">
        <f t="shared" si="1"/>
        <v>0</v>
      </c>
      <c r="R20" s="24">
        <f t="shared" si="2"/>
        <v>0</v>
      </c>
      <c r="S20" s="24">
        <f t="shared" si="3"/>
        <v>0</v>
      </c>
      <c r="T20" s="24">
        <f t="shared" si="4"/>
        <v>559</v>
      </c>
      <c r="U20" s="27">
        <f t="shared" si="5"/>
        <v>1</v>
      </c>
      <c r="V20" s="27">
        <f t="shared" si="6"/>
        <v>0</v>
      </c>
      <c r="W20" s="27">
        <f t="shared" si="7"/>
        <v>0</v>
      </c>
      <c r="X20" s="27">
        <f t="shared" si="8"/>
        <v>0</v>
      </c>
      <c r="Y20" s="25">
        <f t="shared" si="9"/>
        <v>23.493738819320214</v>
      </c>
    </row>
    <row r="21" spans="1:25" x14ac:dyDescent="0.25">
      <c r="A21" s="24" t="s">
        <v>293</v>
      </c>
      <c r="B21" s="24" t="s">
        <v>294</v>
      </c>
      <c r="C21" s="24" t="s">
        <v>175</v>
      </c>
      <c r="D21" s="24">
        <v>1</v>
      </c>
      <c r="E21" s="24"/>
      <c r="F21" s="24"/>
      <c r="G21" s="24"/>
      <c r="H21" s="24">
        <v>35</v>
      </c>
      <c r="I21" s="24">
        <v>23</v>
      </c>
      <c r="J21" s="24">
        <v>6</v>
      </c>
      <c r="K21" s="24">
        <v>378</v>
      </c>
      <c r="L21" s="24">
        <v>8</v>
      </c>
      <c r="M21" s="24">
        <v>450</v>
      </c>
      <c r="N21" s="25">
        <v>67.099999999999994</v>
      </c>
      <c r="O21" s="24" t="s">
        <v>281</v>
      </c>
      <c r="P21" s="24">
        <f t="shared" si="0"/>
        <v>378</v>
      </c>
      <c r="Q21" s="24">
        <f t="shared" si="1"/>
        <v>35</v>
      </c>
      <c r="R21" s="24">
        <f t="shared" si="2"/>
        <v>23</v>
      </c>
      <c r="S21" s="24">
        <f t="shared" si="3"/>
        <v>14</v>
      </c>
      <c r="T21" s="24">
        <f t="shared" si="4"/>
        <v>450</v>
      </c>
      <c r="U21" s="27">
        <f t="shared" si="5"/>
        <v>0.84</v>
      </c>
      <c r="V21" s="27">
        <f t="shared" si="6"/>
        <v>7.7777777777777779E-2</v>
      </c>
      <c r="W21" s="27">
        <f t="shared" si="7"/>
        <v>5.1111111111111114E-2</v>
      </c>
      <c r="X21" s="27">
        <f t="shared" si="8"/>
        <v>3.111111111111111E-2</v>
      </c>
      <c r="Y21" s="25">
        <f t="shared" si="9"/>
        <v>67.099999999999994</v>
      </c>
    </row>
    <row r="22" spans="1:25" x14ac:dyDescent="0.25">
      <c r="A22" s="24" t="s">
        <v>293</v>
      </c>
      <c r="B22" s="24" t="s">
        <v>294</v>
      </c>
      <c r="C22" s="24" t="s">
        <v>175</v>
      </c>
      <c r="D22" s="24">
        <v>2</v>
      </c>
      <c r="E22" s="24"/>
      <c r="F22" s="24"/>
      <c r="G22" s="24">
        <v>2</v>
      </c>
      <c r="H22" s="24">
        <v>55</v>
      </c>
      <c r="I22" s="24">
        <v>45</v>
      </c>
      <c r="J22" s="24">
        <v>1</v>
      </c>
      <c r="K22" s="24">
        <v>429</v>
      </c>
      <c r="L22" s="24">
        <v>22</v>
      </c>
      <c r="M22" s="24">
        <v>554</v>
      </c>
      <c r="N22" s="25">
        <v>55.366425992779781</v>
      </c>
      <c r="O22" s="24" t="s">
        <v>281</v>
      </c>
      <c r="P22" s="24">
        <f t="shared" si="0"/>
        <v>429</v>
      </c>
      <c r="Q22" s="24">
        <f t="shared" si="1"/>
        <v>55</v>
      </c>
      <c r="R22" s="24">
        <f t="shared" si="2"/>
        <v>45</v>
      </c>
      <c r="S22" s="24">
        <f t="shared" si="3"/>
        <v>25</v>
      </c>
      <c r="T22" s="24">
        <f t="shared" si="4"/>
        <v>554</v>
      </c>
      <c r="U22" s="27">
        <f t="shared" si="5"/>
        <v>0.77436823104693142</v>
      </c>
      <c r="V22" s="27">
        <f t="shared" si="6"/>
        <v>9.9277978339350176E-2</v>
      </c>
      <c r="W22" s="27">
        <f t="shared" si="7"/>
        <v>8.1227436823104696E-2</v>
      </c>
      <c r="X22" s="27">
        <f t="shared" si="8"/>
        <v>4.5126353790613721E-2</v>
      </c>
      <c r="Y22" s="25">
        <f t="shared" si="9"/>
        <v>55.366425992779781</v>
      </c>
    </row>
    <row r="23" spans="1:25" x14ac:dyDescent="0.25">
      <c r="A23" s="24" t="s">
        <v>293</v>
      </c>
      <c r="B23" s="24" t="s">
        <v>294</v>
      </c>
      <c r="C23" s="24" t="s">
        <v>175</v>
      </c>
      <c r="D23" s="24">
        <v>3</v>
      </c>
      <c r="E23" s="24"/>
      <c r="F23" s="24">
        <v>3</v>
      </c>
      <c r="G23" s="24"/>
      <c r="H23" s="24">
        <v>91</v>
      </c>
      <c r="I23" s="24">
        <v>45</v>
      </c>
      <c r="J23" s="24"/>
      <c r="K23" s="24">
        <v>383</v>
      </c>
      <c r="L23" s="24">
        <v>32</v>
      </c>
      <c r="M23" s="24">
        <v>554</v>
      </c>
      <c r="N23" s="25">
        <v>42.601083032490976</v>
      </c>
      <c r="O23" s="24" t="s">
        <v>281</v>
      </c>
      <c r="P23" s="24">
        <f t="shared" si="0"/>
        <v>383</v>
      </c>
      <c r="Q23" s="24">
        <f t="shared" si="1"/>
        <v>91</v>
      </c>
      <c r="R23" s="24">
        <f t="shared" si="2"/>
        <v>45</v>
      </c>
      <c r="S23" s="24">
        <f t="shared" si="3"/>
        <v>35</v>
      </c>
      <c r="T23" s="24">
        <f t="shared" si="4"/>
        <v>554</v>
      </c>
      <c r="U23" s="27">
        <f t="shared" si="5"/>
        <v>0.69133574007220222</v>
      </c>
      <c r="V23" s="27">
        <f t="shared" si="6"/>
        <v>0.16425992779783394</v>
      </c>
      <c r="W23" s="27">
        <f t="shared" si="7"/>
        <v>8.1227436823104696E-2</v>
      </c>
      <c r="X23" s="27">
        <f t="shared" si="8"/>
        <v>6.3176895306859202E-2</v>
      </c>
      <c r="Y23" s="25">
        <f t="shared" si="9"/>
        <v>42.601083032490976</v>
      </c>
    </row>
    <row r="24" spans="1:25" x14ac:dyDescent="0.25">
      <c r="A24" s="24" t="s">
        <v>293</v>
      </c>
      <c r="B24" s="24" t="s">
        <v>294</v>
      </c>
      <c r="C24" s="24" t="s">
        <v>175</v>
      </c>
      <c r="D24" s="24">
        <v>4</v>
      </c>
      <c r="E24" s="24">
        <v>2</v>
      </c>
      <c r="F24" s="24"/>
      <c r="G24" s="24"/>
      <c r="H24" s="24">
        <v>49</v>
      </c>
      <c r="I24" s="24">
        <v>33</v>
      </c>
      <c r="J24" s="24"/>
      <c r="K24" s="24">
        <v>443</v>
      </c>
      <c r="L24" s="24">
        <v>28</v>
      </c>
      <c r="M24" s="24">
        <v>555</v>
      </c>
      <c r="N24" s="25">
        <v>32.736936936936935</v>
      </c>
      <c r="O24" s="24" t="s">
        <v>281</v>
      </c>
      <c r="P24" s="24">
        <f t="shared" si="0"/>
        <v>443</v>
      </c>
      <c r="Q24" s="24">
        <f t="shared" si="1"/>
        <v>49</v>
      </c>
      <c r="R24" s="24">
        <f t="shared" si="2"/>
        <v>33</v>
      </c>
      <c r="S24" s="24">
        <f t="shared" si="3"/>
        <v>30</v>
      </c>
      <c r="T24" s="24">
        <f t="shared" si="4"/>
        <v>555</v>
      </c>
      <c r="U24" s="27">
        <f t="shared" si="5"/>
        <v>0.79819819819819815</v>
      </c>
      <c r="V24" s="27">
        <f t="shared" si="6"/>
        <v>8.8288288288288289E-2</v>
      </c>
      <c r="W24" s="27">
        <f t="shared" si="7"/>
        <v>5.9459459459459463E-2</v>
      </c>
      <c r="X24" s="27">
        <f t="shared" si="8"/>
        <v>5.4054054054054057E-2</v>
      </c>
      <c r="Y24" s="25">
        <f t="shared" si="9"/>
        <v>32.736936936936935</v>
      </c>
    </row>
    <row r="25" spans="1:25" x14ac:dyDescent="0.25">
      <c r="A25" s="24" t="s">
        <v>293</v>
      </c>
      <c r="B25" s="24" t="s">
        <v>294</v>
      </c>
      <c r="C25" s="24" t="s">
        <v>175</v>
      </c>
      <c r="D25" s="24">
        <v>5</v>
      </c>
      <c r="E25" s="24"/>
      <c r="F25" s="24"/>
      <c r="G25" s="24">
        <v>6</v>
      </c>
      <c r="H25" s="24">
        <v>33</v>
      </c>
      <c r="I25" s="24">
        <v>40</v>
      </c>
      <c r="J25" s="24"/>
      <c r="K25" s="24">
        <v>468</v>
      </c>
      <c r="L25" s="24">
        <v>8</v>
      </c>
      <c r="M25" s="24">
        <v>555</v>
      </c>
      <c r="N25" s="25">
        <v>23.257657657657656</v>
      </c>
      <c r="O25" s="24" t="s">
        <v>281</v>
      </c>
      <c r="P25" s="24">
        <f t="shared" si="0"/>
        <v>468</v>
      </c>
      <c r="Q25" s="24">
        <f t="shared" si="1"/>
        <v>33</v>
      </c>
      <c r="R25" s="24">
        <f t="shared" si="2"/>
        <v>40</v>
      </c>
      <c r="S25" s="24">
        <f t="shared" si="3"/>
        <v>14</v>
      </c>
      <c r="T25" s="24">
        <f t="shared" si="4"/>
        <v>555</v>
      </c>
      <c r="U25" s="27">
        <f t="shared" si="5"/>
        <v>0.84324324324324329</v>
      </c>
      <c r="V25" s="27">
        <f t="shared" si="6"/>
        <v>5.9459459459459463E-2</v>
      </c>
      <c r="W25" s="27">
        <f t="shared" si="7"/>
        <v>7.2072072072072071E-2</v>
      </c>
      <c r="X25" s="27">
        <f t="shared" si="8"/>
        <v>2.5225225225225224E-2</v>
      </c>
      <c r="Y25" s="25">
        <f t="shared" si="9"/>
        <v>23.257657657657656</v>
      </c>
    </row>
    <row r="26" spans="1:25" x14ac:dyDescent="0.25">
      <c r="A26" s="24" t="s">
        <v>295</v>
      </c>
      <c r="B26" s="24" t="s">
        <v>296</v>
      </c>
      <c r="C26" s="24" t="s">
        <v>177</v>
      </c>
      <c r="D26" s="24">
        <v>1</v>
      </c>
      <c r="E26" s="24"/>
      <c r="F26" s="24"/>
      <c r="G26" s="24"/>
      <c r="H26" s="24">
        <v>104</v>
      </c>
      <c r="I26" s="24">
        <v>28</v>
      </c>
      <c r="J26" s="24">
        <v>1</v>
      </c>
      <c r="K26" s="24">
        <v>199</v>
      </c>
      <c r="L26" s="24"/>
      <c r="M26" s="24">
        <v>332</v>
      </c>
      <c r="N26" s="25">
        <v>67.768072289156621</v>
      </c>
      <c r="O26" s="24" t="s">
        <v>281</v>
      </c>
      <c r="P26" s="24">
        <f t="shared" si="0"/>
        <v>199</v>
      </c>
      <c r="Q26" s="24">
        <f t="shared" si="1"/>
        <v>104</v>
      </c>
      <c r="R26" s="24">
        <f t="shared" si="2"/>
        <v>28</v>
      </c>
      <c r="S26" s="24">
        <f t="shared" si="3"/>
        <v>1</v>
      </c>
      <c r="T26" s="24">
        <f t="shared" si="4"/>
        <v>332</v>
      </c>
      <c r="U26" s="27">
        <f t="shared" si="5"/>
        <v>0.5993975903614458</v>
      </c>
      <c r="V26" s="27">
        <f t="shared" si="6"/>
        <v>0.31325301204819278</v>
      </c>
      <c r="W26" s="27">
        <f t="shared" si="7"/>
        <v>8.4337349397590355E-2</v>
      </c>
      <c r="X26" s="27">
        <f t="shared" si="8"/>
        <v>3.0120481927710845E-3</v>
      </c>
      <c r="Y26" s="25">
        <f t="shared" si="9"/>
        <v>67.768072289156621</v>
      </c>
    </row>
    <row r="27" spans="1:25" x14ac:dyDescent="0.25">
      <c r="A27" s="24" t="s">
        <v>295</v>
      </c>
      <c r="B27" s="24" t="s">
        <v>296</v>
      </c>
      <c r="C27" s="24" t="s">
        <v>177</v>
      </c>
      <c r="D27" s="24">
        <v>2</v>
      </c>
      <c r="E27" s="24"/>
      <c r="F27" s="24">
        <v>2</v>
      </c>
      <c r="G27" s="24"/>
      <c r="H27" s="24">
        <v>31</v>
      </c>
      <c r="I27" s="24">
        <v>52</v>
      </c>
      <c r="J27" s="24">
        <v>1</v>
      </c>
      <c r="K27" s="24">
        <v>246</v>
      </c>
      <c r="L27" s="24">
        <v>1</v>
      </c>
      <c r="M27" s="24">
        <v>333</v>
      </c>
      <c r="N27" s="25">
        <v>40.336336336336338</v>
      </c>
      <c r="O27" s="24" t="s">
        <v>281</v>
      </c>
      <c r="P27" s="24">
        <f t="shared" si="0"/>
        <v>246</v>
      </c>
      <c r="Q27" s="24">
        <f t="shared" si="1"/>
        <v>31</v>
      </c>
      <c r="R27" s="24">
        <f t="shared" si="2"/>
        <v>52</v>
      </c>
      <c r="S27" s="24">
        <f t="shared" si="3"/>
        <v>4</v>
      </c>
      <c r="T27" s="24">
        <f t="shared" si="4"/>
        <v>333</v>
      </c>
      <c r="U27" s="27">
        <f t="shared" si="5"/>
        <v>0.73873873873873874</v>
      </c>
      <c r="V27" s="27">
        <f t="shared" si="6"/>
        <v>9.3093093093093091E-2</v>
      </c>
      <c r="W27" s="27">
        <f t="shared" si="7"/>
        <v>0.15615615615615616</v>
      </c>
      <c r="X27" s="27">
        <f t="shared" si="8"/>
        <v>1.2012012012012012E-2</v>
      </c>
      <c r="Y27" s="25">
        <f t="shared" si="9"/>
        <v>40.336336336336338</v>
      </c>
    </row>
    <row r="28" spans="1:25" x14ac:dyDescent="0.25">
      <c r="A28" s="24" t="s">
        <v>297</v>
      </c>
      <c r="B28" s="24" t="s">
        <v>298</v>
      </c>
      <c r="C28" s="24" t="s">
        <v>179</v>
      </c>
      <c r="D28" s="24">
        <v>1</v>
      </c>
      <c r="E28" s="24"/>
      <c r="F28" s="24"/>
      <c r="G28" s="24"/>
      <c r="H28" s="24">
        <v>40</v>
      </c>
      <c r="I28" s="24">
        <v>31</v>
      </c>
      <c r="J28" s="24">
        <v>2</v>
      </c>
      <c r="K28" s="24">
        <v>377</v>
      </c>
      <c r="L28" s="24"/>
      <c r="M28" s="24">
        <v>450</v>
      </c>
      <c r="N28" s="25">
        <v>66.406666666666666</v>
      </c>
      <c r="O28" s="24" t="s">
        <v>281</v>
      </c>
      <c r="P28" s="24">
        <f t="shared" ref="P28:P45" si="10">K28</f>
        <v>377</v>
      </c>
      <c r="Q28" s="24">
        <f t="shared" ref="Q28:Q45" si="11">H28</f>
        <v>40</v>
      </c>
      <c r="R28" s="24">
        <f t="shared" si="2"/>
        <v>31</v>
      </c>
      <c r="S28" s="24">
        <f t="shared" ref="S28:S45" si="12">M28-SUM(P28:R28)</f>
        <v>2</v>
      </c>
      <c r="T28" s="24">
        <f t="shared" ref="T28:T45" si="13">SUM(P28:S28)</f>
        <v>450</v>
      </c>
      <c r="U28" s="27">
        <f t="shared" ref="U28:U45" si="14">P28/M28</f>
        <v>0.83777777777777773</v>
      </c>
      <c r="V28" s="27">
        <f t="shared" ref="V28:V45" si="15">Q28/M28</f>
        <v>8.8888888888888892E-2</v>
      </c>
      <c r="W28" s="27">
        <f t="shared" ref="W28:W45" si="16">R28/M28</f>
        <v>6.8888888888888888E-2</v>
      </c>
      <c r="X28" s="27">
        <f t="shared" ref="X28:X45" si="17">S28/M28</f>
        <v>4.4444444444444444E-3</v>
      </c>
      <c r="Y28" s="25">
        <f t="shared" ref="Y28:Y45" si="18">N28</f>
        <v>66.406666666666666</v>
      </c>
    </row>
    <row r="29" spans="1:25" x14ac:dyDescent="0.25">
      <c r="A29" s="24" t="s">
        <v>297</v>
      </c>
      <c r="B29" s="24" t="s">
        <v>298</v>
      </c>
      <c r="C29" s="24" t="s">
        <v>179</v>
      </c>
      <c r="D29" s="24">
        <v>2</v>
      </c>
      <c r="E29" s="24"/>
      <c r="F29" s="24"/>
      <c r="G29" s="24"/>
      <c r="H29" s="24">
        <v>14</v>
      </c>
      <c r="I29" s="24">
        <v>15</v>
      </c>
      <c r="J29" s="24">
        <v>1</v>
      </c>
      <c r="K29" s="24">
        <v>420</v>
      </c>
      <c r="L29" s="24"/>
      <c r="M29" s="24">
        <v>450</v>
      </c>
      <c r="N29" s="25">
        <v>63.713333333333331</v>
      </c>
      <c r="O29" s="24" t="s">
        <v>281</v>
      </c>
      <c r="P29" s="24">
        <f t="shared" si="10"/>
        <v>420</v>
      </c>
      <c r="Q29" s="24">
        <f t="shared" si="11"/>
        <v>14</v>
      </c>
      <c r="R29" s="24">
        <f t="shared" si="2"/>
        <v>15</v>
      </c>
      <c r="S29" s="24">
        <f t="shared" si="12"/>
        <v>1</v>
      </c>
      <c r="T29" s="24">
        <f t="shared" si="13"/>
        <v>450</v>
      </c>
      <c r="U29" s="27">
        <f t="shared" si="14"/>
        <v>0.93333333333333335</v>
      </c>
      <c r="V29" s="27">
        <f t="shared" si="15"/>
        <v>3.111111111111111E-2</v>
      </c>
      <c r="W29" s="27">
        <f t="shared" si="16"/>
        <v>3.3333333333333333E-2</v>
      </c>
      <c r="X29" s="27">
        <f t="shared" si="17"/>
        <v>2.2222222222222222E-3</v>
      </c>
      <c r="Y29" s="25">
        <f t="shared" si="18"/>
        <v>63.713333333333331</v>
      </c>
    </row>
    <row r="30" spans="1:25" x14ac:dyDescent="0.25">
      <c r="A30" s="24" t="s">
        <v>297</v>
      </c>
      <c r="B30" s="24" t="s">
        <v>298</v>
      </c>
      <c r="C30" s="24" t="s">
        <v>179</v>
      </c>
      <c r="D30" s="24">
        <v>3</v>
      </c>
      <c r="E30" s="24"/>
      <c r="F30" s="24">
        <v>1</v>
      </c>
      <c r="G30" s="24"/>
      <c r="H30" s="24">
        <v>30</v>
      </c>
      <c r="I30" s="24">
        <v>23</v>
      </c>
      <c r="J30" s="24">
        <v>1</v>
      </c>
      <c r="K30" s="24">
        <v>395</v>
      </c>
      <c r="L30" s="24"/>
      <c r="M30" s="24">
        <v>450</v>
      </c>
      <c r="N30" s="25">
        <v>57.511111111111113</v>
      </c>
      <c r="O30" s="24" t="s">
        <v>281</v>
      </c>
      <c r="P30" s="24">
        <f t="shared" si="10"/>
        <v>395</v>
      </c>
      <c r="Q30" s="24">
        <f t="shared" si="11"/>
        <v>30</v>
      </c>
      <c r="R30" s="24">
        <f t="shared" si="2"/>
        <v>23</v>
      </c>
      <c r="S30" s="24">
        <f t="shared" si="12"/>
        <v>2</v>
      </c>
      <c r="T30" s="24">
        <f t="shared" si="13"/>
        <v>450</v>
      </c>
      <c r="U30" s="27">
        <f t="shared" si="14"/>
        <v>0.87777777777777777</v>
      </c>
      <c r="V30" s="27">
        <f t="shared" si="15"/>
        <v>6.6666666666666666E-2</v>
      </c>
      <c r="W30" s="27">
        <f t="shared" si="16"/>
        <v>5.1111111111111114E-2</v>
      </c>
      <c r="X30" s="27">
        <f t="shared" si="17"/>
        <v>4.4444444444444444E-3</v>
      </c>
      <c r="Y30" s="25">
        <f t="shared" si="18"/>
        <v>57.511111111111113</v>
      </c>
    </row>
    <row r="31" spans="1:25" x14ac:dyDescent="0.25">
      <c r="A31" s="24" t="s">
        <v>297</v>
      </c>
      <c r="B31" s="24" t="s">
        <v>298</v>
      </c>
      <c r="C31" s="24" t="s">
        <v>179</v>
      </c>
      <c r="D31" s="24">
        <v>4</v>
      </c>
      <c r="E31" s="24"/>
      <c r="F31" s="24"/>
      <c r="G31" s="24">
        <v>1</v>
      </c>
      <c r="H31" s="24">
        <v>60</v>
      </c>
      <c r="I31" s="24">
        <v>46</v>
      </c>
      <c r="J31" s="24">
        <v>1</v>
      </c>
      <c r="K31" s="24">
        <v>543</v>
      </c>
      <c r="L31" s="24"/>
      <c r="M31" s="24">
        <v>651</v>
      </c>
      <c r="N31" s="25">
        <v>49.789554531490012</v>
      </c>
      <c r="O31" s="24" t="s">
        <v>281</v>
      </c>
      <c r="P31" s="24">
        <f t="shared" si="10"/>
        <v>543</v>
      </c>
      <c r="Q31" s="24">
        <f t="shared" si="11"/>
        <v>60</v>
      </c>
      <c r="R31" s="24">
        <f t="shared" si="2"/>
        <v>46</v>
      </c>
      <c r="S31" s="24">
        <f t="shared" si="12"/>
        <v>2</v>
      </c>
      <c r="T31" s="24">
        <f t="shared" si="13"/>
        <v>651</v>
      </c>
      <c r="U31" s="27">
        <f t="shared" si="14"/>
        <v>0.83410138248847931</v>
      </c>
      <c r="V31" s="27">
        <f t="shared" si="15"/>
        <v>9.2165898617511524E-2</v>
      </c>
      <c r="W31" s="27">
        <f t="shared" si="16"/>
        <v>7.0660522273425494E-2</v>
      </c>
      <c r="X31" s="27">
        <f t="shared" si="17"/>
        <v>3.0721966205837174E-3</v>
      </c>
      <c r="Y31" s="25">
        <f t="shared" si="18"/>
        <v>49.789554531490012</v>
      </c>
    </row>
    <row r="32" spans="1:25" x14ac:dyDescent="0.25">
      <c r="A32" s="24" t="s">
        <v>297</v>
      </c>
      <c r="B32" s="24" t="s">
        <v>298</v>
      </c>
      <c r="C32" s="24" t="s">
        <v>179</v>
      </c>
      <c r="D32" s="24">
        <v>5</v>
      </c>
      <c r="E32" s="24"/>
      <c r="F32" s="24">
        <v>1</v>
      </c>
      <c r="G32" s="24">
        <v>2</v>
      </c>
      <c r="H32" s="24">
        <v>33</v>
      </c>
      <c r="I32" s="24">
        <v>30</v>
      </c>
      <c r="J32" s="24">
        <v>4</v>
      </c>
      <c r="K32" s="24">
        <v>581</v>
      </c>
      <c r="L32" s="24"/>
      <c r="M32" s="24">
        <v>651</v>
      </c>
      <c r="N32" s="25">
        <v>41.462365591397848</v>
      </c>
      <c r="O32" s="24" t="s">
        <v>281</v>
      </c>
      <c r="P32" s="24">
        <f t="shared" si="10"/>
        <v>581</v>
      </c>
      <c r="Q32" s="24">
        <f t="shared" si="11"/>
        <v>33</v>
      </c>
      <c r="R32" s="24">
        <f t="shared" si="2"/>
        <v>30</v>
      </c>
      <c r="S32" s="24">
        <f t="shared" si="12"/>
        <v>7</v>
      </c>
      <c r="T32" s="24">
        <f t="shared" si="13"/>
        <v>651</v>
      </c>
      <c r="U32" s="27">
        <f t="shared" si="14"/>
        <v>0.89247311827956988</v>
      </c>
      <c r="V32" s="27">
        <f t="shared" si="15"/>
        <v>5.0691244239631339E-2</v>
      </c>
      <c r="W32" s="27">
        <f t="shared" si="16"/>
        <v>4.6082949308755762E-2</v>
      </c>
      <c r="X32" s="27">
        <f t="shared" si="17"/>
        <v>1.0752688172043012E-2</v>
      </c>
      <c r="Y32" s="25">
        <f t="shared" si="18"/>
        <v>41.462365591397848</v>
      </c>
    </row>
    <row r="33" spans="1:25" x14ac:dyDescent="0.25">
      <c r="A33" s="24" t="s">
        <v>297</v>
      </c>
      <c r="B33" s="24" t="s">
        <v>298</v>
      </c>
      <c r="C33" s="24" t="s">
        <v>179</v>
      </c>
      <c r="D33" s="24">
        <v>6</v>
      </c>
      <c r="E33" s="24"/>
      <c r="F33" s="24"/>
      <c r="G33" s="24"/>
      <c r="H33" s="24">
        <v>9</v>
      </c>
      <c r="I33" s="24">
        <v>17</v>
      </c>
      <c r="J33" s="24"/>
      <c r="K33" s="24">
        <v>625</v>
      </c>
      <c r="L33" s="24"/>
      <c r="M33" s="24">
        <v>651</v>
      </c>
      <c r="N33" s="25">
        <v>35.846390168970814</v>
      </c>
      <c r="O33" s="24" t="s">
        <v>281</v>
      </c>
      <c r="P33" s="24">
        <f t="shared" si="10"/>
        <v>625</v>
      </c>
      <c r="Q33" s="24">
        <f t="shared" si="11"/>
        <v>9</v>
      </c>
      <c r="R33" s="24">
        <f t="shared" si="2"/>
        <v>17</v>
      </c>
      <c r="S33" s="24">
        <f t="shared" si="12"/>
        <v>0</v>
      </c>
      <c r="T33" s="24">
        <f t="shared" si="13"/>
        <v>651</v>
      </c>
      <c r="U33" s="27">
        <f t="shared" si="14"/>
        <v>0.96006144393241166</v>
      </c>
      <c r="V33" s="27">
        <f t="shared" si="15"/>
        <v>1.3824884792626729E-2</v>
      </c>
      <c r="W33" s="27">
        <f t="shared" si="16"/>
        <v>2.6113671274961597E-2</v>
      </c>
      <c r="X33" s="27">
        <f t="shared" si="17"/>
        <v>0</v>
      </c>
      <c r="Y33" s="25">
        <f t="shared" si="18"/>
        <v>35.846390168970814</v>
      </c>
    </row>
    <row r="34" spans="1:25" x14ac:dyDescent="0.25">
      <c r="A34" s="24" t="s">
        <v>297</v>
      </c>
      <c r="B34" s="24" t="s">
        <v>298</v>
      </c>
      <c r="C34" s="24" t="s">
        <v>179</v>
      </c>
      <c r="D34" s="24">
        <v>7</v>
      </c>
      <c r="E34" s="24"/>
      <c r="F34" s="24"/>
      <c r="G34" s="24"/>
      <c r="H34" s="24">
        <v>11</v>
      </c>
      <c r="I34" s="24">
        <v>17</v>
      </c>
      <c r="J34" s="24"/>
      <c r="K34" s="24">
        <v>623</v>
      </c>
      <c r="L34" s="24"/>
      <c r="M34" s="24">
        <v>651</v>
      </c>
      <c r="N34" s="25">
        <v>31.682027649769584</v>
      </c>
      <c r="O34" s="24" t="s">
        <v>281</v>
      </c>
      <c r="P34" s="24">
        <f t="shared" si="10"/>
        <v>623</v>
      </c>
      <c r="Q34" s="24">
        <f t="shared" si="11"/>
        <v>11</v>
      </c>
      <c r="R34" s="24">
        <f t="shared" si="2"/>
        <v>17</v>
      </c>
      <c r="S34" s="24">
        <f t="shared" si="12"/>
        <v>0</v>
      </c>
      <c r="T34" s="24">
        <f t="shared" si="13"/>
        <v>651</v>
      </c>
      <c r="U34" s="27">
        <f t="shared" si="14"/>
        <v>0.956989247311828</v>
      </c>
      <c r="V34" s="27">
        <f t="shared" si="15"/>
        <v>1.6897081413210446E-2</v>
      </c>
      <c r="W34" s="27">
        <f t="shared" si="16"/>
        <v>2.6113671274961597E-2</v>
      </c>
      <c r="X34" s="27">
        <f t="shared" si="17"/>
        <v>0</v>
      </c>
      <c r="Y34" s="25">
        <f t="shared" si="18"/>
        <v>31.682027649769584</v>
      </c>
    </row>
    <row r="35" spans="1:25" x14ac:dyDescent="0.25">
      <c r="A35" s="24" t="s">
        <v>297</v>
      </c>
      <c r="B35" s="24" t="s">
        <v>298</v>
      </c>
      <c r="C35" s="24" t="s">
        <v>179</v>
      </c>
      <c r="D35" s="24">
        <v>8</v>
      </c>
      <c r="E35" s="24"/>
      <c r="F35" s="24"/>
      <c r="G35" s="24">
        <v>1</v>
      </c>
      <c r="H35" s="24">
        <v>7</v>
      </c>
      <c r="I35" s="24">
        <v>17</v>
      </c>
      <c r="J35" s="24"/>
      <c r="K35" s="24">
        <v>626</v>
      </c>
      <c r="L35" s="24"/>
      <c r="M35" s="24">
        <v>651</v>
      </c>
      <c r="N35" s="25">
        <v>27.989247311827956</v>
      </c>
      <c r="O35" s="24" t="s">
        <v>281</v>
      </c>
      <c r="P35" s="24">
        <f t="shared" si="10"/>
        <v>626</v>
      </c>
      <c r="Q35" s="24">
        <f t="shared" si="11"/>
        <v>7</v>
      </c>
      <c r="R35" s="24">
        <f t="shared" si="2"/>
        <v>17</v>
      </c>
      <c r="S35" s="24">
        <f t="shared" si="12"/>
        <v>1</v>
      </c>
      <c r="T35" s="24">
        <f t="shared" si="13"/>
        <v>651</v>
      </c>
      <c r="U35" s="27">
        <f t="shared" si="14"/>
        <v>0.96159754224270355</v>
      </c>
      <c r="V35" s="27">
        <f t="shared" si="15"/>
        <v>1.0752688172043012E-2</v>
      </c>
      <c r="W35" s="27">
        <f t="shared" si="16"/>
        <v>2.6113671274961597E-2</v>
      </c>
      <c r="X35" s="27">
        <f t="shared" si="17"/>
        <v>1.5360983102918587E-3</v>
      </c>
      <c r="Y35" s="25">
        <f t="shared" si="18"/>
        <v>27.989247311827956</v>
      </c>
    </row>
    <row r="36" spans="1:25" x14ac:dyDescent="0.25">
      <c r="A36" s="24" t="s">
        <v>297</v>
      </c>
      <c r="B36" s="24" t="s">
        <v>298</v>
      </c>
      <c r="C36" s="24" t="s">
        <v>179</v>
      </c>
      <c r="D36" s="24">
        <v>9</v>
      </c>
      <c r="E36" s="24"/>
      <c r="F36" s="24"/>
      <c r="G36" s="24"/>
      <c r="H36" s="24">
        <v>11</v>
      </c>
      <c r="I36" s="24">
        <v>25</v>
      </c>
      <c r="J36" s="24"/>
      <c r="K36" s="24">
        <v>616</v>
      </c>
      <c r="L36" s="24"/>
      <c r="M36" s="24">
        <v>652</v>
      </c>
      <c r="N36" s="25">
        <v>24.354294478527606</v>
      </c>
      <c r="O36" s="24" t="s">
        <v>281</v>
      </c>
      <c r="P36" s="24">
        <f t="shared" si="10"/>
        <v>616</v>
      </c>
      <c r="Q36" s="24">
        <f t="shared" si="11"/>
        <v>11</v>
      </c>
      <c r="R36" s="24">
        <f t="shared" si="2"/>
        <v>25</v>
      </c>
      <c r="S36" s="24">
        <f t="shared" si="12"/>
        <v>0</v>
      </c>
      <c r="T36" s="24">
        <f t="shared" si="13"/>
        <v>652</v>
      </c>
      <c r="U36" s="27">
        <f t="shared" si="14"/>
        <v>0.94478527607361962</v>
      </c>
      <c r="V36" s="27">
        <f t="shared" si="15"/>
        <v>1.6871165644171779E-2</v>
      </c>
      <c r="W36" s="27">
        <f t="shared" si="16"/>
        <v>3.834355828220859E-2</v>
      </c>
      <c r="X36" s="27">
        <f t="shared" si="17"/>
        <v>0</v>
      </c>
      <c r="Y36" s="25">
        <f t="shared" si="18"/>
        <v>24.354294478527606</v>
      </c>
    </row>
    <row r="37" spans="1:25" x14ac:dyDescent="0.25">
      <c r="A37" s="24" t="s">
        <v>297</v>
      </c>
      <c r="B37" s="24" t="s">
        <v>298</v>
      </c>
      <c r="C37" s="24" t="s">
        <v>179</v>
      </c>
      <c r="D37" s="24">
        <v>10</v>
      </c>
      <c r="E37" s="24"/>
      <c r="F37" s="24"/>
      <c r="G37" s="24"/>
      <c r="H37" s="24">
        <v>12</v>
      </c>
      <c r="I37" s="24">
        <v>26</v>
      </c>
      <c r="J37" s="24"/>
      <c r="K37" s="24">
        <v>614</v>
      </c>
      <c r="L37" s="24"/>
      <c r="M37" s="24">
        <v>652</v>
      </c>
      <c r="N37" s="25">
        <v>20.207055214723926</v>
      </c>
      <c r="O37" s="24" t="s">
        <v>281</v>
      </c>
      <c r="P37" s="24">
        <f t="shared" si="10"/>
        <v>614</v>
      </c>
      <c r="Q37" s="24">
        <f t="shared" si="11"/>
        <v>12</v>
      </c>
      <c r="R37" s="24">
        <f t="shared" si="2"/>
        <v>26</v>
      </c>
      <c r="S37" s="24">
        <f t="shared" si="12"/>
        <v>0</v>
      </c>
      <c r="T37" s="24">
        <f t="shared" si="13"/>
        <v>652</v>
      </c>
      <c r="U37" s="27">
        <f t="shared" si="14"/>
        <v>0.94171779141104295</v>
      </c>
      <c r="V37" s="27">
        <f t="shared" si="15"/>
        <v>1.8404907975460124E-2</v>
      </c>
      <c r="W37" s="27">
        <f t="shared" si="16"/>
        <v>3.9877300613496931E-2</v>
      </c>
      <c r="X37" s="27">
        <f t="shared" si="17"/>
        <v>0</v>
      </c>
      <c r="Y37" s="25">
        <f t="shared" si="18"/>
        <v>20.207055214723926</v>
      </c>
    </row>
    <row r="38" spans="1:25" x14ac:dyDescent="0.25">
      <c r="A38" s="24" t="s">
        <v>297</v>
      </c>
      <c r="B38" s="24" t="s">
        <v>298</v>
      </c>
      <c r="C38" s="24" t="s">
        <v>180</v>
      </c>
      <c r="D38" s="24">
        <v>1</v>
      </c>
      <c r="E38" s="24"/>
      <c r="F38" s="24"/>
      <c r="G38" s="24">
        <v>1</v>
      </c>
      <c r="H38" s="24">
        <v>80</v>
      </c>
      <c r="I38" s="24">
        <v>50</v>
      </c>
      <c r="J38" s="24">
        <v>1</v>
      </c>
      <c r="K38" s="24">
        <v>318</v>
      </c>
      <c r="L38" s="24"/>
      <c r="M38" s="24">
        <v>450</v>
      </c>
      <c r="N38" s="25">
        <v>62.902222222222221</v>
      </c>
      <c r="O38" s="24" t="s">
        <v>281</v>
      </c>
      <c r="P38" s="24">
        <f t="shared" si="10"/>
        <v>318</v>
      </c>
      <c r="Q38" s="24">
        <f t="shared" si="11"/>
        <v>80</v>
      </c>
      <c r="R38" s="24">
        <f t="shared" si="2"/>
        <v>50</v>
      </c>
      <c r="S38" s="24">
        <f t="shared" si="12"/>
        <v>2</v>
      </c>
      <c r="T38" s="24">
        <f t="shared" si="13"/>
        <v>450</v>
      </c>
      <c r="U38" s="27">
        <f t="shared" si="14"/>
        <v>0.70666666666666667</v>
      </c>
      <c r="V38" s="27">
        <f t="shared" si="15"/>
        <v>0.17777777777777778</v>
      </c>
      <c r="W38" s="27">
        <f t="shared" si="16"/>
        <v>0.1111111111111111</v>
      </c>
      <c r="X38" s="27">
        <f t="shared" si="17"/>
        <v>4.4444444444444444E-3</v>
      </c>
      <c r="Y38" s="25">
        <f t="shared" si="18"/>
        <v>62.902222222222221</v>
      </c>
    </row>
    <row r="39" spans="1:25" x14ac:dyDescent="0.25">
      <c r="A39" s="24" t="s">
        <v>297</v>
      </c>
      <c r="B39" s="24" t="s">
        <v>298</v>
      </c>
      <c r="C39" s="24" t="s">
        <v>180</v>
      </c>
      <c r="D39" s="24">
        <v>2</v>
      </c>
      <c r="E39" s="24"/>
      <c r="F39" s="24">
        <v>1</v>
      </c>
      <c r="G39" s="24"/>
      <c r="H39" s="24">
        <v>52</v>
      </c>
      <c r="I39" s="24">
        <v>35</v>
      </c>
      <c r="J39" s="24"/>
      <c r="K39" s="24">
        <v>362</v>
      </c>
      <c r="L39" s="24"/>
      <c r="M39" s="24">
        <v>450</v>
      </c>
      <c r="N39" s="25">
        <v>57.428888888888892</v>
      </c>
      <c r="O39" s="24" t="s">
        <v>281</v>
      </c>
      <c r="P39" s="24">
        <f t="shared" si="10"/>
        <v>362</v>
      </c>
      <c r="Q39" s="24">
        <f t="shared" si="11"/>
        <v>52</v>
      </c>
      <c r="R39" s="24">
        <f t="shared" si="2"/>
        <v>35</v>
      </c>
      <c r="S39" s="24">
        <f t="shared" si="12"/>
        <v>1</v>
      </c>
      <c r="T39" s="24">
        <f t="shared" si="13"/>
        <v>450</v>
      </c>
      <c r="U39" s="27">
        <f t="shared" si="14"/>
        <v>0.80444444444444441</v>
      </c>
      <c r="V39" s="27">
        <f t="shared" si="15"/>
        <v>0.11555555555555555</v>
      </c>
      <c r="W39" s="27">
        <f t="shared" si="16"/>
        <v>7.7777777777777779E-2</v>
      </c>
      <c r="X39" s="27">
        <f t="shared" si="17"/>
        <v>2.2222222222222222E-3</v>
      </c>
      <c r="Y39" s="25">
        <f t="shared" si="18"/>
        <v>57.428888888888892</v>
      </c>
    </row>
    <row r="40" spans="1:25" x14ac:dyDescent="0.25">
      <c r="A40" s="24" t="s">
        <v>297</v>
      </c>
      <c r="B40" s="24" t="s">
        <v>298</v>
      </c>
      <c r="C40" s="24" t="s">
        <v>180</v>
      </c>
      <c r="D40" s="24">
        <v>3</v>
      </c>
      <c r="E40" s="24">
        <v>1</v>
      </c>
      <c r="F40" s="24">
        <v>1</v>
      </c>
      <c r="G40" s="24">
        <v>1</v>
      </c>
      <c r="H40" s="24">
        <v>119</v>
      </c>
      <c r="I40" s="24">
        <v>67</v>
      </c>
      <c r="J40" s="24">
        <v>2</v>
      </c>
      <c r="K40" s="24">
        <v>517</v>
      </c>
      <c r="L40" s="24"/>
      <c r="M40" s="24">
        <v>708</v>
      </c>
      <c r="N40" s="25">
        <v>48.870056497175142</v>
      </c>
      <c r="O40" s="24" t="s">
        <v>281</v>
      </c>
      <c r="P40" s="24">
        <f t="shared" si="10"/>
        <v>517</v>
      </c>
      <c r="Q40" s="24">
        <f t="shared" si="11"/>
        <v>119</v>
      </c>
      <c r="R40" s="24">
        <f t="shared" si="2"/>
        <v>67</v>
      </c>
      <c r="S40" s="24">
        <f t="shared" si="12"/>
        <v>5</v>
      </c>
      <c r="T40" s="24">
        <f t="shared" si="13"/>
        <v>708</v>
      </c>
      <c r="U40" s="27">
        <f t="shared" si="14"/>
        <v>0.73022598870056499</v>
      </c>
      <c r="V40" s="27">
        <f t="shared" si="15"/>
        <v>0.16807909604519775</v>
      </c>
      <c r="W40" s="27">
        <f t="shared" si="16"/>
        <v>9.4632768361581923E-2</v>
      </c>
      <c r="X40" s="27">
        <f t="shared" si="17"/>
        <v>7.0621468926553672E-3</v>
      </c>
      <c r="Y40" s="25">
        <f t="shared" si="18"/>
        <v>48.870056497175142</v>
      </c>
    </row>
    <row r="41" spans="1:25" x14ac:dyDescent="0.25">
      <c r="A41" s="24" t="s">
        <v>297</v>
      </c>
      <c r="B41" s="24" t="s">
        <v>298</v>
      </c>
      <c r="C41" s="24" t="s">
        <v>180</v>
      </c>
      <c r="D41" s="24">
        <v>4</v>
      </c>
      <c r="E41" s="24"/>
      <c r="F41" s="24"/>
      <c r="G41" s="24">
        <v>1</v>
      </c>
      <c r="H41" s="24">
        <v>155</v>
      </c>
      <c r="I41" s="24">
        <v>59</v>
      </c>
      <c r="J41" s="24"/>
      <c r="K41" s="24">
        <v>490</v>
      </c>
      <c r="L41" s="24">
        <v>3</v>
      </c>
      <c r="M41" s="24">
        <v>708</v>
      </c>
      <c r="N41" s="25">
        <v>39.309322033898304</v>
      </c>
      <c r="O41" s="24" t="s">
        <v>281</v>
      </c>
      <c r="P41" s="24">
        <f t="shared" si="10"/>
        <v>490</v>
      </c>
      <c r="Q41" s="24">
        <f t="shared" si="11"/>
        <v>155</v>
      </c>
      <c r="R41" s="24">
        <f t="shared" si="2"/>
        <v>59</v>
      </c>
      <c r="S41" s="24">
        <f t="shared" si="12"/>
        <v>4</v>
      </c>
      <c r="T41" s="24">
        <f t="shared" si="13"/>
        <v>708</v>
      </c>
      <c r="U41" s="27">
        <f t="shared" si="14"/>
        <v>0.69209039548022599</v>
      </c>
      <c r="V41" s="27">
        <f t="shared" si="15"/>
        <v>0.21892655367231639</v>
      </c>
      <c r="W41" s="27">
        <f t="shared" si="16"/>
        <v>8.3333333333333329E-2</v>
      </c>
      <c r="X41" s="27">
        <f t="shared" si="17"/>
        <v>5.6497175141242938E-3</v>
      </c>
      <c r="Y41" s="25">
        <f t="shared" si="18"/>
        <v>39.309322033898304</v>
      </c>
    </row>
    <row r="42" spans="1:25" x14ac:dyDescent="0.25">
      <c r="A42" s="24" t="s">
        <v>297</v>
      </c>
      <c r="B42" s="24" t="s">
        <v>298</v>
      </c>
      <c r="C42" s="24" t="s">
        <v>180</v>
      </c>
      <c r="D42" s="24">
        <v>5</v>
      </c>
      <c r="E42" s="24"/>
      <c r="F42" s="24"/>
      <c r="G42" s="24">
        <v>1</v>
      </c>
      <c r="H42" s="24">
        <v>100</v>
      </c>
      <c r="I42" s="24">
        <v>43</v>
      </c>
      <c r="J42" s="24">
        <v>1</v>
      </c>
      <c r="K42" s="24">
        <v>563</v>
      </c>
      <c r="L42" s="24"/>
      <c r="M42" s="24">
        <v>708</v>
      </c>
      <c r="N42" s="25">
        <v>32.144067796610166</v>
      </c>
      <c r="O42" s="24" t="s">
        <v>281</v>
      </c>
      <c r="P42" s="24">
        <f t="shared" si="10"/>
        <v>563</v>
      </c>
      <c r="Q42" s="24">
        <f t="shared" si="11"/>
        <v>100</v>
      </c>
      <c r="R42" s="24">
        <f t="shared" si="2"/>
        <v>43</v>
      </c>
      <c r="S42" s="24">
        <f t="shared" si="12"/>
        <v>2</v>
      </c>
      <c r="T42" s="24">
        <f t="shared" si="13"/>
        <v>708</v>
      </c>
      <c r="U42" s="27">
        <f t="shared" si="14"/>
        <v>0.79519774011299438</v>
      </c>
      <c r="V42" s="27">
        <f t="shared" si="15"/>
        <v>0.14124293785310735</v>
      </c>
      <c r="W42" s="27">
        <f t="shared" si="16"/>
        <v>6.0734463276836161E-2</v>
      </c>
      <c r="X42" s="27">
        <f t="shared" si="17"/>
        <v>2.8248587570621469E-3</v>
      </c>
      <c r="Y42" s="25">
        <f t="shared" si="18"/>
        <v>32.144067796610166</v>
      </c>
    </row>
    <row r="43" spans="1:25" x14ac:dyDescent="0.25">
      <c r="A43" s="24" t="s">
        <v>297</v>
      </c>
      <c r="B43" s="24" t="s">
        <v>298</v>
      </c>
      <c r="C43" s="24" t="s">
        <v>180</v>
      </c>
      <c r="D43" s="24">
        <v>6</v>
      </c>
      <c r="E43" s="24"/>
      <c r="F43" s="24"/>
      <c r="G43" s="24"/>
      <c r="H43" s="24">
        <v>81</v>
      </c>
      <c r="I43" s="24">
        <v>33</v>
      </c>
      <c r="J43" s="24">
        <v>1</v>
      </c>
      <c r="K43" s="24">
        <v>593</v>
      </c>
      <c r="L43" s="24"/>
      <c r="M43" s="24">
        <v>708</v>
      </c>
      <c r="N43" s="25">
        <v>27.021186440677965</v>
      </c>
      <c r="O43" s="24" t="s">
        <v>281</v>
      </c>
      <c r="P43" s="24">
        <f t="shared" si="10"/>
        <v>593</v>
      </c>
      <c r="Q43" s="24">
        <f t="shared" si="11"/>
        <v>81</v>
      </c>
      <c r="R43" s="24">
        <f t="shared" si="2"/>
        <v>33</v>
      </c>
      <c r="S43" s="24">
        <f t="shared" si="12"/>
        <v>1</v>
      </c>
      <c r="T43" s="24">
        <f t="shared" si="13"/>
        <v>708</v>
      </c>
      <c r="U43" s="27">
        <f t="shared" si="14"/>
        <v>0.83757062146892658</v>
      </c>
      <c r="V43" s="27">
        <f t="shared" si="15"/>
        <v>0.11440677966101695</v>
      </c>
      <c r="W43" s="27">
        <f t="shared" si="16"/>
        <v>4.6610169491525424E-2</v>
      </c>
      <c r="X43" s="27">
        <f t="shared" si="17"/>
        <v>1.4124293785310734E-3</v>
      </c>
      <c r="Y43" s="25">
        <f t="shared" si="18"/>
        <v>27.021186440677965</v>
      </c>
    </row>
    <row r="44" spans="1:25" x14ac:dyDescent="0.25">
      <c r="A44" s="24" t="s">
        <v>297</v>
      </c>
      <c r="B44" s="24" t="s">
        <v>298</v>
      </c>
      <c r="C44" s="24" t="s">
        <v>180</v>
      </c>
      <c r="D44" s="24">
        <v>7</v>
      </c>
      <c r="E44" s="24"/>
      <c r="F44" s="24"/>
      <c r="G44" s="24"/>
      <c r="H44" s="24">
        <v>57</v>
      </c>
      <c r="I44" s="24">
        <v>37</v>
      </c>
      <c r="J44" s="24"/>
      <c r="K44" s="24">
        <v>615</v>
      </c>
      <c r="L44" s="24"/>
      <c r="M44" s="24">
        <v>709</v>
      </c>
      <c r="N44" s="25">
        <v>23.286318758815234</v>
      </c>
      <c r="O44" s="24" t="s">
        <v>281</v>
      </c>
      <c r="P44" s="24">
        <f t="shared" si="10"/>
        <v>615</v>
      </c>
      <c r="Q44" s="24">
        <f t="shared" si="11"/>
        <v>57</v>
      </c>
      <c r="R44" s="24">
        <f t="shared" si="2"/>
        <v>37</v>
      </c>
      <c r="S44" s="24">
        <f t="shared" si="12"/>
        <v>0</v>
      </c>
      <c r="T44" s="24">
        <f t="shared" si="13"/>
        <v>709</v>
      </c>
      <c r="U44" s="27">
        <f t="shared" si="14"/>
        <v>0.86741889985895626</v>
      </c>
      <c r="V44" s="27">
        <f t="shared" si="15"/>
        <v>8.0394922425952045E-2</v>
      </c>
      <c r="W44" s="27">
        <f t="shared" si="16"/>
        <v>5.2186177715091681E-2</v>
      </c>
      <c r="X44" s="27">
        <f t="shared" si="17"/>
        <v>0</v>
      </c>
      <c r="Y44" s="25">
        <f t="shared" si="18"/>
        <v>23.286318758815234</v>
      </c>
    </row>
    <row r="45" spans="1:25" x14ac:dyDescent="0.25">
      <c r="A45" s="24" t="s">
        <v>297</v>
      </c>
      <c r="B45" s="24" t="s">
        <v>298</v>
      </c>
      <c r="C45" s="24" t="s">
        <v>180</v>
      </c>
      <c r="D45" s="24">
        <v>8</v>
      </c>
      <c r="E45" s="24"/>
      <c r="F45" s="24"/>
      <c r="G45" s="24">
        <v>1</v>
      </c>
      <c r="H45" s="24">
        <v>61</v>
      </c>
      <c r="I45" s="24">
        <v>35</v>
      </c>
      <c r="J45" s="24"/>
      <c r="K45" s="24">
        <v>612</v>
      </c>
      <c r="L45" s="24"/>
      <c r="M45" s="24">
        <v>709</v>
      </c>
      <c r="N45" s="25">
        <v>19.689703808180536</v>
      </c>
      <c r="O45" s="24" t="s">
        <v>281</v>
      </c>
      <c r="P45" s="24">
        <f t="shared" si="10"/>
        <v>612</v>
      </c>
      <c r="Q45" s="24">
        <f t="shared" si="11"/>
        <v>61</v>
      </c>
      <c r="R45" s="24">
        <f t="shared" si="2"/>
        <v>35</v>
      </c>
      <c r="S45" s="24">
        <f t="shared" si="12"/>
        <v>1</v>
      </c>
      <c r="T45" s="24">
        <f t="shared" si="13"/>
        <v>709</v>
      </c>
      <c r="U45" s="27">
        <f t="shared" si="14"/>
        <v>0.86318758815232721</v>
      </c>
      <c r="V45" s="27">
        <f t="shared" si="15"/>
        <v>8.6036671368124124E-2</v>
      </c>
      <c r="W45" s="27">
        <f t="shared" si="16"/>
        <v>4.9365303244005641E-2</v>
      </c>
      <c r="X45" s="27">
        <f t="shared" si="17"/>
        <v>1.4104372355430183E-3</v>
      </c>
      <c r="Y45" s="25">
        <f t="shared" si="18"/>
        <v>19.689703808180536</v>
      </c>
    </row>
    <row r="46" spans="1:25" x14ac:dyDescent="0.25">
      <c r="A46" s="24" t="s">
        <v>297</v>
      </c>
      <c r="B46" s="24" t="s">
        <v>298</v>
      </c>
      <c r="C46" s="24" t="s">
        <v>181</v>
      </c>
      <c r="D46" s="24">
        <v>1</v>
      </c>
      <c r="E46" s="24"/>
      <c r="F46" s="24"/>
      <c r="G46" s="24"/>
      <c r="H46" s="24">
        <v>305</v>
      </c>
      <c r="I46" s="24">
        <v>8</v>
      </c>
      <c r="J46" s="24"/>
      <c r="K46" s="24">
        <v>137</v>
      </c>
      <c r="L46" s="24"/>
      <c r="M46" s="24">
        <v>450</v>
      </c>
      <c r="N46" s="25">
        <v>67.724444444444444</v>
      </c>
      <c r="O46" s="24" t="s">
        <v>281</v>
      </c>
      <c r="P46" s="24">
        <f t="shared" si="0"/>
        <v>137</v>
      </c>
      <c r="Q46" s="24">
        <f t="shared" si="1"/>
        <v>305</v>
      </c>
      <c r="R46" s="24">
        <f t="shared" si="2"/>
        <v>8</v>
      </c>
      <c r="S46" s="24">
        <f t="shared" si="3"/>
        <v>0</v>
      </c>
      <c r="T46" s="24">
        <f t="shared" si="4"/>
        <v>450</v>
      </c>
      <c r="U46" s="27">
        <f t="shared" si="5"/>
        <v>0.30444444444444446</v>
      </c>
      <c r="V46" s="27">
        <f t="shared" si="6"/>
        <v>0.67777777777777781</v>
      </c>
      <c r="W46" s="27">
        <f t="shared" si="7"/>
        <v>1.7777777777777778E-2</v>
      </c>
      <c r="X46" s="27">
        <f t="shared" si="8"/>
        <v>0</v>
      </c>
      <c r="Y46" s="25">
        <f t="shared" si="9"/>
        <v>67.724444444444444</v>
      </c>
    </row>
    <row r="47" spans="1:25" x14ac:dyDescent="0.25">
      <c r="A47" s="24" t="s">
        <v>297</v>
      </c>
      <c r="B47" s="24" t="s">
        <v>298</v>
      </c>
      <c r="C47" s="24" t="s">
        <v>181</v>
      </c>
      <c r="D47" s="24">
        <v>2</v>
      </c>
      <c r="E47" s="24"/>
      <c r="F47" s="24">
        <v>1</v>
      </c>
      <c r="G47" s="24"/>
      <c r="H47" s="24">
        <v>248</v>
      </c>
      <c r="I47" s="24">
        <v>6</v>
      </c>
      <c r="J47" s="24">
        <v>1</v>
      </c>
      <c r="K47" s="24">
        <v>194</v>
      </c>
      <c r="L47" s="24"/>
      <c r="M47" s="24">
        <v>450</v>
      </c>
      <c r="N47" s="25">
        <v>55.402222222222221</v>
      </c>
      <c r="O47" s="24" t="s">
        <v>281</v>
      </c>
      <c r="P47" s="24">
        <f t="shared" si="0"/>
        <v>194</v>
      </c>
      <c r="Q47" s="24">
        <f t="shared" si="1"/>
        <v>248</v>
      </c>
      <c r="R47" s="24">
        <f t="shared" si="2"/>
        <v>6</v>
      </c>
      <c r="S47" s="24">
        <f t="shared" si="3"/>
        <v>2</v>
      </c>
      <c r="T47" s="24">
        <f t="shared" si="4"/>
        <v>450</v>
      </c>
      <c r="U47" s="27">
        <f t="shared" si="5"/>
        <v>0.43111111111111111</v>
      </c>
      <c r="V47" s="27">
        <f t="shared" si="6"/>
        <v>0.55111111111111111</v>
      </c>
      <c r="W47" s="27">
        <f t="shared" si="7"/>
        <v>1.3333333333333334E-2</v>
      </c>
      <c r="X47" s="27">
        <f t="shared" si="8"/>
        <v>4.4444444444444444E-3</v>
      </c>
      <c r="Y47" s="25">
        <f t="shared" si="9"/>
        <v>55.402222222222221</v>
      </c>
    </row>
    <row r="48" spans="1:25" x14ac:dyDescent="0.25">
      <c r="A48" s="24" t="s">
        <v>297</v>
      </c>
      <c r="B48" s="24" t="s">
        <v>298</v>
      </c>
      <c r="C48" s="24" t="s">
        <v>181</v>
      </c>
      <c r="D48" s="24">
        <v>3</v>
      </c>
      <c r="E48" s="24"/>
      <c r="F48" s="24"/>
      <c r="G48" s="24"/>
      <c r="H48" s="24">
        <v>250</v>
      </c>
      <c r="I48" s="24">
        <v>13</v>
      </c>
      <c r="J48" s="24"/>
      <c r="K48" s="24">
        <v>290</v>
      </c>
      <c r="L48" s="24"/>
      <c r="M48" s="24">
        <v>553</v>
      </c>
      <c r="N48" s="25">
        <v>41.848101265822784</v>
      </c>
      <c r="O48" s="24" t="s">
        <v>281</v>
      </c>
      <c r="P48" s="24">
        <f t="shared" si="0"/>
        <v>290</v>
      </c>
      <c r="Q48" s="24">
        <f t="shared" si="1"/>
        <v>250</v>
      </c>
      <c r="R48" s="24">
        <f t="shared" si="2"/>
        <v>13</v>
      </c>
      <c r="S48" s="24">
        <f t="shared" si="3"/>
        <v>0</v>
      </c>
      <c r="T48" s="24">
        <f t="shared" si="4"/>
        <v>553</v>
      </c>
      <c r="U48" s="27">
        <f t="shared" si="5"/>
        <v>0.5244122965641953</v>
      </c>
      <c r="V48" s="27">
        <f t="shared" si="6"/>
        <v>0.45207956600361665</v>
      </c>
      <c r="W48" s="27">
        <f t="shared" si="7"/>
        <v>2.3508137432188065E-2</v>
      </c>
      <c r="X48" s="27">
        <f t="shared" si="8"/>
        <v>0</v>
      </c>
      <c r="Y48" s="25">
        <f t="shared" si="9"/>
        <v>41.848101265822784</v>
      </c>
    </row>
    <row r="49" spans="1:25" x14ac:dyDescent="0.25">
      <c r="A49" s="24" t="s">
        <v>297</v>
      </c>
      <c r="B49" s="24" t="s">
        <v>298</v>
      </c>
      <c r="C49" s="24" t="s">
        <v>181</v>
      </c>
      <c r="D49" s="24">
        <v>4</v>
      </c>
      <c r="E49" s="24"/>
      <c r="F49" s="24"/>
      <c r="G49" s="24">
        <v>1</v>
      </c>
      <c r="H49" s="24">
        <v>124</v>
      </c>
      <c r="I49" s="24">
        <v>12</v>
      </c>
      <c r="J49" s="24">
        <v>1</v>
      </c>
      <c r="K49" s="24">
        <v>416</v>
      </c>
      <c r="L49" s="24"/>
      <c r="M49" s="24">
        <v>554</v>
      </c>
      <c r="N49" s="25">
        <v>29.267148014440433</v>
      </c>
      <c r="O49" s="24" t="s">
        <v>281</v>
      </c>
      <c r="P49" s="24">
        <f t="shared" si="0"/>
        <v>416</v>
      </c>
      <c r="Q49" s="24">
        <f t="shared" si="1"/>
        <v>124</v>
      </c>
      <c r="R49" s="24">
        <f t="shared" si="2"/>
        <v>12</v>
      </c>
      <c r="S49" s="24">
        <f t="shared" si="3"/>
        <v>2</v>
      </c>
      <c r="T49" s="24">
        <f t="shared" si="4"/>
        <v>554</v>
      </c>
      <c r="U49" s="27">
        <f t="shared" si="5"/>
        <v>0.75090252707581229</v>
      </c>
      <c r="V49" s="27">
        <f t="shared" si="6"/>
        <v>0.22382671480144403</v>
      </c>
      <c r="W49" s="27">
        <f t="shared" si="7"/>
        <v>2.1660649819494584E-2</v>
      </c>
      <c r="X49" s="27">
        <f t="shared" si="8"/>
        <v>3.6101083032490976E-3</v>
      </c>
      <c r="Y49" s="25">
        <f t="shared" si="9"/>
        <v>29.267148014440433</v>
      </c>
    </row>
    <row r="50" spans="1:25" x14ac:dyDescent="0.25">
      <c r="A50" s="24" t="s">
        <v>297</v>
      </c>
      <c r="B50" s="24" t="s">
        <v>298</v>
      </c>
      <c r="C50" s="24" t="s">
        <v>181</v>
      </c>
      <c r="D50" s="24">
        <v>5</v>
      </c>
      <c r="E50" s="24"/>
      <c r="F50" s="24"/>
      <c r="G50" s="24"/>
      <c r="H50" s="24">
        <v>82</v>
      </c>
      <c r="I50" s="24">
        <v>14</v>
      </c>
      <c r="J50" s="24"/>
      <c r="K50" s="24">
        <v>458</v>
      </c>
      <c r="L50" s="24"/>
      <c r="M50" s="24">
        <v>554</v>
      </c>
      <c r="N50" s="25">
        <v>21.604693140794225</v>
      </c>
      <c r="O50" s="24" t="s">
        <v>281</v>
      </c>
      <c r="P50" s="24">
        <f t="shared" si="0"/>
        <v>458</v>
      </c>
      <c r="Q50" s="24">
        <f t="shared" si="1"/>
        <v>82</v>
      </c>
      <c r="R50" s="24">
        <f t="shared" si="2"/>
        <v>14</v>
      </c>
      <c r="S50" s="24">
        <f t="shared" si="3"/>
        <v>0</v>
      </c>
      <c r="T50" s="24">
        <f t="shared" si="4"/>
        <v>554</v>
      </c>
      <c r="U50" s="27">
        <f t="shared" si="5"/>
        <v>0.8267148014440433</v>
      </c>
      <c r="V50" s="27">
        <f t="shared" si="6"/>
        <v>0.14801444043321299</v>
      </c>
      <c r="W50" s="27">
        <f t="shared" si="7"/>
        <v>2.5270758122743681E-2</v>
      </c>
      <c r="X50" s="27">
        <f t="shared" si="8"/>
        <v>0</v>
      </c>
      <c r="Y50" s="25">
        <f t="shared" si="9"/>
        <v>21.604693140794225</v>
      </c>
    </row>
    <row r="51" spans="1:25" x14ac:dyDescent="0.25">
      <c r="A51" s="24" t="s">
        <v>299</v>
      </c>
      <c r="B51" s="24" t="s">
        <v>300</v>
      </c>
      <c r="C51" s="24" t="s">
        <v>183</v>
      </c>
      <c r="D51" s="24">
        <v>1</v>
      </c>
      <c r="E51" s="24"/>
      <c r="F51" s="24"/>
      <c r="G51" s="24"/>
      <c r="H51" s="24">
        <v>327</v>
      </c>
      <c r="I51" s="24">
        <v>46</v>
      </c>
      <c r="J51" s="24">
        <v>1</v>
      </c>
      <c r="K51" s="24">
        <v>76</v>
      </c>
      <c r="L51" s="24"/>
      <c r="M51" s="24">
        <v>450</v>
      </c>
      <c r="N51" s="25">
        <v>64.771111111111111</v>
      </c>
      <c r="O51" s="24" t="s">
        <v>281</v>
      </c>
      <c r="P51" s="24">
        <f>K51</f>
        <v>76</v>
      </c>
      <c r="Q51" s="24">
        <f t="shared" ref="Q51:R55" si="19">H51</f>
        <v>327</v>
      </c>
      <c r="R51" s="24">
        <f t="shared" si="19"/>
        <v>46</v>
      </c>
      <c r="S51" s="24">
        <f>M51-SUM(P51:R51)</f>
        <v>1</v>
      </c>
      <c r="T51" s="24">
        <f>SUM(P51:S51)</f>
        <v>450</v>
      </c>
      <c r="U51" s="27">
        <f>P51/M51</f>
        <v>0.16888888888888889</v>
      </c>
      <c r="V51" s="27">
        <f>Q51/M51</f>
        <v>0.72666666666666668</v>
      </c>
      <c r="W51" s="27">
        <f>R51/M51</f>
        <v>0.10222222222222223</v>
      </c>
      <c r="X51" s="27">
        <f>S51/M51</f>
        <v>2.2222222222222222E-3</v>
      </c>
      <c r="Y51" s="25">
        <f>N51</f>
        <v>64.771111111111111</v>
      </c>
    </row>
    <row r="52" spans="1:25" x14ac:dyDescent="0.25">
      <c r="A52" s="24" t="s">
        <v>299</v>
      </c>
      <c r="B52" s="24" t="s">
        <v>300</v>
      </c>
      <c r="C52" s="24" t="s">
        <v>183</v>
      </c>
      <c r="D52" s="24">
        <v>2</v>
      </c>
      <c r="E52" s="24"/>
      <c r="F52" s="24"/>
      <c r="G52" s="24"/>
      <c r="H52" s="24">
        <v>300</v>
      </c>
      <c r="I52" s="24">
        <v>84</v>
      </c>
      <c r="J52" s="24">
        <v>2</v>
      </c>
      <c r="K52" s="24">
        <v>212</v>
      </c>
      <c r="L52" s="24"/>
      <c r="M52" s="24">
        <v>598</v>
      </c>
      <c r="N52" s="25">
        <v>50.394648829431439</v>
      </c>
      <c r="O52" s="24" t="s">
        <v>281</v>
      </c>
      <c r="P52" s="24">
        <f>K52</f>
        <v>212</v>
      </c>
      <c r="Q52" s="24">
        <f t="shared" si="19"/>
        <v>300</v>
      </c>
      <c r="R52" s="24">
        <f t="shared" si="19"/>
        <v>84</v>
      </c>
      <c r="S52" s="24">
        <f>M52-SUM(P52:R52)</f>
        <v>2</v>
      </c>
      <c r="T52" s="24">
        <f>SUM(P52:S52)</f>
        <v>598</v>
      </c>
      <c r="U52" s="27">
        <f>P52/M52</f>
        <v>0.35451505016722407</v>
      </c>
      <c r="V52" s="27">
        <f>Q52/M52</f>
        <v>0.50167224080267558</v>
      </c>
      <c r="W52" s="27">
        <f>R52/M52</f>
        <v>0.14046822742474915</v>
      </c>
      <c r="X52" s="27">
        <f>S52/M52</f>
        <v>3.3444816053511705E-3</v>
      </c>
      <c r="Y52" s="25">
        <f>N52</f>
        <v>50.394648829431439</v>
      </c>
    </row>
    <row r="53" spans="1:25" x14ac:dyDescent="0.25">
      <c r="A53" s="24" t="s">
        <v>299</v>
      </c>
      <c r="B53" s="24" t="s">
        <v>300</v>
      </c>
      <c r="C53" s="24" t="s">
        <v>183</v>
      </c>
      <c r="D53" s="24">
        <v>3</v>
      </c>
      <c r="E53" s="24">
        <v>1</v>
      </c>
      <c r="F53" s="24">
        <v>1</v>
      </c>
      <c r="G53" s="24">
        <v>5</v>
      </c>
      <c r="H53" s="24">
        <v>219</v>
      </c>
      <c r="I53" s="24">
        <v>112</v>
      </c>
      <c r="J53" s="24">
        <v>1</v>
      </c>
      <c r="K53" s="24">
        <v>259</v>
      </c>
      <c r="L53" s="24"/>
      <c r="M53" s="24">
        <v>598</v>
      </c>
      <c r="N53" s="25">
        <v>36.754180602006691</v>
      </c>
      <c r="O53" s="24" t="s">
        <v>281</v>
      </c>
      <c r="P53" s="24">
        <f>K53</f>
        <v>259</v>
      </c>
      <c r="Q53" s="24">
        <f t="shared" si="19"/>
        <v>219</v>
      </c>
      <c r="R53" s="24">
        <f t="shared" si="19"/>
        <v>112</v>
      </c>
      <c r="S53" s="24">
        <f>M53-SUM(P53:R53)</f>
        <v>8</v>
      </c>
      <c r="T53" s="24">
        <f>SUM(P53:S53)</f>
        <v>598</v>
      </c>
      <c r="U53" s="27">
        <f>P53/M53</f>
        <v>0.43311036789297658</v>
      </c>
      <c r="V53" s="27">
        <f>Q53/M53</f>
        <v>0.36622073578595316</v>
      </c>
      <c r="W53" s="27">
        <f>R53/M53</f>
        <v>0.18729096989966554</v>
      </c>
      <c r="X53" s="27">
        <f>S53/M53</f>
        <v>1.3377926421404682E-2</v>
      </c>
      <c r="Y53" s="25">
        <f>N53</f>
        <v>36.754180602006691</v>
      </c>
    </row>
    <row r="54" spans="1:25" x14ac:dyDescent="0.25">
      <c r="A54" s="24" t="s">
        <v>299</v>
      </c>
      <c r="B54" s="24" t="s">
        <v>300</v>
      </c>
      <c r="C54" s="24" t="s">
        <v>183</v>
      </c>
      <c r="D54" s="24">
        <v>4</v>
      </c>
      <c r="E54" s="24">
        <v>1</v>
      </c>
      <c r="F54" s="24"/>
      <c r="G54" s="24">
        <v>1</v>
      </c>
      <c r="H54" s="24">
        <v>121</v>
      </c>
      <c r="I54" s="24">
        <v>98</v>
      </c>
      <c r="J54" s="24">
        <v>1</v>
      </c>
      <c r="K54" s="24">
        <v>376</v>
      </c>
      <c r="L54" s="24"/>
      <c r="M54" s="24">
        <v>598</v>
      </c>
      <c r="N54" s="25">
        <v>26.588628762541806</v>
      </c>
      <c r="O54" s="24" t="s">
        <v>281</v>
      </c>
      <c r="P54" s="24">
        <f>K54</f>
        <v>376</v>
      </c>
      <c r="Q54" s="24">
        <f t="shared" si="19"/>
        <v>121</v>
      </c>
      <c r="R54" s="24">
        <f t="shared" si="19"/>
        <v>98</v>
      </c>
      <c r="S54" s="24">
        <f>M54-SUM(P54:R54)</f>
        <v>3</v>
      </c>
      <c r="T54" s="24">
        <f>SUM(P54:S54)</f>
        <v>598</v>
      </c>
      <c r="U54" s="27">
        <f>P54/M54</f>
        <v>0.62876254180602009</v>
      </c>
      <c r="V54" s="27">
        <f>Q54/M54</f>
        <v>0.20234113712374582</v>
      </c>
      <c r="W54" s="27">
        <f>R54/M54</f>
        <v>0.16387959866220736</v>
      </c>
      <c r="X54" s="27">
        <f>S54/M54</f>
        <v>5.016722408026756E-3</v>
      </c>
      <c r="Y54" s="25">
        <f>N54</f>
        <v>26.588628762541806</v>
      </c>
    </row>
    <row r="55" spans="1:25" x14ac:dyDescent="0.25">
      <c r="A55" s="24" t="s">
        <v>299</v>
      </c>
      <c r="B55" s="24" t="s">
        <v>300</v>
      </c>
      <c r="C55" s="24" t="s">
        <v>183</v>
      </c>
      <c r="D55" s="24">
        <v>5</v>
      </c>
      <c r="E55" s="24"/>
      <c r="F55" s="24"/>
      <c r="G55" s="24">
        <v>1</v>
      </c>
      <c r="H55" s="24">
        <v>59</v>
      </c>
      <c r="I55" s="24">
        <v>74</v>
      </c>
      <c r="J55" s="24"/>
      <c r="K55" s="24">
        <v>465</v>
      </c>
      <c r="L55" s="24"/>
      <c r="M55" s="24">
        <v>599</v>
      </c>
      <c r="N55" s="25">
        <v>20.582637729549248</v>
      </c>
      <c r="O55" s="24" t="s">
        <v>281</v>
      </c>
      <c r="P55" s="24">
        <f>K55</f>
        <v>465</v>
      </c>
      <c r="Q55" s="24">
        <f t="shared" si="19"/>
        <v>59</v>
      </c>
      <c r="R55" s="24">
        <f t="shared" si="19"/>
        <v>74</v>
      </c>
      <c r="S55" s="24">
        <f>M55-SUM(P55:R55)</f>
        <v>1</v>
      </c>
      <c r="T55" s="24">
        <f>SUM(P55:S55)</f>
        <v>599</v>
      </c>
      <c r="U55" s="27">
        <f>P55/M55</f>
        <v>0.77629382303839733</v>
      </c>
      <c r="V55" s="27">
        <f>Q55/M55</f>
        <v>9.849749582637729E-2</v>
      </c>
      <c r="W55" s="27">
        <f>R55/M55</f>
        <v>0.12353923205342238</v>
      </c>
      <c r="X55" s="27">
        <f>S55/M55</f>
        <v>1.6694490818030051E-3</v>
      </c>
      <c r="Y55" s="25">
        <f>N55</f>
        <v>20.582637729549248</v>
      </c>
    </row>
    <row r="56" spans="1:25" x14ac:dyDescent="0.25">
      <c r="A56" s="24" t="s">
        <v>299</v>
      </c>
      <c r="B56" s="24" t="s">
        <v>300</v>
      </c>
      <c r="C56" s="24" t="s">
        <v>184</v>
      </c>
      <c r="D56" s="24">
        <v>1</v>
      </c>
      <c r="E56" s="24"/>
      <c r="F56" s="24"/>
      <c r="G56" s="24"/>
      <c r="H56" s="24">
        <v>210</v>
      </c>
      <c r="I56" s="24">
        <v>123</v>
      </c>
      <c r="J56" s="24">
        <v>2</v>
      </c>
      <c r="K56" s="24">
        <v>115</v>
      </c>
      <c r="L56" s="24"/>
      <c r="M56" s="24">
        <v>450</v>
      </c>
      <c r="N56" s="25">
        <v>68.24444444444444</v>
      </c>
      <c r="O56" s="24" t="s">
        <v>281</v>
      </c>
      <c r="P56" s="24">
        <f t="shared" si="0"/>
        <v>115</v>
      </c>
      <c r="Q56" s="24">
        <f t="shared" si="1"/>
        <v>210</v>
      </c>
      <c r="R56" s="24">
        <f t="shared" si="2"/>
        <v>123</v>
      </c>
      <c r="S56" s="24">
        <f t="shared" si="3"/>
        <v>2</v>
      </c>
      <c r="T56" s="24">
        <f t="shared" si="4"/>
        <v>450</v>
      </c>
      <c r="U56" s="27">
        <f t="shared" si="5"/>
        <v>0.25555555555555554</v>
      </c>
      <c r="V56" s="27">
        <f t="shared" si="6"/>
        <v>0.46666666666666667</v>
      </c>
      <c r="W56" s="27">
        <f t="shared" si="7"/>
        <v>0.27333333333333332</v>
      </c>
      <c r="X56" s="27">
        <f t="shared" si="8"/>
        <v>4.4444444444444444E-3</v>
      </c>
      <c r="Y56" s="25">
        <f t="shared" si="9"/>
        <v>68.24444444444444</v>
      </c>
    </row>
    <row r="57" spans="1:25" x14ac:dyDescent="0.25">
      <c r="A57" s="24" t="s">
        <v>299</v>
      </c>
      <c r="B57" s="24" t="s">
        <v>300</v>
      </c>
      <c r="C57" s="24" t="s">
        <v>184</v>
      </c>
      <c r="D57" s="24">
        <v>2</v>
      </c>
      <c r="E57" s="24"/>
      <c r="F57" s="24"/>
      <c r="G57" s="24">
        <v>1</v>
      </c>
      <c r="H57" s="24">
        <v>230</v>
      </c>
      <c r="I57" s="24">
        <v>104</v>
      </c>
      <c r="J57" s="24">
        <v>1</v>
      </c>
      <c r="K57" s="24">
        <v>138</v>
      </c>
      <c r="L57" s="24"/>
      <c r="M57" s="24">
        <v>474</v>
      </c>
      <c r="N57" s="25">
        <v>52.12658227848101</v>
      </c>
      <c r="O57" s="24" t="s">
        <v>281</v>
      </c>
      <c r="P57" s="24">
        <f t="shared" si="0"/>
        <v>138</v>
      </c>
      <c r="Q57" s="24">
        <f t="shared" si="1"/>
        <v>230</v>
      </c>
      <c r="R57" s="24">
        <f t="shared" si="2"/>
        <v>104</v>
      </c>
      <c r="S57" s="24">
        <f t="shared" si="3"/>
        <v>2</v>
      </c>
      <c r="T57" s="24">
        <f t="shared" si="4"/>
        <v>474</v>
      </c>
      <c r="U57" s="27">
        <f t="shared" si="5"/>
        <v>0.29113924050632911</v>
      </c>
      <c r="V57" s="27">
        <f t="shared" si="6"/>
        <v>0.48523206751054854</v>
      </c>
      <c r="W57" s="27">
        <f t="shared" si="7"/>
        <v>0.21940928270042195</v>
      </c>
      <c r="X57" s="27">
        <f t="shared" si="8"/>
        <v>4.2194092827004216E-3</v>
      </c>
      <c r="Y57" s="25">
        <f t="shared" si="9"/>
        <v>52.12658227848101</v>
      </c>
    </row>
    <row r="58" spans="1:25" x14ac:dyDescent="0.25">
      <c r="A58" s="24" t="s">
        <v>299</v>
      </c>
      <c r="B58" s="24" t="s">
        <v>300</v>
      </c>
      <c r="C58" s="24" t="s">
        <v>184</v>
      </c>
      <c r="D58" s="24">
        <v>3</v>
      </c>
      <c r="E58" s="24"/>
      <c r="F58" s="24">
        <v>1</v>
      </c>
      <c r="G58" s="24"/>
      <c r="H58" s="24">
        <v>171</v>
      </c>
      <c r="I58" s="24">
        <v>103</v>
      </c>
      <c r="J58" s="24">
        <v>2</v>
      </c>
      <c r="K58" s="24">
        <v>197</v>
      </c>
      <c r="L58" s="24"/>
      <c r="M58" s="24">
        <v>474</v>
      </c>
      <c r="N58" s="25">
        <v>38.803797468354432</v>
      </c>
      <c r="O58" s="24" t="s">
        <v>281</v>
      </c>
      <c r="P58" s="24">
        <f t="shared" si="0"/>
        <v>197</v>
      </c>
      <c r="Q58" s="24">
        <f t="shared" si="1"/>
        <v>171</v>
      </c>
      <c r="R58" s="24">
        <f t="shared" si="2"/>
        <v>103</v>
      </c>
      <c r="S58" s="24">
        <f t="shared" si="3"/>
        <v>3</v>
      </c>
      <c r="T58" s="24">
        <f t="shared" si="4"/>
        <v>474</v>
      </c>
      <c r="U58" s="27">
        <f t="shared" si="5"/>
        <v>0.41561181434599154</v>
      </c>
      <c r="V58" s="27">
        <f t="shared" si="6"/>
        <v>0.36075949367088606</v>
      </c>
      <c r="W58" s="27">
        <f t="shared" si="7"/>
        <v>0.21729957805907174</v>
      </c>
      <c r="X58" s="27">
        <f t="shared" si="8"/>
        <v>6.3291139240506328E-3</v>
      </c>
      <c r="Y58" s="25">
        <f t="shared" si="9"/>
        <v>38.803797468354432</v>
      </c>
    </row>
    <row r="59" spans="1:25" x14ac:dyDescent="0.25">
      <c r="A59" s="24" t="s">
        <v>299</v>
      </c>
      <c r="B59" s="24" t="s">
        <v>300</v>
      </c>
      <c r="C59" s="24" t="s">
        <v>184</v>
      </c>
      <c r="D59" s="24">
        <v>4</v>
      </c>
      <c r="E59" s="24"/>
      <c r="F59" s="24"/>
      <c r="G59" s="24"/>
      <c r="H59" s="24">
        <v>135</v>
      </c>
      <c r="I59" s="24">
        <v>130</v>
      </c>
      <c r="J59" s="24">
        <v>1</v>
      </c>
      <c r="K59" s="24">
        <v>209</v>
      </c>
      <c r="L59" s="24"/>
      <c r="M59" s="24">
        <v>475</v>
      </c>
      <c r="N59" s="25">
        <v>25.602105263157895</v>
      </c>
      <c r="O59" s="24" t="s">
        <v>281</v>
      </c>
      <c r="P59" s="24">
        <f t="shared" si="0"/>
        <v>209</v>
      </c>
      <c r="Q59" s="24">
        <f t="shared" si="1"/>
        <v>135</v>
      </c>
      <c r="R59" s="24">
        <f t="shared" si="2"/>
        <v>130</v>
      </c>
      <c r="S59" s="24">
        <f t="shared" si="3"/>
        <v>1</v>
      </c>
      <c r="T59" s="24">
        <f t="shared" si="4"/>
        <v>475</v>
      </c>
      <c r="U59" s="27">
        <f t="shared" si="5"/>
        <v>0.44</v>
      </c>
      <c r="V59" s="27">
        <f t="shared" si="6"/>
        <v>0.28421052631578947</v>
      </c>
      <c r="W59" s="27">
        <f t="shared" si="7"/>
        <v>0.27368421052631581</v>
      </c>
      <c r="X59" s="27">
        <f t="shared" si="8"/>
        <v>2.1052631578947368E-3</v>
      </c>
      <c r="Y59" s="25">
        <f t="shared" si="9"/>
        <v>25.602105263157895</v>
      </c>
    </row>
    <row r="60" spans="1:25" x14ac:dyDescent="0.25">
      <c r="A60" s="24" t="s">
        <v>301</v>
      </c>
      <c r="B60" s="24" t="s">
        <v>302</v>
      </c>
      <c r="C60" s="24" t="s">
        <v>186</v>
      </c>
      <c r="D60" s="24">
        <v>1</v>
      </c>
      <c r="E60" s="24"/>
      <c r="F60" s="24"/>
      <c r="G60" s="24">
        <v>1</v>
      </c>
      <c r="H60" s="24">
        <v>32</v>
      </c>
      <c r="I60" s="24">
        <v>177</v>
      </c>
      <c r="J60" s="24">
        <v>1</v>
      </c>
      <c r="K60" s="24">
        <v>228</v>
      </c>
      <c r="L60" s="24">
        <v>11</v>
      </c>
      <c r="M60" s="24">
        <v>450</v>
      </c>
      <c r="N60" s="25">
        <v>65.644444444444446</v>
      </c>
      <c r="O60" s="24" t="s">
        <v>281</v>
      </c>
      <c r="P60" s="24">
        <f t="shared" ref="P60:P121" si="20">K60</f>
        <v>228</v>
      </c>
      <c r="Q60" s="24">
        <f t="shared" ref="Q60:Q121" si="21">H60</f>
        <v>32</v>
      </c>
      <c r="R60" s="24">
        <f t="shared" ref="R60:R121" si="22">I60</f>
        <v>177</v>
      </c>
      <c r="S60" s="24">
        <f t="shared" ref="S60:S121" si="23">M60-SUM(P60:R60)</f>
        <v>13</v>
      </c>
      <c r="T60" s="24">
        <f t="shared" ref="T60:T121" si="24">SUM(P60:S60)</f>
        <v>450</v>
      </c>
      <c r="U60" s="27">
        <f t="shared" ref="U60:U121" si="25">P60/M60</f>
        <v>0.50666666666666671</v>
      </c>
      <c r="V60" s="27">
        <f t="shared" ref="V60:V121" si="26">Q60/M60</f>
        <v>7.1111111111111111E-2</v>
      </c>
      <c r="W60" s="27">
        <f t="shared" ref="W60:W121" si="27">R60/M60</f>
        <v>0.39333333333333331</v>
      </c>
      <c r="X60" s="27">
        <f t="shared" ref="X60:X121" si="28">S60/M60</f>
        <v>2.8888888888888888E-2</v>
      </c>
      <c r="Y60" s="25">
        <f t="shared" ref="Y60:Y121" si="29">N60</f>
        <v>65.644444444444446</v>
      </c>
    </row>
    <row r="61" spans="1:25" x14ac:dyDescent="0.25">
      <c r="A61" s="24" t="s">
        <v>301</v>
      </c>
      <c r="B61" s="24" t="s">
        <v>302</v>
      </c>
      <c r="C61" s="24" t="s">
        <v>186</v>
      </c>
      <c r="D61" s="24">
        <v>2</v>
      </c>
      <c r="E61" s="24"/>
      <c r="F61" s="24">
        <v>1</v>
      </c>
      <c r="G61" s="24">
        <v>1</v>
      </c>
      <c r="H61" s="24">
        <v>38</v>
      </c>
      <c r="I61" s="24">
        <v>150</v>
      </c>
      <c r="J61" s="24"/>
      <c r="K61" s="24">
        <v>242</v>
      </c>
      <c r="L61" s="24">
        <v>18</v>
      </c>
      <c r="M61" s="24">
        <v>450</v>
      </c>
      <c r="N61" s="25">
        <v>54.208888888888886</v>
      </c>
      <c r="O61" s="24" t="s">
        <v>281</v>
      </c>
      <c r="P61" s="24">
        <f t="shared" si="20"/>
        <v>242</v>
      </c>
      <c r="Q61" s="24">
        <f t="shared" si="21"/>
        <v>38</v>
      </c>
      <c r="R61" s="24">
        <f t="shared" si="22"/>
        <v>150</v>
      </c>
      <c r="S61" s="24">
        <f t="shared" si="23"/>
        <v>20</v>
      </c>
      <c r="T61" s="24">
        <f t="shared" si="24"/>
        <v>450</v>
      </c>
      <c r="U61" s="27">
        <f t="shared" si="25"/>
        <v>0.5377777777777778</v>
      </c>
      <c r="V61" s="27">
        <f t="shared" si="26"/>
        <v>8.4444444444444447E-2</v>
      </c>
      <c r="W61" s="27">
        <f t="shared" si="27"/>
        <v>0.33333333333333331</v>
      </c>
      <c r="X61" s="27">
        <f t="shared" si="28"/>
        <v>4.4444444444444446E-2</v>
      </c>
      <c r="Y61" s="25">
        <f t="shared" si="29"/>
        <v>54.208888888888886</v>
      </c>
    </row>
    <row r="62" spans="1:25" x14ac:dyDescent="0.25">
      <c r="A62" s="24" t="s">
        <v>301</v>
      </c>
      <c r="B62" s="24" t="s">
        <v>302</v>
      </c>
      <c r="C62" s="24" t="s">
        <v>186</v>
      </c>
      <c r="D62" s="24">
        <v>3</v>
      </c>
      <c r="E62" s="24"/>
      <c r="F62" s="24"/>
      <c r="G62" s="24"/>
      <c r="H62" s="24">
        <v>75</v>
      </c>
      <c r="I62" s="24">
        <v>188</v>
      </c>
      <c r="J62" s="24"/>
      <c r="K62" s="24">
        <v>394</v>
      </c>
      <c r="L62" s="24">
        <v>27</v>
      </c>
      <c r="M62" s="24">
        <v>684</v>
      </c>
      <c r="N62" s="25">
        <v>42.254385964912281</v>
      </c>
      <c r="O62" s="24" t="s">
        <v>281</v>
      </c>
      <c r="P62" s="24">
        <f t="shared" si="20"/>
        <v>394</v>
      </c>
      <c r="Q62" s="24">
        <f t="shared" si="21"/>
        <v>75</v>
      </c>
      <c r="R62" s="24">
        <f t="shared" si="22"/>
        <v>188</v>
      </c>
      <c r="S62" s="24">
        <f t="shared" si="23"/>
        <v>27</v>
      </c>
      <c r="T62" s="24">
        <f t="shared" si="24"/>
        <v>684</v>
      </c>
      <c r="U62" s="27">
        <f t="shared" si="25"/>
        <v>0.57602339181286555</v>
      </c>
      <c r="V62" s="27">
        <f t="shared" si="26"/>
        <v>0.10964912280701754</v>
      </c>
      <c r="W62" s="27">
        <f t="shared" si="27"/>
        <v>0.27485380116959063</v>
      </c>
      <c r="X62" s="27">
        <f t="shared" si="28"/>
        <v>3.9473684210526314E-2</v>
      </c>
      <c r="Y62" s="25">
        <f t="shared" si="29"/>
        <v>42.254385964912281</v>
      </c>
    </row>
    <row r="63" spans="1:25" x14ac:dyDescent="0.25">
      <c r="A63" s="24" t="s">
        <v>301</v>
      </c>
      <c r="B63" s="24" t="s">
        <v>302</v>
      </c>
      <c r="C63" s="24" t="s">
        <v>186</v>
      </c>
      <c r="D63" s="24">
        <v>4</v>
      </c>
      <c r="E63" s="24">
        <v>6</v>
      </c>
      <c r="F63" s="24"/>
      <c r="G63" s="24">
        <v>4</v>
      </c>
      <c r="H63" s="24">
        <v>48</v>
      </c>
      <c r="I63" s="24">
        <v>153</v>
      </c>
      <c r="J63" s="24"/>
      <c r="K63" s="24">
        <v>464</v>
      </c>
      <c r="L63" s="24">
        <v>9</v>
      </c>
      <c r="M63" s="24">
        <v>684</v>
      </c>
      <c r="N63" s="25">
        <v>30.760233918128655</v>
      </c>
      <c r="O63" s="24" t="s">
        <v>281</v>
      </c>
      <c r="P63" s="24">
        <f t="shared" si="20"/>
        <v>464</v>
      </c>
      <c r="Q63" s="24">
        <f t="shared" si="21"/>
        <v>48</v>
      </c>
      <c r="R63" s="24">
        <f t="shared" si="22"/>
        <v>153</v>
      </c>
      <c r="S63" s="24">
        <f t="shared" si="23"/>
        <v>19</v>
      </c>
      <c r="T63" s="24">
        <f t="shared" si="24"/>
        <v>684</v>
      </c>
      <c r="U63" s="27">
        <f t="shared" si="25"/>
        <v>0.67836257309941517</v>
      </c>
      <c r="V63" s="27">
        <f t="shared" si="26"/>
        <v>7.0175438596491224E-2</v>
      </c>
      <c r="W63" s="27">
        <f t="shared" si="27"/>
        <v>0.22368421052631579</v>
      </c>
      <c r="X63" s="27">
        <f t="shared" si="28"/>
        <v>2.7777777777777776E-2</v>
      </c>
      <c r="Y63" s="25">
        <f t="shared" si="29"/>
        <v>30.760233918128655</v>
      </c>
    </row>
    <row r="64" spans="1:25" x14ac:dyDescent="0.25">
      <c r="A64" s="24" t="s">
        <v>301</v>
      </c>
      <c r="B64" s="24" t="s">
        <v>302</v>
      </c>
      <c r="C64" s="24" t="s">
        <v>186</v>
      </c>
      <c r="D64" s="24">
        <v>5</v>
      </c>
      <c r="E64" s="24"/>
      <c r="F64" s="24"/>
      <c r="G64" s="24">
        <v>1</v>
      </c>
      <c r="H64" s="24">
        <v>33</v>
      </c>
      <c r="I64" s="24">
        <v>124</v>
      </c>
      <c r="J64" s="24"/>
      <c r="K64" s="24">
        <v>527</v>
      </c>
      <c r="L64" s="24"/>
      <c r="M64" s="24">
        <v>685</v>
      </c>
      <c r="N64" s="25">
        <v>21.747445255474453</v>
      </c>
      <c r="O64" s="24" t="s">
        <v>281</v>
      </c>
      <c r="P64" s="24">
        <f t="shared" si="20"/>
        <v>527</v>
      </c>
      <c r="Q64" s="24">
        <f t="shared" si="21"/>
        <v>33</v>
      </c>
      <c r="R64" s="24">
        <f t="shared" si="22"/>
        <v>124</v>
      </c>
      <c r="S64" s="24">
        <f t="shared" si="23"/>
        <v>1</v>
      </c>
      <c r="T64" s="24">
        <f t="shared" si="24"/>
        <v>685</v>
      </c>
      <c r="U64" s="27">
        <f t="shared" si="25"/>
        <v>0.76934306569343069</v>
      </c>
      <c r="V64" s="27">
        <f t="shared" si="26"/>
        <v>4.8175182481751823E-2</v>
      </c>
      <c r="W64" s="27">
        <f t="shared" si="27"/>
        <v>0.18102189781021899</v>
      </c>
      <c r="X64" s="27">
        <f t="shared" si="28"/>
        <v>1.4598540145985401E-3</v>
      </c>
      <c r="Y64" s="25">
        <f t="shared" si="29"/>
        <v>21.747445255474453</v>
      </c>
    </row>
    <row r="65" spans="1:25" x14ac:dyDescent="0.25">
      <c r="A65" s="24" t="s">
        <v>303</v>
      </c>
      <c r="B65" s="24" t="s">
        <v>304</v>
      </c>
      <c r="C65" s="24" t="s">
        <v>188</v>
      </c>
      <c r="D65" s="24">
        <v>1</v>
      </c>
      <c r="E65" s="24"/>
      <c r="F65" s="24"/>
      <c r="G65" s="24"/>
      <c r="H65" s="24">
        <v>332</v>
      </c>
      <c r="I65" s="24">
        <v>97</v>
      </c>
      <c r="J65" s="24">
        <v>1</v>
      </c>
      <c r="K65" s="24">
        <v>20</v>
      </c>
      <c r="L65" s="24"/>
      <c r="M65" s="24">
        <v>450</v>
      </c>
      <c r="N65" s="25">
        <v>66.935555555555553</v>
      </c>
      <c r="O65" s="24" t="s">
        <v>281</v>
      </c>
      <c r="P65" s="24">
        <f t="shared" si="20"/>
        <v>20</v>
      </c>
      <c r="Q65" s="24">
        <f t="shared" si="21"/>
        <v>332</v>
      </c>
      <c r="R65" s="24">
        <f t="shared" si="22"/>
        <v>97</v>
      </c>
      <c r="S65" s="24">
        <f t="shared" si="23"/>
        <v>1</v>
      </c>
      <c r="T65" s="24">
        <f t="shared" si="24"/>
        <v>450</v>
      </c>
      <c r="U65" s="27">
        <f t="shared" si="25"/>
        <v>4.4444444444444446E-2</v>
      </c>
      <c r="V65" s="27">
        <f t="shared" si="26"/>
        <v>0.73777777777777775</v>
      </c>
      <c r="W65" s="27">
        <f t="shared" si="27"/>
        <v>0.21555555555555556</v>
      </c>
      <c r="X65" s="27">
        <f t="shared" si="28"/>
        <v>2.2222222222222222E-3</v>
      </c>
      <c r="Y65" s="25">
        <f t="shared" si="29"/>
        <v>66.935555555555553</v>
      </c>
    </row>
    <row r="66" spans="1:25" x14ac:dyDescent="0.25">
      <c r="A66" s="24" t="s">
        <v>303</v>
      </c>
      <c r="B66" s="24" t="s">
        <v>304</v>
      </c>
      <c r="C66" s="24" t="s">
        <v>188</v>
      </c>
      <c r="D66" s="24">
        <v>2</v>
      </c>
      <c r="E66" s="24"/>
      <c r="F66" s="24"/>
      <c r="G66" s="24">
        <v>2</v>
      </c>
      <c r="H66" s="24">
        <v>346</v>
      </c>
      <c r="I66" s="24">
        <v>168</v>
      </c>
      <c r="J66" s="24"/>
      <c r="K66" s="24">
        <v>64</v>
      </c>
      <c r="L66" s="24">
        <v>1</v>
      </c>
      <c r="M66" s="24">
        <v>581</v>
      </c>
      <c r="N66" s="25">
        <v>47.633390705679865</v>
      </c>
      <c r="O66" s="24" t="s">
        <v>281</v>
      </c>
      <c r="P66" s="24">
        <f t="shared" si="20"/>
        <v>64</v>
      </c>
      <c r="Q66" s="24">
        <f t="shared" si="21"/>
        <v>346</v>
      </c>
      <c r="R66" s="24">
        <f t="shared" si="22"/>
        <v>168</v>
      </c>
      <c r="S66" s="24">
        <f t="shared" si="23"/>
        <v>3</v>
      </c>
      <c r="T66" s="24">
        <f t="shared" si="24"/>
        <v>581</v>
      </c>
      <c r="U66" s="27">
        <f t="shared" si="25"/>
        <v>0.11015490533562823</v>
      </c>
      <c r="V66" s="27">
        <f t="shared" si="26"/>
        <v>0.59552495697074015</v>
      </c>
      <c r="W66" s="27">
        <f t="shared" si="27"/>
        <v>0.28915662650602408</v>
      </c>
      <c r="X66" s="27">
        <f t="shared" si="28"/>
        <v>5.1635111876075735E-3</v>
      </c>
      <c r="Y66" s="25">
        <f t="shared" si="29"/>
        <v>47.633390705679865</v>
      </c>
    </row>
    <row r="67" spans="1:25" x14ac:dyDescent="0.25">
      <c r="A67" s="24" t="s">
        <v>303</v>
      </c>
      <c r="B67" s="24" t="s">
        <v>304</v>
      </c>
      <c r="C67" s="24" t="s">
        <v>188</v>
      </c>
      <c r="D67" s="24">
        <v>3</v>
      </c>
      <c r="E67" s="24"/>
      <c r="F67" s="24"/>
      <c r="G67" s="24">
        <v>3</v>
      </c>
      <c r="H67" s="24">
        <v>190</v>
      </c>
      <c r="I67" s="24">
        <v>178</v>
      </c>
      <c r="J67" s="24"/>
      <c r="K67" s="24">
        <v>210</v>
      </c>
      <c r="L67" s="24"/>
      <c r="M67" s="24">
        <v>581</v>
      </c>
      <c r="N67" s="25">
        <v>27.342512908777969</v>
      </c>
      <c r="O67" s="24" t="s">
        <v>281</v>
      </c>
      <c r="P67" s="24">
        <f t="shared" si="20"/>
        <v>210</v>
      </c>
      <c r="Q67" s="24">
        <f t="shared" si="21"/>
        <v>190</v>
      </c>
      <c r="R67" s="24">
        <f t="shared" si="22"/>
        <v>178</v>
      </c>
      <c r="S67" s="24">
        <f t="shared" si="23"/>
        <v>3</v>
      </c>
      <c r="T67" s="24">
        <f t="shared" si="24"/>
        <v>581</v>
      </c>
      <c r="U67" s="27">
        <f t="shared" si="25"/>
        <v>0.36144578313253012</v>
      </c>
      <c r="V67" s="27">
        <f t="shared" si="26"/>
        <v>0.32702237521514632</v>
      </c>
      <c r="W67" s="27">
        <f t="shared" si="27"/>
        <v>0.30636833046471601</v>
      </c>
      <c r="X67" s="27">
        <f t="shared" si="28"/>
        <v>5.1635111876075735E-3</v>
      </c>
      <c r="Y67" s="25">
        <f t="shared" si="29"/>
        <v>27.342512908777969</v>
      </c>
    </row>
    <row r="68" spans="1:25" x14ac:dyDescent="0.25">
      <c r="A68" s="24" t="s">
        <v>305</v>
      </c>
      <c r="B68" s="24" t="s">
        <v>306</v>
      </c>
      <c r="C68" s="24" t="s">
        <v>190</v>
      </c>
      <c r="D68" s="24">
        <v>1</v>
      </c>
      <c r="E68" s="24"/>
      <c r="F68" s="24"/>
      <c r="G68" s="24"/>
      <c r="H68" s="24">
        <v>51</v>
      </c>
      <c r="I68" s="24">
        <v>133</v>
      </c>
      <c r="J68" s="24">
        <v>4</v>
      </c>
      <c r="K68" s="24">
        <v>255</v>
      </c>
      <c r="L68" s="24">
        <v>7</v>
      </c>
      <c r="M68" s="24">
        <v>450</v>
      </c>
      <c r="N68" s="25">
        <v>64.588888888888889</v>
      </c>
      <c r="O68" s="24" t="s">
        <v>281</v>
      </c>
      <c r="P68" s="24">
        <f t="shared" si="20"/>
        <v>255</v>
      </c>
      <c r="Q68" s="24">
        <f t="shared" si="21"/>
        <v>51</v>
      </c>
      <c r="R68" s="24">
        <f t="shared" si="22"/>
        <v>133</v>
      </c>
      <c r="S68" s="24">
        <f t="shared" si="23"/>
        <v>11</v>
      </c>
      <c r="T68" s="24">
        <f t="shared" si="24"/>
        <v>450</v>
      </c>
      <c r="U68" s="27">
        <f t="shared" si="25"/>
        <v>0.56666666666666665</v>
      </c>
      <c r="V68" s="27">
        <f t="shared" si="26"/>
        <v>0.11333333333333333</v>
      </c>
      <c r="W68" s="27">
        <f t="shared" si="27"/>
        <v>0.29555555555555557</v>
      </c>
      <c r="X68" s="27">
        <f t="shared" si="28"/>
        <v>2.4444444444444446E-2</v>
      </c>
      <c r="Y68" s="25">
        <f t="shared" si="29"/>
        <v>64.588888888888889</v>
      </c>
    </row>
    <row r="69" spans="1:25" x14ac:dyDescent="0.25">
      <c r="A69" s="24" t="s">
        <v>305</v>
      </c>
      <c r="B69" s="24" t="s">
        <v>306</v>
      </c>
      <c r="C69" s="24" t="s">
        <v>190</v>
      </c>
      <c r="D69" s="24">
        <v>2</v>
      </c>
      <c r="E69" s="24">
        <v>2</v>
      </c>
      <c r="F69" s="24">
        <v>2</v>
      </c>
      <c r="G69" s="24">
        <v>5</v>
      </c>
      <c r="H69" s="24">
        <v>48</v>
      </c>
      <c r="I69" s="24">
        <v>70</v>
      </c>
      <c r="J69" s="24"/>
      <c r="K69" s="24">
        <v>499</v>
      </c>
      <c r="L69" s="24">
        <v>13</v>
      </c>
      <c r="M69" s="24">
        <v>639</v>
      </c>
      <c r="N69" s="25">
        <v>40.350547730829419</v>
      </c>
      <c r="O69" s="24" t="s">
        <v>281</v>
      </c>
      <c r="P69" s="24">
        <f t="shared" si="20"/>
        <v>499</v>
      </c>
      <c r="Q69" s="24">
        <f t="shared" si="21"/>
        <v>48</v>
      </c>
      <c r="R69" s="24">
        <f t="shared" si="22"/>
        <v>70</v>
      </c>
      <c r="S69" s="24">
        <f t="shared" si="23"/>
        <v>22</v>
      </c>
      <c r="T69" s="24">
        <f t="shared" si="24"/>
        <v>639</v>
      </c>
      <c r="U69" s="27">
        <f t="shared" si="25"/>
        <v>0.78090766823161184</v>
      </c>
      <c r="V69" s="27">
        <f t="shared" si="26"/>
        <v>7.5117370892018781E-2</v>
      </c>
      <c r="W69" s="27">
        <f t="shared" si="27"/>
        <v>0.10954616588419405</v>
      </c>
      <c r="X69" s="27">
        <f t="shared" si="28"/>
        <v>3.4428794992175271E-2</v>
      </c>
      <c r="Y69" s="25">
        <f t="shared" si="29"/>
        <v>40.350547730829419</v>
      </c>
    </row>
    <row r="70" spans="1:25" x14ac:dyDescent="0.25">
      <c r="A70" s="24" t="s">
        <v>305</v>
      </c>
      <c r="B70" s="24" t="s">
        <v>306</v>
      </c>
      <c r="C70" s="24" t="s">
        <v>190</v>
      </c>
      <c r="D70" s="24">
        <v>3</v>
      </c>
      <c r="E70" s="24"/>
      <c r="F70" s="24"/>
      <c r="G70" s="24">
        <v>1</v>
      </c>
      <c r="H70" s="24">
        <v>53</v>
      </c>
      <c r="I70" s="24">
        <v>59</v>
      </c>
      <c r="J70" s="24"/>
      <c r="K70" s="24">
        <v>526</v>
      </c>
      <c r="L70" s="24"/>
      <c r="M70" s="24">
        <v>639</v>
      </c>
      <c r="N70" s="25">
        <v>23.369327073552427</v>
      </c>
      <c r="O70" s="24" t="s">
        <v>281</v>
      </c>
      <c r="P70" s="24">
        <f t="shared" si="20"/>
        <v>526</v>
      </c>
      <c r="Q70" s="24">
        <f t="shared" si="21"/>
        <v>53</v>
      </c>
      <c r="R70" s="24">
        <f t="shared" si="22"/>
        <v>59</v>
      </c>
      <c r="S70" s="24">
        <f t="shared" si="23"/>
        <v>1</v>
      </c>
      <c r="T70" s="24">
        <f t="shared" si="24"/>
        <v>639</v>
      </c>
      <c r="U70" s="27">
        <f t="shared" si="25"/>
        <v>0.82316118935837246</v>
      </c>
      <c r="V70" s="27">
        <f t="shared" si="26"/>
        <v>8.2942097026604072E-2</v>
      </c>
      <c r="W70" s="27">
        <f t="shared" si="27"/>
        <v>9.2331768388106417E-2</v>
      </c>
      <c r="X70" s="27">
        <f t="shared" si="28"/>
        <v>1.5649452269170579E-3</v>
      </c>
      <c r="Y70" s="25">
        <f t="shared" si="29"/>
        <v>23.369327073552427</v>
      </c>
    </row>
    <row r="71" spans="1:25" x14ac:dyDescent="0.25">
      <c r="A71" s="24" t="s">
        <v>307</v>
      </c>
      <c r="B71" s="24" t="s">
        <v>308</v>
      </c>
      <c r="C71" s="24" t="s">
        <v>192</v>
      </c>
      <c r="D71" s="24">
        <v>1</v>
      </c>
      <c r="E71" s="24"/>
      <c r="F71" s="24">
        <v>1</v>
      </c>
      <c r="G71" s="24">
        <v>2</v>
      </c>
      <c r="H71" s="24">
        <v>291</v>
      </c>
      <c r="I71" s="24">
        <v>72</v>
      </c>
      <c r="J71" s="24">
        <v>3</v>
      </c>
      <c r="K71" s="24">
        <v>81</v>
      </c>
      <c r="L71" s="24"/>
      <c r="M71" s="24">
        <v>450</v>
      </c>
      <c r="N71" s="25">
        <v>66.722222222222229</v>
      </c>
      <c r="O71" s="24" t="s">
        <v>281</v>
      </c>
      <c r="P71" s="24">
        <f t="shared" si="20"/>
        <v>81</v>
      </c>
      <c r="Q71" s="24">
        <f t="shared" si="21"/>
        <v>291</v>
      </c>
      <c r="R71" s="24">
        <f t="shared" si="22"/>
        <v>72</v>
      </c>
      <c r="S71" s="24">
        <f t="shared" si="23"/>
        <v>6</v>
      </c>
      <c r="T71" s="24">
        <f t="shared" si="24"/>
        <v>450</v>
      </c>
      <c r="U71" s="27">
        <f t="shared" si="25"/>
        <v>0.18</v>
      </c>
      <c r="V71" s="27">
        <f t="shared" si="26"/>
        <v>0.64666666666666661</v>
      </c>
      <c r="W71" s="27">
        <f t="shared" si="27"/>
        <v>0.16</v>
      </c>
      <c r="X71" s="27">
        <f t="shared" si="28"/>
        <v>1.3333333333333334E-2</v>
      </c>
      <c r="Y71" s="25">
        <f t="shared" si="29"/>
        <v>66.722222222222229</v>
      </c>
    </row>
    <row r="72" spans="1:25" x14ac:dyDescent="0.25">
      <c r="A72" s="24" t="s">
        <v>307</v>
      </c>
      <c r="B72" s="24" t="s">
        <v>308</v>
      </c>
      <c r="C72" s="24" t="s">
        <v>192</v>
      </c>
      <c r="D72" s="24">
        <v>2</v>
      </c>
      <c r="E72" s="24"/>
      <c r="F72" s="24">
        <v>2</v>
      </c>
      <c r="G72" s="24">
        <v>6</v>
      </c>
      <c r="H72" s="24">
        <v>279</v>
      </c>
      <c r="I72" s="24">
        <v>122</v>
      </c>
      <c r="J72" s="24">
        <v>3</v>
      </c>
      <c r="K72" s="24">
        <v>304</v>
      </c>
      <c r="L72" s="24">
        <v>1</v>
      </c>
      <c r="M72" s="24">
        <v>717</v>
      </c>
      <c r="N72" s="25">
        <v>42.216178521617849</v>
      </c>
      <c r="O72" s="24" t="s">
        <v>281</v>
      </c>
      <c r="P72" s="24">
        <f t="shared" si="20"/>
        <v>304</v>
      </c>
      <c r="Q72" s="24">
        <f t="shared" si="21"/>
        <v>279</v>
      </c>
      <c r="R72" s="24">
        <f t="shared" si="22"/>
        <v>122</v>
      </c>
      <c r="S72" s="24">
        <f t="shared" si="23"/>
        <v>12</v>
      </c>
      <c r="T72" s="24">
        <f t="shared" si="24"/>
        <v>717</v>
      </c>
      <c r="U72" s="27">
        <f t="shared" si="25"/>
        <v>0.42398884239888424</v>
      </c>
      <c r="V72" s="27">
        <f t="shared" si="26"/>
        <v>0.38912133891213391</v>
      </c>
      <c r="W72" s="27">
        <f t="shared" si="27"/>
        <v>0.1701534170153417</v>
      </c>
      <c r="X72" s="27">
        <f t="shared" si="28"/>
        <v>1.6736401673640166E-2</v>
      </c>
      <c r="Y72" s="25">
        <f t="shared" si="29"/>
        <v>42.216178521617849</v>
      </c>
    </row>
    <row r="73" spans="1:25" x14ac:dyDescent="0.25">
      <c r="A73" s="24" t="s">
        <v>307</v>
      </c>
      <c r="B73" s="24" t="s">
        <v>308</v>
      </c>
      <c r="C73" s="24" t="s">
        <v>192</v>
      </c>
      <c r="D73" s="24">
        <v>3</v>
      </c>
      <c r="E73" s="24">
        <v>1</v>
      </c>
      <c r="F73" s="24"/>
      <c r="G73" s="24">
        <v>6</v>
      </c>
      <c r="H73" s="24">
        <v>71</v>
      </c>
      <c r="I73" s="24">
        <v>96</v>
      </c>
      <c r="J73" s="24"/>
      <c r="K73" s="24">
        <v>544</v>
      </c>
      <c r="L73" s="24"/>
      <c r="M73" s="24">
        <v>718</v>
      </c>
      <c r="N73" s="25">
        <v>23.394150417827298</v>
      </c>
      <c r="O73" s="24" t="s">
        <v>281</v>
      </c>
      <c r="P73" s="24">
        <f t="shared" si="20"/>
        <v>544</v>
      </c>
      <c r="Q73" s="24">
        <f t="shared" si="21"/>
        <v>71</v>
      </c>
      <c r="R73" s="24">
        <f t="shared" si="22"/>
        <v>96</v>
      </c>
      <c r="S73" s="24">
        <f t="shared" si="23"/>
        <v>7</v>
      </c>
      <c r="T73" s="24">
        <f t="shared" si="24"/>
        <v>718</v>
      </c>
      <c r="U73" s="27">
        <f t="shared" si="25"/>
        <v>0.75766016713091922</v>
      </c>
      <c r="V73" s="27">
        <f t="shared" si="26"/>
        <v>9.8885793871866301E-2</v>
      </c>
      <c r="W73" s="27">
        <f t="shared" si="27"/>
        <v>0.13370473537604458</v>
      </c>
      <c r="X73" s="27">
        <f t="shared" si="28"/>
        <v>9.7493036211699167E-3</v>
      </c>
      <c r="Y73" s="25">
        <f t="shared" si="29"/>
        <v>23.394150417827298</v>
      </c>
    </row>
    <row r="74" spans="1:25" x14ac:dyDescent="0.25">
      <c r="A74" s="24" t="s">
        <v>309</v>
      </c>
      <c r="B74" s="24" t="s">
        <v>310</v>
      </c>
      <c r="C74" s="24" t="s">
        <v>194</v>
      </c>
      <c r="D74" s="24">
        <v>1</v>
      </c>
      <c r="E74" s="24"/>
      <c r="F74" s="24"/>
      <c r="G74" s="24"/>
      <c r="H74" s="24">
        <v>417</v>
      </c>
      <c r="I74" s="24">
        <v>12</v>
      </c>
      <c r="J74" s="24"/>
      <c r="K74" s="24">
        <v>11</v>
      </c>
      <c r="L74" s="24"/>
      <c r="M74" s="24">
        <v>440</v>
      </c>
      <c r="N74" s="25">
        <v>72.427272727272722</v>
      </c>
      <c r="O74" s="24" t="s">
        <v>281</v>
      </c>
      <c r="P74" s="24">
        <f t="shared" si="20"/>
        <v>11</v>
      </c>
      <c r="Q74" s="24">
        <f t="shared" si="21"/>
        <v>417</v>
      </c>
      <c r="R74" s="24">
        <f t="shared" si="22"/>
        <v>12</v>
      </c>
      <c r="S74" s="24">
        <f t="shared" si="23"/>
        <v>0</v>
      </c>
      <c r="T74" s="24">
        <f t="shared" si="24"/>
        <v>440</v>
      </c>
      <c r="U74" s="27">
        <f t="shared" si="25"/>
        <v>2.5000000000000001E-2</v>
      </c>
      <c r="V74" s="27">
        <f t="shared" si="26"/>
        <v>0.94772727272727275</v>
      </c>
      <c r="W74" s="27">
        <f t="shared" si="27"/>
        <v>2.7272727272727271E-2</v>
      </c>
      <c r="X74" s="27">
        <f t="shared" si="28"/>
        <v>0</v>
      </c>
      <c r="Y74" s="25">
        <f t="shared" si="29"/>
        <v>72.427272727272722</v>
      </c>
    </row>
    <row r="75" spans="1:25" x14ac:dyDescent="0.25">
      <c r="A75" s="24" t="s">
        <v>309</v>
      </c>
      <c r="B75" s="24" t="s">
        <v>310</v>
      </c>
      <c r="C75" s="24" t="s">
        <v>194</v>
      </c>
      <c r="D75" s="24">
        <v>2</v>
      </c>
      <c r="E75" s="24"/>
      <c r="F75" s="24"/>
      <c r="G75" s="24">
        <v>1</v>
      </c>
      <c r="H75" s="24">
        <v>400</v>
      </c>
      <c r="I75" s="24">
        <v>29</v>
      </c>
      <c r="J75" s="24"/>
      <c r="K75" s="24">
        <v>18</v>
      </c>
      <c r="L75" s="24"/>
      <c r="M75" s="24">
        <v>448</v>
      </c>
      <c r="N75" s="25">
        <v>54.5625</v>
      </c>
      <c r="O75" s="24" t="s">
        <v>281</v>
      </c>
      <c r="P75" s="24">
        <f t="shared" si="20"/>
        <v>18</v>
      </c>
      <c r="Q75" s="24">
        <f t="shared" si="21"/>
        <v>400</v>
      </c>
      <c r="R75" s="24">
        <f t="shared" si="22"/>
        <v>29</v>
      </c>
      <c r="S75" s="24">
        <f t="shared" si="23"/>
        <v>1</v>
      </c>
      <c r="T75" s="24">
        <f t="shared" si="24"/>
        <v>448</v>
      </c>
      <c r="U75" s="27">
        <f t="shared" si="25"/>
        <v>4.0178571428571432E-2</v>
      </c>
      <c r="V75" s="27">
        <f t="shared" si="26"/>
        <v>0.8928571428571429</v>
      </c>
      <c r="W75" s="27">
        <f t="shared" si="27"/>
        <v>6.4732142857142863E-2</v>
      </c>
      <c r="X75" s="27">
        <f t="shared" si="28"/>
        <v>2.232142857142857E-3</v>
      </c>
      <c r="Y75" s="25">
        <f t="shared" si="29"/>
        <v>54.5625</v>
      </c>
    </row>
    <row r="76" spans="1:25" x14ac:dyDescent="0.25">
      <c r="A76" s="24" t="s">
        <v>309</v>
      </c>
      <c r="B76" s="24" t="s">
        <v>310</v>
      </c>
      <c r="C76" s="24" t="s">
        <v>194</v>
      </c>
      <c r="D76" s="24">
        <v>3</v>
      </c>
      <c r="E76" s="24"/>
      <c r="F76" s="24"/>
      <c r="G76" s="24"/>
      <c r="H76" s="24">
        <v>357</v>
      </c>
      <c r="I76" s="24">
        <v>59</v>
      </c>
      <c r="J76" s="24">
        <v>1</v>
      </c>
      <c r="K76" s="24">
        <v>31</v>
      </c>
      <c r="L76" s="24"/>
      <c r="M76" s="24">
        <v>448</v>
      </c>
      <c r="N76" s="25">
        <v>39.433035714285715</v>
      </c>
      <c r="O76" s="24" t="s">
        <v>281</v>
      </c>
      <c r="P76" s="24">
        <f t="shared" si="20"/>
        <v>31</v>
      </c>
      <c r="Q76" s="24">
        <f t="shared" si="21"/>
        <v>357</v>
      </c>
      <c r="R76" s="24">
        <f t="shared" si="22"/>
        <v>59</v>
      </c>
      <c r="S76" s="24">
        <f t="shared" si="23"/>
        <v>1</v>
      </c>
      <c r="T76" s="24">
        <f t="shared" si="24"/>
        <v>448</v>
      </c>
      <c r="U76" s="27">
        <f t="shared" si="25"/>
        <v>6.9196428571428575E-2</v>
      </c>
      <c r="V76" s="27">
        <f t="shared" si="26"/>
        <v>0.796875</v>
      </c>
      <c r="W76" s="27">
        <f t="shared" si="27"/>
        <v>0.13169642857142858</v>
      </c>
      <c r="X76" s="27">
        <f t="shared" si="28"/>
        <v>2.232142857142857E-3</v>
      </c>
      <c r="Y76" s="25">
        <f t="shared" si="29"/>
        <v>39.433035714285715</v>
      </c>
    </row>
    <row r="77" spans="1:25" x14ac:dyDescent="0.25">
      <c r="A77" s="24" t="s">
        <v>309</v>
      </c>
      <c r="B77" s="24" t="s">
        <v>310</v>
      </c>
      <c r="C77" s="24" t="s">
        <v>194</v>
      </c>
      <c r="D77" s="24">
        <v>4</v>
      </c>
      <c r="E77" s="24"/>
      <c r="F77" s="24"/>
      <c r="G77" s="24"/>
      <c r="H77" s="24">
        <v>342</v>
      </c>
      <c r="I77" s="24">
        <v>77</v>
      </c>
      <c r="J77" s="24">
        <v>1</v>
      </c>
      <c r="K77" s="24">
        <v>28</v>
      </c>
      <c r="L77" s="24"/>
      <c r="M77" s="24">
        <v>448</v>
      </c>
      <c r="N77" s="25">
        <v>24.642857142857142</v>
      </c>
      <c r="O77" s="24" t="s">
        <v>281</v>
      </c>
      <c r="P77" s="24">
        <f t="shared" si="20"/>
        <v>28</v>
      </c>
      <c r="Q77" s="24">
        <f t="shared" si="21"/>
        <v>342</v>
      </c>
      <c r="R77" s="24">
        <f t="shared" si="22"/>
        <v>77</v>
      </c>
      <c r="S77" s="24">
        <f t="shared" si="23"/>
        <v>1</v>
      </c>
      <c r="T77" s="24">
        <f t="shared" si="24"/>
        <v>448</v>
      </c>
      <c r="U77" s="27">
        <f t="shared" si="25"/>
        <v>6.25E-2</v>
      </c>
      <c r="V77" s="27">
        <f t="shared" si="26"/>
        <v>0.7633928571428571</v>
      </c>
      <c r="W77" s="27">
        <f t="shared" si="27"/>
        <v>0.171875</v>
      </c>
      <c r="X77" s="27">
        <f t="shared" si="28"/>
        <v>2.232142857142857E-3</v>
      </c>
      <c r="Y77" s="25">
        <f t="shared" si="29"/>
        <v>24.642857142857142</v>
      </c>
    </row>
    <row r="78" spans="1:25" x14ac:dyDescent="0.25">
      <c r="A78" s="24" t="s">
        <v>311</v>
      </c>
      <c r="B78" s="24" t="s">
        <v>312</v>
      </c>
      <c r="C78" s="24" t="s">
        <v>196</v>
      </c>
      <c r="D78" s="24">
        <v>1</v>
      </c>
      <c r="E78" s="24"/>
      <c r="F78" s="24"/>
      <c r="G78" s="24"/>
      <c r="H78" s="24">
        <v>372</v>
      </c>
      <c r="I78" s="24">
        <v>39</v>
      </c>
      <c r="J78" s="24">
        <v>1</v>
      </c>
      <c r="K78" s="24">
        <v>38</v>
      </c>
      <c r="L78" s="24"/>
      <c r="M78" s="24">
        <v>450</v>
      </c>
      <c r="N78" s="25">
        <v>74.444444444444443</v>
      </c>
      <c r="O78" s="24" t="s">
        <v>281</v>
      </c>
      <c r="P78" s="24">
        <f t="shared" ref="P78:P84" si="30">K78</f>
        <v>38</v>
      </c>
      <c r="Q78" s="24">
        <f t="shared" ref="Q78:R84" si="31">H78</f>
        <v>372</v>
      </c>
      <c r="R78" s="24">
        <f t="shared" si="31"/>
        <v>39</v>
      </c>
      <c r="S78" s="24">
        <f t="shared" ref="S78:S84" si="32">M78-SUM(P78:R78)</f>
        <v>1</v>
      </c>
      <c r="T78" s="24">
        <f t="shared" ref="T78:T84" si="33">SUM(P78:S78)</f>
        <v>450</v>
      </c>
      <c r="U78" s="27">
        <f t="shared" ref="U78:U84" si="34">P78/M78</f>
        <v>8.4444444444444447E-2</v>
      </c>
      <c r="V78" s="27">
        <f t="shared" ref="V78:V84" si="35">Q78/M78</f>
        <v>0.82666666666666666</v>
      </c>
      <c r="W78" s="27">
        <f t="shared" ref="W78:W84" si="36">R78/M78</f>
        <v>8.666666666666667E-2</v>
      </c>
      <c r="X78" s="27">
        <f t="shared" ref="X78:X84" si="37">S78/M78</f>
        <v>2.2222222222222222E-3</v>
      </c>
      <c r="Y78" s="25">
        <f t="shared" ref="Y78:Y84" si="38">N78</f>
        <v>74.444444444444443</v>
      </c>
    </row>
    <row r="79" spans="1:25" x14ac:dyDescent="0.25">
      <c r="A79" s="24" t="s">
        <v>311</v>
      </c>
      <c r="B79" s="24" t="s">
        <v>312</v>
      </c>
      <c r="C79" s="24" t="s">
        <v>196</v>
      </c>
      <c r="D79" s="24">
        <v>2</v>
      </c>
      <c r="E79" s="24"/>
      <c r="F79" s="24"/>
      <c r="G79" s="24"/>
      <c r="H79" s="24">
        <v>370</v>
      </c>
      <c r="I79" s="24">
        <v>39</v>
      </c>
      <c r="J79" s="24"/>
      <c r="K79" s="24">
        <v>41</v>
      </c>
      <c r="L79" s="24"/>
      <c r="M79" s="24">
        <v>450</v>
      </c>
      <c r="N79" s="25">
        <v>66.371111111111105</v>
      </c>
      <c r="O79" s="24" t="s">
        <v>281</v>
      </c>
      <c r="P79" s="24">
        <f t="shared" si="30"/>
        <v>41</v>
      </c>
      <c r="Q79" s="24">
        <f t="shared" si="31"/>
        <v>370</v>
      </c>
      <c r="R79" s="24">
        <f t="shared" si="31"/>
        <v>39</v>
      </c>
      <c r="S79" s="24">
        <f t="shared" si="32"/>
        <v>0</v>
      </c>
      <c r="T79" s="24">
        <f t="shared" si="33"/>
        <v>450</v>
      </c>
      <c r="U79" s="27">
        <f t="shared" si="34"/>
        <v>9.1111111111111115E-2</v>
      </c>
      <c r="V79" s="27">
        <f t="shared" si="35"/>
        <v>0.82222222222222219</v>
      </c>
      <c r="W79" s="27">
        <f t="shared" si="36"/>
        <v>8.666666666666667E-2</v>
      </c>
      <c r="X79" s="27">
        <f t="shared" si="37"/>
        <v>0</v>
      </c>
      <c r="Y79" s="25">
        <f t="shared" si="38"/>
        <v>66.371111111111105</v>
      </c>
    </row>
    <row r="80" spans="1:25" x14ac:dyDescent="0.25">
      <c r="A80" s="24" t="s">
        <v>311</v>
      </c>
      <c r="B80" s="24" t="s">
        <v>312</v>
      </c>
      <c r="C80" s="24" t="s">
        <v>196</v>
      </c>
      <c r="D80" s="24">
        <v>3</v>
      </c>
      <c r="E80" s="24"/>
      <c r="F80" s="24"/>
      <c r="G80" s="24"/>
      <c r="H80" s="24">
        <v>350</v>
      </c>
      <c r="I80" s="24">
        <v>52</v>
      </c>
      <c r="J80" s="24">
        <v>2</v>
      </c>
      <c r="K80" s="24">
        <v>46</v>
      </c>
      <c r="L80" s="24"/>
      <c r="M80" s="24">
        <v>450</v>
      </c>
      <c r="N80" s="25">
        <v>58.571111111111108</v>
      </c>
      <c r="O80" s="24" t="s">
        <v>281</v>
      </c>
      <c r="P80" s="24">
        <f t="shared" si="30"/>
        <v>46</v>
      </c>
      <c r="Q80" s="24">
        <f t="shared" si="31"/>
        <v>350</v>
      </c>
      <c r="R80" s="24">
        <f t="shared" si="31"/>
        <v>52</v>
      </c>
      <c r="S80" s="24">
        <f t="shared" si="32"/>
        <v>2</v>
      </c>
      <c r="T80" s="24">
        <f t="shared" si="33"/>
        <v>450</v>
      </c>
      <c r="U80" s="27">
        <f t="shared" si="34"/>
        <v>0.10222222222222223</v>
      </c>
      <c r="V80" s="27">
        <f t="shared" si="35"/>
        <v>0.77777777777777779</v>
      </c>
      <c r="W80" s="27">
        <f t="shared" si="36"/>
        <v>0.11555555555555555</v>
      </c>
      <c r="X80" s="27">
        <f t="shared" si="37"/>
        <v>4.4444444444444444E-3</v>
      </c>
      <c r="Y80" s="25">
        <f t="shared" si="38"/>
        <v>58.571111111111108</v>
      </c>
    </row>
    <row r="81" spans="1:25" x14ac:dyDescent="0.25">
      <c r="A81" s="24" t="s">
        <v>311</v>
      </c>
      <c r="B81" s="24" t="s">
        <v>312</v>
      </c>
      <c r="C81" s="24" t="s">
        <v>196</v>
      </c>
      <c r="D81" s="24">
        <v>4</v>
      </c>
      <c r="E81" s="24"/>
      <c r="F81" s="24">
        <v>1</v>
      </c>
      <c r="G81" s="24">
        <v>4</v>
      </c>
      <c r="H81" s="24">
        <v>495</v>
      </c>
      <c r="I81" s="24">
        <v>105</v>
      </c>
      <c r="J81" s="24">
        <v>4</v>
      </c>
      <c r="K81" s="24">
        <v>75</v>
      </c>
      <c r="L81" s="24"/>
      <c r="M81" s="24">
        <v>684</v>
      </c>
      <c r="N81" s="25">
        <v>50.001461988304094</v>
      </c>
      <c r="O81" s="24" t="s">
        <v>281</v>
      </c>
      <c r="P81" s="24">
        <f t="shared" si="30"/>
        <v>75</v>
      </c>
      <c r="Q81" s="24">
        <f t="shared" si="31"/>
        <v>495</v>
      </c>
      <c r="R81" s="24">
        <f t="shared" si="31"/>
        <v>105</v>
      </c>
      <c r="S81" s="24">
        <f t="shared" si="32"/>
        <v>9</v>
      </c>
      <c r="T81" s="24">
        <f t="shared" si="33"/>
        <v>684</v>
      </c>
      <c r="U81" s="27">
        <f t="shared" si="34"/>
        <v>0.10964912280701754</v>
      </c>
      <c r="V81" s="27">
        <f t="shared" si="35"/>
        <v>0.72368421052631582</v>
      </c>
      <c r="W81" s="27">
        <f t="shared" si="36"/>
        <v>0.15350877192982457</v>
      </c>
      <c r="X81" s="27">
        <f t="shared" si="37"/>
        <v>1.3157894736842105E-2</v>
      </c>
      <c r="Y81" s="25">
        <f t="shared" si="38"/>
        <v>50.001461988304094</v>
      </c>
    </row>
    <row r="82" spans="1:25" x14ac:dyDescent="0.25">
      <c r="A82" s="24" t="s">
        <v>311</v>
      </c>
      <c r="B82" s="24" t="s">
        <v>312</v>
      </c>
      <c r="C82" s="24" t="s">
        <v>196</v>
      </c>
      <c r="D82" s="24">
        <v>5</v>
      </c>
      <c r="E82" s="24"/>
      <c r="F82" s="24">
        <v>1</v>
      </c>
      <c r="G82" s="24">
        <v>2</v>
      </c>
      <c r="H82" s="24">
        <v>430</v>
      </c>
      <c r="I82" s="24">
        <v>138</v>
      </c>
      <c r="J82" s="24">
        <v>3</v>
      </c>
      <c r="K82" s="24">
        <v>110</v>
      </c>
      <c r="L82" s="24"/>
      <c r="M82" s="24">
        <v>684</v>
      </c>
      <c r="N82" s="25">
        <v>40.320175438596493</v>
      </c>
      <c r="O82" s="24" t="s">
        <v>281</v>
      </c>
      <c r="P82" s="24">
        <f t="shared" si="30"/>
        <v>110</v>
      </c>
      <c r="Q82" s="24">
        <f t="shared" si="31"/>
        <v>430</v>
      </c>
      <c r="R82" s="24">
        <f t="shared" si="31"/>
        <v>138</v>
      </c>
      <c r="S82" s="24">
        <f t="shared" si="32"/>
        <v>6</v>
      </c>
      <c r="T82" s="24">
        <f t="shared" si="33"/>
        <v>684</v>
      </c>
      <c r="U82" s="27">
        <f t="shared" si="34"/>
        <v>0.16081871345029239</v>
      </c>
      <c r="V82" s="27">
        <f t="shared" si="35"/>
        <v>0.62865497076023391</v>
      </c>
      <c r="W82" s="27">
        <f t="shared" si="36"/>
        <v>0.20175438596491227</v>
      </c>
      <c r="X82" s="27">
        <f t="shared" si="37"/>
        <v>8.771929824561403E-3</v>
      </c>
      <c r="Y82" s="25">
        <f t="shared" si="38"/>
        <v>40.320175438596493</v>
      </c>
    </row>
    <row r="83" spans="1:25" x14ac:dyDescent="0.25">
      <c r="A83" s="24" t="s">
        <v>311</v>
      </c>
      <c r="B83" s="24" t="s">
        <v>312</v>
      </c>
      <c r="C83" s="24" t="s">
        <v>196</v>
      </c>
      <c r="D83" s="24">
        <v>6</v>
      </c>
      <c r="E83" s="24"/>
      <c r="F83" s="24"/>
      <c r="G83" s="24">
        <v>2</v>
      </c>
      <c r="H83" s="24">
        <v>414</v>
      </c>
      <c r="I83" s="24">
        <v>152</v>
      </c>
      <c r="J83" s="24"/>
      <c r="K83" s="24">
        <v>116</v>
      </c>
      <c r="L83" s="24"/>
      <c r="M83" s="24">
        <v>684</v>
      </c>
      <c r="N83" s="25">
        <v>31.619883040935672</v>
      </c>
      <c r="O83" s="24" t="s">
        <v>281</v>
      </c>
      <c r="P83" s="24">
        <f t="shared" si="30"/>
        <v>116</v>
      </c>
      <c r="Q83" s="24">
        <f t="shared" si="31"/>
        <v>414</v>
      </c>
      <c r="R83" s="24">
        <f t="shared" si="31"/>
        <v>152</v>
      </c>
      <c r="S83" s="24">
        <f t="shared" si="32"/>
        <v>2</v>
      </c>
      <c r="T83" s="24">
        <f t="shared" si="33"/>
        <v>684</v>
      </c>
      <c r="U83" s="27">
        <f t="shared" si="34"/>
        <v>0.16959064327485379</v>
      </c>
      <c r="V83" s="27">
        <f t="shared" si="35"/>
        <v>0.60526315789473684</v>
      </c>
      <c r="W83" s="27">
        <f t="shared" si="36"/>
        <v>0.22222222222222221</v>
      </c>
      <c r="X83" s="27">
        <f t="shared" si="37"/>
        <v>2.9239766081871343E-3</v>
      </c>
      <c r="Y83" s="25">
        <f t="shared" si="38"/>
        <v>31.619883040935672</v>
      </c>
    </row>
    <row r="84" spans="1:25" x14ac:dyDescent="0.25">
      <c r="A84" s="24" t="s">
        <v>311</v>
      </c>
      <c r="B84" s="24" t="s">
        <v>312</v>
      </c>
      <c r="C84" s="24" t="s">
        <v>196</v>
      </c>
      <c r="D84" s="24">
        <v>7</v>
      </c>
      <c r="E84" s="24"/>
      <c r="F84" s="24"/>
      <c r="G84" s="24"/>
      <c r="H84" s="24">
        <v>368</v>
      </c>
      <c r="I84" s="24">
        <v>134</v>
      </c>
      <c r="J84" s="24"/>
      <c r="K84" s="24">
        <v>182</v>
      </c>
      <c r="L84" s="24"/>
      <c r="M84" s="24">
        <v>684</v>
      </c>
      <c r="N84" s="25">
        <v>22.359649122807017</v>
      </c>
      <c r="O84" s="24" t="s">
        <v>281</v>
      </c>
      <c r="P84" s="24">
        <f t="shared" si="30"/>
        <v>182</v>
      </c>
      <c r="Q84" s="24">
        <f t="shared" si="31"/>
        <v>368</v>
      </c>
      <c r="R84" s="24">
        <f t="shared" si="31"/>
        <v>134</v>
      </c>
      <c r="S84" s="24">
        <f t="shared" si="32"/>
        <v>0</v>
      </c>
      <c r="T84" s="24">
        <f t="shared" si="33"/>
        <v>684</v>
      </c>
      <c r="U84" s="27">
        <f t="shared" si="34"/>
        <v>0.26608187134502925</v>
      </c>
      <c r="V84" s="27">
        <f t="shared" si="35"/>
        <v>0.53801169590643272</v>
      </c>
      <c r="W84" s="27">
        <f t="shared" si="36"/>
        <v>0.195906432748538</v>
      </c>
      <c r="X84" s="27">
        <f t="shared" si="37"/>
        <v>0</v>
      </c>
      <c r="Y84" s="25">
        <f t="shared" si="38"/>
        <v>22.359649122807017</v>
      </c>
    </row>
    <row r="85" spans="1:25" x14ac:dyDescent="0.25">
      <c r="A85" s="24" t="s">
        <v>311</v>
      </c>
      <c r="B85" s="24" t="s">
        <v>312</v>
      </c>
      <c r="C85" s="24" t="s">
        <v>197</v>
      </c>
      <c r="D85" s="24">
        <v>1</v>
      </c>
      <c r="E85" s="24"/>
      <c r="F85" s="24">
        <v>3</v>
      </c>
      <c r="G85" s="24">
        <v>2</v>
      </c>
      <c r="H85" s="24">
        <v>192</v>
      </c>
      <c r="I85" s="24">
        <v>162</v>
      </c>
      <c r="J85" s="24"/>
      <c r="K85" s="24">
        <v>41</v>
      </c>
      <c r="L85" s="24"/>
      <c r="M85" s="24">
        <v>400</v>
      </c>
      <c r="N85" s="25">
        <v>53.59</v>
      </c>
      <c r="O85" s="24" t="s">
        <v>281</v>
      </c>
      <c r="P85" s="24">
        <f t="shared" si="20"/>
        <v>41</v>
      </c>
      <c r="Q85" s="24">
        <f t="shared" si="21"/>
        <v>192</v>
      </c>
      <c r="R85" s="24">
        <f t="shared" si="22"/>
        <v>162</v>
      </c>
      <c r="S85" s="24">
        <f t="shared" si="23"/>
        <v>5</v>
      </c>
      <c r="T85" s="24">
        <f t="shared" si="24"/>
        <v>400</v>
      </c>
      <c r="U85" s="27">
        <f t="shared" si="25"/>
        <v>0.10249999999999999</v>
      </c>
      <c r="V85" s="27">
        <f t="shared" si="26"/>
        <v>0.48</v>
      </c>
      <c r="W85" s="27">
        <f t="shared" si="27"/>
        <v>0.40500000000000003</v>
      </c>
      <c r="X85" s="27">
        <f t="shared" si="28"/>
        <v>1.2500000000000001E-2</v>
      </c>
      <c r="Y85" s="25">
        <f t="shared" si="29"/>
        <v>53.59</v>
      </c>
    </row>
    <row r="86" spans="1:25" x14ac:dyDescent="0.25">
      <c r="A86" s="24" t="s">
        <v>311</v>
      </c>
      <c r="B86" s="24" t="s">
        <v>312</v>
      </c>
      <c r="C86" s="24" t="s">
        <v>197</v>
      </c>
      <c r="D86" s="24">
        <v>2</v>
      </c>
      <c r="E86" s="24"/>
      <c r="F86" s="24"/>
      <c r="G86" s="24"/>
      <c r="H86" s="24">
        <v>210</v>
      </c>
      <c r="I86" s="24">
        <v>173</v>
      </c>
      <c r="J86" s="24"/>
      <c r="K86" s="24">
        <v>35</v>
      </c>
      <c r="L86" s="24"/>
      <c r="M86" s="24">
        <v>418</v>
      </c>
      <c r="N86" s="25">
        <v>37.28708133971292</v>
      </c>
      <c r="O86" s="24" t="s">
        <v>281</v>
      </c>
      <c r="P86" s="24">
        <f t="shared" si="20"/>
        <v>35</v>
      </c>
      <c r="Q86" s="24">
        <f t="shared" si="21"/>
        <v>210</v>
      </c>
      <c r="R86" s="24">
        <f t="shared" si="22"/>
        <v>173</v>
      </c>
      <c r="S86" s="24">
        <f t="shared" si="23"/>
        <v>0</v>
      </c>
      <c r="T86" s="24">
        <f t="shared" si="24"/>
        <v>418</v>
      </c>
      <c r="U86" s="27">
        <f t="shared" si="25"/>
        <v>8.3732057416267949E-2</v>
      </c>
      <c r="V86" s="27">
        <f t="shared" si="26"/>
        <v>0.50239234449760761</v>
      </c>
      <c r="W86" s="27">
        <f t="shared" si="27"/>
        <v>0.4138755980861244</v>
      </c>
      <c r="X86" s="27">
        <f t="shared" si="28"/>
        <v>0</v>
      </c>
      <c r="Y86" s="25">
        <f t="shared" si="29"/>
        <v>37.28708133971292</v>
      </c>
    </row>
    <row r="87" spans="1:25" x14ac:dyDescent="0.25">
      <c r="A87" s="24" t="s">
        <v>311</v>
      </c>
      <c r="B87" s="24" t="s">
        <v>312</v>
      </c>
      <c r="C87" s="24" t="s">
        <v>197</v>
      </c>
      <c r="D87" s="24">
        <v>3</v>
      </c>
      <c r="E87" s="24"/>
      <c r="F87" s="24"/>
      <c r="G87" s="24"/>
      <c r="H87" s="24">
        <v>190</v>
      </c>
      <c r="I87" s="24">
        <v>158</v>
      </c>
      <c r="J87" s="24"/>
      <c r="K87" s="24">
        <v>70</v>
      </c>
      <c r="L87" s="24"/>
      <c r="M87" s="24">
        <v>418</v>
      </c>
      <c r="N87" s="25">
        <v>24.157894736842106</v>
      </c>
      <c r="O87" s="24" t="s">
        <v>281</v>
      </c>
      <c r="P87" s="24">
        <f t="shared" si="20"/>
        <v>70</v>
      </c>
      <c r="Q87" s="24">
        <f t="shared" si="21"/>
        <v>190</v>
      </c>
      <c r="R87" s="24">
        <f t="shared" si="22"/>
        <v>158</v>
      </c>
      <c r="S87" s="24">
        <f t="shared" si="23"/>
        <v>0</v>
      </c>
      <c r="T87" s="24">
        <f t="shared" si="24"/>
        <v>418</v>
      </c>
      <c r="U87" s="27">
        <f t="shared" si="25"/>
        <v>0.1674641148325359</v>
      </c>
      <c r="V87" s="27">
        <f t="shared" si="26"/>
        <v>0.45454545454545453</v>
      </c>
      <c r="W87" s="27">
        <f t="shared" si="27"/>
        <v>0.37799043062200954</v>
      </c>
      <c r="X87" s="27">
        <f t="shared" si="28"/>
        <v>0</v>
      </c>
      <c r="Y87" s="25">
        <f t="shared" si="29"/>
        <v>24.157894736842106</v>
      </c>
    </row>
    <row r="88" spans="1:25" x14ac:dyDescent="0.25">
      <c r="A88" s="24" t="s">
        <v>313</v>
      </c>
      <c r="B88" s="24" t="s">
        <v>314</v>
      </c>
      <c r="C88" s="24" t="s">
        <v>199</v>
      </c>
      <c r="D88" s="24">
        <v>1</v>
      </c>
      <c r="E88" s="24"/>
      <c r="F88" s="24"/>
      <c r="G88" s="24"/>
      <c r="H88" s="24">
        <v>202</v>
      </c>
      <c r="I88" s="24">
        <v>132</v>
      </c>
      <c r="J88" s="24"/>
      <c r="K88" s="24">
        <v>106</v>
      </c>
      <c r="L88" s="24">
        <v>10</v>
      </c>
      <c r="M88" s="24">
        <v>450</v>
      </c>
      <c r="N88" s="25">
        <v>63.855555555555554</v>
      </c>
      <c r="O88" s="24" t="s">
        <v>281</v>
      </c>
      <c r="P88" s="24">
        <f t="shared" si="20"/>
        <v>106</v>
      </c>
      <c r="Q88" s="24">
        <f t="shared" si="21"/>
        <v>202</v>
      </c>
      <c r="R88" s="24">
        <f t="shared" si="22"/>
        <v>132</v>
      </c>
      <c r="S88" s="24">
        <f t="shared" si="23"/>
        <v>10</v>
      </c>
      <c r="T88" s="24">
        <f t="shared" si="24"/>
        <v>450</v>
      </c>
      <c r="U88" s="27">
        <f t="shared" si="25"/>
        <v>0.23555555555555555</v>
      </c>
      <c r="V88" s="27">
        <f t="shared" si="26"/>
        <v>0.44888888888888889</v>
      </c>
      <c r="W88" s="27">
        <f t="shared" si="27"/>
        <v>0.29333333333333333</v>
      </c>
      <c r="X88" s="27">
        <f t="shared" si="28"/>
        <v>2.2222222222222223E-2</v>
      </c>
      <c r="Y88" s="25">
        <f t="shared" si="29"/>
        <v>63.855555555555554</v>
      </c>
    </row>
    <row r="89" spans="1:25" x14ac:dyDescent="0.25">
      <c r="A89" s="24" t="s">
        <v>313</v>
      </c>
      <c r="B89" s="24" t="s">
        <v>314</v>
      </c>
      <c r="C89" s="24" t="s">
        <v>199</v>
      </c>
      <c r="D89" s="24">
        <v>2</v>
      </c>
      <c r="E89" s="24"/>
      <c r="F89" s="24"/>
      <c r="G89" s="24">
        <v>1</v>
      </c>
      <c r="H89" s="24">
        <v>288</v>
      </c>
      <c r="I89" s="24">
        <v>188</v>
      </c>
      <c r="J89" s="24">
        <v>2</v>
      </c>
      <c r="K89" s="24">
        <v>89</v>
      </c>
      <c r="L89" s="24">
        <v>1</v>
      </c>
      <c r="M89" s="24">
        <v>569</v>
      </c>
      <c r="N89" s="25">
        <v>48.945518453427063</v>
      </c>
      <c r="O89" s="24" t="s">
        <v>281</v>
      </c>
      <c r="P89" s="24">
        <f t="shared" si="20"/>
        <v>89</v>
      </c>
      <c r="Q89" s="24">
        <f t="shared" si="21"/>
        <v>288</v>
      </c>
      <c r="R89" s="24">
        <f t="shared" si="22"/>
        <v>188</v>
      </c>
      <c r="S89" s="24">
        <f t="shared" si="23"/>
        <v>4</v>
      </c>
      <c r="T89" s="24">
        <f t="shared" si="24"/>
        <v>569</v>
      </c>
      <c r="U89" s="27">
        <f t="shared" si="25"/>
        <v>0.15641476274165203</v>
      </c>
      <c r="V89" s="27">
        <f t="shared" si="26"/>
        <v>0.5061511423550088</v>
      </c>
      <c r="W89" s="27">
        <f t="shared" si="27"/>
        <v>0.33040421792618629</v>
      </c>
      <c r="X89" s="27">
        <f t="shared" si="28"/>
        <v>7.0298769771528994E-3</v>
      </c>
      <c r="Y89" s="25">
        <f t="shared" si="29"/>
        <v>48.945518453427063</v>
      </c>
    </row>
    <row r="90" spans="1:25" x14ac:dyDescent="0.25">
      <c r="A90" s="24" t="s">
        <v>313</v>
      </c>
      <c r="B90" s="24" t="s">
        <v>314</v>
      </c>
      <c r="C90" s="24" t="s">
        <v>199</v>
      </c>
      <c r="D90" s="24">
        <v>3</v>
      </c>
      <c r="E90" s="24"/>
      <c r="F90" s="24"/>
      <c r="G90" s="24">
        <v>1</v>
      </c>
      <c r="H90" s="24">
        <v>249</v>
      </c>
      <c r="I90" s="24">
        <v>186</v>
      </c>
      <c r="J90" s="24"/>
      <c r="K90" s="24">
        <v>132</v>
      </c>
      <c r="L90" s="24">
        <v>1</v>
      </c>
      <c r="M90" s="24">
        <v>569</v>
      </c>
      <c r="N90" s="25">
        <v>37.328646748681898</v>
      </c>
      <c r="O90" s="24" t="s">
        <v>281</v>
      </c>
      <c r="P90" s="24">
        <f t="shared" si="20"/>
        <v>132</v>
      </c>
      <c r="Q90" s="24">
        <f t="shared" si="21"/>
        <v>249</v>
      </c>
      <c r="R90" s="24">
        <f t="shared" si="22"/>
        <v>186</v>
      </c>
      <c r="S90" s="24">
        <f t="shared" si="23"/>
        <v>2</v>
      </c>
      <c r="T90" s="24">
        <f t="shared" si="24"/>
        <v>569</v>
      </c>
      <c r="U90" s="27">
        <f t="shared" si="25"/>
        <v>0.23198594024604569</v>
      </c>
      <c r="V90" s="27">
        <f t="shared" si="26"/>
        <v>0.43760984182776802</v>
      </c>
      <c r="W90" s="27">
        <f t="shared" si="27"/>
        <v>0.32688927943760981</v>
      </c>
      <c r="X90" s="27">
        <f t="shared" si="28"/>
        <v>3.5149384885764497E-3</v>
      </c>
      <c r="Y90" s="25">
        <f t="shared" si="29"/>
        <v>37.328646748681898</v>
      </c>
    </row>
    <row r="91" spans="1:25" x14ac:dyDescent="0.25">
      <c r="A91" s="24" t="s">
        <v>313</v>
      </c>
      <c r="B91" s="24" t="s">
        <v>314</v>
      </c>
      <c r="C91" s="24" t="s">
        <v>199</v>
      </c>
      <c r="D91" s="24">
        <v>4</v>
      </c>
      <c r="E91" s="24"/>
      <c r="F91" s="24"/>
      <c r="G91" s="24"/>
      <c r="H91" s="24">
        <v>229</v>
      </c>
      <c r="I91" s="24">
        <v>194</v>
      </c>
      <c r="J91" s="24"/>
      <c r="K91" s="24">
        <v>145</v>
      </c>
      <c r="L91" s="24">
        <v>1</v>
      </c>
      <c r="M91" s="24">
        <v>569</v>
      </c>
      <c r="N91" s="25">
        <v>25.022847100175746</v>
      </c>
      <c r="O91" s="24" t="s">
        <v>281</v>
      </c>
      <c r="P91" s="24">
        <f t="shared" si="20"/>
        <v>145</v>
      </c>
      <c r="Q91" s="24">
        <f t="shared" si="21"/>
        <v>229</v>
      </c>
      <c r="R91" s="24">
        <f t="shared" si="22"/>
        <v>194</v>
      </c>
      <c r="S91" s="24">
        <f t="shared" si="23"/>
        <v>1</v>
      </c>
      <c r="T91" s="24">
        <f t="shared" si="24"/>
        <v>569</v>
      </c>
      <c r="U91" s="27">
        <f t="shared" si="25"/>
        <v>0.25483304042179261</v>
      </c>
      <c r="V91" s="27">
        <f t="shared" si="26"/>
        <v>0.4024604569420035</v>
      </c>
      <c r="W91" s="27">
        <f t="shared" si="27"/>
        <v>0.34094903339191562</v>
      </c>
      <c r="X91" s="27">
        <f t="shared" si="28"/>
        <v>1.7574692442882249E-3</v>
      </c>
      <c r="Y91" s="25">
        <f t="shared" si="29"/>
        <v>25.022847100175746</v>
      </c>
    </row>
    <row r="92" spans="1:25" x14ac:dyDescent="0.25">
      <c r="A92" s="24" t="s">
        <v>313</v>
      </c>
      <c r="B92" s="24" t="s">
        <v>314</v>
      </c>
      <c r="C92" s="24" t="s">
        <v>200</v>
      </c>
      <c r="D92" s="24">
        <v>1</v>
      </c>
      <c r="E92" s="24"/>
      <c r="F92" s="24"/>
      <c r="G92" s="24"/>
      <c r="H92" s="24">
        <v>355</v>
      </c>
      <c r="I92" s="24">
        <v>69</v>
      </c>
      <c r="J92" s="24">
        <v>2</v>
      </c>
      <c r="K92" s="24">
        <v>24</v>
      </c>
      <c r="L92" s="24"/>
      <c r="M92" s="24">
        <v>450</v>
      </c>
      <c r="N92" s="25">
        <v>69.353333333333339</v>
      </c>
      <c r="O92" s="24" t="s">
        <v>281</v>
      </c>
      <c r="P92" s="24">
        <f t="shared" si="20"/>
        <v>24</v>
      </c>
      <c r="Q92" s="24">
        <f t="shared" si="21"/>
        <v>355</v>
      </c>
      <c r="R92" s="24">
        <f t="shared" si="22"/>
        <v>69</v>
      </c>
      <c r="S92" s="24">
        <f t="shared" si="23"/>
        <v>2</v>
      </c>
      <c r="T92" s="24">
        <f t="shared" si="24"/>
        <v>450</v>
      </c>
      <c r="U92" s="27">
        <f t="shared" si="25"/>
        <v>5.3333333333333337E-2</v>
      </c>
      <c r="V92" s="27">
        <f t="shared" si="26"/>
        <v>0.78888888888888886</v>
      </c>
      <c r="W92" s="27">
        <f t="shared" si="27"/>
        <v>0.15333333333333332</v>
      </c>
      <c r="X92" s="27">
        <f t="shared" si="28"/>
        <v>4.4444444444444444E-3</v>
      </c>
      <c r="Y92" s="25">
        <f t="shared" si="29"/>
        <v>69.353333333333339</v>
      </c>
    </row>
    <row r="93" spans="1:25" x14ac:dyDescent="0.25">
      <c r="A93" s="24" t="s">
        <v>313</v>
      </c>
      <c r="B93" s="24" t="s">
        <v>314</v>
      </c>
      <c r="C93" s="24" t="s">
        <v>200</v>
      </c>
      <c r="D93" s="24">
        <v>2</v>
      </c>
      <c r="E93" s="24"/>
      <c r="F93" s="24"/>
      <c r="G93" s="24"/>
      <c r="H93" s="24">
        <v>305</v>
      </c>
      <c r="I93" s="24">
        <v>95</v>
      </c>
      <c r="J93" s="24">
        <v>3</v>
      </c>
      <c r="K93" s="24">
        <v>47</v>
      </c>
      <c r="L93" s="24"/>
      <c r="M93" s="24">
        <v>450</v>
      </c>
      <c r="N93" s="25">
        <v>55.453333333333333</v>
      </c>
      <c r="O93" s="24" t="s">
        <v>281</v>
      </c>
      <c r="P93" s="24">
        <f t="shared" si="20"/>
        <v>47</v>
      </c>
      <c r="Q93" s="24">
        <f t="shared" si="21"/>
        <v>305</v>
      </c>
      <c r="R93" s="24">
        <f t="shared" si="22"/>
        <v>95</v>
      </c>
      <c r="S93" s="24">
        <f t="shared" si="23"/>
        <v>3</v>
      </c>
      <c r="T93" s="24">
        <f t="shared" si="24"/>
        <v>450</v>
      </c>
      <c r="U93" s="27">
        <f t="shared" si="25"/>
        <v>0.10444444444444445</v>
      </c>
      <c r="V93" s="27">
        <f t="shared" si="26"/>
        <v>0.67777777777777781</v>
      </c>
      <c r="W93" s="27">
        <f t="shared" si="27"/>
        <v>0.21111111111111111</v>
      </c>
      <c r="X93" s="27">
        <f t="shared" si="28"/>
        <v>6.6666666666666671E-3</v>
      </c>
      <c r="Y93" s="25">
        <f t="shared" si="29"/>
        <v>55.453333333333333</v>
      </c>
    </row>
    <row r="94" spans="1:25" x14ac:dyDescent="0.25">
      <c r="A94" s="24" t="s">
        <v>313</v>
      </c>
      <c r="B94" s="24" t="s">
        <v>314</v>
      </c>
      <c r="C94" s="24" t="s">
        <v>200</v>
      </c>
      <c r="D94" s="24">
        <v>3</v>
      </c>
      <c r="E94" s="24"/>
      <c r="F94" s="24"/>
      <c r="G94" s="24"/>
      <c r="H94" s="24">
        <v>410</v>
      </c>
      <c r="I94" s="24">
        <v>239</v>
      </c>
      <c r="J94" s="24">
        <v>2</v>
      </c>
      <c r="K94" s="24">
        <v>92</v>
      </c>
      <c r="L94" s="24"/>
      <c r="M94" s="24">
        <v>743</v>
      </c>
      <c r="N94" s="25">
        <v>40.495289367429343</v>
      </c>
      <c r="O94" s="24" t="s">
        <v>281</v>
      </c>
      <c r="P94" s="24">
        <f t="shared" si="20"/>
        <v>92</v>
      </c>
      <c r="Q94" s="24">
        <f t="shared" si="21"/>
        <v>410</v>
      </c>
      <c r="R94" s="24">
        <f t="shared" si="22"/>
        <v>239</v>
      </c>
      <c r="S94" s="24">
        <f t="shared" si="23"/>
        <v>2</v>
      </c>
      <c r="T94" s="24">
        <f t="shared" si="24"/>
        <v>743</v>
      </c>
      <c r="U94" s="27">
        <f t="shared" si="25"/>
        <v>0.12382234185733512</v>
      </c>
      <c r="V94" s="27">
        <f t="shared" si="26"/>
        <v>0.55181695827725441</v>
      </c>
      <c r="W94" s="27">
        <f t="shared" si="27"/>
        <v>0.32166890982503366</v>
      </c>
      <c r="X94" s="27">
        <f t="shared" si="28"/>
        <v>2.6917900403768506E-3</v>
      </c>
      <c r="Y94" s="25">
        <f t="shared" si="29"/>
        <v>40.495289367429343</v>
      </c>
    </row>
    <row r="95" spans="1:25" x14ac:dyDescent="0.25">
      <c r="A95" s="24" t="s">
        <v>313</v>
      </c>
      <c r="B95" s="24" t="s">
        <v>314</v>
      </c>
      <c r="C95" s="24" t="s">
        <v>200</v>
      </c>
      <c r="D95" s="24">
        <v>4</v>
      </c>
      <c r="E95" s="24"/>
      <c r="F95" s="24"/>
      <c r="G95" s="24"/>
      <c r="H95" s="24">
        <v>307</v>
      </c>
      <c r="I95" s="24">
        <v>265</v>
      </c>
      <c r="J95" s="24">
        <v>3</v>
      </c>
      <c r="K95" s="24">
        <v>169</v>
      </c>
      <c r="L95" s="24"/>
      <c r="M95" s="24">
        <v>744</v>
      </c>
      <c r="N95" s="25">
        <v>24.587365591397848</v>
      </c>
      <c r="O95" s="24" t="s">
        <v>281</v>
      </c>
      <c r="P95" s="24">
        <f t="shared" si="20"/>
        <v>169</v>
      </c>
      <c r="Q95" s="24">
        <f t="shared" si="21"/>
        <v>307</v>
      </c>
      <c r="R95" s="24">
        <f t="shared" si="22"/>
        <v>265</v>
      </c>
      <c r="S95" s="24">
        <f t="shared" si="23"/>
        <v>3</v>
      </c>
      <c r="T95" s="24">
        <f t="shared" si="24"/>
        <v>744</v>
      </c>
      <c r="U95" s="27">
        <f t="shared" si="25"/>
        <v>0.22715053763440859</v>
      </c>
      <c r="V95" s="27">
        <f t="shared" si="26"/>
        <v>0.41263440860215056</v>
      </c>
      <c r="W95" s="27">
        <f t="shared" si="27"/>
        <v>0.35618279569892475</v>
      </c>
      <c r="X95" s="27">
        <f t="shared" si="28"/>
        <v>4.0322580645161289E-3</v>
      </c>
      <c r="Y95" s="25">
        <f t="shared" si="29"/>
        <v>24.587365591397848</v>
      </c>
    </row>
    <row r="96" spans="1:25" x14ac:dyDescent="0.25">
      <c r="A96" s="24" t="s">
        <v>315</v>
      </c>
      <c r="B96" s="24" t="s">
        <v>316</v>
      </c>
      <c r="C96" s="24" t="s">
        <v>202</v>
      </c>
      <c r="D96" s="24">
        <v>1</v>
      </c>
      <c r="E96" s="24"/>
      <c r="F96" s="24"/>
      <c r="G96" s="24"/>
      <c r="H96" s="24">
        <v>14</v>
      </c>
      <c r="I96" s="24">
        <v>31</v>
      </c>
      <c r="J96" s="24"/>
      <c r="K96" s="24">
        <v>395</v>
      </c>
      <c r="L96" s="24">
        <v>10</v>
      </c>
      <c r="M96" s="24">
        <v>450</v>
      </c>
      <c r="N96" s="25">
        <v>62.111111111111114</v>
      </c>
      <c r="O96" s="24" t="s">
        <v>281</v>
      </c>
      <c r="P96" s="24">
        <f t="shared" si="20"/>
        <v>395</v>
      </c>
      <c r="Q96" s="24">
        <f t="shared" si="21"/>
        <v>14</v>
      </c>
      <c r="R96" s="24">
        <f t="shared" si="22"/>
        <v>31</v>
      </c>
      <c r="S96" s="24">
        <f t="shared" si="23"/>
        <v>10</v>
      </c>
      <c r="T96" s="24">
        <f t="shared" si="24"/>
        <v>450</v>
      </c>
      <c r="U96" s="27">
        <f t="shared" si="25"/>
        <v>0.87777777777777777</v>
      </c>
      <c r="V96" s="27">
        <f t="shared" si="26"/>
        <v>3.111111111111111E-2</v>
      </c>
      <c r="W96" s="27">
        <f t="shared" si="27"/>
        <v>6.8888888888888888E-2</v>
      </c>
      <c r="X96" s="27">
        <f t="shared" si="28"/>
        <v>2.2222222222222223E-2</v>
      </c>
      <c r="Y96" s="25">
        <f t="shared" si="29"/>
        <v>62.111111111111114</v>
      </c>
    </row>
    <row r="97" spans="1:25" x14ac:dyDescent="0.25">
      <c r="A97" s="24" t="s">
        <v>315</v>
      </c>
      <c r="B97" s="24" t="s">
        <v>316</v>
      </c>
      <c r="C97" s="24" t="s">
        <v>202</v>
      </c>
      <c r="D97" s="24">
        <v>2</v>
      </c>
      <c r="E97" s="24"/>
      <c r="F97" s="24">
        <v>1</v>
      </c>
      <c r="G97" s="24">
        <v>2</v>
      </c>
      <c r="H97" s="24">
        <v>56</v>
      </c>
      <c r="I97" s="24">
        <v>42</v>
      </c>
      <c r="J97" s="24">
        <v>2</v>
      </c>
      <c r="K97" s="24">
        <v>424</v>
      </c>
      <c r="L97" s="24">
        <v>26</v>
      </c>
      <c r="M97" s="24">
        <v>553</v>
      </c>
      <c r="N97" s="25">
        <v>46.634719710669074</v>
      </c>
      <c r="O97" s="24" t="s">
        <v>281</v>
      </c>
      <c r="P97" s="24">
        <f t="shared" si="20"/>
        <v>424</v>
      </c>
      <c r="Q97" s="24">
        <f t="shared" si="21"/>
        <v>56</v>
      </c>
      <c r="R97" s="24">
        <f t="shared" si="22"/>
        <v>42</v>
      </c>
      <c r="S97" s="24">
        <f t="shared" si="23"/>
        <v>31</v>
      </c>
      <c r="T97" s="24">
        <f t="shared" si="24"/>
        <v>553</v>
      </c>
      <c r="U97" s="27">
        <f t="shared" si="25"/>
        <v>0.76672694394213381</v>
      </c>
      <c r="V97" s="27">
        <f t="shared" si="26"/>
        <v>0.10126582278481013</v>
      </c>
      <c r="W97" s="27">
        <f t="shared" si="27"/>
        <v>7.5949367088607597E-2</v>
      </c>
      <c r="X97" s="27">
        <f t="shared" si="28"/>
        <v>5.6057866184448461E-2</v>
      </c>
      <c r="Y97" s="25">
        <f t="shared" si="29"/>
        <v>46.634719710669074</v>
      </c>
    </row>
    <row r="98" spans="1:25" x14ac:dyDescent="0.25">
      <c r="A98" s="24" t="s">
        <v>315</v>
      </c>
      <c r="B98" s="24" t="s">
        <v>316</v>
      </c>
      <c r="C98" s="24" t="s">
        <v>202</v>
      </c>
      <c r="D98" s="24">
        <v>3</v>
      </c>
      <c r="E98" s="24">
        <v>1</v>
      </c>
      <c r="F98" s="24"/>
      <c r="G98" s="24"/>
      <c r="H98" s="24">
        <v>42</v>
      </c>
      <c r="I98" s="24">
        <v>36</v>
      </c>
      <c r="J98" s="24"/>
      <c r="K98" s="24">
        <v>461</v>
      </c>
      <c r="L98" s="24">
        <v>13</v>
      </c>
      <c r="M98" s="24">
        <v>553</v>
      </c>
      <c r="N98" s="25">
        <v>31.78119349005425</v>
      </c>
      <c r="O98" s="24" t="s">
        <v>281</v>
      </c>
      <c r="P98" s="24">
        <f t="shared" si="20"/>
        <v>461</v>
      </c>
      <c r="Q98" s="24">
        <f t="shared" si="21"/>
        <v>42</v>
      </c>
      <c r="R98" s="24">
        <f t="shared" si="22"/>
        <v>36</v>
      </c>
      <c r="S98" s="24">
        <f t="shared" si="23"/>
        <v>14</v>
      </c>
      <c r="T98" s="24">
        <f t="shared" si="24"/>
        <v>553</v>
      </c>
      <c r="U98" s="27">
        <f t="shared" si="25"/>
        <v>0.83363471971066905</v>
      </c>
      <c r="V98" s="27">
        <f t="shared" si="26"/>
        <v>7.5949367088607597E-2</v>
      </c>
      <c r="W98" s="27">
        <f t="shared" si="27"/>
        <v>6.50994575045208E-2</v>
      </c>
      <c r="X98" s="27">
        <f t="shared" si="28"/>
        <v>2.5316455696202531E-2</v>
      </c>
      <c r="Y98" s="25">
        <f t="shared" si="29"/>
        <v>31.78119349005425</v>
      </c>
    </row>
    <row r="99" spans="1:25" x14ac:dyDescent="0.25">
      <c r="A99" s="24" t="s">
        <v>315</v>
      </c>
      <c r="B99" s="24" t="s">
        <v>316</v>
      </c>
      <c r="C99" s="24" t="s">
        <v>202</v>
      </c>
      <c r="D99" s="24">
        <v>4</v>
      </c>
      <c r="E99" s="24"/>
      <c r="F99" s="24"/>
      <c r="G99" s="24"/>
      <c r="H99" s="24">
        <v>30</v>
      </c>
      <c r="I99" s="24">
        <v>44</v>
      </c>
      <c r="J99" s="24"/>
      <c r="K99" s="24">
        <v>481</v>
      </c>
      <c r="L99" s="24"/>
      <c r="M99" s="24">
        <v>555</v>
      </c>
      <c r="N99" s="25">
        <v>22.272072072072071</v>
      </c>
      <c r="O99" s="24" t="s">
        <v>281</v>
      </c>
      <c r="P99" s="24">
        <f t="shared" si="20"/>
        <v>481</v>
      </c>
      <c r="Q99" s="24">
        <f t="shared" si="21"/>
        <v>30</v>
      </c>
      <c r="R99" s="24">
        <f t="shared" si="22"/>
        <v>44</v>
      </c>
      <c r="S99" s="24">
        <f t="shared" si="23"/>
        <v>0</v>
      </c>
      <c r="T99" s="24">
        <f t="shared" si="24"/>
        <v>555</v>
      </c>
      <c r="U99" s="27">
        <f t="shared" si="25"/>
        <v>0.8666666666666667</v>
      </c>
      <c r="V99" s="27">
        <f t="shared" si="26"/>
        <v>5.4054054054054057E-2</v>
      </c>
      <c r="W99" s="27">
        <f t="shared" si="27"/>
        <v>7.9279279279279274E-2</v>
      </c>
      <c r="X99" s="27">
        <f t="shared" si="28"/>
        <v>0</v>
      </c>
      <c r="Y99" s="25">
        <f t="shared" si="29"/>
        <v>22.272072072072071</v>
      </c>
    </row>
    <row r="100" spans="1:25" x14ac:dyDescent="0.25">
      <c r="A100" s="24" t="s">
        <v>317</v>
      </c>
      <c r="B100" s="24" t="s">
        <v>318</v>
      </c>
      <c r="C100" s="24" t="s">
        <v>204</v>
      </c>
      <c r="D100" s="24">
        <v>1</v>
      </c>
      <c r="E100" s="24"/>
      <c r="F100" s="24">
        <v>1</v>
      </c>
      <c r="G100" s="24"/>
      <c r="H100" s="24">
        <v>85</v>
      </c>
      <c r="I100" s="24">
        <v>196</v>
      </c>
      <c r="J100" s="24">
        <v>4</v>
      </c>
      <c r="K100" s="24">
        <v>164</v>
      </c>
      <c r="L100" s="24"/>
      <c r="M100" s="24">
        <v>450</v>
      </c>
      <c r="N100" s="25">
        <v>65.448888888888888</v>
      </c>
      <c r="O100" s="24" t="s">
        <v>281</v>
      </c>
      <c r="P100" s="24">
        <f t="shared" ref="P100:P114" si="39">K100</f>
        <v>164</v>
      </c>
      <c r="Q100" s="24">
        <f t="shared" ref="Q100:Q114" si="40">H100</f>
        <v>85</v>
      </c>
      <c r="R100" s="24">
        <f t="shared" si="22"/>
        <v>196</v>
      </c>
      <c r="S100" s="24">
        <f t="shared" ref="S100:S114" si="41">M100-SUM(P100:R100)</f>
        <v>5</v>
      </c>
      <c r="T100" s="24">
        <f t="shared" ref="T100:T114" si="42">SUM(P100:S100)</f>
        <v>450</v>
      </c>
      <c r="U100" s="27">
        <f t="shared" ref="U100:U114" si="43">P100/M100</f>
        <v>0.36444444444444446</v>
      </c>
      <c r="V100" s="27">
        <f t="shared" ref="V100:V114" si="44">Q100/M100</f>
        <v>0.18888888888888888</v>
      </c>
      <c r="W100" s="27">
        <f t="shared" ref="W100:W114" si="45">R100/M100</f>
        <v>0.43555555555555553</v>
      </c>
      <c r="X100" s="27">
        <f t="shared" ref="X100:X114" si="46">S100/M100</f>
        <v>1.1111111111111112E-2</v>
      </c>
      <c r="Y100" s="25">
        <f t="shared" ref="Y100:Y114" si="47">N100</f>
        <v>65.448888888888888</v>
      </c>
    </row>
    <row r="101" spans="1:25" x14ac:dyDescent="0.25">
      <c r="A101" s="24" t="s">
        <v>317</v>
      </c>
      <c r="B101" s="24" t="s">
        <v>318</v>
      </c>
      <c r="C101" s="24" t="s">
        <v>204</v>
      </c>
      <c r="D101" s="24">
        <v>2</v>
      </c>
      <c r="E101" s="24"/>
      <c r="F101" s="24">
        <v>4</v>
      </c>
      <c r="G101" s="24">
        <v>1</v>
      </c>
      <c r="H101" s="24">
        <v>81</v>
      </c>
      <c r="I101" s="24">
        <v>149</v>
      </c>
      <c r="J101" s="24">
        <v>2</v>
      </c>
      <c r="K101" s="24">
        <v>213</v>
      </c>
      <c r="L101" s="24"/>
      <c r="M101" s="24">
        <v>450</v>
      </c>
      <c r="N101" s="25">
        <v>54.37777777777778</v>
      </c>
      <c r="O101" s="24" t="s">
        <v>281</v>
      </c>
      <c r="P101" s="24">
        <f t="shared" si="39"/>
        <v>213</v>
      </c>
      <c r="Q101" s="24">
        <f t="shared" si="40"/>
        <v>81</v>
      </c>
      <c r="R101" s="24">
        <f t="shared" si="22"/>
        <v>149</v>
      </c>
      <c r="S101" s="24">
        <f t="shared" si="41"/>
        <v>7</v>
      </c>
      <c r="T101" s="24">
        <f t="shared" si="42"/>
        <v>450</v>
      </c>
      <c r="U101" s="27">
        <f t="shared" si="43"/>
        <v>0.47333333333333333</v>
      </c>
      <c r="V101" s="27">
        <f t="shared" si="44"/>
        <v>0.18</v>
      </c>
      <c r="W101" s="27">
        <f t="shared" si="45"/>
        <v>0.33111111111111113</v>
      </c>
      <c r="X101" s="27">
        <f t="shared" si="46"/>
        <v>1.5555555555555555E-2</v>
      </c>
      <c r="Y101" s="25">
        <f t="shared" si="47"/>
        <v>54.37777777777778</v>
      </c>
    </row>
    <row r="102" spans="1:25" x14ac:dyDescent="0.25">
      <c r="A102" s="24" t="s">
        <v>317</v>
      </c>
      <c r="B102" s="24" t="s">
        <v>318</v>
      </c>
      <c r="C102" s="24" t="s">
        <v>204</v>
      </c>
      <c r="D102" s="24">
        <v>3</v>
      </c>
      <c r="E102" s="24">
        <v>3</v>
      </c>
      <c r="F102" s="24">
        <v>7</v>
      </c>
      <c r="G102" s="24">
        <v>3</v>
      </c>
      <c r="H102" s="24">
        <v>86</v>
      </c>
      <c r="I102" s="24">
        <v>216</v>
      </c>
      <c r="J102" s="24">
        <v>1</v>
      </c>
      <c r="K102" s="24">
        <v>369</v>
      </c>
      <c r="L102" s="24"/>
      <c r="M102" s="24">
        <v>685</v>
      </c>
      <c r="N102" s="25">
        <v>45.268613138686135</v>
      </c>
      <c r="O102" s="24" t="s">
        <v>281</v>
      </c>
      <c r="P102" s="24">
        <f t="shared" si="39"/>
        <v>369</v>
      </c>
      <c r="Q102" s="24">
        <f t="shared" si="40"/>
        <v>86</v>
      </c>
      <c r="R102" s="24">
        <f t="shared" si="22"/>
        <v>216</v>
      </c>
      <c r="S102" s="24">
        <f t="shared" si="41"/>
        <v>14</v>
      </c>
      <c r="T102" s="24">
        <f t="shared" si="42"/>
        <v>685</v>
      </c>
      <c r="U102" s="27">
        <f t="shared" si="43"/>
        <v>0.53868613138686128</v>
      </c>
      <c r="V102" s="27">
        <f t="shared" si="44"/>
        <v>0.12554744525547445</v>
      </c>
      <c r="W102" s="27">
        <f t="shared" si="45"/>
        <v>0.31532846715328466</v>
      </c>
      <c r="X102" s="27">
        <f t="shared" si="46"/>
        <v>2.0437956204379562E-2</v>
      </c>
      <c r="Y102" s="25">
        <f t="shared" si="47"/>
        <v>45.268613138686135</v>
      </c>
    </row>
    <row r="103" spans="1:25" x14ac:dyDescent="0.25">
      <c r="A103" s="24" t="s">
        <v>317</v>
      </c>
      <c r="B103" s="24" t="s">
        <v>318</v>
      </c>
      <c r="C103" s="24" t="s">
        <v>204</v>
      </c>
      <c r="D103" s="24">
        <v>4</v>
      </c>
      <c r="E103" s="24">
        <v>1</v>
      </c>
      <c r="F103" s="24">
        <v>1</v>
      </c>
      <c r="G103" s="24">
        <v>3</v>
      </c>
      <c r="H103" s="24">
        <v>106</v>
      </c>
      <c r="I103" s="24">
        <v>195</v>
      </c>
      <c r="J103" s="24">
        <v>4</v>
      </c>
      <c r="K103" s="24">
        <v>374</v>
      </c>
      <c r="L103" s="24">
        <v>1</v>
      </c>
      <c r="M103" s="24">
        <v>685</v>
      </c>
      <c r="N103" s="25">
        <v>36.801459854014595</v>
      </c>
      <c r="O103" s="24" t="s">
        <v>281</v>
      </c>
      <c r="P103" s="24">
        <f t="shared" si="39"/>
        <v>374</v>
      </c>
      <c r="Q103" s="24">
        <f t="shared" si="40"/>
        <v>106</v>
      </c>
      <c r="R103" s="24">
        <f t="shared" si="22"/>
        <v>195</v>
      </c>
      <c r="S103" s="24">
        <f t="shared" si="41"/>
        <v>10</v>
      </c>
      <c r="T103" s="24">
        <f t="shared" si="42"/>
        <v>685</v>
      </c>
      <c r="U103" s="27">
        <f t="shared" si="43"/>
        <v>0.54598540145985397</v>
      </c>
      <c r="V103" s="27">
        <f t="shared" si="44"/>
        <v>0.15474452554744525</v>
      </c>
      <c r="W103" s="27">
        <f t="shared" si="45"/>
        <v>0.28467153284671531</v>
      </c>
      <c r="X103" s="27">
        <f t="shared" si="46"/>
        <v>1.4598540145985401E-2</v>
      </c>
      <c r="Y103" s="25">
        <f t="shared" si="47"/>
        <v>36.801459854014595</v>
      </c>
    </row>
    <row r="104" spans="1:25" x14ac:dyDescent="0.25">
      <c r="A104" s="24" t="s">
        <v>317</v>
      </c>
      <c r="B104" s="24" t="s">
        <v>318</v>
      </c>
      <c r="C104" s="24" t="s">
        <v>204</v>
      </c>
      <c r="D104" s="24">
        <v>5</v>
      </c>
      <c r="E104" s="24">
        <v>2</v>
      </c>
      <c r="F104" s="24"/>
      <c r="G104" s="24">
        <v>2</v>
      </c>
      <c r="H104" s="24">
        <v>75</v>
      </c>
      <c r="I104" s="24">
        <v>173</v>
      </c>
      <c r="J104" s="24">
        <v>1</v>
      </c>
      <c r="K104" s="24">
        <v>432</v>
      </c>
      <c r="L104" s="24"/>
      <c r="M104" s="24">
        <v>685</v>
      </c>
      <c r="N104" s="25">
        <v>28.446715328467153</v>
      </c>
      <c r="O104" s="24" t="s">
        <v>281</v>
      </c>
      <c r="P104" s="24">
        <f t="shared" si="39"/>
        <v>432</v>
      </c>
      <c r="Q104" s="24">
        <f t="shared" si="40"/>
        <v>75</v>
      </c>
      <c r="R104" s="24">
        <f t="shared" si="22"/>
        <v>173</v>
      </c>
      <c r="S104" s="24">
        <f t="shared" si="41"/>
        <v>5</v>
      </c>
      <c r="T104" s="24">
        <f t="shared" si="42"/>
        <v>685</v>
      </c>
      <c r="U104" s="27">
        <f t="shared" si="43"/>
        <v>0.63065693430656933</v>
      </c>
      <c r="V104" s="27">
        <f t="shared" si="44"/>
        <v>0.10948905109489052</v>
      </c>
      <c r="W104" s="27">
        <f t="shared" si="45"/>
        <v>0.25255474452554744</v>
      </c>
      <c r="X104" s="27">
        <f t="shared" si="46"/>
        <v>7.2992700729927005E-3</v>
      </c>
      <c r="Y104" s="25">
        <f t="shared" si="47"/>
        <v>28.446715328467153</v>
      </c>
    </row>
    <row r="105" spans="1:25" x14ac:dyDescent="0.25">
      <c r="A105" s="24" t="s">
        <v>317</v>
      </c>
      <c r="B105" s="24" t="s">
        <v>318</v>
      </c>
      <c r="C105" s="24" t="s">
        <v>204</v>
      </c>
      <c r="D105" s="24">
        <v>6</v>
      </c>
      <c r="E105" s="24"/>
      <c r="F105" s="24"/>
      <c r="G105" s="24"/>
      <c r="H105" s="24">
        <v>67</v>
      </c>
      <c r="I105" s="24">
        <v>164</v>
      </c>
      <c r="J105" s="24"/>
      <c r="K105" s="24">
        <v>454</v>
      </c>
      <c r="L105" s="24"/>
      <c r="M105" s="24">
        <v>685</v>
      </c>
      <c r="N105" s="25">
        <v>23.15182481751825</v>
      </c>
      <c r="O105" s="24" t="s">
        <v>281</v>
      </c>
      <c r="P105" s="24">
        <f t="shared" si="39"/>
        <v>454</v>
      </c>
      <c r="Q105" s="24">
        <f t="shared" si="40"/>
        <v>67</v>
      </c>
      <c r="R105" s="24">
        <f t="shared" si="22"/>
        <v>164</v>
      </c>
      <c r="S105" s="24">
        <f t="shared" si="41"/>
        <v>0</v>
      </c>
      <c r="T105" s="24">
        <f t="shared" si="42"/>
        <v>685</v>
      </c>
      <c r="U105" s="27">
        <f t="shared" si="43"/>
        <v>0.66277372262773726</v>
      </c>
      <c r="V105" s="27">
        <f t="shared" si="44"/>
        <v>9.7810218978102187E-2</v>
      </c>
      <c r="W105" s="27">
        <f t="shared" si="45"/>
        <v>0.23941605839416058</v>
      </c>
      <c r="X105" s="27">
        <f t="shared" si="46"/>
        <v>0</v>
      </c>
      <c r="Y105" s="25">
        <f t="shared" si="47"/>
        <v>23.15182481751825</v>
      </c>
    </row>
    <row r="106" spans="1:25" x14ac:dyDescent="0.25">
      <c r="A106" s="24" t="s">
        <v>317</v>
      </c>
      <c r="B106" s="24" t="s">
        <v>318</v>
      </c>
      <c r="C106" s="24" t="s">
        <v>204</v>
      </c>
      <c r="D106" s="24">
        <v>7</v>
      </c>
      <c r="E106" s="24"/>
      <c r="F106" s="24"/>
      <c r="G106" s="24"/>
      <c r="H106" s="24">
        <v>53</v>
      </c>
      <c r="I106" s="24">
        <v>106</v>
      </c>
      <c r="J106" s="24">
        <v>2</v>
      </c>
      <c r="K106" s="24">
        <v>524</v>
      </c>
      <c r="L106" s="24"/>
      <c r="M106" s="24">
        <v>685</v>
      </c>
      <c r="N106" s="25">
        <v>19.439416058394162</v>
      </c>
      <c r="O106" s="24" t="s">
        <v>281</v>
      </c>
      <c r="P106" s="24">
        <f t="shared" si="39"/>
        <v>524</v>
      </c>
      <c r="Q106" s="24">
        <f t="shared" si="40"/>
        <v>53</v>
      </c>
      <c r="R106" s="24">
        <f t="shared" si="22"/>
        <v>106</v>
      </c>
      <c r="S106" s="24">
        <f t="shared" si="41"/>
        <v>2</v>
      </c>
      <c r="T106" s="24">
        <f t="shared" si="42"/>
        <v>685</v>
      </c>
      <c r="U106" s="27">
        <f t="shared" si="43"/>
        <v>0.76496350364963506</v>
      </c>
      <c r="V106" s="27">
        <f t="shared" si="44"/>
        <v>7.7372262773722625E-2</v>
      </c>
      <c r="W106" s="27">
        <f t="shared" si="45"/>
        <v>0.15474452554744525</v>
      </c>
      <c r="X106" s="27">
        <f t="shared" si="46"/>
        <v>2.9197080291970801E-3</v>
      </c>
      <c r="Y106" s="25">
        <f t="shared" si="47"/>
        <v>19.439416058394162</v>
      </c>
    </row>
    <row r="107" spans="1:25" x14ac:dyDescent="0.25">
      <c r="A107" s="24" t="s">
        <v>317</v>
      </c>
      <c r="B107" s="24" t="s">
        <v>318</v>
      </c>
      <c r="C107" s="24" t="s">
        <v>205</v>
      </c>
      <c r="D107" s="24">
        <v>1</v>
      </c>
      <c r="E107" s="24"/>
      <c r="F107" s="24">
        <v>3</v>
      </c>
      <c r="G107" s="24">
        <v>2</v>
      </c>
      <c r="H107" s="24">
        <v>82</v>
      </c>
      <c r="I107" s="24">
        <v>134</v>
      </c>
      <c r="J107" s="24">
        <v>4</v>
      </c>
      <c r="K107" s="24">
        <v>225</v>
      </c>
      <c r="L107" s="24"/>
      <c r="M107" s="24">
        <v>450</v>
      </c>
      <c r="N107" s="25">
        <v>62.673333333333332</v>
      </c>
      <c r="O107" s="24" t="s">
        <v>281</v>
      </c>
      <c r="P107" s="24">
        <f t="shared" si="39"/>
        <v>225</v>
      </c>
      <c r="Q107" s="24">
        <f t="shared" si="40"/>
        <v>82</v>
      </c>
      <c r="R107" s="24">
        <f t="shared" si="22"/>
        <v>134</v>
      </c>
      <c r="S107" s="24">
        <f t="shared" si="41"/>
        <v>9</v>
      </c>
      <c r="T107" s="24">
        <f t="shared" si="42"/>
        <v>450</v>
      </c>
      <c r="U107" s="27">
        <f t="shared" si="43"/>
        <v>0.5</v>
      </c>
      <c r="V107" s="27">
        <f t="shared" si="44"/>
        <v>0.18222222222222223</v>
      </c>
      <c r="W107" s="27">
        <f t="shared" si="45"/>
        <v>0.29777777777777775</v>
      </c>
      <c r="X107" s="27">
        <f t="shared" si="46"/>
        <v>0.02</v>
      </c>
      <c r="Y107" s="25">
        <f t="shared" si="47"/>
        <v>62.673333333333332</v>
      </c>
    </row>
    <row r="108" spans="1:25" x14ac:dyDescent="0.25">
      <c r="A108" s="24" t="s">
        <v>317</v>
      </c>
      <c r="B108" s="24" t="s">
        <v>318</v>
      </c>
      <c r="C108" s="24" t="s">
        <v>205</v>
      </c>
      <c r="D108" s="24">
        <v>2</v>
      </c>
      <c r="E108" s="24"/>
      <c r="F108" s="24">
        <v>3</v>
      </c>
      <c r="G108" s="24">
        <v>1</v>
      </c>
      <c r="H108" s="24">
        <v>89</v>
      </c>
      <c r="I108" s="24">
        <v>117</v>
      </c>
      <c r="J108" s="24">
        <v>2</v>
      </c>
      <c r="K108" s="24">
        <v>238</v>
      </c>
      <c r="L108" s="24"/>
      <c r="M108" s="24">
        <v>450</v>
      </c>
      <c r="N108" s="25">
        <v>56.404444444444444</v>
      </c>
      <c r="O108" s="24" t="s">
        <v>281</v>
      </c>
      <c r="P108" s="24">
        <f t="shared" si="39"/>
        <v>238</v>
      </c>
      <c r="Q108" s="24">
        <f t="shared" si="40"/>
        <v>89</v>
      </c>
      <c r="R108" s="24">
        <f t="shared" si="22"/>
        <v>117</v>
      </c>
      <c r="S108" s="24">
        <f t="shared" si="41"/>
        <v>6</v>
      </c>
      <c r="T108" s="24">
        <f t="shared" si="42"/>
        <v>450</v>
      </c>
      <c r="U108" s="27">
        <f t="shared" si="43"/>
        <v>0.52888888888888885</v>
      </c>
      <c r="V108" s="27">
        <f t="shared" si="44"/>
        <v>0.19777777777777777</v>
      </c>
      <c r="W108" s="27">
        <f t="shared" si="45"/>
        <v>0.26</v>
      </c>
      <c r="X108" s="27">
        <f t="shared" si="46"/>
        <v>1.3333333333333334E-2</v>
      </c>
      <c r="Y108" s="25">
        <f t="shared" si="47"/>
        <v>56.404444444444444</v>
      </c>
    </row>
    <row r="109" spans="1:25" x14ac:dyDescent="0.25">
      <c r="A109" s="24" t="s">
        <v>317</v>
      </c>
      <c r="B109" s="24" t="s">
        <v>318</v>
      </c>
      <c r="C109" s="24" t="s">
        <v>205</v>
      </c>
      <c r="D109" s="24">
        <v>3</v>
      </c>
      <c r="E109" s="24"/>
      <c r="F109" s="24">
        <v>5</v>
      </c>
      <c r="G109" s="24">
        <v>4</v>
      </c>
      <c r="H109" s="24">
        <v>138</v>
      </c>
      <c r="I109" s="24">
        <v>201</v>
      </c>
      <c r="J109" s="24">
        <v>2</v>
      </c>
      <c r="K109" s="24">
        <v>364</v>
      </c>
      <c r="L109" s="24">
        <v>1</v>
      </c>
      <c r="M109" s="24">
        <v>715</v>
      </c>
      <c r="N109" s="25">
        <v>48.485314685314684</v>
      </c>
      <c r="O109" s="24" t="s">
        <v>281</v>
      </c>
      <c r="P109" s="24">
        <f t="shared" si="39"/>
        <v>364</v>
      </c>
      <c r="Q109" s="24">
        <f t="shared" si="40"/>
        <v>138</v>
      </c>
      <c r="R109" s="24">
        <f t="shared" si="22"/>
        <v>201</v>
      </c>
      <c r="S109" s="24">
        <f t="shared" si="41"/>
        <v>12</v>
      </c>
      <c r="T109" s="24">
        <f t="shared" si="42"/>
        <v>715</v>
      </c>
      <c r="U109" s="27">
        <f t="shared" si="43"/>
        <v>0.50909090909090904</v>
      </c>
      <c r="V109" s="27">
        <f t="shared" si="44"/>
        <v>0.19300699300699301</v>
      </c>
      <c r="W109" s="27">
        <f t="shared" si="45"/>
        <v>0.28111888111888111</v>
      </c>
      <c r="X109" s="27">
        <f t="shared" si="46"/>
        <v>1.6783216783216783E-2</v>
      </c>
      <c r="Y109" s="25">
        <f t="shared" si="47"/>
        <v>48.485314685314684</v>
      </c>
    </row>
    <row r="110" spans="1:25" x14ac:dyDescent="0.25">
      <c r="A110" s="24" t="s">
        <v>317</v>
      </c>
      <c r="B110" s="24" t="s">
        <v>318</v>
      </c>
      <c r="C110" s="24" t="s">
        <v>205</v>
      </c>
      <c r="D110" s="24">
        <v>4</v>
      </c>
      <c r="E110" s="24"/>
      <c r="F110" s="24">
        <v>6</v>
      </c>
      <c r="G110" s="24">
        <v>4</v>
      </c>
      <c r="H110" s="24">
        <v>85</v>
      </c>
      <c r="I110" s="24">
        <v>228</v>
      </c>
      <c r="J110" s="24">
        <v>1</v>
      </c>
      <c r="K110" s="24">
        <v>389</v>
      </c>
      <c r="L110" s="24">
        <v>2</v>
      </c>
      <c r="M110" s="24">
        <v>715</v>
      </c>
      <c r="N110" s="25">
        <v>40.158041958041956</v>
      </c>
      <c r="O110" s="24" t="s">
        <v>281</v>
      </c>
      <c r="P110" s="24">
        <f t="shared" si="39"/>
        <v>389</v>
      </c>
      <c r="Q110" s="24">
        <f t="shared" si="40"/>
        <v>85</v>
      </c>
      <c r="R110" s="24">
        <f t="shared" si="22"/>
        <v>228</v>
      </c>
      <c r="S110" s="24">
        <f t="shared" si="41"/>
        <v>13</v>
      </c>
      <c r="T110" s="24">
        <f t="shared" si="42"/>
        <v>715</v>
      </c>
      <c r="U110" s="27">
        <f t="shared" si="43"/>
        <v>0.54405594405594404</v>
      </c>
      <c r="V110" s="27">
        <f t="shared" si="44"/>
        <v>0.11888111888111888</v>
      </c>
      <c r="W110" s="27">
        <f t="shared" si="45"/>
        <v>0.31888111888111886</v>
      </c>
      <c r="X110" s="27">
        <f t="shared" si="46"/>
        <v>1.8181818181818181E-2</v>
      </c>
      <c r="Y110" s="25">
        <f t="shared" si="47"/>
        <v>40.158041958041956</v>
      </c>
    </row>
    <row r="111" spans="1:25" x14ac:dyDescent="0.25">
      <c r="A111" s="24" t="s">
        <v>317</v>
      </c>
      <c r="B111" s="24" t="s">
        <v>318</v>
      </c>
      <c r="C111" s="24" t="s">
        <v>205</v>
      </c>
      <c r="D111" s="24">
        <v>5</v>
      </c>
      <c r="E111" s="24"/>
      <c r="F111" s="24">
        <v>3</v>
      </c>
      <c r="G111" s="24">
        <v>4</v>
      </c>
      <c r="H111" s="24">
        <v>75</v>
      </c>
      <c r="I111" s="24">
        <v>180</v>
      </c>
      <c r="J111" s="24">
        <v>3</v>
      </c>
      <c r="K111" s="24">
        <v>450</v>
      </c>
      <c r="L111" s="24"/>
      <c r="M111" s="24">
        <v>715</v>
      </c>
      <c r="N111" s="25">
        <v>33.229370629370628</v>
      </c>
      <c r="O111" s="24" t="s">
        <v>281</v>
      </c>
      <c r="P111" s="24">
        <f t="shared" si="39"/>
        <v>450</v>
      </c>
      <c r="Q111" s="24">
        <f t="shared" si="40"/>
        <v>75</v>
      </c>
      <c r="R111" s="24">
        <f t="shared" si="22"/>
        <v>180</v>
      </c>
      <c r="S111" s="24">
        <f t="shared" si="41"/>
        <v>10</v>
      </c>
      <c r="T111" s="24">
        <f t="shared" si="42"/>
        <v>715</v>
      </c>
      <c r="U111" s="27">
        <f t="shared" si="43"/>
        <v>0.62937062937062938</v>
      </c>
      <c r="V111" s="27">
        <f t="shared" si="44"/>
        <v>0.1048951048951049</v>
      </c>
      <c r="W111" s="27">
        <f t="shared" si="45"/>
        <v>0.25174825174825177</v>
      </c>
      <c r="X111" s="27">
        <f t="shared" si="46"/>
        <v>1.3986013986013986E-2</v>
      </c>
      <c r="Y111" s="25">
        <f t="shared" si="47"/>
        <v>33.229370629370628</v>
      </c>
    </row>
    <row r="112" spans="1:25" x14ac:dyDescent="0.25">
      <c r="A112" s="24" t="s">
        <v>317</v>
      </c>
      <c r="B112" s="24" t="s">
        <v>318</v>
      </c>
      <c r="C112" s="24" t="s">
        <v>205</v>
      </c>
      <c r="D112" s="24">
        <v>6</v>
      </c>
      <c r="E112" s="24"/>
      <c r="F112" s="24"/>
      <c r="G112" s="24"/>
      <c r="H112" s="24">
        <v>68</v>
      </c>
      <c r="I112" s="24">
        <v>168</v>
      </c>
      <c r="J112" s="24">
        <v>1</v>
      </c>
      <c r="K112" s="24">
        <v>478</v>
      </c>
      <c r="L112" s="24"/>
      <c r="M112" s="24">
        <v>715</v>
      </c>
      <c r="N112" s="25">
        <v>27.935664335664335</v>
      </c>
      <c r="O112" s="24" t="s">
        <v>281</v>
      </c>
      <c r="P112" s="24">
        <f t="shared" si="39"/>
        <v>478</v>
      </c>
      <c r="Q112" s="24">
        <f t="shared" si="40"/>
        <v>68</v>
      </c>
      <c r="R112" s="24">
        <f t="shared" si="22"/>
        <v>168</v>
      </c>
      <c r="S112" s="24">
        <f t="shared" si="41"/>
        <v>1</v>
      </c>
      <c r="T112" s="24">
        <f t="shared" si="42"/>
        <v>715</v>
      </c>
      <c r="U112" s="27">
        <f t="shared" si="43"/>
        <v>0.6685314685314685</v>
      </c>
      <c r="V112" s="27">
        <f t="shared" si="44"/>
        <v>9.5104895104895101E-2</v>
      </c>
      <c r="W112" s="27">
        <f t="shared" si="45"/>
        <v>0.23496503496503496</v>
      </c>
      <c r="X112" s="27">
        <f t="shared" si="46"/>
        <v>1.3986013986013986E-3</v>
      </c>
      <c r="Y112" s="25">
        <f t="shared" si="47"/>
        <v>27.935664335664335</v>
      </c>
    </row>
    <row r="113" spans="1:25" x14ac:dyDescent="0.25">
      <c r="A113" s="24" t="s">
        <v>317</v>
      </c>
      <c r="B113" s="24" t="s">
        <v>318</v>
      </c>
      <c r="C113" s="24" t="s">
        <v>205</v>
      </c>
      <c r="D113" s="24">
        <v>7</v>
      </c>
      <c r="E113" s="24"/>
      <c r="F113" s="24"/>
      <c r="G113" s="24"/>
      <c r="H113" s="24">
        <v>46</v>
      </c>
      <c r="I113" s="24">
        <v>144</v>
      </c>
      <c r="J113" s="24"/>
      <c r="K113" s="24">
        <v>526</v>
      </c>
      <c r="L113" s="24"/>
      <c r="M113" s="24">
        <v>716</v>
      </c>
      <c r="N113" s="25">
        <v>23.673184357541899</v>
      </c>
      <c r="O113" s="24" t="s">
        <v>281</v>
      </c>
      <c r="P113" s="24">
        <f t="shared" si="39"/>
        <v>526</v>
      </c>
      <c r="Q113" s="24">
        <f t="shared" si="40"/>
        <v>46</v>
      </c>
      <c r="R113" s="24">
        <f t="shared" si="22"/>
        <v>144</v>
      </c>
      <c r="S113" s="24">
        <f t="shared" si="41"/>
        <v>0</v>
      </c>
      <c r="T113" s="24">
        <f t="shared" si="42"/>
        <v>716</v>
      </c>
      <c r="U113" s="27">
        <f t="shared" si="43"/>
        <v>0.73463687150837986</v>
      </c>
      <c r="V113" s="27">
        <f t="shared" si="44"/>
        <v>6.4245810055865923E-2</v>
      </c>
      <c r="W113" s="27">
        <f t="shared" si="45"/>
        <v>0.2011173184357542</v>
      </c>
      <c r="X113" s="27">
        <f t="shared" si="46"/>
        <v>0</v>
      </c>
      <c r="Y113" s="25">
        <f t="shared" si="47"/>
        <v>23.673184357541899</v>
      </c>
    </row>
    <row r="114" spans="1:25" x14ac:dyDescent="0.25">
      <c r="A114" s="24" t="s">
        <v>317</v>
      </c>
      <c r="B114" s="24" t="s">
        <v>318</v>
      </c>
      <c r="C114" s="24" t="s">
        <v>205</v>
      </c>
      <c r="D114" s="24">
        <v>8</v>
      </c>
      <c r="E114" s="24"/>
      <c r="F114" s="24"/>
      <c r="G114" s="24"/>
      <c r="H114" s="24">
        <v>39</v>
      </c>
      <c r="I114" s="24">
        <v>132</v>
      </c>
      <c r="J114" s="24"/>
      <c r="K114" s="24">
        <v>545</v>
      </c>
      <c r="L114" s="24"/>
      <c r="M114" s="24">
        <v>716</v>
      </c>
      <c r="N114" s="25">
        <v>19.773743016759777</v>
      </c>
      <c r="O114" s="24" t="s">
        <v>281</v>
      </c>
      <c r="P114" s="24">
        <f t="shared" si="39"/>
        <v>545</v>
      </c>
      <c r="Q114" s="24">
        <f t="shared" si="40"/>
        <v>39</v>
      </c>
      <c r="R114" s="24">
        <f t="shared" si="22"/>
        <v>132</v>
      </c>
      <c r="S114" s="24">
        <f t="shared" si="41"/>
        <v>0</v>
      </c>
      <c r="T114" s="24">
        <f t="shared" si="42"/>
        <v>716</v>
      </c>
      <c r="U114" s="27">
        <f t="shared" si="43"/>
        <v>0.76117318435754189</v>
      </c>
      <c r="V114" s="27">
        <f t="shared" si="44"/>
        <v>5.4469273743016758E-2</v>
      </c>
      <c r="W114" s="27">
        <f t="shared" si="45"/>
        <v>0.18435754189944134</v>
      </c>
      <c r="X114" s="27">
        <f t="shared" si="46"/>
        <v>0</v>
      </c>
      <c r="Y114" s="25">
        <f t="shared" si="47"/>
        <v>19.773743016759777</v>
      </c>
    </row>
    <row r="115" spans="1:25" x14ac:dyDescent="0.25">
      <c r="A115" s="24" t="s">
        <v>317</v>
      </c>
      <c r="B115" s="24" t="s">
        <v>318</v>
      </c>
      <c r="C115" s="24" t="s">
        <v>206</v>
      </c>
      <c r="D115" s="24">
        <v>1</v>
      </c>
      <c r="E115" s="24"/>
      <c r="F115" s="24">
        <v>1</v>
      </c>
      <c r="G115" s="24">
        <v>2</v>
      </c>
      <c r="H115" s="24">
        <v>128</v>
      </c>
      <c r="I115" s="24">
        <v>104</v>
      </c>
      <c r="J115" s="24">
        <v>4</v>
      </c>
      <c r="K115" s="24">
        <v>211</v>
      </c>
      <c r="L115" s="24"/>
      <c r="M115" s="24">
        <v>450</v>
      </c>
      <c r="N115" s="25">
        <v>61.515555555555558</v>
      </c>
      <c r="O115" s="24" t="s">
        <v>281</v>
      </c>
      <c r="P115" s="24">
        <f t="shared" si="20"/>
        <v>211</v>
      </c>
      <c r="Q115" s="24">
        <f t="shared" si="21"/>
        <v>128</v>
      </c>
      <c r="R115" s="24">
        <f t="shared" si="22"/>
        <v>104</v>
      </c>
      <c r="S115" s="24">
        <f t="shared" si="23"/>
        <v>7</v>
      </c>
      <c r="T115" s="24">
        <f t="shared" si="24"/>
        <v>450</v>
      </c>
      <c r="U115" s="27">
        <f t="shared" si="25"/>
        <v>0.46888888888888891</v>
      </c>
      <c r="V115" s="27">
        <f t="shared" si="26"/>
        <v>0.28444444444444444</v>
      </c>
      <c r="W115" s="27">
        <f t="shared" si="27"/>
        <v>0.2311111111111111</v>
      </c>
      <c r="X115" s="27">
        <f t="shared" si="28"/>
        <v>1.5555555555555555E-2</v>
      </c>
      <c r="Y115" s="25">
        <f t="shared" si="29"/>
        <v>61.515555555555558</v>
      </c>
    </row>
    <row r="116" spans="1:25" x14ac:dyDescent="0.25">
      <c r="A116" s="24" t="s">
        <v>317</v>
      </c>
      <c r="B116" s="24" t="s">
        <v>318</v>
      </c>
      <c r="C116" s="24" t="s">
        <v>206</v>
      </c>
      <c r="D116" s="24">
        <v>2</v>
      </c>
      <c r="E116" s="24"/>
      <c r="F116" s="24">
        <v>4</v>
      </c>
      <c r="G116" s="24">
        <v>2</v>
      </c>
      <c r="H116" s="24">
        <v>180</v>
      </c>
      <c r="I116" s="24">
        <v>136</v>
      </c>
      <c r="J116" s="24">
        <v>9</v>
      </c>
      <c r="K116" s="24">
        <v>351</v>
      </c>
      <c r="L116" s="24"/>
      <c r="M116" s="24">
        <v>682</v>
      </c>
      <c r="N116" s="25">
        <v>50.112903225806448</v>
      </c>
      <c r="O116" s="24" t="s">
        <v>281</v>
      </c>
      <c r="P116" s="24">
        <f t="shared" si="20"/>
        <v>351</v>
      </c>
      <c r="Q116" s="24">
        <f t="shared" si="21"/>
        <v>180</v>
      </c>
      <c r="R116" s="24">
        <f t="shared" si="22"/>
        <v>136</v>
      </c>
      <c r="S116" s="24">
        <f t="shared" si="23"/>
        <v>15</v>
      </c>
      <c r="T116" s="24">
        <f t="shared" si="24"/>
        <v>682</v>
      </c>
      <c r="U116" s="27">
        <f t="shared" si="25"/>
        <v>0.51466275659824046</v>
      </c>
      <c r="V116" s="27">
        <f t="shared" si="26"/>
        <v>0.26392961876832843</v>
      </c>
      <c r="W116" s="27">
        <f t="shared" si="27"/>
        <v>0.19941348973607037</v>
      </c>
      <c r="X116" s="27">
        <f t="shared" si="28"/>
        <v>2.1994134897360705E-2</v>
      </c>
      <c r="Y116" s="25">
        <f t="shared" si="29"/>
        <v>50.112903225806448</v>
      </c>
    </row>
    <row r="117" spans="1:25" x14ac:dyDescent="0.25">
      <c r="A117" s="24" t="s">
        <v>317</v>
      </c>
      <c r="B117" s="24" t="s">
        <v>318</v>
      </c>
      <c r="C117" s="24" t="s">
        <v>206</v>
      </c>
      <c r="D117" s="24">
        <v>3</v>
      </c>
      <c r="E117" s="24">
        <v>2</v>
      </c>
      <c r="F117" s="24">
        <v>2</v>
      </c>
      <c r="G117" s="24">
        <v>2</v>
      </c>
      <c r="H117" s="24">
        <v>184</v>
      </c>
      <c r="I117" s="24">
        <v>139</v>
      </c>
      <c r="J117" s="24">
        <v>2</v>
      </c>
      <c r="K117" s="24">
        <v>351</v>
      </c>
      <c r="L117" s="24"/>
      <c r="M117" s="24">
        <v>682</v>
      </c>
      <c r="N117" s="25">
        <v>39.995601173020525</v>
      </c>
      <c r="O117" s="24" t="s">
        <v>281</v>
      </c>
      <c r="P117" s="24">
        <f t="shared" si="20"/>
        <v>351</v>
      </c>
      <c r="Q117" s="24">
        <f t="shared" si="21"/>
        <v>184</v>
      </c>
      <c r="R117" s="24">
        <f t="shared" si="22"/>
        <v>139</v>
      </c>
      <c r="S117" s="24">
        <f t="shared" si="23"/>
        <v>8</v>
      </c>
      <c r="T117" s="24">
        <f t="shared" si="24"/>
        <v>682</v>
      </c>
      <c r="U117" s="27">
        <f t="shared" si="25"/>
        <v>0.51466275659824046</v>
      </c>
      <c r="V117" s="27">
        <f t="shared" si="26"/>
        <v>0.26979472140762462</v>
      </c>
      <c r="W117" s="27">
        <f t="shared" si="27"/>
        <v>0.20381231671554254</v>
      </c>
      <c r="X117" s="27">
        <f t="shared" si="28"/>
        <v>1.1730205278592375E-2</v>
      </c>
      <c r="Y117" s="25">
        <f t="shared" si="29"/>
        <v>39.995601173020525</v>
      </c>
    </row>
    <row r="118" spans="1:25" x14ac:dyDescent="0.25">
      <c r="A118" s="24" t="s">
        <v>317</v>
      </c>
      <c r="B118" s="24" t="s">
        <v>318</v>
      </c>
      <c r="C118" s="24" t="s">
        <v>206</v>
      </c>
      <c r="D118" s="24">
        <v>4</v>
      </c>
      <c r="E118" s="24">
        <v>2</v>
      </c>
      <c r="F118" s="24">
        <v>1</v>
      </c>
      <c r="G118" s="24">
        <v>2</v>
      </c>
      <c r="H118" s="24">
        <v>182</v>
      </c>
      <c r="I118" s="24">
        <v>116</v>
      </c>
      <c r="J118" s="24"/>
      <c r="K118" s="24">
        <v>378</v>
      </c>
      <c r="L118" s="24">
        <v>1</v>
      </c>
      <c r="M118" s="24">
        <v>682</v>
      </c>
      <c r="N118" s="25">
        <v>31.227272727272727</v>
      </c>
      <c r="O118" s="24" t="s">
        <v>281</v>
      </c>
      <c r="P118" s="24">
        <f t="shared" si="20"/>
        <v>378</v>
      </c>
      <c r="Q118" s="24">
        <f t="shared" si="21"/>
        <v>182</v>
      </c>
      <c r="R118" s="24">
        <f t="shared" si="22"/>
        <v>116</v>
      </c>
      <c r="S118" s="24">
        <f t="shared" si="23"/>
        <v>6</v>
      </c>
      <c r="T118" s="24">
        <f t="shared" si="24"/>
        <v>682</v>
      </c>
      <c r="U118" s="27">
        <f t="shared" si="25"/>
        <v>0.55425219941348969</v>
      </c>
      <c r="V118" s="27">
        <f t="shared" si="26"/>
        <v>0.26686217008797652</v>
      </c>
      <c r="W118" s="27">
        <f t="shared" si="27"/>
        <v>0.17008797653958943</v>
      </c>
      <c r="X118" s="27">
        <f t="shared" si="28"/>
        <v>8.7976539589442824E-3</v>
      </c>
      <c r="Y118" s="25">
        <f t="shared" si="29"/>
        <v>31.227272727272727</v>
      </c>
    </row>
    <row r="119" spans="1:25" x14ac:dyDescent="0.25">
      <c r="A119" s="24" t="s">
        <v>317</v>
      </c>
      <c r="B119" s="24" t="s">
        <v>318</v>
      </c>
      <c r="C119" s="24" t="s">
        <v>206</v>
      </c>
      <c r="D119" s="24">
        <v>5</v>
      </c>
      <c r="E119" s="24"/>
      <c r="F119" s="24"/>
      <c r="G119" s="24"/>
      <c r="H119" s="24">
        <v>166</v>
      </c>
      <c r="I119" s="24">
        <v>107</v>
      </c>
      <c r="J119" s="24">
        <v>2</v>
      </c>
      <c r="K119" s="24">
        <v>407</v>
      </c>
      <c r="L119" s="24"/>
      <c r="M119" s="24">
        <v>682</v>
      </c>
      <c r="N119" s="25">
        <v>26.067448680351905</v>
      </c>
      <c r="O119" s="24" t="s">
        <v>281</v>
      </c>
      <c r="P119" s="24">
        <f t="shared" si="20"/>
        <v>407</v>
      </c>
      <c r="Q119" s="24">
        <f t="shared" si="21"/>
        <v>166</v>
      </c>
      <c r="R119" s="24">
        <f t="shared" si="22"/>
        <v>107</v>
      </c>
      <c r="S119" s="24">
        <f t="shared" si="23"/>
        <v>2</v>
      </c>
      <c r="T119" s="24">
        <f t="shared" si="24"/>
        <v>682</v>
      </c>
      <c r="U119" s="27">
        <f t="shared" si="25"/>
        <v>0.59677419354838712</v>
      </c>
      <c r="V119" s="27">
        <f t="shared" si="26"/>
        <v>0.24340175953079179</v>
      </c>
      <c r="W119" s="27">
        <f t="shared" si="27"/>
        <v>0.15689149560117302</v>
      </c>
      <c r="X119" s="27">
        <f t="shared" si="28"/>
        <v>2.9325513196480938E-3</v>
      </c>
      <c r="Y119" s="25">
        <f t="shared" si="29"/>
        <v>26.067448680351905</v>
      </c>
    </row>
    <row r="120" spans="1:25" x14ac:dyDescent="0.25">
      <c r="A120" s="24" t="s">
        <v>317</v>
      </c>
      <c r="B120" s="24" t="s">
        <v>318</v>
      </c>
      <c r="C120" s="24" t="s">
        <v>206</v>
      </c>
      <c r="D120" s="24">
        <v>6</v>
      </c>
      <c r="E120" s="24"/>
      <c r="F120" s="24"/>
      <c r="G120" s="24"/>
      <c r="H120" s="24">
        <v>162</v>
      </c>
      <c r="I120" s="24">
        <v>90</v>
      </c>
      <c r="J120" s="24"/>
      <c r="K120" s="24">
        <v>430</v>
      </c>
      <c r="L120" s="24"/>
      <c r="M120" s="24">
        <v>682</v>
      </c>
      <c r="N120" s="25">
        <v>22.439882697947215</v>
      </c>
      <c r="O120" s="24" t="s">
        <v>281</v>
      </c>
      <c r="P120" s="24">
        <f t="shared" si="20"/>
        <v>430</v>
      </c>
      <c r="Q120" s="24">
        <f t="shared" si="21"/>
        <v>162</v>
      </c>
      <c r="R120" s="24">
        <f t="shared" si="22"/>
        <v>90</v>
      </c>
      <c r="S120" s="24">
        <f t="shared" si="23"/>
        <v>0</v>
      </c>
      <c r="T120" s="24">
        <f t="shared" si="24"/>
        <v>682</v>
      </c>
      <c r="U120" s="27">
        <f t="shared" si="25"/>
        <v>0.63049853372434017</v>
      </c>
      <c r="V120" s="27">
        <f t="shared" si="26"/>
        <v>0.23753665689149561</v>
      </c>
      <c r="W120" s="27">
        <f t="shared" si="27"/>
        <v>0.13196480938416422</v>
      </c>
      <c r="X120" s="27">
        <f t="shared" si="28"/>
        <v>0</v>
      </c>
      <c r="Y120" s="25">
        <f t="shared" si="29"/>
        <v>22.439882697947215</v>
      </c>
    </row>
    <row r="121" spans="1:25" x14ac:dyDescent="0.25">
      <c r="A121" s="24" t="s">
        <v>317</v>
      </c>
      <c r="B121" s="24" t="s">
        <v>318</v>
      </c>
      <c r="C121" s="24" t="s">
        <v>206</v>
      </c>
      <c r="D121" s="24">
        <v>7</v>
      </c>
      <c r="E121" s="24"/>
      <c r="F121" s="24"/>
      <c r="G121" s="24">
        <v>1</v>
      </c>
      <c r="H121" s="24">
        <v>138</v>
      </c>
      <c r="I121" s="24">
        <v>86</v>
      </c>
      <c r="J121" s="24">
        <v>2</v>
      </c>
      <c r="K121" s="24">
        <v>457</v>
      </c>
      <c r="L121" s="24"/>
      <c r="M121" s="24">
        <v>684</v>
      </c>
      <c r="N121" s="25">
        <v>19.345029239766081</v>
      </c>
      <c r="O121" s="24" t="s">
        <v>281</v>
      </c>
      <c r="P121" s="24">
        <f t="shared" si="20"/>
        <v>457</v>
      </c>
      <c r="Q121" s="24">
        <f t="shared" si="21"/>
        <v>138</v>
      </c>
      <c r="R121" s="24">
        <f t="shared" si="22"/>
        <v>86</v>
      </c>
      <c r="S121" s="24">
        <f t="shared" si="23"/>
        <v>3</v>
      </c>
      <c r="T121" s="24">
        <f t="shared" si="24"/>
        <v>684</v>
      </c>
      <c r="U121" s="27">
        <f t="shared" si="25"/>
        <v>0.66812865497076024</v>
      </c>
      <c r="V121" s="27">
        <f t="shared" si="26"/>
        <v>0.20175438596491227</v>
      </c>
      <c r="W121" s="27">
        <f t="shared" si="27"/>
        <v>0.12573099415204678</v>
      </c>
      <c r="X121" s="27">
        <f t="shared" si="28"/>
        <v>4.3859649122807015E-3</v>
      </c>
      <c r="Y121" s="25">
        <f t="shared" si="29"/>
        <v>19.345029239766081</v>
      </c>
    </row>
    <row r="122" spans="1:25" x14ac:dyDescent="0.25">
      <c r="A122" s="24" t="s">
        <v>319</v>
      </c>
      <c r="B122" s="24" t="s">
        <v>320</v>
      </c>
      <c r="C122" s="24" t="s">
        <v>208</v>
      </c>
      <c r="D122" s="24">
        <v>1</v>
      </c>
      <c r="E122" s="24"/>
      <c r="F122" s="24"/>
      <c r="G122" s="24">
        <v>1</v>
      </c>
      <c r="H122" s="24">
        <v>222</v>
      </c>
      <c r="I122" s="24">
        <v>166</v>
      </c>
      <c r="J122" s="24">
        <v>3</v>
      </c>
      <c r="K122" s="24">
        <v>47</v>
      </c>
      <c r="L122" s="24">
        <v>11</v>
      </c>
      <c r="M122" s="24">
        <v>450</v>
      </c>
      <c r="N122" s="25">
        <v>66.900000000000006</v>
      </c>
      <c r="O122" s="24" t="s">
        <v>281</v>
      </c>
      <c r="P122" s="24">
        <f t="shared" ref="P122:P178" si="48">K122</f>
        <v>47</v>
      </c>
      <c r="Q122" s="24">
        <f t="shared" ref="Q122:Q178" si="49">H122</f>
        <v>222</v>
      </c>
      <c r="R122" s="24">
        <f t="shared" ref="R122:R178" si="50">I122</f>
        <v>166</v>
      </c>
      <c r="S122" s="24">
        <f t="shared" ref="S122:S178" si="51">M122-SUM(P122:R122)</f>
        <v>15</v>
      </c>
      <c r="T122" s="24">
        <f t="shared" ref="T122:T178" si="52">SUM(P122:S122)</f>
        <v>450</v>
      </c>
      <c r="U122" s="27">
        <f t="shared" ref="U122:U178" si="53">P122/M122</f>
        <v>0.10444444444444445</v>
      </c>
      <c r="V122" s="27">
        <f t="shared" ref="V122:V178" si="54">Q122/M122</f>
        <v>0.49333333333333335</v>
      </c>
      <c r="W122" s="27">
        <f t="shared" ref="W122:W178" si="55">R122/M122</f>
        <v>0.36888888888888888</v>
      </c>
      <c r="X122" s="27">
        <f t="shared" ref="X122:X178" si="56">S122/M122</f>
        <v>3.3333333333333333E-2</v>
      </c>
      <c r="Y122" s="25">
        <f t="shared" ref="Y122:Y178" si="57">N122</f>
        <v>66.900000000000006</v>
      </c>
    </row>
    <row r="123" spans="1:25" x14ac:dyDescent="0.25">
      <c r="A123" s="24" t="s">
        <v>319</v>
      </c>
      <c r="B123" s="24" t="s">
        <v>320</v>
      </c>
      <c r="C123" s="24" t="s">
        <v>208</v>
      </c>
      <c r="D123" s="24">
        <v>2</v>
      </c>
      <c r="E123" s="24"/>
      <c r="F123" s="24"/>
      <c r="G123" s="24"/>
      <c r="H123" s="24">
        <v>171</v>
      </c>
      <c r="I123" s="24">
        <v>194</v>
      </c>
      <c r="J123" s="24">
        <v>1</v>
      </c>
      <c r="K123" s="24">
        <v>63</v>
      </c>
      <c r="L123" s="24">
        <v>21</v>
      </c>
      <c r="M123" s="24">
        <v>450</v>
      </c>
      <c r="N123" s="25">
        <v>59.728888888888889</v>
      </c>
      <c r="O123" s="24" t="s">
        <v>281</v>
      </c>
      <c r="P123" s="24">
        <f t="shared" si="48"/>
        <v>63</v>
      </c>
      <c r="Q123" s="24">
        <f t="shared" si="49"/>
        <v>171</v>
      </c>
      <c r="R123" s="24">
        <f t="shared" si="50"/>
        <v>194</v>
      </c>
      <c r="S123" s="24">
        <f t="shared" si="51"/>
        <v>22</v>
      </c>
      <c r="T123" s="24">
        <f t="shared" si="52"/>
        <v>450</v>
      </c>
      <c r="U123" s="27">
        <f t="shared" si="53"/>
        <v>0.14000000000000001</v>
      </c>
      <c r="V123" s="27">
        <f t="shared" si="54"/>
        <v>0.38</v>
      </c>
      <c r="W123" s="27">
        <f t="shared" si="55"/>
        <v>0.43111111111111111</v>
      </c>
      <c r="X123" s="27">
        <f t="shared" si="56"/>
        <v>4.8888888888888891E-2</v>
      </c>
      <c r="Y123" s="25">
        <f t="shared" si="57"/>
        <v>59.728888888888889</v>
      </c>
    </row>
    <row r="124" spans="1:25" x14ac:dyDescent="0.25">
      <c r="A124" s="24" t="s">
        <v>319</v>
      </c>
      <c r="B124" s="24" t="s">
        <v>320</v>
      </c>
      <c r="C124" s="24" t="s">
        <v>208</v>
      </c>
      <c r="D124" s="24">
        <v>3</v>
      </c>
      <c r="E124" s="24"/>
      <c r="F124" s="24"/>
      <c r="G124" s="24"/>
      <c r="H124" s="24">
        <v>311</v>
      </c>
      <c r="I124" s="24">
        <v>238</v>
      </c>
      <c r="J124" s="24">
        <v>2</v>
      </c>
      <c r="K124" s="24">
        <v>48</v>
      </c>
      <c r="L124" s="24">
        <v>26</v>
      </c>
      <c r="M124" s="24">
        <v>625</v>
      </c>
      <c r="N124" s="25">
        <v>50.776000000000003</v>
      </c>
      <c r="O124" s="24" t="s">
        <v>281</v>
      </c>
      <c r="P124" s="24">
        <f t="shared" si="48"/>
        <v>48</v>
      </c>
      <c r="Q124" s="24">
        <f t="shared" si="49"/>
        <v>311</v>
      </c>
      <c r="R124" s="24">
        <f t="shared" si="50"/>
        <v>238</v>
      </c>
      <c r="S124" s="24">
        <f t="shared" si="51"/>
        <v>28</v>
      </c>
      <c r="T124" s="24">
        <f t="shared" si="52"/>
        <v>625</v>
      </c>
      <c r="U124" s="27">
        <f t="shared" si="53"/>
        <v>7.6799999999999993E-2</v>
      </c>
      <c r="V124" s="27">
        <f t="shared" si="54"/>
        <v>0.49759999999999999</v>
      </c>
      <c r="W124" s="27">
        <f t="shared" si="55"/>
        <v>0.38080000000000003</v>
      </c>
      <c r="X124" s="27">
        <f t="shared" si="56"/>
        <v>4.48E-2</v>
      </c>
      <c r="Y124" s="25">
        <f t="shared" si="57"/>
        <v>50.776000000000003</v>
      </c>
    </row>
    <row r="125" spans="1:25" x14ac:dyDescent="0.25">
      <c r="A125" s="24" t="s">
        <v>319</v>
      </c>
      <c r="B125" s="24" t="s">
        <v>320</v>
      </c>
      <c r="C125" s="24" t="s">
        <v>208</v>
      </c>
      <c r="D125" s="24">
        <v>4</v>
      </c>
      <c r="E125" s="24">
        <v>2</v>
      </c>
      <c r="F125" s="24"/>
      <c r="G125" s="24"/>
      <c r="H125" s="24">
        <v>304</v>
      </c>
      <c r="I125" s="24">
        <v>238</v>
      </c>
      <c r="J125" s="24">
        <v>1</v>
      </c>
      <c r="K125" s="24">
        <v>41</v>
      </c>
      <c r="L125" s="24">
        <v>39</v>
      </c>
      <c r="M125" s="24">
        <v>625</v>
      </c>
      <c r="N125" s="25">
        <v>42.887999999999998</v>
      </c>
      <c r="O125" s="24" t="s">
        <v>281</v>
      </c>
      <c r="P125" s="24">
        <f t="shared" si="48"/>
        <v>41</v>
      </c>
      <c r="Q125" s="24">
        <f t="shared" si="49"/>
        <v>304</v>
      </c>
      <c r="R125" s="24">
        <f t="shared" si="50"/>
        <v>238</v>
      </c>
      <c r="S125" s="24">
        <f t="shared" si="51"/>
        <v>42</v>
      </c>
      <c r="T125" s="24">
        <f t="shared" si="52"/>
        <v>625</v>
      </c>
      <c r="U125" s="27">
        <f t="shared" si="53"/>
        <v>6.5600000000000006E-2</v>
      </c>
      <c r="V125" s="27">
        <f t="shared" si="54"/>
        <v>0.4864</v>
      </c>
      <c r="W125" s="27">
        <f t="shared" si="55"/>
        <v>0.38080000000000003</v>
      </c>
      <c r="X125" s="27">
        <f t="shared" si="56"/>
        <v>6.7199999999999996E-2</v>
      </c>
      <c r="Y125" s="25">
        <f t="shared" si="57"/>
        <v>42.887999999999998</v>
      </c>
    </row>
    <row r="126" spans="1:25" x14ac:dyDescent="0.25">
      <c r="A126" s="24" t="s">
        <v>319</v>
      </c>
      <c r="B126" s="24" t="s">
        <v>320</v>
      </c>
      <c r="C126" s="24" t="s">
        <v>208</v>
      </c>
      <c r="D126" s="24">
        <v>5</v>
      </c>
      <c r="E126" s="24"/>
      <c r="F126" s="24">
        <v>1</v>
      </c>
      <c r="G126" s="24"/>
      <c r="H126" s="24">
        <v>254</v>
      </c>
      <c r="I126" s="24">
        <v>269</v>
      </c>
      <c r="J126" s="24">
        <v>3</v>
      </c>
      <c r="K126" s="24">
        <v>56</v>
      </c>
      <c r="L126" s="24">
        <v>42</v>
      </c>
      <c r="M126" s="24">
        <v>625</v>
      </c>
      <c r="N126" s="25">
        <v>36.1584</v>
      </c>
      <c r="O126" s="24" t="s">
        <v>281</v>
      </c>
      <c r="P126" s="24">
        <f t="shared" si="48"/>
        <v>56</v>
      </c>
      <c r="Q126" s="24">
        <f t="shared" si="49"/>
        <v>254</v>
      </c>
      <c r="R126" s="24">
        <f t="shared" si="50"/>
        <v>269</v>
      </c>
      <c r="S126" s="24">
        <f t="shared" si="51"/>
        <v>46</v>
      </c>
      <c r="T126" s="24">
        <f t="shared" si="52"/>
        <v>625</v>
      </c>
      <c r="U126" s="27">
        <f t="shared" si="53"/>
        <v>8.9599999999999999E-2</v>
      </c>
      <c r="V126" s="27">
        <f t="shared" si="54"/>
        <v>0.40639999999999998</v>
      </c>
      <c r="W126" s="27">
        <f t="shared" si="55"/>
        <v>0.4304</v>
      </c>
      <c r="X126" s="27">
        <f t="shared" si="56"/>
        <v>7.3599999999999999E-2</v>
      </c>
      <c r="Y126" s="25">
        <f t="shared" si="57"/>
        <v>36.1584</v>
      </c>
    </row>
    <row r="127" spans="1:25" x14ac:dyDescent="0.25">
      <c r="A127" s="24" t="s">
        <v>319</v>
      </c>
      <c r="B127" s="24" t="s">
        <v>320</v>
      </c>
      <c r="C127" s="24" t="s">
        <v>208</v>
      </c>
      <c r="D127" s="24">
        <v>6</v>
      </c>
      <c r="E127" s="24">
        <v>3</v>
      </c>
      <c r="F127" s="24"/>
      <c r="G127" s="24">
        <v>1</v>
      </c>
      <c r="H127" s="24">
        <v>241</v>
      </c>
      <c r="I127" s="24">
        <v>260</v>
      </c>
      <c r="J127" s="24">
        <v>4</v>
      </c>
      <c r="K127" s="24">
        <v>114</v>
      </c>
      <c r="L127" s="24">
        <v>2</v>
      </c>
      <c r="M127" s="24">
        <v>625</v>
      </c>
      <c r="N127" s="25">
        <v>29.52</v>
      </c>
      <c r="O127" s="24" t="s">
        <v>281</v>
      </c>
      <c r="P127" s="24">
        <f t="shared" si="48"/>
        <v>114</v>
      </c>
      <c r="Q127" s="24">
        <f t="shared" si="49"/>
        <v>241</v>
      </c>
      <c r="R127" s="24">
        <f t="shared" si="50"/>
        <v>260</v>
      </c>
      <c r="S127" s="24">
        <f t="shared" si="51"/>
        <v>10</v>
      </c>
      <c r="T127" s="24">
        <f t="shared" si="52"/>
        <v>625</v>
      </c>
      <c r="U127" s="27">
        <f t="shared" si="53"/>
        <v>0.18240000000000001</v>
      </c>
      <c r="V127" s="27">
        <f t="shared" si="54"/>
        <v>0.3856</v>
      </c>
      <c r="W127" s="27">
        <f t="shared" si="55"/>
        <v>0.41599999999999998</v>
      </c>
      <c r="X127" s="27">
        <f t="shared" si="56"/>
        <v>1.6E-2</v>
      </c>
      <c r="Y127" s="25">
        <f t="shared" si="57"/>
        <v>29.52</v>
      </c>
    </row>
    <row r="128" spans="1:25" x14ac:dyDescent="0.25">
      <c r="A128" s="24" t="s">
        <v>319</v>
      </c>
      <c r="B128" s="24" t="s">
        <v>320</v>
      </c>
      <c r="C128" s="24" t="s">
        <v>208</v>
      </c>
      <c r="D128" s="24">
        <v>7</v>
      </c>
      <c r="E128" s="24"/>
      <c r="F128" s="24"/>
      <c r="G128" s="24">
        <v>2</v>
      </c>
      <c r="H128" s="24">
        <v>227</v>
      </c>
      <c r="I128" s="24">
        <v>262</v>
      </c>
      <c r="J128" s="24">
        <v>2</v>
      </c>
      <c r="K128" s="24">
        <v>131</v>
      </c>
      <c r="L128" s="24">
        <v>1</v>
      </c>
      <c r="M128" s="24">
        <v>625</v>
      </c>
      <c r="N128" s="25">
        <v>21.9968</v>
      </c>
      <c r="O128" s="24" t="s">
        <v>281</v>
      </c>
      <c r="P128" s="24">
        <f t="shared" si="48"/>
        <v>131</v>
      </c>
      <c r="Q128" s="24">
        <f t="shared" si="49"/>
        <v>227</v>
      </c>
      <c r="R128" s="24">
        <f t="shared" si="50"/>
        <v>262</v>
      </c>
      <c r="S128" s="24">
        <f t="shared" si="51"/>
        <v>5</v>
      </c>
      <c r="T128" s="24">
        <f t="shared" si="52"/>
        <v>625</v>
      </c>
      <c r="U128" s="27">
        <f t="shared" si="53"/>
        <v>0.20960000000000001</v>
      </c>
      <c r="V128" s="27">
        <f t="shared" si="54"/>
        <v>0.36320000000000002</v>
      </c>
      <c r="W128" s="27">
        <f t="shared" si="55"/>
        <v>0.41920000000000002</v>
      </c>
      <c r="X128" s="27">
        <f t="shared" si="56"/>
        <v>8.0000000000000002E-3</v>
      </c>
      <c r="Y128" s="25">
        <f t="shared" si="57"/>
        <v>21.9968</v>
      </c>
    </row>
    <row r="129" spans="1:25" x14ac:dyDescent="0.25">
      <c r="A129" s="24" t="s">
        <v>321</v>
      </c>
      <c r="B129" s="24" t="s">
        <v>322</v>
      </c>
      <c r="C129" s="24" t="s">
        <v>210</v>
      </c>
      <c r="D129" s="24">
        <v>1</v>
      </c>
      <c r="E129" s="24"/>
      <c r="F129" s="24"/>
      <c r="G129" s="24"/>
      <c r="H129" s="24">
        <v>347</v>
      </c>
      <c r="I129" s="24">
        <v>98</v>
      </c>
      <c r="J129" s="24">
        <v>1</v>
      </c>
      <c r="K129" s="24">
        <v>4</v>
      </c>
      <c r="L129" s="24"/>
      <c r="M129" s="24">
        <v>450</v>
      </c>
      <c r="N129" s="25">
        <v>75.691111111111113</v>
      </c>
      <c r="O129" s="24" t="s">
        <v>281</v>
      </c>
      <c r="P129" s="24">
        <f t="shared" si="48"/>
        <v>4</v>
      </c>
      <c r="Q129" s="24">
        <f t="shared" si="49"/>
        <v>347</v>
      </c>
      <c r="R129" s="24">
        <f t="shared" si="50"/>
        <v>98</v>
      </c>
      <c r="S129" s="24">
        <f t="shared" si="51"/>
        <v>1</v>
      </c>
      <c r="T129" s="24">
        <f t="shared" si="52"/>
        <v>450</v>
      </c>
      <c r="U129" s="27">
        <f t="shared" si="53"/>
        <v>8.8888888888888889E-3</v>
      </c>
      <c r="V129" s="27">
        <f t="shared" si="54"/>
        <v>0.77111111111111108</v>
      </c>
      <c r="W129" s="27">
        <f t="shared" si="55"/>
        <v>0.21777777777777776</v>
      </c>
      <c r="X129" s="27">
        <f t="shared" si="56"/>
        <v>2.2222222222222222E-3</v>
      </c>
      <c r="Y129" s="25">
        <f t="shared" si="57"/>
        <v>75.691111111111113</v>
      </c>
    </row>
    <row r="130" spans="1:25" x14ac:dyDescent="0.25">
      <c r="A130" s="24" t="s">
        <v>321</v>
      </c>
      <c r="B130" s="24" t="s">
        <v>322</v>
      </c>
      <c r="C130" s="24" t="s">
        <v>210</v>
      </c>
      <c r="D130" s="24">
        <v>2</v>
      </c>
      <c r="E130" s="24"/>
      <c r="F130" s="24">
        <v>1</v>
      </c>
      <c r="G130" s="24"/>
      <c r="H130" s="24">
        <v>337</v>
      </c>
      <c r="I130" s="24">
        <v>110</v>
      </c>
      <c r="J130" s="24"/>
      <c r="K130" s="24">
        <v>2</v>
      </c>
      <c r="L130" s="24"/>
      <c r="M130" s="24">
        <v>450</v>
      </c>
      <c r="N130" s="25">
        <v>68.968888888888884</v>
      </c>
      <c r="O130" s="24" t="s">
        <v>281</v>
      </c>
      <c r="P130" s="24">
        <f t="shared" si="48"/>
        <v>2</v>
      </c>
      <c r="Q130" s="24">
        <f t="shared" si="49"/>
        <v>337</v>
      </c>
      <c r="R130" s="24">
        <f t="shared" si="50"/>
        <v>110</v>
      </c>
      <c r="S130" s="24">
        <f t="shared" si="51"/>
        <v>1</v>
      </c>
      <c r="T130" s="24">
        <f t="shared" si="52"/>
        <v>450</v>
      </c>
      <c r="U130" s="27">
        <f t="shared" si="53"/>
        <v>4.4444444444444444E-3</v>
      </c>
      <c r="V130" s="27">
        <f t="shared" si="54"/>
        <v>0.74888888888888894</v>
      </c>
      <c r="W130" s="27">
        <f t="shared" si="55"/>
        <v>0.24444444444444444</v>
      </c>
      <c r="X130" s="27">
        <f t="shared" si="56"/>
        <v>2.2222222222222222E-3</v>
      </c>
      <c r="Y130" s="25">
        <f t="shared" si="57"/>
        <v>68.968888888888884</v>
      </c>
    </row>
    <row r="131" spans="1:25" x14ac:dyDescent="0.25">
      <c r="A131" s="24" t="s">
        <v>321</v>
      </c>
      <c r="B131" s="24" t="s">
        <v>322</v>
      </c>
      <c r="C131" s="24" t="s">
        <v>210</v>
      </c>
      <c r="D131" s="24">
        <v>3</v>
      </c>
      <c r="E131" s="24"/>
      <c r="F131" s="24"/>
      <c r="G131" s="24"/>
      <c r="H131" s="24">
        <v>350</v>
      </c>
      <c r="I131" s="24">
        <v>92</v>
      </c>
      <c r="J131" s="24">
        <v>1</v>
      </c>
      <c r="K131" s="24">
        <v>7</v>
      </c>
      <c r="L131" s="24"/>
      <c r="M131" s="24">
        <v>450</v>
      </c>
      <c r="N131" s="25">
        <v>62.184444444444445</v>
      </c>
      <c r="O131" s="24" t="s">
        <v>281</v>
      </c>
      <c r="P131" s="24">
        <f t="shared" si="48"/>
        <v>7</v>
      </c>
      <c r="Q131" s="24">
        <f t="shared" si="49"/>
        <v>350</v>
      </c>
      <c r="R131" s="24">
        <f t="shared" si="50"/>
        <v>92</v>
      </c>
      <c r="S131" s="24">
        <f t="shared" si="51"/>
        <v>1</v>
      </c>
      <c r="T131" s="24">
        <f t="shared" si="52"/>
        <v>450</v>
      </c>
      <c r="U131" s="27">
        <f t="shared" si="53"/>
        <v>1.5555555555555555E-2</v>
      </c>
      <c r="V131" s="27">
        <f t="shared" si="54"/>
        <v>0.77777777777777779</v>
      </c>
      <c r="W131" s="27">
        <f t="shared" si="55"/>
        <v>0.20444444444444446</v>
      </c>
      <c r="X131" s="27">
        <f t="shared" si="56"/>
        <v>2.2222222222222222E-3</v>
      </c>
      <c r="Y131" s="25">
        <f t="shared" si="57"/>
        <v>62.184444444444445</v>
      </c>
    </row>
    <row r="132" spans="1:25" x14ac:dyDescent="0.25">
      <c r="A132" s="24" t="s">
        <v>321</v>
      </c>
      <c r="B132" s="24" t="s">
        <v>322</v>
      </c>
      <c r="C132" s="24" t="s">
        <v>210</v>
      </c>
      <c r="D132" s="24">
        <v>4</v>
      </c>
      <c r="E132" s="24"/>
      <c r="F132" s="24"/>
      <c r="G132" s="24">
        <v>1</v>
      </c>
      <c r="H132" s="24">
        <v>430</v>
      </c>
      <c r="I132" s="24">
        <v>122</v>
      </c>
      <c r="J132" s="24">
        <v>3</v>
      </c>
      <c r="K132" s="24">
        <v>21</v>
      </c>
      <c r="L132" s="24"/>
      <c r="M132" s="24">
        <v>577</v>
      </c>
      <c r="N132" s="25">
        <v>55.852686308492203</v>
      </c>
      <c r="O132" s="24" t="s">
        <v>281</v>
      </c>
      <c r="P132" s="24">
        <f t="shared" si="48"/>
        <v>21</v>
      </c>
      <c r="Q132" s="24">
        <f t="shared" si="49"/>
        <v>430</v>
      </c>
      <c r="R132" s="24">
        <f t="shared" si="50"/>
        <v>122</v>
      </c>
      <c r="S132" s="24">
        <f t="shared" si="51"/>
        <v>4</v>
      </c>
      <c r="T132" s="24">
        <f t="shared" si="52"/>
        <v>577</v>
      </c>
      <c r="U132" s="27">
        <f t="shared" si="53"/>
        <v>3.6395147313691506E-2</v>
      </c>
      <c r="V132" s="27">
        <f t="shared" si="54"/>
        <v>0.74523396880415949</v>
      </c>
      <c r="W132" s="27">
        <f t="shared" si="55"/>
        <v>0.21143847487001732</v>
      </c>
      <c r="X132" s="27">
        <f t="shared" si="56"/>
        <v>6.9324090121317154E-3</v>
      </c>
      <c r="Y132" s="25">
        <f t="shared" si="57"/>
        <v>55.852686308492203</v>
      </c>
    </row>
    <row r="133" spans="1:25" x14ac:dyDescent="0.25">
      <c r="A133" s="24" t="s">
        <v>321</v>
      </c>
      <c r="B133" s="24" t="s">
        <v>322</v>
      </c>
      <c r="C133" s="24" t="s">
        <v>210</v>
      </c>
      <c r="D133" s="24">
        <v>5</v>
      </c>
      <c r="E133" s="24"/>
      <c r="F133" s="24">
        <v>4</v>
      </c>
      <c r="G133" s="24">
        <v>1</v>
      </c>
      <c r="H133" s="24">
        <v>425</v>
      </c>
      <c r="I133" s="24">
        <v>119</v>
      </c>
      <c r="J133" s="24">
        <v>1</v>
      </c>
      <c r="K133" s="24">
        <v>26</v>
      </c>
      <c r="L133" s="24">
        <v>1</v>
      </c>
      <c r="M133" s="24">
        <v>577</v>
      </c>
      <c r="N133" s="25">
        <v>48.802426343154245</v>
      </c>
      <c r="O133" s="24" t="s">
        <v>281</v>
      </c>
      <c r="P133" s="24">
        <f t="shared" si="48"/>
        <v>26</v>
      </c>
      <c r="Q133" s="24">
        <f t="shared" si="49"/>
        <v>425</v>
      </c>
      <c r="R133" s="24">
        <f t="shared" si="50"/>
        <v>119</v>
      </c>
      <c r="S133" s="24">
        <f t="shared" si="51"/>
        <v>7</v>
      </c>
      <c r="T133" s="24">
        <f t="shared" si="52"/>
        <v>577</v>
      </c>
      <c r="U133" s="27">
        <f t="shared" si="53"/>
        <v>4.5060658578856154E-2</v>
      </c>
      <c r="V133" s="27">
        <f t="shared" si="54"/>
        <v>0.7365684575389948</v>
      </c>
      <c r="W133" s="27">
        <f t="shared" si="55"/>
        <v>0.20623916811091855</v>
      </c>
      <c r="X133" s="27">
        <f t="shared" si="56"/>
        <v>1.2131715771230503E-2</v>
      </c>
      <c r="Y133" s="25">
        <f t="shared" si="57"/>
        <v>48.802426343154245</v>
      </c>
    </row>
    <row r="134" spans="1:25" x14ac:dyDescent="0.25">
      <c r="A134" s="24" t="s">
        <v>321</v>
      </c>
      <c r="B134" s="24" t="s">
        <v>322</v>
      </c>
      <c r="C134" s="24" t="s">
        <v>210</v>
      </c>
      <c r="D134" s="24">
        <v>6</v>
      </c>
      <c r="E134" s="24"/>
      <c r="F134" s="24">
        <v>1</v>
      </c>
      <c r="G134" s="24"/>
      <c r="H134" s="24">
        <v>434</v>
      </c>
      <c r="I134" s="24">
        <v>126</v>
      </c>
      <c r="J134" s="24">
        <v>1</v>
      </c>
      <c r="K134" s="24">
        <v>14</v>
      </c>
      <c r="L134" s="24">
        <v>1</v>
      </c>
      <c r="M134" s="24">
        <v>577</v>
      </c>
      <c r="N134" s="25">
        <v>42.133448873483538</v>
      </c>
      <c r="O134" s="24" t="s">
        <v>281</v>
      </c>
      <c r="P134" s="24">
        <f t="shared" si="48"/>
        <v>14</v>
      </c>
      <c r="Q134" s="24">
        <f t="shared" si="49"/>
        <v>434</v>
      </c>
      <c r="R134" s="24">
        <f t="shared" si="50"/>
        <v>126</v>
      </c>
      <c r="S134" s="24">
        <f t="shared" si="51"/>
        <v>3</v>
      </c>
      <c r="T134" s="24">
        <f t="shared" si="52"/>
        <v>577</v>
      </c>
      <c r="U134" s="27">
        <f t="shared" si="53"/>
        <v>2.4263431542461005E-2</v>
      </c>
      <c r="V134" s="27">
        <f t="shared" si="54"/>
        <v>0.75216637781629114</v>
      </c>
      <c r="W134" s="27">
        <f t="shared" si="55"/>
        <v>0.21837088388214904</v>
      </c>
      <c r="X134" s="27">
        <f t="shared" si="56"/>
        <v>5.1993067590987872E-3</v>
      </c>
      <c r="Y134" s="25">
        <f t="shared" si="57"/>
        <v>42.133448873483538</v>
      </c>
    </row>
    <row r="135" spans="1:25" x14ac:dyDescent="0.25">
      <c r="A135" s="24" t="s">
        <v>321</v>
      </c>
      <c r="B135" s="24" t="s">
        <v>322</v>
      </c>
      <c r="C135" s="24" t="s">
        <v>210</v>
      </c>
      <c r="D135" s="24">
        <v>7</v>
      </c>
      <c r="E135" s="24"/>
      <c r="F135" s="24">
        <v>1</v>
      </c>
      <c r="G135" s="24"/>
      <c r="H135" s="24">
        <v>406</v>
      </c>
      <c r="I135" s="24">
        <v>132</v>
      </c>
      <c r="J135" s="24">
        <v>2</v>
      </c>
      <c r="K135" s="24">
        <v>36</v>
      </c>
      <c r="L135" s="24"/>
      <c r="M135" s="24">
        <v>577</v>
      </c>
      <c r="N135" s="25">
        <v>36.048526863084923</v>
      </c>
      <c r="O135" s="24" t="s">
        <v>281</v>
      </c>
      <c r="P135" s="24">
        <f t="shared" si="48"/>
        <v>36</v>
      </c>
      <c r="Q135" s="24">
        <f t="shared" si="49"/>
        <v>406</v>
      </c>
      <c r="R135" s="24">
        <f t="shared" si="50"/>
        <v>132</v>
      </c>
      <c r="S135" s="24">
        <f t="shared" si="51"/>
        <v>3</v>
      </c>
      <c r="T135" s="24">
        <f t="shared" si="52"/>
        <v>577</v>
      </c>
      <c r="U135" s="27">
        <f t="shared" si="53"/>
        <v>6.2391681109185443E-2</v>
      </c>
      <c r="V135" s="27">
        <f t="shared" si="54"/>
        <v>0.7036395147313691</v>
      </c>
      <c r="W135" s="27">
        <f t="shared" si="55"/>
        <v>0.22876949740034663</v>
      </c>
      <c r="X135" s="27">
        <f t="shared" si="56"/>
        <v>5.1993067590987872E-3</v>
      </c>
      <c r="Y135" s="25">
        <f t="shared" si="57"/>
        <v>36.048526863084923</v>
      </c>
    </row>
    <row r="136" spans="1:25" x14ac:dyDescent="0.25">
      <c r="A136" s="24" t="s">
        <v>321</v>
      </c>
      <c r="B136" s="24" t="s">
        <v>322</v>
      </c>
      <c r="C136" s="24" t="s">
        <v>210</v>
      </c>
      <c r="D136" s="24">
        <v>8</v>
      </c>
      <c r="E136" s="24">
        <v>1</v>
      </c>
      <c r="F136" s="24"/>
      <c r="G136" s="24">
        <v>1</v>
      </c>
      <c r="H136" s="24">
        <v>410</v>
      </c>
      <c r="I136" s="24">
        <v>125</v>
      </c>
      <c r="J136" s="24"/>
      <c r="K136" s="24">
        <v>40</v>
      </c>
      <c r="L136" s="24"/>
      <c r="M136" s="24">
        <v>577</v>
      </c>
      <c r="N136" s="25">
        <v>29.535528596187174</v>
      </c>
      <c r="O136" s="24" t="s">
        <v>281</v>
      </c>
      <c r="P136" s="24">
        <f t="shared" si="48"/>
        <v>40</v>
      </c>
      <c r="Q136" s="24">
        <f t="shared" si="49"/>
        <v>410</v>
      </c>
      <c r="R136" s="24">
        <f t="shared" si="50"/>
        <v>125</v>
      </c>
      <c r="S136" s="24">
        <f t="shared" si="51"/>
        <v>2</v>
      </c>
      <c r="T136" s="24">
        <f t="shared" si="52"/>
        <v>577</v>
      </c>
      <c r="U136" s="27">
        <f t="shared" si="53"/>
        <v>6.9324090121317156E-2</v>
      </c>
      <c r="V136" s="27">
        <f t="shared" si="54"/>
        <v>0.71057192374350087</v>
      </c>
      <c r="W136" s="27">
        <f t="shared" si="55"/>
        <v>0.21663778162911612</v>
      </c>
      <c r="X136" s="27">
        <f t="shared" si="56"/>
        <v>3.4662045060658577E-3</v>
      </c>
      <c r="Y136" s="25">
        <f t="shared" si="57"/>
        <v>29.535528596187174</v>
      </c>
    </row>
    <row r="137" spans="1:25" x14ac:dyDescent="0.25">
      <c r="A137" s="24" t="s">
        <v>321</v>
      </c>
      <c r="B137" s="24" t="s">
        <v>322</v>
      </c>
      <c r="C137" s="24" t="s">
        <v>210</v>
      </c>
      <c r="D137" s="24">
        <v>9</v>
      </c>
      <c r="E137" s="24"/>
      <c r="F137" s="24"/>
      <c r="G137" s="24">
        <v>1</v>
      </c>
      <c r="H137" s="24">
        <v>401</v>
      </c>
      <c r="I137" s="24">
        <v>146</v>
      </c>
      <c r="J137" s="24"/>
      <c r="K137" s="24">
        <v>29</v>
      </c>
      <c r="L137" s="24">
        <v>1</v>
      </c>
      <c r="M137" s="24">
        <v>578</v>
      </c>
      <c r="N137" s="25">
        <v>22.044982698961938</v>
      </c>
      <c r="O137" s="24" t="s">
        <v>281</v>
      </c>
      <c r="P137" s="24">
        <f t="shared" si="48"/>
        <v>29</v>
      </c>
      <c r="Q137" s="24">
        <f t="shared" si="49"/>
        <v>401</v>
      </c>
      <c r="R137" s="24">
        <f t="shared" si="50"/>
        <v>146</v>
      </c>
      <c r="S137" s="24">
        <f t="shared" si="51"/>
        <v>2</v>
      </c>
      <c r="T137" s="24">
        <f t="shared" si="52"/>
        <v>578</v>
      </c>
      <c r="U137" s="27">
        <f t="shared" si="53"/>
        <v>5.0173010380622836E-2</v>
      </c>
      <c r="V137" s="27">
        <f t="shared" si="54"/>
        <v>0.69377162629757783</v>
      </c>
      <c r="W137" s="27">
        <f t="shared" si="55"/>
        <v>0.25259515570934254</v>
      </c>
      <c r="X137" s="27">
        <f t="shared" si="56"/>
        <v>3.4602076124567475E-3</v>
      </c>
      <c r="Y137" s="25">
        <f t="shared" si="57"/>
        <v>22.044982698961938</v>
      </c>
    </row>
    <row r="138" spans="1:25" x14ac:dyDescent="0.25">
      <c r="A138" s="24" t="s">
        <v>323</v>
      </c>
      <c r="B138" s="24" t="s">
        <v>324</v>
      </c>
      <c r="C138" s="24" t="s">
        <v>212</v>
      </c>
      <c r="D138" s="24">
        <v>1</v>
      </c>
      <c r="E138" s="24"/>
      <c r="F138" s="24">
        <v>1</v>
      </c>
      <c r="G138" s="24"/>
      <c r="H138" s="24">
        <v>335</v>
      </c>
      <c r="I138" s="24">
        <v>99</v>
      </c>
      <c r="J138" s="24">
        <v>7</v>
      </c>
      <c r="K138" s="24">
        <v>8</v>
      </c>
      <c r="L138" s="24"/>
      <c r="M138" s="24">
        <v>450</v>
      </c>
      <c r="N138" s="25">
        <v>77.58</v>
      </c>
      <c r="O138" s="24" t="s">
        <v>281</v>
      </c>
      <c r="P138" s="24">
        <f t="shared" si="48"/>
        <v>8</v>
      </c>
      <c r="Q138" s="24">
        <f t="shared" si="49"/>
        <v>335</v>
      </c>
      <c r="R138" s="24">
        <f t="shared" si="50"/>
        <v>99</v>
      </c>
      <c r="S138" s="24">
        <f t="shared" si="51"/>
        <v>8</v>
      </c>
      <c r="T138" s="24">
        <f t="shared" si="52"/>
        <v>450</v>
      </c>
      <c r="U138" s="27">
        <f t="shared" si="53"/>
        <v>1.7777777777777778E-2</v>
      </c>
      <c r="V138" s="27">
        <f t="shared" si="54"/>
        <v>0.74444444444444446</v>
      </c>
      <c r="W138" s="27">
        <f t="shared" si="55"/>
        <v>0.22</v>
      </c>
      <c r="X138" s="27">
        <f t="shared" si="56"/>
        <v>1.7777777777777778E-2</v>
      </c>
      <c r="Y138" s="25">
        <f t="shared" si="57"/>
        <v>77.58</v>
      </c>
    </row>
    <row r="139" spans="1:25" x14ac:dyDescent="0.25">
      <c r="A139" s="24" t="s">
        <v>323</v>
      </c>
      <c r="B139" s="24" t="s">
        <v>324</v>
      </c>
      <c r="C139" s="24" t="s">
        <v>212</v>
      </c>
      <c r="D139" s="24">
        <v>2</v>
      </c>
      <c r="E139" s="24"/>
      <c r="F139" s="24"/>
      <c r="G139" s="24">
        <v>1</v>
      </c>
      <c r="H139" s="24">
        <v>342</v>
      </c>
      <c r="I139" s="24">
        <v>99</v>
      </c>
      <c r="J139" s="24">
        <v>2</v>
      </c>
      <c r="K139" s="24">
        <v>6</v>
      </c>
      <c r="L139" s="24"/>
      <c r="M139" s="24">
        <v>450</v>
      </c>
      <c r="N139" s="25">
        <v>67.186666666666667</v>
      </c>
      <c r="O139" s="24" t="s">
        <v>281</v>
      </c>
      <c r="P139" s="24">
        <f t="shared" si="48"/>
        <v>6</v>
      </c>
      <c r="Q139" s="24">
        <f t="shared" si="49"/>
        <v>342</v>
      </c>
      <c r="R139" s="24">
        <f t="shared" si="50"/>
        <v>99</v>
      </c>
      <c r="S139" s="24">
        <f t="shared" si="51"/>
        <v>3</v>
      </c>
      <c r="T139" s="24">
        <f t="shared" si="52"/>
        <v>450</v>
      </c>
      <c r="U139" s="27">
        <f t="shared" si="53"/>
        <v>1.3333333333333334E-2</v>
      </c>
      <c r="V139" s="27">
        <f t="shared" si="54"/>
        <v>0.76</v>
      </c>
      <c r="W139" s="27">
        <f t="shared" si="55"/>
        <v>0.22</v>
      </c>
      <c r="X139" s="27">
        <f t="shared" si="56"/>
        <v>6.6666666666666671E-3</v>
      </c>
      <c r="Y139" s="25">
        <f t="shared" si="57"/>
        <v>67.186666666666667</v>
      </c>
    </row>
    <row r="140" spans="1:25" x14ac:dyDescent="0.25">
      <c r="A140" s="24" t="s">
        <v>323</v>
      </c>
      <c r="B140" s="24" t="s">
        <v>324</v>
      </c>
      <c r="C140" s="24" t="s">
        <v>212</v>
      </c>
      <c r="D140" s="24">
        <v>3</v>
      </c>
      <c r="E140" s="24"/>
      <c r="F140" s="24"/>
      <c r="G140" s="24"/>
      <c r="H140" s="24">
        <v>342</v>
      </c>
      <c r="I140" s="24">
        <v>105</v>
      </c>
      <c r="J140" s="24"/>
      <c r="K140" s="24">
        <v>3</v>
      </c>
      <c r="L140" s="24"/>
      <c r="M140" s="24">
        <v>450</v>
      </c>
      <c r="N140" s="25">
        <v>58.44</v>
      </c>
      <c r="O140" s="24" t="s">
        <v>281</v>
      </c>
      <c r="P140" s="24">
        <f t="shared" si="48"/>
        <v>3</v>
      </c>
      <c r="Q140" s="24">
        <f t="shared" si="49"/>
        <v>342</v>
      </c>
      <c r="R140" s="24">
        <f t="shared" si="50"/>
        <v>105</v>
      </c>
      <c r="S140" s="24">
        <f t="shared" si="51"/>
        <v>0</v>
      </c>
      <c r="T140" s="24">
        <f t="shared" si="52"/>
        <v>450</v>
      </c>
      <c r="U140" s="27">
        <f t="shared" si="53"/>
        <v>6.6666666666666671E-3</v>
      </c>
      <c r="V140" s="27">
        <f t="shared" si="54"/>
        <v>0.76</v>
      </c>
      <c r="W140" s="27">
        <f t="shared" si="55"/>
        <v>0.23333333333333334</v>
      </c>
      <c r="X140" s="27">
        <f t="shared" si="56"/>
        <v>0</v>
      </c>
      <c r="Y140" s="25">
        <f t="shared" si="57"/>
        <v>58.44</v>
      </c>
    </row>
    <row r="141" spans="1:25" x14ac:dyDescent="0.25">
      <c r="A141" s="24" t="s">
        <v>323</v>
      </c>
      <c r="B141" s="24" t="s">
        <v>324</v>
      </c>
      <c r="C141" s="24" t="s">
        <v>212</v>
      </c>
      <c r="D141" s="24">
        <v>4</v>
      </c>
      <c r="E141" s="24"/>
      <c r="F141" s="24">
        <v>2</v>
      </c>
      <c r="G141" s="24"/>
      <c r="H141" s="24">
        <v>461</v>
      </c>
      <c r="I141" s="24">
        <v>97</v>
      </c>
      <c r="J141" s="24">
        <v>1</v>
      </c>
      <c r="K141" s="24">
        <v>15</v>
      </c>
      <c r="L141" s="24"/>
      <c r="M141" s="24">
        <v>576</v>
      </c>
      <c r="N141" s="25">
        <v>46.246527777777779</v>
      </c>
      <c r="O141" s="24" t="s">
        <v>281</v>
      </c>
      <c r="P141" s="24">
        <f t="shared" si="48"/>
        <v>15</v>
      </c>
      <c r="Q141" s="24">
        <f t="shared" si="49"/>
        <v>461</v>
      </c>
      <c r="R141" s="24">
        <f t="shared" si="50"/>
        <v>97</v>
      </c>
      <c r="S141" s="24">
        <f t="shared" si="51"/>
        <v>3</v>
      </c>
      <c r="T141" s="24">
        <f t="shared" si="52"/>
        <v>576</v>
      </c>
      <c r="U141" s="27">
        <f t="shared" si="53"/>
        <v>2.6041666666666668E-2</v>
      </c>
      <c r="V141" s="27">
        <f t="shared" si="54"/>
        <v>0.80034722222222221</v>
      </c>
      <c r="W141" s="27">
        <f t="shared" si="55"/>
        <v>0.16840277777777779</v>
      </c>
      <c r="X141" s="27">
        <f t="shared" si="56"/>
        <v>5.208333333333333E-3</v>
      </c>
      <c r="Y141" s="25">
        <f t="shared" si="57"/>
        <v>46.246527777777779</v>
      </c>
    </row>
    <row r="142" spans="1:25" x14ac:dyDescent="0.25">
      <c r="A142" s="24" t="s">
        <v>323</v>
      </c>
      <c r="B142" s="24" t="s">
        <v>324</v>
      </c>
      <c r="C142" s="24" t="s">
        <v>212</v>
      </c>
      <c r="D142" s="24">
        <v>5</v>
      </c>
      <c r="E142" s="24"/>
      <c r="F142" s="24">
        <v>3</v>
      </c>
      <c r="G142" s="24"/>
      <c r="H142" s="24">
        <v>407</v>
      </c>
      <c r="I142" s="24">
        <v>134</v>
      </c>
      <c r="J142" s="24"/>
      <c r="K142" s="24">
        <v>33</v>
      </c>
      <c r="L142" s="24"/>
      <c r="M142" s="24">
        <v>577</v>
      </c>
      <c r="N142" s="25">
        <v>29.759098786828424</v>
      </c>
      <c r="O142" s="24" t="s">
        <v>281</v>
      </c>
      <c r="P142" s="24">
        <f t="shared" si="48"/>
        <v>33</v>
      </c>
      <c r="Q142" s="24">
        <f t="shared" si="49"/>
        <v>407</v>
      </c>
      <c r="R142" s="24">
        <f t="shared" si="50"/>
        <v>134</v>
      </c>
      <c r="S142" s="24">
        <f t="shared" si="51"/>
        <v>3</v>
      </c>
      <c r="T142" s="24">
        <f t="shared" si="52"/>
        <v>577</v>
      </c>
      <c r="U142" s="27">
        <f t="shared" si="53"/>
        <v>5.7192374350086658E-2</v>
      </c>
      <c r="V142" s="27">
        <f t="shared" si="54"/>
        <v>0.70537261698440212</v>
      </c>
      <c r="W142" s="27">
        <f t="shared" si="55"/>
        <v>0.23223570190641249</v>
      </c>
      <c r="X142" s="27">
        <f t="shared" si="56"/>
        <v>5.1993067590987872E-3</v>
      </c>
      <c r="Y142" s="25">
        <f t="shared" si="57"/>
        <v>29.759098786828424</v>
      </c>
    </row>
    <row r="143" spans="1:25" x14ac:dyDescent="0.25">
      <c r="A143" s="24" t="s">
        <v>325</v>
      </c>
      <c r="B143" s="24" t="s">
        <v>326</v>
      </c>
      <c r="C143" s="24" t="s">
        <v>214</v>
      </c>
      <c r="D143" s="24">
        <v>1</v>
      </c>
      <c r="E143" s="24"/>
      <c r="F143" s="24"/>
      <c r="G143" s="24"/>
      <c r="H143" s="24">
        <v>389</v>
      </c>
      <c r="I143" s="24">
        <v>43</v>
      </c>
      <c r="J143" s="24">
        <v>4</v>
      </c>
      <c r="K143" s="24">
        <v>14</v>
      </c>
      <c r="L143" s="24"/>
      <c r="M143" s="24">
        <v>450</v>
      </c>
      <c r="N143" s="25">
        <v>74.63333333333334</v>
      </c>
      <c r="O143" s="24" t="s">
        <v>281</v>
      </c>
      <c r="P143" s="24">
        <f t="shared" si="48"/>
        <v>14</v>
      </c>
      <c r="Q143" s="24">
        <f t="shared" si="49"/>
        <v>389</v>
      </c>
      <c r="R143" s="24">
        <f t="shared" si="50"/>
        <v>43</v>
      </c>
      <c r="S143" s="24">
        <f t="shared" si="51"/>
        <v>4</v>
      </c>
      <c r="T143" s="24">
        <f t="shared" si="52"/>
        <v>450</v>
      </c>
      <c r="U143" s="27">
        <f t="shared" si="53"/>
        <v>3.111111111111111E-2</v>
      </c>
      <c r="V143" s="27">
        <f t="shared" si="54"/>
        <v>0.86444444444444446</v>
      </c>
      <c r="W143" s="27">
        <f t="shared" si="55"/>
        <v>9.555555555555556E-2</v>
      </c>
      <c r="X143" s="27">
        <f t="shared" si="56"/>
        <v>8.8888888888888889E-3</v>
      </c>
      <c r="Y143" s="25">
        <f t="shared" si="57"/>
        <v>74.63333333333334</v>
      </c>
    </row>
    <row r="144" spans="1:25" x14ac:dyDescent="0.25">
      <c r="A144" s="24" t="s">
        <v>325</v>
      </c>
      <c r="B144" s="24" t="s">
        <v>326</v>
      </c>
      <c r="C144" s="24" t="s">
        <v>214</v>
      </c>
      <c r="D144" s="24">
        <v>2</v>
      </c>
      <c r="E144" s="24"/>
      <c r="F144" s="24">
        <v>1</v>
      </c>
      <c r="G144" s="24"/>
      <c r="H144" s="24">
        <v>392</v>
      </c>
      <c r="I144" s="24">
        <v>43</v>
      </c>
      <c r="J144" s="24">
        <v>5</v>
      </c>
      <c r="K144" s="24">
        <v>9</v>
      </c>
      <c r="L144" s="24"/>
      <c r="M144" s="24">
        <v>450</v>
      </c>
      <c r="N144" s="25">
        <v>68.271111111111111</v>
      </c>
      <c r="O144" s="24" t="s">
        <v>281</v>
      </c>
      <c r="P144" s="24">
        <f t="shared" si="48"/>
        <v>9</v>
      </c>
      <c r="Q144" s="24">
        <f t="shared" si="49"/>
        <v>392</v>
      </c>
      <c r="R144" s="24">
        <f t="shared" si="50"/>
        <v>43</v>
      </c>
      <c r="S144" s="24">
        <f t="shared" si="51"/>
        <v>6</v>
      </c>
      <c r="T144" s="24">
        <f t="shared" si="52"/>
        <v>450</v>
      </c>
      <c r="U144" s="27">
        <f t="shared" si="53"/>
        <v>0.02</v>
      </c>
      <c r="V144" s="27">
        <f t="shared" si="54"/>
        <v>0.87111111111111106</v>
      </c>
      <c r="W144" s="27">
        <f t="shared" si="55"/>
        <v>9.555555555555556E-2</v>
      </c>
      <c r="X144" s="27">
        <f t="shared" si="56"/>
        <v>1.3333333333333334E-2</v>
      </c>
      <c r="Y144" s="25">
        <f t="shared" si="57"/>
        <v>68.271111111111111</v>
      </c>
    </row>
    <row r="145" spans="1:25" x14ac:dyDescent="0.25">
      <c r="A145" s="24" t="s">
        <v>325</v>
      </c>
      <c r="B145" s="24" t="s">
        <v>326</v>
      </c>
      <c r="C145" s="24" t="s">
        <v>214</v>
      </c>
      <c r="D145" s="24">
        <v>3</v>
      </c>
      <c r="E145" s="24"/>
      <c r="F145" s="24"/>
      <c r="G145" s="24"/>
      <c r="H145" s="24">
        <v>370</v>
      </c>
      <c r="I145" s="24">
        <v>69</v>
      </c>
      <c r="J145" s="24">
        <v>2</v>
      </c>
      <c r="K145" s="24">
        <v>9</v>
      </c>
      <c r="L145" s="24"/>
      <c r="M145" s="24">
        <v>450</v>
      </c>
      <c r="N145" s="25">
        <v>60.488888888888887</v>
      </c>
      <c r="O145" s="24" t="s">
        <v>281</v>
      </c>
      <c r="P145" s="24">
        <f t="shared" si="48"/>
        <v>9</v>
      </c>
      <c r="Q145" s="24">
        <f t="shared" si="49"/>
        <v>370</v>
      </c>
      <c r="R145" s="24">
        <f t="shared" si="50"/>
        <v>69</v>
      </c>
      <c r="S145" s="24">
        <f t="shared" si="51"/>
        <v>2</v>
      </c>
      <c r="T145" s="24">
        <f t="shared" si="52"/>
        <v>450</v>
      </c>
      <c r="U145" s="27">
        <f t="shared" si="53"/>
        <v>0.02</v>
      </c>
      <c r="V145" s="27">
        <f t="shared" si="54"/>
        <v>0.82222222222222219</v>
      </c>
      <c r="W145" s="27">
        <f t="shared" si="55"/>
        <v>0.15333333333333332</v>
      </c>
      <c r="X145" s="27">
        <f t="shared" si="56"/>
        <v>4.4444444444444444E-3</v>
      </c>
      <c r="Y145" s="25">
        <f t="shared" si="57"/>
        <v>60.488888888888887</v>
      </c>
    </row>
    <row r="146" spans="1:25" x14ac:dyDescent="0.25">
      <c r="A146" s="24" t="s">
        <v>325</v>
      </c>
      <c r="B146" s="24" t="s">
        <v>326</v>
      </c>
      <c r="C146" s="24" t="s">
        <v>214</v>
      </c>
      <c r="D146" s="24">
        <v>4</v>
      </c>
      <c r="E146" s="24"/>
      <c r="F146" s="24">
        <v>1</v>
      </c>
      <c r="G146" s="24"/>
      <c r="H146" s="24">
        <v>552</v>
      </c>
      <c r="I146" s="24">
        <v>140</v>
      </c>
      <c r="J146" s="24">
        <v>2</v>
      </c>
      <c r="K146" s="24">
        <v>26</v>
      </c>
      <c r="L146" s="24"/>
      <c r="M146" s="24">
        <v>721</v>
      </c>
      <c r="N146" s="25">
        <v>51.08876560332871</v>
      </c>
      <c r="O146" s="24" t="s">
        <v>281</v>
      </c>
      <c r="P146" s="24">
        <f t="shared" si="48"/>
        <v>26</v>
      </c>
      <c r="Q146" s="24">
        <f t="shared" si="49"/>
        <v>552</v>
      </c>
      <c r="R146" s="24">
        <f t="shared" si="50"/>
        <v>140</v>
      </c>
      <c r="S146" s="24">
        <f t="shared" si="51"/>
        <v>3</v>
      </c>
      <c r="T146" s="24">
        <f t="shared" si="52"/>
        <v>721</v>
      </c>
      <c r="U146" s="27">
        <f t="shared" si="53"/>
        <v>3.6061026352288486E-2</v>
      </c>
      <c r="V146" s="27">
        <f t="shared" si="54"/>
        <v>0.76560332871012482</v>
      </c>
      <c r="W146" s="27">
        <f t="shared" si="55"/>
        <v>0.1941747572815534</v>
      </c>
      <c r="X146" s="27">
        <f t="shared" si="56"/>
        <v>4.160887656033287E-3</v>
      </c>
      <c r="Y146" s="25">
        <f t="shared" si="57"/>
        <v>51.08876560332871</v>
      </c>
    </row>
    <row r="147" spans="1:25" x14ac:dyDescent="0.25">
      <c r="A147" s="24" t="s">
        <v>325</v>
      </c>
      <c r="B147" s="24" t="s">
        <v>326</v>
      </c>
      <c r="C147" s="24" t="s">
        <v>214</v>
      </c>
      <c r="D147" s="24">
        <v>5</v>
      </c>
      <c r="E147" s="24"/>
      <c r="F147" s="24">
        <v>1</v>
      </c>
      <c r="G147" s="24">
        <v>1</v>
      </c>
      <c r="H147" s="24">
        <v>563</v>
      </c>
      <c r="I147" s="24">
        <v>114</v>
      </c>
      <c r="J147" s="24">
        <v>2</v>
      </c>
      <c r="K147" s="24">
        <v>40</v>
      </c>
      <c r="L147" s="24"/>
      <c r="M147" s="24">
        <v>721</v>
      </c>
      <c r="N147" s="25">
        <v>41.471567267683774</v>
      </c>
      <c r="O147" s="24" t="s">
        <v>281</v>
      </c>
      <c r="P147" s="24">
        <f t="shared" si="48"/>
        <v>40</v>
      </c>
      <c r="Q147" s="24">
        <f t="shared" si="49"/>
        <v>563</v>
      </c>
      <c r="R147" s="24">
        <f t="shared" si="50"/>
        <v>114</v>
      </c>
      <c r="S147" s="24">
        <f t="shared" si="51"/>
        <v>4</v>
      </c>
      <c r="T147" s="24">
        <f t="shared" si="52"/>
        <v>721</v>
      </c>
      <c r="U147" s="27">
        <f t="shared" si="53"/>
        <v>5.5478502080443831E-2</v>
      </c>
      <c r="V147" s="27">
        <f t="shared" si="54"/>
        <v>0.78085991678224687</v>
      </c>
      <c r="W147" s="27">
        <f t="shared" si="55"/>
        <v>0.15811373092926492</v>
      </c>
      <c r="X147" s="27">
        <f t="shared" si="56"/>
        <v>5.5478502080443829E-3</v>
      </c>
      <c r="Y147" s="25">
        <f t="shared" si="57"/>
        <v>41.471567267683774</v>
      </c>
    </row>
    <row r="148" spans="1:25" x14ac:dyDescent="0.25">
      <c r="A148" s="24" t="s">
        <v>325</v>
      </c>
      <c r="B148" s="24" t="s">
        <v>326</v>
      </c>
      <c r="C148" s="24" t="s">
        <v>214</v>
      </c>
      <c r="D148" s="24">
        <v>6</v>
      </c>
      <c r="E148" s="24"/>
      <c r="F148" s="24"/>
      <c r="G148" s="24"/>
      <c r="H148" s="24">
        <v>541</v>
      </c>
      <c r="I148" s="24">
        <v>128</v>
      </c>
      <c r="J148" s="24">
        <v>2</v>
      </c>
      <c r="K148" s="24">
        <v>50</v>
      </c>
      <c r="L148" s="24"/>
      <c r="M148" s="24">
        <v>721</v>
      </c>
      <c r="N148" s="25">
        <v>33.277392510402223</v>
      </c>
      <c r="O148" s="24" t="s">
        <v>281</v>
      </c>
      <c r="P148" s="24">
        <f t="shared" si="48"/>
        <v>50</v>
      </c>
      <c r="Q148" s="24">
        <f t="shared" si="49"/>
        <v>541</v>
      </c>
      <c r="R148" s="24">
        <f t="shared" si="50"/>
        <v>128</v>
      </c>
      <c r="S148" s="24">
        <f t="shared" si="51"/>
        <v>2</v>
      </c>
      <c r="T148" s="24">
        <f t="shared" si="52"/>
        <v>721</v>
      </c>
      <c r="U148" s="27">
        <f t="shared" si="53"/>
        <v>6.9348127600554782E-2</v>
      </c>
      <c r="V148" s="27">
        <f t="shared" si="54"/>
        <v>0.75034674063800277</v>
      </c>
      <c r="W148" s="27">
        <f t="shared" si="55"/>
        <v>0.17753120665742025</v>
      </c>
      <c r="X148" s="27">
        <f t="shared" si="56"/>
        <v>2.7739251040221915E-3</v>
      </c>
      <c r="Y148" s="25">
        <f t="shared" si="57"/>
        <v>33.277392510402223</v>
      </c>
    </row>
    <row r="149" spans="1:25" x14ac:dyDescent="0.25">
      <c r="A149" s="24" t="s">
        <v>325</v>
      </c>
      <c r="B149" s="24" t="s">
        <v>326</v>
      </c>
      <c r="C149" s="24" t="s">
        <v>214</v>
      </c>
      <c r="D149" s="24">
        <v>7</v>
      </c>
      <c r="E149" s="24"/>
      <c r="F149" s="24"/>
      <c r="G149" s="24"/>
      <c r="H149" s="24">
        <v>542</v>
      </c>
      <c r="I149" s="24">
        <v>127</v>
      </c>
      <c r="J149" s="24"/>
      <c r="K149" s="24">
        <v>53</v>
      </c>
      <c r="L149" s="24"/>
      <c r="M149" s="24">
        <v>722</v>
      </c>
      <c r="N149" s="25">
        <v>23.70360110803324</v>
      </c>
      <c r="O149" s="24" t="s">
        <v>281</v>
      </c>
      <c r="P149" s="24">
        <f t="shared" si="48"/>
        <v>53</v>
      </c>
      <c r="Q149" s="24">
        <f t="shared" si="49"/>
        <v>542</v>
      </c>
      <c r="R149" s="24">
        <f t="shared" si="50"/>
        <v>127</v>
      </c>
      <c r="S149" s="24">
        <f t="shared" si="51"/>
        <v>0</v>
      </c>
      <c r="T149" s="24">
        <f t="shared" si="52"/>
        <v>722</v>
      </c>
      <c r="U149" s="27">
        <f t="shared" si="53"/>
        <v>7.3407202216066489E-2</v>
      </c>
      <c r="V149" s="27">
        <f t="shared" si="54"/>
        <v>0.75069252077562332</v>
      </c>
      <c r="W149" s="27">
        <f t="shared" si="55"/>
        <v>0.17590027700831026</v>
      </c>
      <c r="X149" s="27">
        <f t="shared" si="56"/>
        <v>0</v>
      </c>
      <c r="Y149" s="25">
        <f t="shared" si="57"/>
        <v>23.70360110803324</v>
      </c>
    </row>
    <row r="150" spans="1:25" x14ac:dyDescent="0.25">
      <c r="A150" s="24" t="s">
        <v>327</v>
      </c>
      <c r="B150" s="24" t="s">
        <v>328</v>
      </c>
      <c r="C150" s="24" t="s">
        <v>216</v>
      </c>
      <c r="D150" s="24">
        <v>1</v>
      </c>
      <c r="E150" s="24"/>
      <c r="F150" s="24"/>
      <c r="G150" s="24"/>
      <c r="H150" s="24">
        <v>416</v>
      </c>
      <c r="I150" s="24">
        <v>26</v>
      </c>
      <c r="J150" s="24"/>
      <c r="K150" s="24">
        <v>8</v>
      </c>
      <c r="L150" s="24"/>
      <c r="M150" s="24">
        <v>450</v>
      </c>
      <c r="N150" s="25">
        <v>80.295555555555552</v>
      </c>
      <c r="O150" s="24" t="s">
        <v>281</v>
      </c>
      <c r="P150" s="24">
        <f t="shared" si="48"/>
        <v>8</v>
      </c>
      <c r="Q150" s="24">
        <f t="shared" si="49"/>
        <v>416</v>
      </c>
      <c r="R150" s="24">
        <f t="shared" si="50"/>
        <v>26</v>
      </c>
      <c r="S150" s="24">
        <f t="shared" si="51"/>
        <v>0</v>
      </c>
      <c r="T150" s="24">
        <f t="shared" si="52"/>
        <v>450</v>
      </c>
      <c r="U150" s="27">
        <f t="shared" si="53"/>
        <v>1.7777777777777778E-2</v>
      </c>
      <c r="V150" s="27">
        <f t="shared" si="54"/>
        <v>0.9244444444444444</v>
      </c>
      <c r="W150" s="27">
        <f t="shared" si="55"/>
        <v>5.7777777777777775E-2</v>
      </c>
      <c r="X150" s="27">
        <f t="shared" si="56"/>
        <v>0</v>
      </c>
      <c r="Y150" s="25">
        <f t="shared" si="57"/>
        <v>80.295555555555552</v>
      </c>
    </row>
    <row r="151" spans="1:25" x14ac:dyDescent="0.25">
      <c r="A151" s="24" t="s">
        <v>327</v>
      </c>
      <c r="B151" s="24" t="s">
        <v>328</v>
      </c>
      <c r="C151" s="24" t="s">
        <v>216</v>
      </c>
      <c r="D151" s="24">
        <v>2</v>
      </c>
      <c r="E151" s="24"/>
      <c r="F151" s="24"/>
      <c r="G151" s="24"/>
      <c r="H151" s="24">
        <v>420</v>
      </c>
      <c r="I151" s="24">
        <v>27</v>
      </c>
      <c r="J151" s="24"/>
      <c r="K151" s="24">
        <v>3</v>
      </c>
      <c r="L151" s="24"/>
      <c r="M151" s="24">
        <v>450</v>
      </c>
      <c r="N151" s="25">
        <v>73.355555555555554</v>
      </c>
      <c r="O151" s="24" t="s">
        <v>281</v>
      </c>
      <c r="P151" s="24">
        <f t="shared" si="48"/>
        <v>3</v>
      </c>
      <c r="Q151" s="24">
        <f t="shared" si="49"/>
        <v>420</v>
      </c>
      <c r="R151" s="24">
        <f t="shared" si="50"/>
        <v>27</v>
      </c>
      <c r="S151" s="24">
        <f t="shared" si="51"/>
        <v>0</v>
      </c>
      <c r="T151" s="24">
        <f t="shared" si="52"/>
        <v>450</v>
      </c>
      <c r="U151" s="27">
        <f t="shared" si="53"/>
        <v>6.6666666666666671E-3</v>
      </c>
      <c r="V151" s="27">
        <f t="shared" si="54"/>
        <v>0.93333333333333335</v>
      </c>
      <c r="W151" s="27">
        <f t="shared" si="55"/>
        <v>0.06</v>
      </c>
      <c r="X151" s="27">
        <f t="shared" si="56"/>
        <v>0</v>
      </c>
      <c r="Y151" s="25">
        <f t="shared" si="57"/>
        <v>73.355555555555554</v>
      </c>
    </row>
    <row r="152" spans="1:25" x14ac:dyDescent="0.25">
      <c r="A152" s="24" t="s">
        <v>327</v>
      </c>
      <c r="B152" s="24" t="s">
        <v>328</v>
      </c>
      <c r="C152" s="24" t="s">
        <v>216</v>
      </c>
      <c r="D152" s="24">
        <v>3</v>
      </c>
      <c r="E152" s="24"/>
      <c r="F152" s="24"/>
      <c r="G152" s="24"/>
      <c r="H152" s="24">
        <v>412</v>
      </c>
      <c r="I152" s="24">
        <v>28</v>
      </c>
      <c r="J152" s="24">
        <v>2</v>
      </c>
      <c r="K152" s="24">
        <v>8</v>
      </c>
      <c r="L152" s="24"/>
      <c r="M152" s="24">
        <v>450</v>
      </c>
      <c r="N152" s="25">
        <v>67.077777777777783</v>
      </c>
      <c r="O152" s="24" t="s">
        <v>281</v>
      </c>
      <c r="P152" s="24">
        <f t="shared" si="48"/>
        <v>8</v>
      </c>
      <c r="Q152" s="24">
        <f t="shared" si="49"/>
        <v>412</v>
      </c>
      <c r="R152" s="24">
        <f t="shared" si="50"/>
        <v>28</v>
      </c>
      <c r="S152" s="24">
        <f t="shared" si="51"/>
        <v>2</v>
      </c>
      <c r="T152" s="24">
        <f t="shared" si="52"/>
        <v>450</v>
      </c>
      <c r="U152" s="27">
        <f t="shared" si="53"/>
        <v>1.7777777777777778E-2</v>
      </c>
      <c r="V152" s="27">
        <f t="shared" si="54"/>
        <v>0.91555555555555557</v>
      </c>
      <c r="W152" s="27">
        <f t="shared" si="55"/>
        <v>6.222222222222222E-2</v>
      </c>
      <c r="X152" s="27">
        <f t="shared" si="56"/>
        <v>4.4444444444444444E-3</v>
      </c>
      <c r="Y152" s="25">
        <f t="shared" si="57"/>
        <v>67.077777777777783</v>
      </c>
    </row>
    <row r="153" spans="1:25" x14ac:dyDescent="0.25">
      <c r="A153" s="24" t="s">
        <v>327</v>
      </c>
      <c r="B153" s="24" t="s">
        <v>328</v>
      </c>
      <c r="C153" s="24" t="s">
        <v>216</v>
      </c>
      <c r="D153" s="24">
        <v>4</v>
      </c>
      <c r="E153" s="24"/>
      <c r="F153" s="24">
        <v>1</v>
      </c>
      <c r="G153" s="24"/>
      <c r="H153" s="24">
        <v>411</v>
      </c>
      <c r="I153" s="24">
        <v>37</v>
      </c>
      <c r="J153" s="24">
        <v>2</v>
      </c>
      <c r="K153" s="24">
        <v>4</v>
      </c>
      <c r="L153" s="24"/>
      <c r="M153" s="24">
        <v>455</v>
      </c>
      <c r="N153" s="25">
        <v>62.098901098901102</v>
      </c>
      <c r="O153" s="24" t="s">
        <v>281</v>
      </c>
      <c r="P153" s="24">
        <f t="shared" si="48"/>
        <v>4</v>
      </c>
      <c r="Q153" s="24">
        <f t="shared" si="49"/>
        <v>411</v>
      </c>
      <c r="R153" s="24">
        <f t="shared" si="50"/>
        <v>37</v>
      </c>
      <c r="S153" s="24">
        <f t="shared" si="51"/>
        <v>3</v>
      </c>
      <c r="T153" s="24">
        <f t="shared" si="52"/>
        <v>455</v>
      </c>
      <c r="U153" s="27">
        <f t="shared" si="53"/>
        <v>8.7912087912087912E-3</v>
      </c>
      <c r="V153" s="27">
        <f t="shared" si="54"/>
        <v>0.90329670329670331</v>
      </c>
      <c r="W153" s="27">
        <f t="shared" si="55"/>
        <v>8.1318681318681321E-2</v>
      </c>
      <c r="X153" s="27">
        <f t="shared" si="56"/>
        <v>6.5934065934065934E-3</v>
      </c>
      <c r="Y153" s="25">
        <f t="shared" si="57"/>
        <v>62.098901098901102</v>
      </c>
    </row>
    <row r="154" spans="1:25" x14ac:dyDescent="0.25">
      <c r="A154" s="24" t="s">
        <v>327</v>
      </c>
      <c r="B154" s="24" t="s">
        <v>328</v>
      </c>
      <c r="C154" s="24" t="s">
        <v>216</v>
      </c>
      <c r="D154" s="24">
        <v>5</v>
      </c>
      <c r="E154" s="24"/>
      <c r="F154" s="24"/>
      <c r="G154" s="24"/>
      <c r="H154" s="24">
        <v>455</v>
      </c>
      <c r="I154" s="24">
        <v>42</v>
      </c>
      <c r="J154" s="24">
        <v>3</v>
      </c>
      <c r="K154" s="24">
        <v>12</v>
      </c>
      <c r="L154" s="24"/>
      <c r="M154" s="24">
        <v>512</v>
      </c>
      <c r="N154" s="25">
        <v>56.52734375</v>
      </c>
      <c r="O154" s="24" t="s">
        <v>281</v>
      </c>
      <c r="P154" s="24">
        <f t="shared" si="48"/>
        <v>12</v>
      </c>
      <c r="Q154" s="24">
        <f t="shared" si="49"/>
        <v>455</v>
      </c>
      <c r="R154" s="24">
        <f t="shared" si="50"/>
        <v>42</v>
      </c>
      <c r="S154" s="24">
        <f t="shared" si="51"/>
        <v>3</v>
      </c>
      <c r="T154" s="24">
        <f t="shared" si="52"/>
        <v>512</v>
      </c>
      <c r="U154" s="27">
        <f t="shared" si="53"/>
        <v>2.34375E-2</v>
      </c>
      <c r="V154" s="27">
        <f t="shared" si="54"/>
        <v>0.888671875</v>
      </c>
      <c r="W154" s="27">
        <f t="shared" si="55"/>
        <v>8.203125E-2</v>
      </c>
      <c r="X154" s="27">
        <f t="shared" si="56"/>
        <v>5.859375E-3</v>
      </c>
      <c r="Y154" s="25">
        <f t="shared" si="57"/>
        <v>56.52734375</v>
      </c>
    </row>
    <row r="155" spans="1:25" x14ac:dyDescent="0.25">
      <c r="A155" s="24" t="s">
        <v>327</v>
      </c>
      <c r="B155" s="24" t="s">
        <v>328</v>
      </c>
      <c r="C155" s="24" t="s">
        <v>216</v>
      </c>
      <c r="D155" s="24">
        <v>6</v>
      </c>
      <c r="E155" s="24"/>
      <c r="F155" s="24"/>
      <c r="G155" s="24"/>
      <c r="H155" s="24">
        <v>461</v>
      </c>
      <c r="I155" s="24">
        <v>30</v>
      </c>
      <c r="J155" s="24">
        <v>1</v>
      </c>
      <c r="K155" s="24">
        <v>20</v>
      </c>
      <c r="L155" s="24"/>
      <c r="M155" s="24">
        <v>512</v>
      </c>
      <c r="N155" s="25">
        <v>49.05859375</v>
      </c>
      <c r="O155" s="24" t="s">
        <v>281</v>
      </c>
      <c r="P155" s="24">
        <f t="shared" si="48"/>
        <v>20</v>
      </c>
      <c r="Q155" s="24">
        <f t="shared" si="49"/>
        <v>461</v>
      </c>
      <c r="R155" s="24">
        <f t="shared" si="50"/>
        <v>30</v>
      </c>
      <c r="S155" s="24">
        <f t="shared" si="51"/>
        <v>1</v>
      </c>
      <c r="T155" s="24">
        <f t="shared" si="52"/>
        <v>512</v>
      </c>
      <c r="U155" s="27">
        <f t="shared" si="53"/>
        <v>3.90625E-2</v>
      </c>
      <c r="V155" s="27">
        <f t="shared" si="54"/>
        <v>0.900390625</v>
      </c>
      <c r="W155" s="27">
        <f t="shared" si="55"/>
        <v>5.859375E-2</v>
      </c>
      <c r="X155" s="27">
        <f t="shared" si="56"/>
        <v>1.953125E-3</v>
      </c>
      <c r="Y155" s="25">
        <f t="shared" si="57"/>
        <v>49.05859375</v>
      </c>
    </row>
    <row r="156" spans="1:25" x14ac:dyDescent="0.25">
      <c r="A156" s="24" t="s">
        <v>327</v>
      </c>
      <c r="B156" s="24" t="s">
        <v>328</v>
      </c>
      <c r="C156" s="24" t="s">
        <v>216</v>
      </c>
      <c r="D156" s="24">
        <v>7</v>
      </c>
      <c r="E156" s="24"/>
      <c r="F156" s="24"/>
      <c r="G156" s="24"/>
      <c r="H156" s="24">
        <v>421</v>
      </c>
      <c r="I156" s="24">
        <v>66</v>
      </c>
      <c r="J156" s="24"/>
      <c r="K156" s="24">
        <v>25</v>
      </c>
      <c r="L156" s="24"/>
      <c r="M156" s="24">
        <v>512</v>
      </c>
      <c r="N156" s="25">
        <v>39.755859375</v>
      </c>
      <c r="O156" s="24" t="s">
        <v>281</v>
      </c>
      <c r="P156" s="24">
        <f t="shared" si="48"/>
        <v>25</v>
      </c>
      <c r="Q156" s="24">
        <f t="shared" si="49"/>
        <v>421</v>
      </c>
      <c r="R156" s="24">
        <f t="shared" si="50"/>
        <v>66</v>
      </c>
      <c r="S156" s="24">
        <f t="shared" si="51"/>
        <v>0</v>
      </c>
      <c r="T156" s="24">
        <f t="shared" si="52"/>
        <v>512</v>
      </c>
      <c r="U156" s="27">
        <f t="shared" si="53"/>
        <v>4.8828125E-2</v>
      </c>
      <c r="V156" s="27">
        <f t="shared" si="54"/>
        <v>0.822265625</v>
      </c>
      <c r="W156" s="27">
        <f t="shared" si="55"/>
        <v>0.12890625</v>
      </c>
      <c r="X156" s="27">
        <f t="shared" si="56"/>
        <v>0</v>
      </c>
      <c r="Y156" s="25">
        <f t="shared" si="57"/>
        <v>39.755859375</v>
      </c>
    </row>
    <row r="157" spans="1:25" x14ac:dyDescent="0.25">
      <c r="A157" s="24" t="s">
        <v>327</v>
      </c>
      <c r="B157" s="24" t="s">
        <v>328</v>
      </c>
      <c r="C157" s="24" t="s">
        <v>216</v>
      </c>
      <c r="D157" s="24">
        <v>8</v>
      </c>
      <c r="E157" s="24"/>
      <c r="F157" s="24"/>
      <c r="G157" s="24"/>
      <c r="H157" s="24">
        <v>406</v>
      </c>
      <c r="I157" s="24">
        <v>50</v>
      </c>
      <c r="J157" s="24"/>
      <c r="K157" s="24">
        <v>56</v>
      </c>
      <c r="L157" s="24"/>
      <c r="M157" s="24">
        <v>512</v>
      </c>
      <c r="N157" s="25">
        <v>26.494140625</v>
      </c>
      <c r="O157" s="24" t="s">
        <v>281</v>
      </c>
      <c r="P157" s="24">
        <f t="shared" si="48"/>
        <v>56</v>
      </c>
      <c r="Q157" s="24">
        <f t="shared" si="49"/>
        <v>406</v>
      </c>
      <c r="R157" s="24">
        <f t="shared" si="50"/>
        <v>50</v>
      </c>
      <c r="S157" s="24">
        <f t="shared" si="51"/>
        <v>0</v>
      </c>
      <c r="T157" s="24">
        <f t="shared" si="52"/>
        <v>512</v>
      </c>
      <c r="U157" s="27">
        <f t="shared" si="53"/>
        <v>0.109375</v>
      </c>
      <c r="V157" s="27">
        <f t="shared" si="54"/>
        <v>0.79296875</v>
      </c>
      <c r="W157" s="27">
        <f t="shared" si="55"/>
        <v>9.765625E-2</v>
      </c>
      <c r="X157" s="27">
        <f t="shared" si="56"/>
        <v>0</v>
      </c>
      <c r="Y157" s="25">
        <f t="shared" si="57"/>
        <v>26.494140625</v>
      </c>
    </row>
    <row r="158" spans="1:25" x14ac:dyDescent="0.25">
      <c r="A158" s="24" t="s">
        <v>329</v>
      </c>
      <c r="B158" s="24" t="s">
        <v>330</v>
      </c>
      <c r="C158" s="24" t="s">
        <v>218</v>
      </c>
      <c r="D158" s="24">
        <v>1</v>
      </c>
      <c r="E158" s="24"/>
      <c r="F158" s="24"/>
      <c r="G158" s="24"/>
      <c r="H158" s="24">
        <v>384</v>
      </c>
      <c r="I158" s="24">
        <v>57</v>
      </c>
      <c r="J158" s="24">
        <v>1</v>
      </c>
      <c r="K158" s="24">
        <v>8</v>
      </c>
      <c r="L158" s="24"/>
      <c r="M158" s="24">
        <v>450</v>
      </c>
      <c r="N158" s="25">
        <v>74.933333333333337</v>
      </c>
      <c r="O158" s="24" t="s">
        <v>281</v>
      </c>
      <c r="P158" s="24">
        <f t="shared" si="48"/>
        <v>8</v>
      </c>
      <c r="Q158" s="24">
        <f t="shared" si="49"/>
        <v>384</v>
      </c>
      <c r="R158" s="24">
        <f t="shared" si="50"/>
        <v>57</v>
      </c>
      <c r="S158" s="24">
        <f t="shared" si="51"/>
        <v>1</v>
      </c>
      <c r="T158" s="24">
        <f t="shared" si="52"/>
        <v>450</v>
      </c>
      <c r="U158" s="27">
        <f t="shared" si="53"/>
        <v>1.7777777777777778E-2</v>
      </c>
      <c r="V158" s="27">
        <f t="shared" si="54"/>
        <v>0.85333333333333339</v>
      </c>
      <c r="W158" s="27">
        <f t="shared" si="55"/>
        <v>0.12666666666666668</v>
      </c>
      <c r="X158" s="27">
        <f t="shared" si="56"/>
        <v>2.2222222222222222E-3</v>
      </c>
      <c r="Y158" s="25">
        <f t="shared" si="57"/>
        <v>74.933333333333337</v>
      </c>
    </row>
    <row r="159" spans="1:25" x14ac:dyDescent="0.25">
      <c r="A159" s="24" t="s">
        <v>329</v>
      </c>
      <c r="B159" s="24" t="s">
        <v>330</v>
      </c>
      <c r="C159" s="24" t="s">
        <v>218</v>
      </c>
      <c r="D159" s="24">
        <v>2</v>
      </c>
      <c r="E159" s="24"/>
      <c r="F159" s="24"/>
      <c r="G159" s="24"/>
      <c r="H159" s="24">
        <v>397</v>
      </c>
      <c r="I159" s="24">
        <v>44</v>
      </c>
      <c r="J159" s="24">
        <v>4</v>
      </c>
      <c r="K159" s="24">
        <v>5</v>
      </c>
      <c r="L159" s="24"/>
      <c r="M159" s="24">
        <v>450</v>
      </c>
      <c r="N159" s="25">
        <v>69.208888888888893</v>
      </c>
      <c r="O159" s="24" t="s">
        <v>281</v>
      </c>
      <c r="P159" s="24">
        <f t="shared" si="48"/>
        <v>5</v>
      </c>
      <c r="Q159" s="24">
        <f t="shared" si="49"/>
        <v>397</v>
      </c>
      <c r="R159" s="24">
        <f t="shared" si="50"/>
        <v>44</v>
      </c>
      <c r="S159" s="24">
        <f t="shared" si="51"/>
        <v>4</v>
      </c>
      <c r="T159" s="24">
        <f t="shared" si="52"/>
        <v>450</v>
      </c>
      <c r="U159" s="27">
        <f t="shared" si="53"/>
        <v>1.1111111111111112E-2</v>
      </c>
      <c r="V159" s="27">
        <f t="shared" si="54"/>
        <v>0.88222222222222224</v>
      </c>
      <c r="W159" s="27">
        <f t="shared" si="55"/>
        <v>9.7777777777777783E-2</v>
      </c>
      <c r="X159" s="27">
        <f t="shared" si="56"/>
        <v>8.8888888888888889E-3</v>
      </c>
      <c r="Y159" s="25">
        <f t="shared" si="57"/>
        <v>69.208888888888893</v>
      </c>
    </row>
    <row r="160" spans="1:25" x14ac:dyDescent="0.25">
      <c r="A160" s="24" t="s">
        <v>329</v>
      </c>
      <c r="B160" s="24" t="s">
        <v>330</v>
      </c>
      <c r="C160" s="24" t="s">
        <v>218</v>
      </c>
      <c r="D160" s="24">
        <v>3</v>
      </c>
      <c r="E160" s="24"/>
      <c r="F160" s="24"/>
      <c r="G160" s="24"/>
      <c r="H160" s="24">
        <v>350</v>
      </c>
      <c r="I160" s="24">
        <v>79</v>
      </c>
      <c r="J160" s="24">
        <v>3</v>
      </c>
      <c r="K160" s="24">
        <v>18</v>
      </c>
      <c r="L160" s="24"/>
      <c r="M160" s="24">
        <v>450</v>
      </c>
      <c r="N160" s="25">
        <v>59.535555555555554</v>
      </c>
      <c r="O160" s="24" t="s">
        <v>281</v>
      </c>
      <c r="P160" s="24">
        <f t="shared" si="48"/>
        <v>18</v>
      </c>
      <c r="Q160" s="24">
        <f t="shared" si="49"/>
        <v>350</v>
      </c>
      <c r="R160" s="24">
        <f t="shared" si="50"/>
        <v>79</v>
      </c>
      <c r="S160" s="24">
        <f t="shared" si="51"/>
        <v>3</v>
      </c>
      <c r="T160" s="24">
        <f t="shared" si="52"/>
        <v>450</v>
      </c>
      <c r="U160" s="27">
        <f t="shared" si="53"/>
        <v>0.04</v>
      </c>
      <c r="V160" s="27">
        <f t="shared" si="54"/>
        <v>0.77777777777777779</v>
      </c>
      <c r="W160" s="27">
        <f t="shared" si="55"/>
        <v>0.17555555555555555</v>
      </c>
      <c r="X160" s="27">
        <f t="shared" si="56"/>
        <v>6.6666666666666671E-3</v>
      </c>
      <c r="Y160" s="25">
        <f t="shared" si="57"/>
        <v>59.535555555555554</v>
      </c>
    </row>
    <row r="161" spans="1:25" x14ac:dyDescent="0.25">
      <c r="A161" s="24" t="s">
        <v>329</v>
      </c>
      <c r="B161" s="24" t="s">
        <v>330</v>
      </c>
      <c r="C161" s="24" t="s">
        <v>218</v>
      </c>
      <c r="D161" s="24">
        <v>4</v>
      </c>
      <c r="E161" s="24"/>
      <c r="F161" s="24"/>
      <c r="G161" s="24"/>
      <c r="H161" s="24">
        <v>482</v>
      </c>
      <c r="I161" s="24">
        <v>120</v>
      </c>
      <c r="J161" s="24">
        <v>4</v>
      </c>
      <c r="K161" s="24">
        <v>14</v>
      </c>
      <c r="L161" s="24"/>
      <c r="M161" s="24">
        <v>620</v>
      </c>
      <c r="N161" s="25">
        <v>49.624193548387098</v>
      </c>
      <c r="O161" s="24" t="s">
        <v>281</v>
      </c>
      <c r="P161" s="24">
        <f t="shared" si="48"/>
        <v>14</v>
      </c>
      <c r="Q161" s="24">
        <f t="shared" si="49"/>
        <v>482</v>
      </c>
      <c r="R161" s="24">
        <f t="shared" si="50"/>
        <v>120</v>
      </c>
      <c r="S161" s="24">
        <f t="shared" si="51"/>
        <v>4</v>
      </c>
      <c r="T161" s="24">
        <f t="shared" si="52"/>
        <v>620</v>
      </c>
      <c r="U161" s="27">
        <f t="shared" si="53"/>
        <v>2.2580645161290321E-2</v>
      </c>
      <c r="V161" s="27">
        <f t="shared" si="54"/>
        <v>0.77741935483870972</v>
      </c>
      <c r="W161" s="27">
        <f t="shared" si="55"/>
        <v>0.19354838709677419</v>
      </c>
      <c r="X161" s="27">
        <f t="shared" si="56"/>
        <v>6.4516129032258064E-3</v>
      </c>
      <c r="Y161" s="25">
        <f t="shared" si="57"/>
        <v>49.624193548387098</v>
      </c>
    </row>
    <row r="162" spans="1:25" x14ac:dyDescent="0.25">
      <c r="A162" s="24" t="s">
        <v>329</v>
      </c>
      <c r="B162" s="24" t="s">
        <v>330</v>
      </c>
      <c r="C162" s="24" t="s">
        <v>218</v>
      </c>
      <c r="D162" s="24">
        <v>5</v>
      </c>
      <c r="E162" s="24"/>
      <c r="F162" s="24"/>
      <c r="G162" s="24"/>
      <c r="H162" s="24">
        <v>418</v>
      </c>
      <c r="I162" s="24">
        <v>164</v>
      </c>
      <c r="J162" s="24">
        <v>3</v>
      </c>
      <c r="K162" s="24">
        <v>35</v>
      </c>
      <c r="L162" s="24"/>
      <c r="M162" s="24">
        <v>620</v>
      </c>
      <c r="N162" s="25">
        <v>40.972580645161287</v>
      </c>
      <c r="O162" s="24" t="s">
        <v>281</v>
      </c>
      <c r="P162" s="24">
        <f t="shared" si="48"/>
        <v>35</v>
      </c>
      <c r="Q162" s="24">
        <f t="shared" si="49"/>
        <v>418</v>
      </c>
      <c r="R162" s="24">
        <f t="shared" si="50"/>
        <v>164</v>
      </c>
      <c r="S162" s="24">
        <f t="shared" si="51"/>
        <v>3</v>
      </c>
      <c r="T162" s="24">
        <f t="shared" si="52"/>
        <v>620</v>
      </c>
      <c r="U162" s="27">
        <f t="shared" si="53"/>
        <v>5.6451612903225805E-2</v>
      </c>
      <c r="V162" s="27">
        <f t="shared" si="54"/>
        <v>0.67419354838709677</v>
      </c>
      <c r="W162" s="27">
        <f t="shared" si="55"/>
        <v>0.26451612903225807</v>
      </c>
      <c r="X162" s="27">
        <f t="shared" si="56"/>
        <v>4.8387096774193551E-3</v>
      </c>
      <c r="Y162" s="25">
        <f t="shared" si="57"/>
        <v>40.972580645161287</v>
      </c>
    </row>
    <row r="163" spans="1:25" x14ac:dyDescent="0.25">
      <c r="A163" s="24" t="s">
        <v>329</v>
      </c>
      <c r="B163" s="24" t="s">
        <v>330</v>
      </c>
      <c r="C163" s="24" t="s">
        <v>218</v>
      </c>
      <c r="D163" s="24">
        <v>6</v>
      </c>
      <c r="E163" s="24">
        <v>2</v>
      </c>
      <c r="F163" s="24">
        <v>1</v>
      </c>
      <c r="G163" s="24">
        <v>1</v>
      </c>
      <c r="H163" s="24">
        <v>427</v>
      </c>
      <c r="I163" s="24">
        <v>153</v>
      </c>
      <c r="J163" s="24">
        <v>1</v>
      </c>
      <c r="K163" s="24">
        <v>35</v>
      </c>
      <c r="L163" s="24"/>
      <c r="M163" s="24">
        <v>620</v>
      </c>
      <c r="N163" s="25">
        <v>32.951612903225808</v>
      </c>
      <c r="O163" s="24" t="s">
        <v>281</v>
      </c>
      <c r="P163" s="24">
        <f t="shared" si="48"/>
        <v>35</v>
      </c>
      <c r="Q163" s="24">
        <f t="shared" si="49"/>
        <v>427</v>
      </c>
      <c r="R163" s="24">
        <f t="shared" si="50"/>
        <v>153</v>
      </c>
      <c r="S163" s="24">
        <f t="shared" si="51"/>
        <v>5</v>
      </c>
      <c r="T163" s="24">
        <f t="shared" si="52"/>
        <v>620</v>
      </c>
      <c r="U163" s="27">
        <f t="shared" si="53"/>
        <v>5.6451612903225805E-2</v>
      </c>
      <c r="V163" s="27">
        <f t="shared" si="54"/>
        <v>0.68870967741935485</v>
      </c>
      <c r="W163" s="27">
        <f t="shared" si="55"/>
        <v>0.24677419354838709</v>
      </c>
      <c r="X163" s="27">
        <f t="shared" si="56"/>
        <v>8.0645161290322578E-3</v>
      </c>
      <c r="Y163" s="25">
        <f t="shared" si="57"/>
        <v>32.951612903225808</v>
      </c>
    </row>
    <row r="164" spans="1:25" x14ac:dyDescent="0.25">
      <c r="A164" s="24" t="s">
        <v>329</v>
      </c>
      <c r="B164" s="24" t="s">
        <v>330</v>
      </c>
      <c r="C164" s="24" t="s">
        <v>218</v>
      </c>
      <c r="D164" s="24">
        <v>7</v>
      </c>
      <c r="E164" s="24"/>
      <c r="F164" s="24"/>
      <c r="G164" s="24">
        <v>1</v>
      </c>
      <c r="H164" s="24">
        <v>433</v>
      </c>
      <c r="I164" s="24">
        <v>152</v>
      </c>
      <c r="J164" s="24"/>
      <c r="K164" s="24">
        <v>34</v>
      </c>
      <c r="L164" s="24"/>
      <c r="M164" s="24">
        <v>620</v>
      </c>
      <c r="N164" s="25">
        <v>23.629032258064516</v>
      </c>
      <c r="O164" s="24" t="s">
        <v>281</v>
      </c>
      <c r="P164" s="24">
        <f t="shared" si="48"/>
        <v>34</v>
      </c>
      <c r="Q164" s="24">
        <f t="shared" si="49"/>
        <v>433</v>
      </c>
      <c r="R164" s="24">
        <f t="shared" si="50"/>
        <v>152</v>
      </c>
      <c r="S164" s="24">
        <f t="shared" si="51"/>
        <v>1</v>
      </c>
      <c r="T164" s="24">
        <f t="shared" si="52"/>
        <v>620</v>
      </c>
      <c r="U164" s="27">
        <f t="shared" si="53"/>
        <v>5.4838709677419356E-2</v>
      </c>
      <c r="V164" s="27">
        <f t="shared" si="54"/>
        <v>0.69838709677419353</v>
      </c>
      <c r="W164" s="27">
        <f t="shared" si="55"/>
        <v>0.24516129032258063</v>
      </c>
      <c r="X164" s="27">
        <f t="shared" si="56"/>
        <v>1.6129032258064516E-3</v>
      </c>
      <c r="Y164" s="25">
        <f t="shared" si="57"/>
        <v>23.629032258064516</v>
      </c>
    </row>
    <row r="165" spans="1:25" x14ac:dyDescent="0.25">
      <c r="A165" s="24" t="s">
        <v>331</v>
      </c>
      <c r="B165" s="24" t="s">
        <v>332</v>
      </c>
      <c r="C165" s="24" t="s">
        <v>220</v>
      </c>
      <c r="D165" s="24">
        <v>1</v>
      </c>
      <c r="E165" s="24"/>
      <c r="F165" s="24"/>
      <c r="G165" s="24"/>
      <c r="H165" s="24">
        <v>93</v>
      </c>
      <c r="I165" s="24">
        <v>121</v>
      </c>
      <c r="J165" s="24">
        <v>6</v>
      </c>
      <c r="K165" s="24">
        <v>230</v>
      </c>
      <c r="L165" s="24"/>
      <c r="M165" s="24">
        <v>450</v>
      </c>
      <c r="N165" s="25">
        <v>68.319999999999993</v>
      </c>
      <c r="O165" s="24" t="s">
        <v>281</v>
      </c>
      <c r="P165" s="24">
        <f t="shared" si="48"/>
        <v>230</v>
      </c>
      <c r="Q165" s="24">
        <f t="shared" si="49"/>
        <v>93</v>
      </c>
      <c r="R165" s="24">
        <f t="shared" si="50"/>
        <v>121</v>
      </c>
      <c r="S165" s="24">
        <f t="shared" si="51"/>
        <v>6</v>
      </c>
      <c r="T165" s="24">
        <f t="shared" si="52"/>
        <v>450</v>
      </c>
      <c r="U165" s="27">
        <f t="shared" si="53"/>
        <v>0.51111111111111107</v>
      </c>
      <c r="V165" s="27">
        <f t="shared" si="54"/>
        <v>0.20666666666666667</v>
      </c>
      <c r="W165" s="27">
        <f t="shared" si="55"/>
        <v>0.2688888888888889</v>
      </c>
      <c r="X165" s="27">
        <f t="shared" si="56"/>
        <v>1.3333333333333334E-2</v>
      </c>
      <c r="Y165" s="25">
        <f t="shared" si="57"/>
        <v>68.319999999999993</v>
      </c>
    </row>
    <row r="166" spans="1:25" x14ac:dyDescent="0.25">
      <c r="A166" s="24" t="s">
        <v>331</v>
      </c>
      <c r="B166" s="24" t="s">
        <v>332</v>
      </c>
      <c r="C166" s="24" t="s">
        <v>220</v>
      </c>
      <c r="D166" s="24">
        <v>2</v>
      </c>
      <c r="E166" s="24"/>
      <c r="F166" s="24"/>
      <c r="G166" s="24">
        <v>1</v>
      </c>
      <c r="H166" s="24">
        <v>96</v>
      </c>
      <c r="I166" s="24">
        <v>111</v>
      </c>
      <c r="J166" s="24">
        <v>3</v>
      </c>
      <c r="K166" s="24">
        <v>238</v>
      </c>
      <c r="L166" s="24">
        <v>1</v>
      </c>
      <c r="M166" s="24">
        <v>450</v>
      </c>
      <c r="N166" s="25">
        <v>64.142222222222216</v>
      </c>
      <c r="O166" s="24" t="s">
        <v>281</v>
      </c>
      <c r="P166" s="24">
        <f t="shared" si="48"/>
        <v>238</v>
      </c>
      <c r="Q166" s="24">
        <f t="shared" si="49"/>
        <v>96</v>
      </c>
      <c r="R166" s="24">
        <f t="shared" si="50"/>
        <v>111</v>
      </c>
      <c r="S166" s="24">
        <f t="shared" si="51"/>
        <v>5</v>
      </c>
      <c r="T166" s="24">
        <f t="shared" si="52"/>
        <v>450</v>
      </c>
      <c r="U166" s="27">
        <f t="shared" si="53"/>
        <v>0.52888888888888885</v>
      </c>
      <c r="V166" s="27">
        <f t="shared" si="54"/>
        <v>0.21333333333333335</v>
      </c>
      <c r="W166" s="27">
        <f t="shared" si="55"/>
        <v>0.24666666666666667</v>
      </c>
      <c r="X166" s="27">
        <f t="shared" si="56"/>
        <v>1.1111111111111112E-2</v>
      </c>
      <c r="Y166" s="25">
        <f t="shared" si="57"/>
        <v>64.142222222222216</v>
      </c>
    </row>
    <row r="167" spans="1:25" x14ac:dyDescent="0.25">
      <c r="A167" s="24" t="s">
        <v>331</v>
      </c>
      <c r="B167" s="24" t="s">
        <v>332</v>
      </c>
      <c r="C167" s="24" t="s">
        <v>220</v>
      </c>
      <c r="D167" s="24">
        <v>3</v>
      </c>
      <c r="E167" s="24"/>
      <c r="F167" s="24">
        <v>2</v>
      </c>
      <c r="G167" s="24">
        <v>1</v>
      </c>
      <c r="H167" s="24">
        <v>150</v>
      </c>
      <c r="I167" s="24">
        <v>219</v>
      </c>
      <c r="J167" s="24">
        <v>8</v>
      </c>
      <c r="K167" s="24">
        <v>366</v>
      </c>
      <c r="L167" s="24">
        <v>2</v>
      </c>
      <c r="M167" s="24">
        <v>748</v>
      </c>
      <c r="N167" s="25">
        <v>51.308823529411768</v>
      </c>
      <c r="O167" s="24" t="s">
        <v>281</v>
      </c>
      <c r="P167" s="24">
        <f t="shared" si="48"/>
        <v>366</v>
      </c>
      <c r="Q167" s="24">
        <f t="shared" si="49"/>
        <v>150</v>
      </c>
      <c r="R167" s="24">
        <f t="shared" si="50"/>
        <v>219</v>
      </c>
      <c r="S167" s="24">
        <f t="shared" si="51"/>
        <v>13</v>
      </c>
      <c r="T167" s="24">
        <f t="shared" si="52"/>
        <v>748</v>
      </c>
      <c r="U167" s="27">
        <f t="shared" si="53"/>
        <v>0.48930481283422461</v>
      </c>
      <c r="V167" s="27">
        <f t="shared" si="54"/>
        <v>0.20053475935828877</v>
      </c>
      <c r="W167" s="27">
        <f t="shared" si="55"/>
        <v>0.29278074866310161</v>
      </c>
      <c r="X167" s="27">
        <f t="shared" si="56"/>
        <v>1.7379679144385027E-2</v>
      </c>
      <c r="Y167" s="25">
        <f t="shared" si="57"/>
        <v>51.308823529411768</v>
      </c>
    </row>
    <row r="168" spans="1:25" x14ac:dyDescent="0.25">
      <c r="A168" s="24" t="s">
        <v>331</v>
      </c>
      <c r="B168" s="24" t="s">
        <v>332</v>
      </c>
      <c r="C168" s="24" t="s">
        <v>220</v>
      </c>
      <c r="D168" s="24">
        <v>4</v>
      </c>
      <c r="E168" s="24"/>
      <c r="F168" s="24"/>
      <c r="G168" s="24"/>
      <c r="H168" s="24">
        <v>117</v>
      </c>
      <c r="I168" s="24">
        <v>130</v>
      </c>
      <c r="J168" s="24">
        <v>7</v>
      </c>
      <c r="K168" s="24">
        <v>489</v>
      </c>
      <c r="L168" s="24">
        <v>5</v>
      </c>
      <c r="M168" s="24">
        <v>748</v>
      </c>
      <c r="N168" s="25">
        <v>41.054812834224599</v>
      </c>
      <c r="O168" s="24" t="s">
        <v>281</v>
      </c>
      <c r="P168" s="24">
        <f t="shared" si="48"/>
        <v>489</v>
      </c>
      <c r="Q168" s="24">
        <f t="shared" si="49"/>
        <v>117</v>
      </c>
      <c r="R168" s="24">
        <f t="shared" si="50"/>
        <v>130</v>
      </c>
      <c r="S168" s="24">
        <f t="shared" si="51"/>
        <v>12</v>
      </c>
      <c r="T168" s="24">
        <f t="shared" si="52"/>
        <v>748</v>
      </c>
      <c r="U168" s="27">
        <f t="shared" si="53"/>
        <v>0.65374331550802134</v>
      </c>
      <c r="V168" s="27">
        <f t="shared" si="54"/>
        <v>0.15641711229946523</v>
      </c>
      <c r="W168" s="27">
        <f t="shared" si="55"/>
        <v>0.17379679144385027</v>
      </c>
      <c r="X168" s="27">
        <f t="shared" si="56"/>
        <v>1.6042780748663103E-2</v>
      </c>
      <c r="Y168" s="25">
        <f t="shared" si="57"/>
        <v>41.054812834224599</v>
      </c>
    </row>
    <row r="169" spans="1:25" x14ac:dyDescent="0.25">
      <c r="A169" s="24" t="s">
        <v>331</v>
      </c>
      <c r="B169" s="24" t="s">
        <v>332</v>
      </c>
      <c r="C169" s="24" t="s">
        <v>220</v>
      </c>
      <c r="D169" s="24">
        <v>5</v>
      </c>
      <c r="E169" s="24">
        <v>4</v>
      </c>
      <c r="F169" s="24"/>
      <c r="G169" s="24"/>
      <c r="H169" s="24">
        <v>105</v>
      </c>
      <c r="I169" s="24">
        <v>139</v>
      </c>
      <c r="J169" s="24">
        <v>5</v>
      </c>
      <c r="K169" s="24">
        <v>492</v>
      </c>
      <c r="L169" s="24">
        <v>4</v>
      </c>
      <c r="M169" s="24">
        <v>749</v>
      </c>
      <c r="N169" s="25">
        <v>33.742323097463284</v>
      </c>
      <c r="O169" s="24" t="s">
        <v>281</v>
      </c>
      <c r="P169" s="24">
        <f t="shared" si="48"/>
        <v>492</v>
      </c>
      <c r="Q169" s="24">
        <f t="shared" si="49"/>
        <v>105</v>
      </c>
      <c r="R169" s="24">
        <f t="shared" si="50"/>
        <v>139</v>
      </c>
      <c r="S169" s="24">
        <f t="shared" si="51"/>
        <v>13</v>
      </c>
      <c r="T169" s="24">
        <f t="shared" si="52"/>
        <v>749</v>
      </c>
      <c r="U169" s="27">
        <f t="shared" si="53"/>
        <v>0.6568758344459279</v>
      </c>
      <c r="V169" s="27">
        <f t="shared" si="54"/>
        <v>0.14018691588785046</v>
      </c>
      <c r="W169" s="27">
        <f t="shared" si="55"/>
        <v>0.1855807743658211</v>
      </c>
      <c r="X169" s="27">
        <f t="shared" si="56"/>
        <v>1.7356475300400534E-2</v>
      </c>
      <c r="Y169" s="25">
        <f t="shared" si="57"/>
        <v>33.742323097463284</v>
      </c>
    </row>
    <row r="170" spans="1:25" x14ac:dyDescent="0.25">
      <c r="A170" s="24" t="s">
        <v>331</v>
      </c>
      <c r="B170" s="24" t="s">
        <v>332</v>
      </c>
      <c r="C170" s="24" t="s">
        <v>220</v>
      </c>
      <c r="D170" s="24">
        <v>6</v>
      </c>
      <c r="E170" s="24">
        <v>3</v>
      </c>
      <c r="F170" s="24"/>
      <c r="G170" s="24"/>
      <c r="H170" s="24">
        <v>63</v>
      </c>
      <c r="I170" s="24">
        <v>151</v>
      </c>
      <c r="J170" s="24">
        <v>2</v>
      </c>
      <c r="K170" s="24">
        <v>530</v>
      </c>
      <c r="L170" s="24"/>
      <c r="M170" s="24">
        <v>749</v>
      </c>
      <c r="N170" s="25">
        <v>24.65954606141522</v>
      </c>
      <c r="O170" s="24" t="s">
        <v>281</v>
      </c>
      <c r="P170" s="24">
        <f t="shared" si="48"/>
        <v>530</v>
      </c>
      <c r="Q170" s="24">
        <f t="shared" si="49"/>
        <v>63</v>
      </c>
      <c r="R170" s="24">
        <f t="shared" si="50"/>
        <v>151</v>
      </c>
      <c r="S170" s="24">
        <f t="shared" si="51"/>
        <v>5</v>
      </c>
      <c r="T170" s="24">
        <f t="shared" si="52"/>
        <v>749</v>
      </c>
      <c r="U170" s="27">
        <f t="shared" si="53"/>
        <v>0.70761014686248336</v>
      </c>
      <c r="V170" s="27">
        <f t="shared" si="54"/>
        <v>8.4112149532710276E-2</v>
      </c>
      <c r="W170" s="27">
        <f t="shared" si="55"/>
        <v>0.20160213618157544</v>
      </c>
      <c r="X170" s="27">
        <f t="shared" si="56"/>
        <v>6.6755674232309749E-3</v>
      </c>
      <c r="Y170" s="25">
        <f t="shared" si="57"/>
        <v>24.65954606141522</v>
      </c>
    </row>
    <row r="171" spans="1:25" x14ac:dyDescent="0.25">
      <c r="A171" s="24" t="s">
        <v>333</v>
      </c>
      <c r="B171" s="24" t="s">
        <v>334</v>
      </c>
      <c r="C171" s="24" t="s">
        <v>222</v>
      </c>
      <c r="D171" s="24">
        <v>1</v>
      </c>
      <c r="E171" s="24"/>
      <c r="F171" s="24"/>
      <c r="G171" s="24">
        <v>1</v>
      </c>
      <c r="H171" s="24">
        <v>308</v>
      </c>
      <c r="I171" s="24">
        <v>57</v>
      </c>
      <c r="J171" s="24">
        <v>2</v>
      </c>
      <c r="K171" s="24">
        <v>82</v>
      </c>
      <c r="L171" s="24"/>
      <c r="M171" s="24">
        <v>450</v>
      </c>
      <c r="N171" s="25">
        <v>72.995555555555555</v>
      </c>
      <c r="O171" s="24" t="s">
        <v>281</v>
      </c>
      <c r="P171" s="24">
        <f t="shared" si="48"/>
        <v>82</v>
      </c>
      <c r="Q171" s="24">
        <f t="shared" si="49"/>
        <v>308</v>
      </c>
      <c r="R171" s="24">
        <f t="shared" si="50"/>
        <v>57</v>
      </c>
      <c r="S171" s="24">
        <f t="shared" si="51"/>
        <v>3</v>
      </c>
      <c r="T171" s="24">
        <f t="shared" si="52"/>
        <v>450</v>
      </c>
      <c r="U171" s="27">
        <f t="shared" si="53"/>
        <v>0.18222222222222223</v>
      </c>
      <c r="V171" s="27">
        <f t="shared" si="54"/>
        <v>0.68444444444444441</v>
      </c>
      <c r="W171" s="27">
        <f t="shared" si="55"/>
        <v>0.12666666666666668</v>
      </c>
      <c r="X171" s="27">
        <f t="shared" si="56"/>
        <v>6.6666666666666671E-3</v>
      </c>
      <c r="Y171" s="25">
        <f t="shared" si="57"/>
        <v>72.995555555555555</v>
      </c>
    </row>
    <row r="172" spans="1:25" x14ac:dyDescent="0.25">
      <c r="A172" s="24" t="s">
        <v>333</v>
      </c>
      <c r="B172" s="24" t="s">
        <v>334</v>
      </c>
      <c r="C172" s="24" t="s">
        <v>222</v>
      </c>
      <c r="D172" s="24">
        <v>2</v>
      </c>
      <c r="E172" s="24"/>
      <c r="F172" s="24"/>
      <c r="G172" s="24"/>
      <c r="H172" s="24">
        <v>339</v>
      </c>
      <c r="I172" s="24">
        <v>46</v>
      </c>
      <c r="J172" s="24">
        <v>8</v>
      </c>
      <c r="K172" s="24">
        <v>56</v>
      </c>
      <c r="L172" s="24">
        <v>1</v>
      </c>
      <c r="M172" s="24">
        <v>450</v>
      </c>
      <c r="N172" s="25">
        <v>70.888888888888886</v>
      </c>
      <c r="O172" s="24" t="s">
        <v>281</v>
      </c>
      <c r="P172" s="24">
        <f t="shared" si="48"/>
        <v>56</v>
      </c>
      <c r="Q172" s="24">
        <f t="shared" si="49"/>
        <v>339</v>
      </c>
      <c r="R172" s="24">
        <f t="shared" si="50"/>
        <v>46</v>
      </c>
      <c r="S172" s="24">
        <f t="shared" si="51"/>
        <v>9</v>
      </c>
      <c r="T172" s="24">
        <f t="shared" si="52"/>
        <v>450</v>
      </c>
      <c r="U172" s="27">
        <f t="shared" si="53"/>
        <v>0.12444444444444444</v>
      </c>
      <c r="V172" s="27">
        <f t="shared" si="54"/>
        <v>0.7533333333333333</v>
      </c>
      <c r="W172" s="27">
        <f t="shared" si="55"/>
        <v>0.10222222222222223</v>
      </c>
      <c r="X172" s="27">
        <f t="shared" si="56"/>
        <v>0.02</v>
      </c>
      <c r="Y172" s="25">
        <f t="shared" si="57"/>
        <v>70.888888888888886</v>
      </c>
    </row>
    <row r="173" spans="1:25" x14ac:dyDescent="0.25">
      <c r="A173" s="24" t="s">
        <v>333</v>
      </c>
      <c r="B173" s="24" t="s">
        <v>334</v>
      </c>
      <c r="C173" s="24" t="s">
        <v>222</v>
      </c>
      <c r="D173" s="24">
        <v>3</v>
      </c>
      <c r="E173" s="24"/>
      <c r="F173" s="24"/>
      <c r="G173" s="24"/>
      <c r="H173" s="24">
        <v>403</v>
      </c>
      <c r="I173" s="24">
        <v>67</v>
      </c>
      <c r="J173" s="24">
        <v>3</v>
      </c>
      <c r="K173" s="24">
        <v>79</v>
      </c>
      <c r="L173" s="24"/>
      <c r="M173" s="24">
        <v>552</v>
      </c>
      <c r="N173" s="25">
        <v>63.371376811594203</v>
      </c>
      <c r="O173" s="24" t="s">
        <v>281</v>
      </c>
      <c r="P173" s="24">
        <f t="shared" si="48"/>
        <v>79</v>
      </c>
      <c r="Q173" s="24">
        <f t="shared" si="49"/>
        <v>403</v>
      </c>
      <c r="R173" s="24">
        <f t="shared" si="50"/>
        <v>67</v>
      </c>
      <c r="S173" s="24">
        <f t="shared" si="51"/>
        <v>3</v>
      </c>
      <c r="T173" s="24">
        <f t="shared" si="52"/>
        <v>552</v>
      </c>
      <c r="U173" s="27">
        <f t="shared" si="53"/>
        <v>0.1431159420289855</v>
      </c>
      <c r="V173" s="27">
        <f t="shared" si="54"/>
        <v>0.73007246376811596</v>
      </c>
      <c r="W173" s="27">
        <f t="shared" si="55"/>
        <v>0.1213768115942029</v>
      </c>
      <c r="X173" s="27">
        <f t="shared" si="56"/>
        <v>5.434782608695652E-3</v>
      </c>
      <c r="Y173" s="25">
        <f t="shared" si="57"/>
        <v>63.371376811594203</v>
      </c>
    </row>
    <row r="174" spans="1:25" x14ac:dyDescent="0.25">
      <c r="A174" s="24" t="s">
        <v>333</v>
      </c>
      <c r="B174" s="24" t="s">
        <v>334</v>
      </c>
      <c r="C174" s="24" t="s">
        <v>222</v>
      </c>
      <c r="D174" s="24">
        <v>4</v>
      </c>
      <c r="E174" s="24"/>
      <c r="F174" s="24">
        <v>1</v>
      </c>
      <c r="G174" s="24"/>
      <c r="H174" s="24">
        <v>367</v>
      </c>
      <c r="I174" s="24">
        <v>76</v>
      </c>
      <c r="J174" s="24">
        <v>2</v>
      </c>
      <c r="K174" s="24">
        <v>105</v>
      </c>
      <c r="L174" s="24">
        <v>2</v>
      </c>
      <c r="M174" s="24">
        <v>553</v>
      </c>
      <c r="N174" s="25">
        <v>55.396021699819165</v>
      </c>
      <c r="O174" s="24" t="s">
        <v>281</v>
      </c>
      <c r="P174" s="24">
        <f t="shared" si="48"/>
        <v>105</v>
      </c>
      <c r="Q174" s="24">
        <f t="shared" si="49"/>
        <v>367</v>
      </c>
      <c r="R174" s="24">
        <f t="shared" si="50"/>
        <v>76</v>
      </c>
      <c r="S174" s="24">
        <f t="shared" si="51"/>
        <v>5</v>
      </c>
      <c r="T174" s="24">
        <f t="shared" si="52"/>
        <v>553</v>
      </c>
      <c r="U174" s="27">
        <f t="shared" si="53"/>
        <v>0.189873417721519</v>
      </c>
      <c r="V174" s="27">
        <f t="shared" si="54"/>
        <v>0.66365280289330919</v>
      </c>
      <c r="W174" s="27">
        <f t="shared" si="55"/>
        <v>0.13743218806509946</v>
      </c>
      <c r="X174" s="27">
        <f t="shared" si="56"/>
        <v>9.0415913200723331E-3</v>
      </c>
      <c r="Y174" s="25">
        <f t="shared" si="57"/>
        <v>55.396021699819165</v>
      </c>
    </row>
    <row r="175" spans="1:25" x14ac:dyDescent="0.25">
      <c r="A175" s="24" t="s">
        <v>333</v>
      </c>
      <c r="B175" s="24" t="s">
        <v>334</v>
      </c>
      <c r="C175" s="24" t="s">
        <v>222</v>
      </c>
      <c r="D175" s="24">
        <v>5</v>
      </c>
      <c r="E175" s="24"/>
      <c r="F175" s="24"/>
      <c r="G175" s="24">
        <v>1</v>
      </c>
      <c r="H175" s="24">
        <v>324</v>
      </c>
      <c r="I175" s="24">
        <v>88</v>
      </c>
      <c r="J175" s="24">
        <v>1</v>
      </c>
      <c r="K175" s="24">
        <v>136</v>
      </c>
      <c r="L175" s="24">
        <v>3</v>
      </c>
      <c r="M175" s="24">
        <v>553</v>
      </c>
      <c r="N175" s="25">
        <v>46.224231464737791</v>
      </c>
      <c r="O175" s="24" t="s">
        <v>281</v>
      </c>
      <c r="P175" s="24">
        <f t="shared" si="48"/>
        <v>136</v>
      </c>
      <c r="Q175" s="24">
        <f t="shared" si="49"/>
        <v>324</v>
      </c>
      <c r="R175" s="24">
        <f t="shared" si="50"/>
        <v>88</v>
      </c>
      <c r="S175" s="24">
        <f t="shared" si="51"/>
        <v>5</v>
      </c>
      <c r="T175" s="24">
        <f t="shared" si="52"/>
        <v>553</v>
      </c>
      <c r="U175" s="27">
        <f t="shared" si="53"/>
        <v>0.24593128390596744</v>
      </c>
      <c r="V175" s="27">
        <f t="shared" si="54"/>
        <v>0.58589511754068713</v>
      </c>
      <c r="W175" s="27">
        <f t="shared" si="55"/>
        <v>0.15913200723327306</v>
      </c>
      <c r="X175" s="27">
        <f t="shared" si="56"/>
        <v>9.0415913200723331E-3</v>
      </c>
      <c r="Y175" s="25">
        <f t="shared" si="57"/>
        <v>46.224231464737791</v>
      </c>
    </row>
    <row r="176" spans="1:25" x14ac:dyDescent="0.25">
      <c r="A176" s="24" t="s">
        <v>333</v>
      </c>
      <c r="B176" s="24" t="s">
        <v>334</v>
      </c>
      <c r="C176" s="24" t="s">
        <v>222</v>
      </c>
      <c r="D176" s="24">
        <v>6</v>
      </c>
      <c r="E176" s="24">
        <v>1</v>
      </c>
      <c r="F176" s="24"/>
      <c r="G176" s="24"/>
      <c r="H176" s="24">
        <v>260</v>
      </c>
      <c r="I176" s="24">
        <v>91</v>
      </c>
      <c r="J176" s="24"/>
      <c r="K176" s="24">
        <v>194</v>
      </c>
      <c r="L176" s="24">
        <v>7</v>
      </c>
      <c r="M176" s="24">
        <v>553</v>
      </c>
      <c r="N176" s="25">
        <v>37.142857142857146</v>
      </c>
      <c r="O176" s="24" t="s">
        <v>281</v>
      </c>
      <c r="P176" s="24">
        <f t="shared" si="48"/>
        <v>194</v>
      </c>
      <c r="Q176" s="24">
        <f t="shared" si="49"/>
        <v>260</v>
      </c>
      <c r="R176" s="24">
        <f t="shared" si="50"/>
        <v>91</v>
      </c>
      <c r="S176" s="24">
        <f t="shared" si="51"/>
        <v>8</v>
      </c>
      <c r="T176" s="24">
        <f t="shared" si="52"/>
        <v>553</v>
      </c>
      <c r="U176" s="27">
        <f t="shared" si="53"/>
        <v>0.35081374321880648</v>
      </c>
      <c r="V176" s="27">
        <f t="shared" si="54"/>
        <v>0.47016274864376129</v>
      </c>
      <c r="W176" s="27">
        <f t="shared" si="55"/>
        <v>0.16455696202531644</v>
      </c>
      <c r="X176" s="27">
        <f t="shared" si="56"/>
        <v>1.4466546112115732E-2</v>
      </c>
      <c r="Y176" s="25">
        <f t="shared" si="57"/>
        <v>37.142857142857146</v>
      </c>
    </row>
    <row r="177" spans="1:25" x14ac:dyDescent="0.25">
      <c r="A177" s="24" t="s">
        <v>333</v>
      </c>
      <c r="B177" s="24" t="s">
        <v>334</v>
      </c>
      <c r="C177" s="24" t="s">
        <v>222</v>
      </c>
      <c r="D177" s="24">
        <v>7</v>
      </c>
      <c r="E177" s="24">
        <v>4</v>
      </c>
      <c r="F177" s="24">
        <v>1</v>
      </c>
      <c r="G177" s="24"/>
      <c r="H177" s="24">
        <v>240</v>
      </c>
      <c r="I177" s="24">
        <v>68</v>
      </c>
      <c r="J177" s="24">
        <v>3</v>
      </c>
      <c r="K177" s="24">
        <v>236</v>
      </c>
      <c r="L177" s="24">
        <v>1</v>
      </c>
      <c r="M177" s="24">
        <v>553</v>
      </c>
      <c r="N177" s="25">
        <v>29.132007233273058</v>
      </c>
      <c r="O177" s="24" t="s">
        <v>281</v>
      </c>
      <c r="P177" s="24">
        <f t="shared" si="48"/>
        <v>236</v>
      </c>
      <c r="Q177" s="24">
        <f t="shared" si="49"/>
        <v>240</v>
      </c>
      <c r="R177" s="24">
        <f t="shared" si="50"/>
        <v>68</v>
      </c>
      <c r="S177" s="24">
        <f t="shared" si="51"/>
        <v>9</v>
      </c>
      <c r="T177" s="24">
        <f t="shared" si="52"/>
        <v>553</v>
      </c>
      <c r="U177" s="27">
        <f t="shared" si="53"/>
        <v>0.4267631103074141</v>
      </c>
      <c r="V177" s="27">
        <f t="shared" si="54"/>
        <v>0.43399638336347196</v>
      </c>
      <c r="W177" s="27">
        <f t="shared" si="55"/>
        <v>0.12296564195298372</v>
      </c>
      <c r="X177" s="27">
        <f t="shared" si="56"/>
        <v>1.62748643761302E-2</v>
      </c>
      <c r="Y177" s="25">
        <f t="shared" si="57"/>
        <v>29.132007233273058</v>
      </c>
    </row>
    <row r="178" spans="1:25" x14ac:dyDescent="0.25">
      <c r="A178" s="24" t="s">
        <v>333</v>
      </c>
      <c r="B178" s="24" t="s">
        <v>334</v>
      </c>
      <c r="C178" s="24" t="s">
        <v>222</v>
      </c>
      <c r="D178" s="24">
        <v>8</v>
      </c>
      <c r="E178" s="24"/>
      <c r="F178" s="24"/>
      <c r="G178" s="24"/>
      <c r="H178" s="24">
        <v>246</v>
      </c>
      <c r="I178" s="24">
        <v>59</v>
      </c>
      <c r="J178" s="24"/>
      <c r="K178" s="24">
        <v>247</v>
      </c>
      <c r="L178" s="24">
        <v>1</v>
      </c>
      <c r="M178" s="24">
        <v>553</v>
      </c>
      <c r="N178" s="25">
        <v>21.430379746835442</v>
      </c>
      <c r="O178" s="24" t="s">
        <v>281</v>
      </c>
      <c r="P178" s="24">
        <f t="shared" si="48"/>
        <v>247</v>
      </c>
      <c r="Q178" s="24">
        <f t="shared" si="49"/>
        <v>246</v>
      </c>
      <c r="R178" s="24">
        <f t="shared" si="50"/>
        <v>59</v>
      </c>
      <c r="S178" s="24">
        <f t="shared" si="51"/>
        <v>1</v>
      </c>
      <c r="T178" s="24">
        <f t="shared" si="52"/>
        <v>553</v>
      </c>
      <c r="U178" s="27">
        <f t="shared" si="53"/>
        <v>0.44665461121157324</v>
      </c>
      <c r="V178" s="27">
        <f t="shared" si="54"/>
        <v>0.44484629294755879</v>
      </c>
      <c r="W178" s="27">
        <f t="shared" si="55"/>
        <v>0.10669077757685352</v>
      </c>
      <c r="X178" s="27">
        <f t="shared" si="56"/>
        <v>1.8083182640144665E-3</v>
      </c>
      <c r="Y178" s="25">
        <f t="shared" si="57"/>
        <v>21.430379746835442</v>
      </c>
    </row>
    <row r="179" spans="1:25" x14ac:dyDescent="0.25">
      <c r="A179" s="24" t="s">
        <v>335</v>
      </c>
      <c r="B179" s="24" t="s">
        <v>336</v>
      </c>
      <c r="C179" s="24" t="s">
        <v>224</v>
      </c>
      <c r="D179" s="24">
        <v>1</v>
      </c>
      <c r="E179" s="24"/>
      <c r="F179" s="24"/>
      <c r="G179" s="24"/>
      <c r="H179" s="24">
        <v>433</v>
      </c>
      <c r="I179" s="24">
        <v>12</v>
      </c>
      <c r="J179" s="24"/>
      <c r="K179" s="24">
        <v>5</v>
      </c>
      <c r="L179" s="24"/>
      <c r="M179" s="24">
        <v>450</v>
      </c>
      <c r="N179" s="25">
        <v>75.72</v>
      </c>
      <c r="O179" s="24" t="s">
        <v>281</v>
      </c>
      <c r="P179" s="24">
        <f t="shared" ref="P179:P237" si="58">K179</f>
        <v>5</v>
      </c>
      <c r="Q179" s="24">
        <f t="shared" ref="Q179:Q237" si="59">H179</f>
        <v>433</v>
      </c>
      <c r="R179" s="24">
        <f t="shared" ref="R179:R237" si="60">I179</f>
        <v>12</v>
      </c>
      <c r="S179" s="24">
        <f t="shared" ref="S179:S237" si="61">M179-SUM(P179:R179)</f>
        <v>0</v>
      </c>
      <c r="T179" s="24">
        <f t="shared" ref="T179:T237" si="62">SUM(P179:S179)</f>
        <v>450</v>
      </c>
      <c r="U179" s="27">
        <f t="shared" ref="U179:U237" si="63">P179/M179</f>
        <v>1.1111111111111112E-2</v>
      </c>
      <c r="V179" s="27">
        <f t="shared" ref="V179:V237" si="64">Q179/M179</f>
        <v>0.9622222222222222</v>
      </c>
      <c r="W179" s="27">
        <f t="shared" ref="W179:W237" si="65">R179/M179</f>
        <v>2.6666666666666668E-2</v>
      </c>
      <c r="X179" s="27">
        <f t="shared" ref="X179:X237" si="66">S179/M179</f>
        <v>0</v>
      </c>
      <c r="Y179" s="25">
        <f t="shared" ref="Y179:Y237" si="67">N179</f>
        <v>75.72</v>
      </c>
    </row>
    <row r="180" spans="1:25" x14ac:dyDescent="0.25">
      <c r="A180" s="24" t="s">
        <v>335</v>
      </c>
      <c r="B180" s="24" t="s">
        <v>336</v>
      </c>
      <c r="C180" s="24" t="s">
        <v>224</v>
      </c>
      <c r="D180" s="24">
        <v>2</v>
      </c>
      <c r="E180" s="24"/>
      <c r="F180" s="24"/>
      <c r="G180" s="24"/>
      <c r="H180" s="24">
        <v>430</v>
      </c>
      <c r="I180" s="24">
        <v>12</v>
      </c>
      <c r="J180" s="24">
        <v>1</v>
      </c>
      <c r="K180" s="24">
        <v>7</v>
      </c>
      <c r="L180" s="24"/>
      <c r="M180" s="24">
        <v>450</v>
      </c>
      <c r="N180" s="25">
        <v>61.937777777777775</v>
      </c>
      <c r="O180" s="24" t="s">
        <v>281</v>
      </c>
      <c r="P180" s="24">
        <f t="shared" si="58"/>
        <v>7</v>
      </c>
      <c r="Q180" s="24">
        <f t="shared" si="59"/>
        <v>430</v>
      </c>
      <c r="R180" s="24">
        <f t="shared" si="60"/>
        <v>12</v>
      </c>
      <c r="S180" s="24">
        <f t="shared" si="61"/>
        <v>1</v>
      </c>
      <c r="T180" s="24">
        <f t="shared" si="62"/>
        <v>450</v>
      </c>
      <c r="U180" s="27">
        <f t="shared" si="63"/>
        <v>1.5555555555555555E-2</v>
      </c>
      <c r="V180" s="27">
        <f t="shared" si="64"/>
        <v>0.9555555555555556</v>
      </c>
      <c r="W180" s="27">
        <f t="shared" si="65"/>
        <v>2.6666666666666668E-2</v>
      </c>
      <c r="X180" s="27">
        <f t="shared" si="66"/>
        <v>2.2222222222222222E-3</v>
      </c>
      <c r="Y180" s="25">
        <f t="shared" si="67"/>
        <v>61.937777777777775</v>
      </c>
    </row>
    <row r="181" spans="1:25" x14ac:dyDescent="0.25">
      <c r="A181" s="24" t="s">
        <v>335</v>
      </c>
      <c r="B181" s="24" t="s">
        <v>336</v>
      </c>
      <c r="C181" s="24" t="s">
        <v>224</v>
      </c>
      <c r="D181" s="24">
        <v>3</v>
      </c>
      <c r="E181" s="24"/>
      <c r="F181" s="24"/>
      <c r="G181" s="24"/>
      <c r="H181" s="24">
        <v>592</v>
      </c>
      <c r="I181" s="24">
        <v>44</v>
      </c>
      <c r="J181" s="24"/>
      <c r="K181" s="24">
        <v>34</v>
      </c>
      <c r="L181" s="24"/>
      <c r="M181" s="24">
        <v>670</v>
      </c>
      <c r="N181" s="25">
        <v>41.325373134328359</v>
      </c>
      <c r="O181" s="24" t="s">
        <v>281</v>
      </c>
      <c r="P181" s="24">
        <f t="shared" si="58"/>
        <v>34</v>
      </c>
      <c r="Q181" s="24">
        <f t="shared" si="59"/>
        <v>592</v>
      </c>
      <c r="R181" s="24">
        <f t="shared" si="60"/>
        <v>44</v>
      </c>
      <c r="S181" s="24">
        <f t="shared" si="61"/>
        <v>0</v>
      </c>
      <c r="T181" s="24">
        <f t="shared" si="62"/>
        <v>670</v>
      </c>
      <c r="U181" s="27">
        <f t="shared" si="63"/>
        <v>5.0746268656716415E-2</v>
      </c>
      <c r="V181" s="27">
        <f t="shared" si="64"/>
        <v>0.88358208955223883</v>
      </c>
      <c r="W181" s="27">
        <f t="shared" si="65"/>
        <v>6.5671641791044774E-2</v>
      </c>
      <c r="X181" s="27">
        <f t="shared" si="66"/>
        <v>0</v>
      </c>
      <c r="Y181" s="25">
        <f t="shared" si="67"/>
        <v>41.325373134328359</v>
      </c>
    </row>
    <row r="182" spans="1:25" x14ac:dyDescent="0.25">
      <c r="A182" s="24" t="s">
        <v>337</v>
      </c>
      <c r="B182" s="24" t="s">
        <v>338</v>
      </c>
      <c r="C182" s="24" t="s">
        <v>226</v>
      </c>
      <c r="D182" s="24">
        <v>1</v>
      </c>
      <c r="E182" s="24"/>
      <c r="F182" s="24"/>
      <c r="G182" s="24"/>
      <c r="H182" s="24">
        <v>199</v>
      </c>
      <c r="I182" s="24">
        <v>89</v>
      </c>
      <c r="J182" s="24">
        <v>5</v>
      </c>
      <c r="K182" s="24">
        <v>157</v>
      </c>
      <c r="L182" s="24"/>
      <c r="M182" s="24">
        <v>450</v>
      </c>
      <c r="N182" s="25">
        <v>69.011111111111106</v>
      </c>
      <c r="O182" s="24" t="s">
        <v>281</v>
      </c>
      <c r="P182" s="24">
        <f t="shared" si="58"/>
        <v>157</v>
      </c>
      <c r="Q182" s="24">
        <f t="shared" si="59"/>
        <v>199</v>
      </c>
      <c r="R182" s="24">
        <f t="shared" si="60"/>
        <v>89</v>
      </c>
      <c r="S182" s="24">
        <f t="shared" si="61"/>
        <v>5</v>
      </c>
      <c r="T182" s="24">
        <f t="shared" si="62"/>
        <v>450</v>
      </c>
      <c r="U182" s="27">
        <f t="shared" si="63"/>
        <v>0.34888888888888892</v>
      </c>
      <c r="V182" s="27">
        <f t="shared" si="64"/>
        <v>0.44222222222222224</v>
      </c>
      <c r="W182" s="27">
        <f t="shared" si="65"/>
        <v>0.19777777777777777</v>
      </c>
      <c r="X182" s="27">
        <f t="shared" si="66"/>
        <v>1.1111111111111112E-2</v>
      </c>
      <c r="Y182" s="25">
        <f t="shared" si="67"/>
        <v>69.011111111111106</v>
      </c>
    </row>
    <row r="183" spans="1:25" x14ac:dyDescent="0.25">
      <c r="A183" s="24" t="s">
        <v>337</v>
      </c>
      <c r="B183" s="24" t="s">
        <v>338</v>
      </c>
      <c r="C183" s="24" t="s">
        <v>226</v>
      </c>
      <c r="D183" s="24">
        <v>2</v>
      </c>
      <c r="E183" s="24"/>
      <c r="F183" s="24">
        <v>2</v>
      </c>
      <c r="G183" s="24">
        <v>1</v>
      </c>
      <c r="H183" s="24">
        <v>249</v>
      </c>
      <c r="I183" s="24">
        <v>102</v>
      </c>
      <c r="J183" s="24">
        <v>10</v>
      </c>
      <c r="K183" s="24">
        <v>291</v>
      </c>
      <c r="L183" s="24"/>
      <c r="M183" s="24">
        <v>655</v>
      </c>
      <c r="N183" s="25">
        <v>42.531297709923663</v>
      </c>
      <c r="O183" s="24" t="s">
        <v>281</v>
      </c>
      <c r="P183" s="24">
        <f t="shared" si="58"/>
        <v>291</v>
      </c>
      <c r="Q183" s="24">
        <f t="shared" si="59"/>
        <v>249</v>
      </c>
      <c r="R183" s="24">
        <f t="shared" si="60"/>
        <v>102</v>
      </c>
      <c r="S183" s="24">
        <f t="shared" si="61"/>
        <v>13</v>
      </c>
      <c r="T183" s="24">
        <f t="shared" si="62"/>
        <v>655</v>
      </c>
      <c r="U183" s="27">
        <f t="shared" si="63"/>
        <v>0.44427480916030532</v>
      </c>
      <c r="V183" s="27">
        <f t="shared" si="64"/>
        <v>0.3801526717557252</v>
      </c>
      <c r="W183" s="27">
        <f t="shared" si="65"/>
        <v>0.15572519083969466</v>
      </c>
      <c r="X183" s="27">
        <f t="shared" si="66"/>
        <v>1.984732824427481E-2</v>
      </c>
      <c r="Y183" s="25">
        <f t="shared" si="67"/>
        <v>42.531297709923663</v>
      </c>
    </row>
    <row r="184" spans="1:25" x14ac:dyDescent="0.25">
      <c r="A184" s="24" t="s">
        <v>339</v>
      </c>
      <c r="B184" s="24" t="s">
        <v>340</v>
      </c>
      <c r="C184" s="24" t="s">
        <v>228</v>
      </c>
      <c r="D184" s="24">
        <v>1</v>
      </c>
      <c r="E184" s="24"/>
      <c r="F184" s="24"/>
      <c r="G184" s="24">
        <v>1</v>
      </c>
      <c r="H184" s="24">
        <v>334</v>
      </c>
      <c r="I184" s="24">
        <v>40</v>
      </c>
      <c r="J184" s="24">
        <v>5</v>
      </c>
      <c r="K184" s="24">
        <v>52</v>
      </c>
      <c r="L184" s="24"/>
      <c r="M184" s="24">
        <v>432</v>
      </c>
      <c r="N184" s="25">
        <v>70.710648148148152</v>
      </c>
      <c r="O184" s="24" t="s">
        <v>281</v>
      </c>
      <c r="P184" s="24">
        <f t="shared" si="58"/>
        <v>52</v>
      </c>
      <c r="Q184" s="24">
        <f t="shared" si="59"/>
        <v>334</v>
      </c>
      <c r="R184" s="24">
        <f t="shared" si="60"/>
        <v>40</v>
      </c>
      <c r="S184" s="24">
        <f t="shared" si="61"/>
        <v>6</v>
      </c>
      <c r="T184" s="24">
        <f t="shared" si="62"/>
        <v>432</v>
      </c>
      <c r="U184" s="27">
        <f t="shared" si="63"/>
        <v>0.12037037037037036</v>
      </c>
      <c r="V184" s="27">
        <f t="shared" si="64"/>
        <v>0.77314814814814814</v>
      </c>
      <c r="W184" s="27">
        <f t="shared" si="65"/>
        <v>9.2592592592592587E-2</v>
      </c>
      <c r="X184" s="27">
        <f t="shared" si="66"/>
        <v>1.3888888888888888E-2</v>
      </c>
      <c r="Y184" s="25">
        <f t="shared" si="67"/>
        <v>70.710648148148152</v>
      </c>
    </row>
    <row r="185" spans="1:25" x14ac:dyDescent="0.25">
      <c r="A185" s="24" t="s">
        <v>339</v>
      </c>
      <c r="B185" s="24" t="s">
        <v>340</v>
      </c>
      <c r="C185" s="24" t="s">
        <v>228</v>
      </c>
      <c r="D185" s="24">
        <v>2</v>
      </c>
      <c r="E185" s="24"/>
      <c r="F185" s="24"/>
      <c r="G185" s="24">
        <v>1</v>
      </c>
      <c r="H185" s="24">
        <v>297</v>
      </c>
      <c r="I185" s="24">
        <v>51</v>
      </c>
      <c r="J185" s="24"/>
      <c r="K185" s="24">
        <v>81</v>
      </c>
      <c r="L185" s="24">
        <v>2</v>
      </c>
      <c r="M185" s="24">
        <v>432</v>
      </c>
      <c r="N185" s="25">
        <v>55.712962962962962</v>
      </c>
      <c r="O185" s="24" t="s">
        <v>281</v>
      </c>
      <c r="P185" s="24">
        <f t="shared" si="58"/>
        <v>81</v>
      </c>
      <c r="Q185" s="24">
        <f t="shared" si="59"/>
        <v>297</v>
      </c>
      <c r="R185" s="24">
        <f t="shared" si="60"/>
        <v>51</v>
      </c>
      <c r="S185" s="24">
        <f t="shared" si="61"/>
        <v>3</v>
      </c>
      <c r="T185" s="24">
        <f t="shared" si="62"/>
        <v>432</v>
      </c>
      <c r="U185" s="27">
        <f t="shared" si="63"/>
        <v>0.1875</v>
      </c>
      <c r="V185" s="27">
        <f t="shared" si="64"/>
        <v>0.6875</v>
      </c>
      <c r="W185" s="27">
        <f t="shared" si="65"/>
        <v>0.11805555555555555</v>
      </c>
      <c r="X185" s="27">
        <f t="shared" si="66"/>
        <v>6.9444444444444441E-3</v>
      </c>
      <c r="Y185" s="25">
        <f t="shared" si="67"/>
        <v>55.712962962962962</v>
      </c>
    </row>
    <row r="186" spans="1:25" x14ac:dyDescent="0.25">
      <c r="A186" s="24" t="s">
        <v>339</v>
      </c>
      <c r="B186" s="24" t="s">
        <v>340</v>
      </c>
      <c r="C186" s="24" t="s">
        <v>228</v>
      </c>
      <c r="D186" s="24">
        <v>3</v>
      </c>
      <c r="E186" s="24"/>
      <c r="F186" s="24"/>
      <c r="G186" s="24"/>
      <c r="H186" s="24">
        <v>193</v>
      </c>
      <c r="I186" s="24">
        <v>72</v>
      </c>
      <c r="J186" s="24"/>
      <c r="K186" s="24">
        <v>166</v>
      </c>
      <c r="L186" s="24">
        <v>1</v>
      </c>
      <c r="M186" s="24">
        <v>432</v>
      </c>
      <c r="N186" s="25">
        <v>33.030092592592595</v>
      </c>
      <c r="O186" s="24" t="s">
        <v>281</v>
      </c>
      <c r="P186" s="24">
        <f t="shared" si="58"/>
        <v>166</v>
      </c>
      <c r="Q186" s="24">
        <f t="shared" si="59"/>
        <v>193</v>
      </c>
      <c r="R186" s="24">
        <f t="shared" si="60"/>
        <v>72</v>
      </c>
      <c r="S186" s="24">
        <f t="shared" si="61"/>
        <v>1</v>
      </c>
      <c r="T186" s="24">
        <f t="shared" si="62"/>
        <v>432</v>
      </c>
      <c r="U186" s="27">
        <f t="shared" si="63"/>
        <v>0.38425925925925924</v>
      </c>
      <c r="V186" s="27">
        <f t="shared" si="64"/>
        <v>0.44675925925925924</v>
      </c>
      <c r="W186" s="27">
        <f t="shared" si="65"/>
        <v>0.16666666666666666</v>
      </c>
      <c r="X186" s="27">
        <f t="shared" si="66"/>
        <v>2.3148148148148147E-3</v>
      </c>
      <c r="Y186" s="25">
        <f t="shared" si="67"/>
        <v>33.030092592592595</v>
      </c>
    </row>
    <row r="187" spans="1:25" x14ac:dyDescent="0.25">
      <c r="A187" s="24" t="s">
        <v>341</v>
      </c>
      <c r="B187" s="24" t="s">
        <v>342</v>
      </c>
      <c r="C187" s="24" t="s">
        <v>230</v>
      </c>
      <c r="D187" s="24">
        <v>1</v>
      </c>
      <c r="E187" s="24"/>
      <c r="F187" s="24"/>
      <c r="G187" s="24"/>
      <c r="H187" s="24">
        <v>20</v>
      </c>
      <c r="I187" s="24">
        <v>40</v>
      </c>
      <c r="J187" s="24">
        <v>4</v>
      </c>
      <c r="K187" s="24">
        <v>386</v>
      </c>
      <c r="L187" s="24"/>
      <c r="M187" s="24">
        <v>450</v>
      </c>
      <c r="N187" s="25">
        <v>73.551111111111112</v>
      </c>
      <c r="O187" s="24" t="s">
        <v>281</v>
      </c>
      <c r="P187" s="24">
        <f t="shared" ref="P187:P194" si="68">K187</f>
        <v>386</v>
      </c>
      <c r="Q187" s="24">
        <f t="shared" ref="Q187:R194" si="69">H187</f>
        <v>20</v>
      </c>
      <c r="R187" s="24">
        <f t="shared" si="69"/>
        <v>40</v>
      </c>
      <c r="S187" s="24">
        <f t="shared" ref="S187:S194" si="70">M187-SUM(P187:R187)</f>
        <v>4</v>
      </c>
      <c r="T187" s="24">
        <f t="shared" ref="T187:T194" si="71">SUM(P187:S187)</f>
        <v>450</v>
      </c>
      <c r="U187" s="27">
        <f t="shared" ref="U187:U194" si="72">P187/M187</f>
        <v>0.85777777777777775</v>
      </c>
      <c r="V187" s="27">
        <f t="shared" ref="V187:V194" si="73">Q187/M187</f>
        <v>4.4444444444444446E-2</v>
      </c>
      <c r="W187" s="27">
        <f t="shared" ref="W187:W194" si="74">R187/M187</f>
        <v>8.8888888888888892E-2</v>
      </c>
      <c r="X187" s="27">
        <f t="shared" ref="X187:X194" si="75">S187/M187</f>
        <v>8.8888888888888889E-3</v>
      </c>
      <c r="Y187" s="25">
        <f t="shared" ref="Y187:Y194" si="76">N187</f>
        <v>73.551111111111112</v>
      </c>
    </row>
    <row r="188" spans="1:25" x14ac:dyDescent="0.25">
      <c r="A188" s="24" t="s">
        <v>341</v>
      </c>
      <c r="B188" s="24" t="s">
        <v>342</v>
      </c>
      <c r="C188" s="24" t="s">
        <v>230</v>
      </c>
      <c r="D188" s="24">
        <v>2</v>
      </c>
      <c r="E188" s="24"/>
      <c r="F188" s="24"/>
      <c r="G188" s="24"/>
      <c r="H188" s="24">
        <v>14</v>
      </c>
      <c r="I188" s="24">
        <v>17</v>
      </c>
      <c r="J188" s="24">
        <v>3</v>
      </c>
      <c r="K188" s="24">
        <v>416</v>
      </c>
      <c r="L188" s="24"/>
      <c r="M188" s="24">
        <v>450</v>
      </c>
      <c r="N188" s="25">
        <v>68.908888888888896</v>
      </c>
      <c r="O188" s="24" t="s">
        <v>281</v>
      </c>
      <c r="P188" s="24">
        <f t="shared" si="68"/>
        <v>416</v>
      </c>
      <c r="Q188" s="24">
        <f t="shared" si="69"/>
        <v>14</v>
      </c>
      <c r="R188" s="24">
        <f t="shared" si="69"/>
        <v>17</v>
      </c>
      <c r="S188" s="24">
        <f t="shared" si="70"/>
        <v>3</v>
      </c>
      <c r="T188" s="24">
        <f t="shared" si="71"/>
        <v>450</v>
      </c>
      <c r="U188" s="27">
        <f t="shared" si="72"/>
        <v>0.9244444444444444</v>
      </c>
      <c r="V188" s="27">
        <f t="shared" si="73"/>
        <v>3.111111111111111E-2</v>
      </c>
      <c r="W188" s="27">
        <f t="shared" si="74"/>
        <v>3.7777777777777778E-2</v>
      </c>
      <c r="X188" s="27">
        <f t="shared" si="75"/>
        <v>6.6666666666666671E-3</v>
      </c>
      <c r="Y188" s="25">
        <f t="shared" si="76"/>
        <v>68.908888888888896</v>
      </c>
    </row>
    <row r="189" spans="1:25" x14ac:dyDescent="0.25">
      <c r="A189" s="24" t="s">
        <v>341</v>
      </c>
      <c r="B189" s="24" t="s">
        <v>342</v>
      </c>
      <c r="C189" s="24" t="s">
        <v>230</v>
      </c>
      <c r="D189" s="24">
        <v>3</v>
      </c>
      <c r="E189" s="24"/>
      <c r="F189" s="24"/>
      <c r="G189" s="24">
        <v>1</v>
      </c>
      <c r="H189" s="24">
        <v>6</v>
      </c>
      <c r="I189" s="24">
        <v>23</v>
      </c>
      <c r="J189" s="24">
        <v>4</v>
      </c>
      <c r="K189" s="24">
        <v>416</v>
      </c>
      <c r="L189" s="24"/>
      <c r="M189" s="24">
        <v>450</v>
      </c>
      <c r="N189" s="25">
        <v>61.108888888888892</v>
      </c>
      <c r="O189" s="24" t="s">
        <v>281</v>
      </c>
      <c r="P189" s="24">
        <f t="shared" si="68"/>
        <v>416</v>
      </c>
      <c r="Q189" s="24">
        <f t="shared" si="69"/>
        <v>6</v>
      </c>
      <c r="R189" s="24">
        <f t="shared" si="69"/>
        <v>23</v>
      </c>
      <c r="S189" s="24">
        <f t="shared" si="70"/>
        <v>5</v>
      </c>
      <c r="T189" s="24">
        <f t="shared" si="71"/>
        <v>450</v>
      </c>
      <c r="U189" s="27">
        <f t="shared" si="72"/>
        <v>0.9244444444444444</v>
      </c>
      <c r="V189" s="27">
        <f t="shared" si="73"/>
        <v>1.3333333333333334E-2</v>
      </c>
      <c r="W189" s="27">
        <f t="shared" si="74"/>
        <v>5.1111111111111114E-2</v>
      </c>
      <c r="X189" s="27">
        <f t="shared" si="75"/>
        <v>1.1111111111111112E-2</v>
      </c>
      <c r="Y189" s="25">
        <f t="shared" si="76"/>
        <v>61.108888888888892</v>
      </c>
    </row>
    <row r="190" spans="1:25" x14ac:dyDescent="0.25">
      <c r="A190" s="24" t="s">
        <v>341</v>
      </c>
      <c r="B190" s="24" t="s">
        <v>342</v>
      </c>
      <c r="C190" s="24" t="s">
        <v>230</v>
      </c>
      <c r="D190" s="24">
        <v>4</v>
      </c>
      <c r="E190" s="24"/>
      <c r="F190" s="24">
        <v>1</v>
      </c>
      <c r="G190" s="24"/>
      <c r="H190" s="24">
        <v>13</v>
      </c>
      <c r="I190" s="24">
        <v>37</v>
      </c>
      <c r="J190" s="24">
        <v>4</v>
      </c>
      <c r="K190" s="24">
        <v>596</v>
      </c>
      <c r="L190" s="24"/>
      <c r="M190" s="24">
        <v>651</v>
      </c>
      <c r="N190" s="25">
        <v>51.485407066052225</v>
      </c>
      <c r="O190" s="24" t="s">
        <v>281</v>
      </c>
      <c r="P190" s="24">
        <f t="shared" si="68"/>
        <v>596</v>
      </c>
      <c r="Q190" s="24">
        <f t="shared" si="69"/>
        <v>13</v>
      </c>
      <c r="R190" s="24">
        <f t="shared" si="69"/>
        <v>37</v>
      </c>
      <c r="S190" s="24">
        <f t="shared" si="70"/>
        <v>5</v>
      </c>
      <c r="T190" s="24">
        <f t="shared" si="71"/>
        <v>651</v>
      </c>
      <c r="U190" s="27">
        <f t="shared" si="72"/>
        <v>0.91551459293394777</v>
      </c>
      <c r="V190" s="27">
        <f t="shared" si="73"/>
        <v>1.9969278033794162E-2</v>
      </c>
      <c r="W190" s="27">
        <f t="shared" si="74"/>
        <v>5.683563748079877E-2</v>
      </c>
      <c r="X190" s="27">
        <f t="shared" si="75"/>
        <v>7.6804915514592934E-3</v>
      </c>
      <c r="Y190" s="25">
        <f t="shared" si="76"/>
        <v>51.485407066052225</v>
      </c>
    </row>
    <row r="191" spans="1:25" x14ac:dyDescent="0.25">
      <c r="A191" s="24" t="s">
        <v>341</v>
      </c>
      <c r="B191" s="24" t="s">
        <v>342</v>
      </c>
      <c r="C191" s="24" t="s">
        <v>230</v>
      </c>
      <c r="D191" s="24">
        <v>5</v>
      </c>
      <c r="E191" s="24"/>
      <c r="F191" s="24"/>
      <c r="G191" s="24"/>
      <c r="H191" s="24">
        <v>18</v>
      </c>
      <c r="I191" s="24">
        <v>24</v>
      </c>
      <c r="J191" s="24">
        <v>4</v>
      </c>
      <c r="K191" s="24">
        <v>606</v>
      </c>
      <c r="L191" s="24"/>
      <c r="M191" s="24">
        <v>652</v>
      </c>
      <c r="N191" s="25">
        <v>43.915644171779142</v>
      </c>
      <c r="O191" s="24" t="s">
        <v>281</v>
      </c>
      <c r="P191" s="24">
        <f t="shared" si="68"/>
        <v>606</v>
      </c>
      <c r="Q191" s="24">
        <f t="shared" si="69"/>
        <v>18</v>
      </c>
      <c r="R191" s="24">
        <f t="shared" si="69"/>
        <v>24</v>
      </c>
      <c r="S191" s="24">
        <f t="shared" si="70"/>
        <v>4</v>
      </c>
      <c r="T191" s="24">
        <f t="shared" si="71"/>
        <v>652</v>
      </c>
      <c r="U191" s="27">
        <f t="shared" si="72"/>
        <v>0.92944785276073616</v>
      </c>
      <c r="V191" s="27">
        <f t="shared" si="73"/>
        <v>2.7607361963190184E-2</v>
      </c>
      <c r="W191" s="27">
        <f t="shared" si="74"/>
        <v>3.6809815950920248E-2</v>
      </c>
      <c r="X191" s="27">
        <f t="shared" si="75"/>
        <v>6.1349693251533744E-3</v>
      </c>
      <c r="Y191" s="25">
        <f t="shared" si="76"/>
        <v>43.915644171779142</v>
      </c>
    </row>
    <row r="192" spans="1:25" x14ac:dyDescent="0.25">
      <c r="A192" s="24" t="s">
        <v>341</v>
      </c>
      <c r="B192" s="24" t="s">
        <v>342</v>
      </c>
      <c r="C192" s="24" t="s">
        <v>230</v>
      </c>
      <c r="D192" s="24">
        <v>6</v>
      </c>
      <c r="E192" s="24"/>
      <c r="F192" s="24"/>
      <c r="G192" s="24"/>
      <c r="H192" s="24">
        <v>16</v>
      </c>
      <c r="I192" s="24">
        <v>19</v>
      </c>
      <c r="J192" s="24">
        <v>1</v>
      </c>
      <c r="K192" s="24">
        <v>616</v>
      </c>
      <c r="L192" s="24"/>
      <c r="M192" s="24">
        <v>652</v>
      </c>
      <c r="N192" s="25">
        <v>38.335889570552148</v>
      </c>
      <c r="O192" s="24" t="s">
        <v>281</v>
      </c>
      <c r="P192" s="24">
        <f t="shared" si="68"/>
        <v>616</v>
      </c>
      <c r="Q192" s="24">
        <f t="shared" si="69"/>
        <v>16</v>
      </c>
      <c r="R192" s="24">
        <f t="shared" si="69"/>
        <v>19</v>
      </c>
      <c r="S192" s="24">
        <f t="shared" si="70"/>
        <v>1</v>
      </c>
      <c r="T192" s="24">
        <f t="shared" si="71"/>
        <v>652</v>
      </c>
      <c r="U192" s="27">
        <f t="shared" si="72"/>
        <v>0.94478527607361962</v>
      </c>
      <c r="V192" s="27">
        <f t="shared" si="73"/>
        <v>2.4539877300613498E-2</v>
      </c>
      <c r="W192" s="27">
        <f t="shared" si="74"/>
        <v>2.9141104294478526E-2</v>
      </c>
      <c r="X192" s="27">
        <f t="shared" si="75"/>
        <v>1.5337423312883436E-3</v>
      </c>
      <c r="Y192" s="25">
        <f t="shared" si="76"/>
        <v>38.335889570552148</v>
      </c>
    </row>
    <row r="193" spans="1:25" x14ac:dyDescent="0.25">
      <c r="A193" s="24" t="s">
        <v>341</v>
      </c>
      <c r="B193" s="24" t="s">
        <v>342</v>
      </c>
      <c r="C193" s="24" t="s">
        <v>230</v>
      </c>
      <c r="D193" s="24">
        <v>7</v>
      </c>
      <c r="E193" s="24"/>
      <c r="F193" s="24"/>
      <c r="G193" s="24"/>
      <c r="H193" s="24">
        <v>6</v>
      </c>
      <c r="I193" s="24">
        <v>19</v>
      </c>
      <c r="J193" s="24"/>
      <c r="K193" s="24">
        <v>627</v>
      </c>
      <c r="L193" s="24"/>
      <c r="M193" s="24">
        <v>652</v>
      </c>
      <c r="N193" s="25">
        <v>32.138036809815951</v>
      </c>
      <c r="O193" s="24" t="s">
        <v>281</v>
      </c>
      <c r="P193" s="24">
        <f t="shared" si="68"/>
        <v>627</v>
      </c>
      <c r="Q193" s="24">
        <f t="shared" si="69"/>
        <v>6</v>
      </c>
      <c r="R193" s="24">
        <f t="shared" si="69"/>
        <v>19</v>
      </c>
      <c r="S193" s="24">
        <f t="shared" si="70"/>
        <v>0</v>
      </c>
      <c r="T193" s="24">
        <f t="shared" si="71"/>
        <v>652</v>
      </c>
      <c r="U193" s="27">
        <f t="shared" si="72"/>
        <v>0.96165644171779141</v>
      </c>
      <c r="V193" s="27">
        <f t="shared" si="73"/>
        <v>9.202453987730062E-3</v>
      </c>
      <c r="W193" s="27">
        <f t="shared" si="74"/>
        <v>2.9141104294478526E-2</v>
      </c>
      <c r="X193" s="27">
        <f t="shared" si="75"/>
        <v>0</v>
      </c>
      <c r="Y193" s="25">
        <f t="shared" si="76"/>
        <v>32.138036809815951</v>
      </c>
    </row>
    <row r="194" spans="1:25" x14ac:dyDescent="0.25">
      <c r="A194" s="24" t="s">
        <v>341</v>
      </c>
      <c r="B194" s="24" t="s">
        <v>342</v>
      </c>
      <c r="C194" s="24" t="s">
        <v>230</v>
      </c>
      <c r="D194" s="24">
        <v>8</v>
      </c>
      <c r="E194" s="24"/>
      <c r="F194" s="24"/>
      <c r="G194" s="24"/>
      <c r="H194" s="24">
        <v>2</v>
      </c>
      <c r="I194" s="24">
        <v>17</v>
      </c>
      <c r="J194" s="24"/>
      <c r="K194" s="24">
        <v>633</v>
      </c>
      <c r="L194" s="24"/>
      <c r="M194" s="24">
        <v>652</v>
      </c>
      <c r="N194" s="25">
        <v>23.225460122699385</v>
      </c>
      <c r="O194" s="24" t="s">
        <v>281</v>
      </c>
      <c r="P194" s="24">
        <f t="shared" si="68"/>
        <v>633</v>
      </c>
      <c r="Q194" s="24">
        <f t="shared" si="69"/>
        <v>2</v>
      </c>
      <c r="R194" s="24">
        <f t="shared" si="69"/>
        <v>17</v>
      </c>
      <c r="S194" s="24">
        <f t="shared" si="70"/>
        <v>0</v>
      </c>
      <c r="T194" s="24">
        <f t="shared" si="71"/>
        <v>652</v>
      </c>
      <c r="U194" s="27">
        <f t="shared" si="72"/>
        <v>0.97085889570552142</v>
      </c>
      <c r="V194" s="27">
        <f t="shared" si="73"/>
        <v>3.0674846625766872E-3</v>
      </c>
      <c r="W194" s="27">
        <f t="shared" si="74"/>
        <v>2.6073619631901839E-2</v>
      </c>
      <c r="X194" s="27">
        <f t="shared" si="75"/>
        <v>0</v>
      </c>
      <c r="Y194" s="25">
        <f t="shared" si="76"/>
        <v>23.225460122699385</v>
      </c>
    </row>
    <row r="195" spans="1:25" x14ac:dyDescent="0.25">
      <c r="A195" s="24" t="s">
        <v>341</v>
      </c>
      <c r="B195" s="24" t="s">
        <v>342</v>
      </c>
      <c r="C195" s="24" t="s">
        <v>231</v>
      </c>
      <c r="D195" s="24">
        <v>1</v>
      </c>
      <c r="E195" s="24"/>
      <c r="F195" s="24">
        <v>1</v>
      </c>
      <c r="G195" s="24">
        <v>1</v>
      </c>
      <c r="H195" s="24">
        <v>3</v>
      </c>
      <c r="I195" s="24">
        <v>2</v>
      </c>
      <c r="J195" s="24"/>
      <c r="K195" s="24">
        <v>441</v>
      </c>
      <c r="L195" s="24">
        <v>2</v>
      </c>
      <c r="M195" s="24">
        <v>450</v>
      </c>
      <c r="N195" s="25">
        <v>60.22</v>
      </c>
      <c r="O195" s="24" t="s">
        <v>281</v>
      </c>
      <c r="P195" s="24">
        <f t="shared" si="58"/>
        <v>441</v>
      </c>
      <c r="Q195" s="24">
        <f t="shared" si="59"/>
        <v>3</v>
      </c>
      <c r="R195" s="24">
        <f t="shared" si="60"/>
        <v>2</v>
      </c>
      <c r="S195" s="24">
        <f t="shared" si="61"/>
        <v>4</v>
      </c>
      <c r="T195" s="24">
        <f t="shared" si="62"/>
        <v>450</v>
      </c>
      <c r="U195" s="27">
        <f t="shared" si="63"/>
        <v>0.98</v>
      </c>
      <c r="V195" s="27">
        <f t="shared" si="64"/>
        <v>6.6666666666666671E-3</v>
      </c>
      <c r="W195" s="27">
        <f t="shared" si="65"/>
        <v>4.4444444444444444E-3</v>
      </c>
      <c r="X195" s="27">
        <f t="shared" si="66"/>
        <v>8.8888888888888889E-3</v>
      </c>
      <c r="Y195" s="25">
        <f t="shared" si="67"/>
        <v>60.22</v>
      </c>
    </row>
    <row r="196" spans="1:25" x14ac:dyDescent="0.25">
      <c r="A196" s="24" t="s">
        <v>341</v>
      </c>
      <c r="B196" s="24" t="s">
        <v>342</v>
      </c>
      <c r="C196" s="24" t="s">
        <v>231</v>
      </c>
      <c r="D196" s="24">
        <v>2</v>
      </c>
      <c r="E196" s="24"/>
      <c r="F196" s="24"/>
      <c r="G196" s="24">
        <v>1</v>
      </c>
      <c r="H196" s="24">
        <v>2</v>
      </c>
      <c r="I196" s="24">
        <v>4</v>
      </c>
      <c r="J196" s="24"/>
      <c r="K196" s="24">
        <v>452</v>
      </c>
      <c r="L196" s="24"/>
      <c r="M196" s="24">
        <v>459</v>
      </c>
      <c r="N196" s="25">
        <v>39.583877995642702</v>
      </c>
      <c r="O196" s="24" t="s">
        <v>281</v>
      </c>
      <c r="P196" s="24">
        <f t="shared" si="58"/>
        <v>452</v>
      </c>
      <c r="Q196" s="24">
        <f t="shared" si="59"/>
        <v>2</v>
      </c>
      <c r="R196" s="24">
        <f t="shared" si="60"/>
        <v>4</v>
      </c>
      <c r="S196" s="24">
        <f t="shared" si="61"/>
        <v>1</v>
      </c>
      <c r="T196" s="24">
        <f t="shared" si="62"/>
        <v>459</v>
      </c>
      <c r="U196" s="27">
        <f t="shared" si="63"/>
        <v>0.98474945533769065</v>
      </c>
      <c r="V196" s="27">
        <f t="shared" si="64"/>
        <v>4.3572984749455342E-3</v>
      </c>
      <c r="W196" s="27">
        <f t="shared" si="65"/>
        <v>8.7145969498910684E-3</v>
      </c>
      <c r="X196" s="27">
        <f t="shared" si="66"/>
        <v>2.1786492374727671E-3</v>
      </c>
      <c r="Y196" s="25">
        <f t="shared" si="67"/>
        <v>39.583877995642702</v>
      </c>
    </row>
    <row r="197" spans="1:25" x14ac:dyDescent="0.25">
      <c r="A197" s="24" t="s">
        <v>341</v>
      </c>
      <c r="B197" s="24" t="s">
        <v>342</v>
      </c>
      <c r="C197" s="24" t="s">
        <v>231</v>
      </c>
      <c r="D197" s="24">
        <v>3</v>
      </c>
      <c r="E197" s="24"/>
      <c r="F197" s="24">
        <v>1</v>
      </c>
      <c r="G197" s="24"/>
      <c r="H197" s="24"/>
      <c r="I197" s="24">
        <v>1</v>
      </c>
      <c r="J197" s="24"/>
      <c r="K197" s="24">
        <v>458</v>
      </c>
      <c r="L197" s="24"/>
      <c r="M197" s="24">
        <v>460</v>
      </c>
      <c r="N197" s="25">
        <v>30.263043478260869</v>
      </c>
      <c r="O197" s="24" t="s">
        <v>281</v>
      </c>
      <c r="P197" s="24">
        <f t="shared" si="58"/>
        <v>458</v>
      </c>
      <c r="Q197" s="24">
        <f t="shared" si="59"/>
        <v>0</v>
      </c>
      <c r="R197" s="24">
        <f t="shared" si="60"/>
        <v>1</v>
      </c>
      <c r="S197" s="24">
        <f t="shared" si="61"/>
        <v>1</v>
      </c>
      <c r="T197" s="24">
        <f t="shared" si="62"/>
        <v>460</v>
      </c>
      <c r="U197" s="27">
        <f t="shared" si="63"/>
        <v>0.9956521739130435</v>
      </c>
      <c r="V197" s="27">
        <f t="shared" si="64"/>
        <v>0</v>
      </c>
      <c r="W197" s="27">
        <f t="shared" si="65"/>
        <v>2.1739130434782609E-3</v>
      </c>
      <c r="X197" s="27">
        <f t="shared" si="66"/>
        <v>2.1739130434782609E-3</v>
      </c>
      <c r="Y197" s="25">
        <f t="shared" si="67"/>
        <v>30.263043478260869</v>
      </c>
    </row>
    <row r="198" spans="1:25" x14ac:dyDescent="0.25">
      <c r="A198" s="24" t="s">
        <v>341</v>
      </c>
      <c r="B198" s="24" t="s">
        <v>342</v>
      </c>
      <c r="C198" s="24" t="s">
        <v>231</v>
      </c>
      <c r="D198" s="24">
        <v>4</v>
      </c>
      <c r="E198" s="24"/>
      <c r="F198" s="24"/>
      <c r="G198" s="24"/>
      <c r="H198" s="24"/>
      <c r="I198" s="24">
        <v>1</v>
      </c>
      <c r="J198" s="24"/>
      <c r="K198" s="24">
        <v>459</v>
      </c>
      <c r="L198" s="24"/>
      <c r="M198" s="24">
        <v>460</v>
      </c>
      <c r="N198" s="25">
        <v>22.39782608695652</v>
      </c>
      <c r="O198" s="24" t="s">
        <v>281</v>
      </c>
      <c r="P198" s="24">
        <f t="shared" si="58"/>
        <v>459</v>
      </c>
      <c r="Q198" s="24">
        <f t="shared" si="59"/>
        <v>0</v>
      </c>
      <c r="R198" s="24">
        <f t="shared" si="60"/>
        <v>1</v>
      </c>
      <c r="S198" s="24">
        <f t="shared" si="61"/>
        <v>0</v>
      </c>
      <c r="T198" s="24">
        <f t="shared" si="62"/>
        <v>460</v>
      </c>
      <c r="U198" s="27">
        <f t="shared" si="63"/>
        <v>0.99782608695652175</v>
      </c>
      <c r="V198" s="27">
        <f t="shared" si="64"/>
        <v>0</v>
      </c>
      <c r="W198" s="27">
        <f t="shared" si="65"/>
        <v>2.1739130434782609E-3</v>
      </c>
      <c r="X198" s="27">
        <f t="shared" si="66"/>
        <v>0</v>
      </c>
      <c r="Y198" s="25">
        <f t="shared" si="67"/>
        <v>22.39782608695652</v>
      </c>
    </row>
    <row r="199" spans="1:25" x14ac:dyDescent="0.25">
      <c r="A199" s="24" t="s">
        <v>343</v>
      </c>
      <c r="B199" s="24" t="s">
        <v>344</v>
      </c>
      <c r="C199" s="24" t="s">
        <v>233</v>
      </c>
      <c r="D199" s="24">
        <v>1</v>
      </c>
      <c r="E199" s="24"/>
      <c r="F199" s="24"/>
      <c r="G199" s="24"/>
      <c r="H199" s="24">
        <v>345</v>
      </c>
      <c r="I199" s="24">
        <v>16</v>
      </c>
      <c r="J199" s="24">
        <v>2</v>
      </c>
      <c r="K199" s="24">
        <v>87</v>
      </c>
      <c r="L199" s="24"/>
      <c r="M199" s="24">
        <v>450</v>
      </c>
      <c r="N199" s="25">
        <v>71.724444444444444</v>
      </c>
      <c r="O199" s="24" t="s">
        <v>281</v>
      </c>
      <c r="P199" s="24">
        <f t="shared" si="58"/>
        <v>87</v>
      </c>
      <c r="Q199" s="24">
        <f t="shared" si="59"/>
        <v>345</v>
      </c>
      <c r="R199" s="24">
        <f t="shared" si="60"/>
        <v>16</v>
      </c>
      <c r="S199" s="24">
        <f t="shared" si="61"/>
        <v>2</v>
      </c>
      <c r="T199" s="24">
        <f t="shared" si="62"/>
        <v>450</v>
      </c>
      <c r="U199" s="27">
        <f t="shared" si="63"/>
        <v>0.19333333333333333</v>
      </c>
      <c r="V199" s="27">
        <f t="shared" si="64"/>
        <v>0.76666666666666672</v>
      </c>
      <c r="W199" s="27">
        <f t="shared" si="65"/>
        <v>3.5555555555555556E-2</v>
      </c>
      <c r="X199" s="27">
        <f t="shared" si="66"/>
        <v>4.4444444444444444E-3</v>
      </c>
      <c r="Y199" s="25">
        <f t="shared" si="67"/>
        <v>71.724444444444444</v>
      </c>
    </row>
    <row r="200" spans="1:25" x14ac:dyDescent="0.25">
      <c r="A200" s="24" t="s">
        <v>343</v>
      </c>
      <c r="B200" s="24" t="s">
        <v>344</v>
      </c>
      <c r="C200" s="24" t="s">
        <v>233</v>
      </c>
      <c r="D200" s="24">
        <v>2</v>
      </c>
      <c r="E200" s="24"/>
      <c r="F200" s="24">
        <v>2</v>
      </c>
      <c r="G200" s="24"/>
      <c r="H200" s="24">
        <v>319</v>
      </c>
      <c r="I200" s="24">
        <v>12</v>
      </c>
      <c r="J200" s="24">
        <v>3</v>
      </c>
      <c r="K200" s="24">
        <v>114</v>
      </c>
      <c r="L200" s="24"/>
      <c r="M200" s="24">
        <v>450</v>
      </c>
      <c r="N200" s="25">
        <v>61.26</v>
      </c>
      <c r="O200" s="24" t="s">
        <v>281</v>
      </c>
      <c r="P200" s="24">
        <f t="shared" si="58"/>
        <v>114</v>
      </c>
      <c r="Q200" s="24">
        <f t="shared" si="59"/>
        <v>319</v>
      </c>
      <c r="R200" s="24">
        <f t="shared" si="60"/>
        <v>12</v>
      </c>
      <c r="S200" s="24">
        <f t="shared" si="61"/>
        <v>5</v>
      </c>
      <c r="T200" s="24">
        <f t="shared" si="62"/>
        <v>450</v>
      </c>
      <c r="U200" s="27">
        <f t="shared" si="63"/>
        <v>0.25333333333333335</v>
      </c>
      <c r="V200" s="27">
        <f t="shared" si="64"/>
        <v>0.7088888888888889</v>
      </c>
      <c r="W200" s="27">
        <f t="shared" si="65"/>
        <v>2.6666666666666668E-2</v>
      </c>
      <c r="X200" s="27">
        <f t="shared" si="66"/>
        <v>1.1111111111111112E-2</v>
      </c>
      <c r="Y200" s="25">
        <f t="shared" si="67"/>
        <v>61.26</v>
      </c>
    </row>
    <row r="201" spans="1:25" x14ac:dyDescent="0.25">
      <c r="A201" s="24" t="s">
        <v>343</v>
      </c>
      <c r="B201" s="24" t="s">
        <v>344</v>
      </c>
      <c r="C201" s="24" t="s">
        <v>233</v>
      </c>
      <c r="D201" s="24">
        <v>3</v>
      </c>
      <c r="E201" s="24">
        <v>1</v>
      </c>
      <c r="F201" s="24"/>
      <c r="G201" s="24"/>
      <c r="H201" s="24">
        <v>477</v>
      </c>
      <c r="I201" s="24">
        <v>8</v>
      </c>
      <c r="J201" s="24"/>
      <c r="K201" s="24">
        <v>136</v>
      </c>
      <c r="L201" s="24"/>
      <c r="M201" s="24">
        <v>622</v>
      </c>
      <c r="N201" s="25">
        <v>50.926045016077168</v>
      </c>
      <c r="O201" s="24" t="s">
        <v>281</v>
      </c>
      <c r="P201" s="24">
        <f t="shared" si="58"/>
        <v>136</v>
      </c>
      <c r="Q201" s="24">
        <f t="shared" si="59"/>
        <v>477</v>
      </c>
      <c r="R201" s="24">
        <f t="shared" si="60"/>
        <v>8</v>
      </c>
      <c r="S201" s="24">
        <f t="shared" si="61"/>
        <v>1</v>
      </c>
      <c r="T201" s="24">
        <f t="shared" si="62"/>
        <v>622</v>
      </c>
      <c r="U201" s="27">
        <f t="shared" si="63"/>
        <v>0.21864951768488747</v>
      </c>
      <c r="V201" s="27">
        <f t="shared" si="64"/>
        <v>0.76688102893890675</v>
      </c>
      <c r="W201" s="27">
        <f t="shared" si="65"/>
        <v>1.2861736334405145E-2</v>
      </c>
      <c r="X201" s="27">
        <f t="shared" si="66"/>
        <v>1.6077170418006431E-3</v>
      </c>
      <c r="Y201" s="25">
        <f t="shared" si="67"/>
        <v>50.926045016077168</v>
      </c>
    </row>
    <row r="202" spans="1:25" x14ac:dyDescent="0.25">
      <c r="A202" s="24" t="s">
        <v>343</v>
      </c>
      <c r="B202" s="24" t="s">
        <v>344</v>
      </c>
      <c r="C202" s="24" t="s">
        <v>233</v>
      </c>
      <c r="D202" s="24">
        <v>4</v>
      </c>
      <c r="E202" s="24"/>
      <c r="F202" s="24"/>
      <c r="G202" s="24"/>
      <c r="H202" s="24">
        <v>405</v>
      </c>
      <c r="I202" s="24">
        <v>25</v>
      </c>
      <c r="J202" s="24">
        <v>2</v>
      </c>
      <c r="K202" s="24">
        <v>190</v>
      </c>
      <c r="L202" s="24"/>
      <c r="M202" s="24">
        <v>622</v>
      </c>
      <c r="N202" s="25">
        <v>38.9935691318328</v>
      </c>
      <c r="O202" s="24" t="s">
        <v>281</v>
      </c>
      <c r="P202" s="24">
        <f t="shared" si="58"/>
        <v>190</v>
      </c>
      <c r="Q202" s="24">
        <f t="shared" si="59"/>
        <v>405</v>
      </c>
      <c r="R202" s="24">
        <f t="shared" si="60"/>
        <v>25</v>
      </c>
      <c r="S202" s="24">
        <f t="shared" si="61"/>
        <v>2</v>
      </c>
      <c r="T202" s="24">
        <f t="shared" si="62"/>
        <v>622</v>
      </c>
      <c r="U202" s="27">
        <f t="shared" si="63"/>
        <v>0.30546623794212219</v>
      </c>
      <c r="V202" s="27">
        <f t="shared" si="64"/>
        <v>0.65112540192926049</v>
      </c>
      <c r="W202" s="27">
        <f t="shared" si="65"/>
        <v>4.0192926045016078E-2</v>
      </c>
      <c r="X202" s="27">
        <f t="shared" si="66"/>
        <v>3.2154340836012861E-3</v>
      </c>
      <c r="Y202" s="25">
        <f t="shared" si="67"/>
        <v>38.9935691318328</v>
      </c>
    </row>
    <row r="203" spans="1:25" x14ac:dyDescent="0.25">
      <c r="A203" s="24" t="s">
        <v>343</v>
      </c>
      <c r="B203" s="24" t="s">
        <v>344</v>
      </c>
      <c r="C203" s="24" t="s">
        <v>233</v>
      </c>
      <c r="D203" s="24">
        <v>5</v>
      </c>
      <c r="E203" s="24"/>
      <c r="F203" s="24"/>
      <c r="G203" s="24">
        <v>4</v>
      </c>
      <c r="H203" s="24">
        <v>280</v>
      </c>
      <c r="I203" s="24">
        <v>24</v>
      </c>
      <c r="J203" s="24"/>
      <c r="K203" s="24">
        <v>314</v>
      </c>
      <c r="L203" s="24"/>
      <c r="M203" s="24">
        <v>622</v>
      </c>
      <c r="N203" s="25">
        <v>24.340836012861736</v>
      </c>
      <c r="O203" s="24" t="s">
        <v>281</v>
      </c>
      <c r="P203" s="24">
        <f t="shared" si="58"/>
        <v>314</v>
      </c>
      <c r="Q203" s="24">
        <f t="shared" si="59"/>
        <v>280</v>
      </c>
      <c r="R203" s="24">
        <f t="shared" si="60"/>
        <v>24</v>
      </c>
      <c r="S203" s="24">
        <f t="shared" si="61"/>
        <v>4</v>
      </c>
      <c r="T203" s="24">
        <f t="shared" si="62"/>
        <v>622</v>
      </c>
      <c r="U203" s="27">
        <f t="shared" si="63"/>
        <v>0.50482315112540188</v>
      </c>
      <c r="V203" s="27">
        <f t="shared" si="64"/>
        <v>0.45016077170418006</v>
      </c>
      <c r="W203" s="27">
        <f t="shared" si="65"/>
        <v>3.8585209003215437E-2</v>
      </c>
      <c r="X203" s="27">
        <f t="shared" si="66"/>
        <v>6.4308681672025723E-3</v>
      </c>
      <c r="Y203" s="25">
        <f t="shared" si="67"/>
        <v>24.340836012861736</v>
      </c>
    </row>
    <row r="204" spans="1:25" x14ac:dyDescent="0.25">
      <c r="A204" s="24" t="s">
        <v>343</v>
      </c>
      <c r="B204" s="24" t="s">
        <v>344</v>
      </c>
      <c r="C204" s="24" t="s">
        <v>234</v>
      </c>
      <c r="D204" s="24">
        <v>1</v>
      </c>
      <c r="E204" s="24"/>
      <c r="F204" s="24"/>
      <c r="G204" s="24"/>
      <c r="H204" s="24">
        <v>72</v>
      </c>
      <c r="I204" s="24">
        <v>44</v>
      </c>
      <c r="J204" s="24">
        <v>1</v>
      </c>
      <c r="K204" s="24">
        <v>333</v>
      </c>
      <c r="L204" s="24"/>
      <c r="M204" s="24">
        <v>450</v>
      </c>
      <c r="N204" s="25">
        <v>65.202222222222218</v>
      </c>
      <c r="O204" s="24" t="s">
        <v>281</v>
      </c>
      <c r="P204" s="24">
        <f t="shared" si="58"/>
        <v>333</v>
      </c>
      <c r="Q204" s="24">
        <f t="shared" si="59"/>
        <v>72</v>
      </c>
      <c r="R204" s="24">
        <f t="shared" si="60"/>
        <v>44</v>
      </c>
      <c r="S204" s="24">
        <f t="shared" si="61"/>
        <v>1</v>
      </c>
      <c r="T204" s="24">
        <f t="shared" si="62"/>
        <v>450</v>
      </c>
      <c r="U204" s="27">
        <f t="shared" si="63"/>
        <v>0.74</v>
      </c>
      <c r="V204" s="27">
        <f t="shared" si="64"/>
        <v>0.16</v>
      </c>
      <c r="W204" s="27">
        <f t="shared" si="65"/>
        <v>9.7777777777777783E-2</v>
      </c>
      <c r="X204" s="27">
        <f t="shared" si="66"/>
        <v>2.2222222222222222E-3</v>
      </c>
      <c r="Y204" s="25">
        <f t="shared" si="67"/>
        <v>65.202222222222218</v>
      </c>
    </row>
    <row r="205" spans="1:25" x14ac:dyDescent="0.25">
      <c r="A205" s="24" t="s">
        <v>343</v>
      </c>
      <c r="B205" s="24" t="s">
        <v>344</v>
      </c>
      <c r="C205" s="24" t="s">
        <v>234</v>
      </c>
      <c r="D205" s="24">
        <v>2</v>
      </c>
      <c r="E205" s="24"/>
      <c r="F205" s="24">
        <v>1</v>
      </c>
      <c r="G205" s="24"/>
      <c r="H205" s="24">
        <v>61</v>
      </c>
      <c r="I205" s="24">
        <v>29</v>
      </c>
      <c r="J205" s="24"/>
      <c r="K205" s="24">
        <v>358</v>
      </c>
      <c r="L205" s="24">
        <v>1</v>
      </c>
      <c r="M205" s="24">
        <v>450</v>
      </c>
      <c r="N205" s="25">
        <v>55.204444444444441</v>
      </c>
      <c r="O205" s="24" t="s">
        <v>281</v>
      </c>
      <c r="P205" s="24">
        <f t="shared" si="58"/>
        <v>358</v>
      </c>
      <c r="Q205" s="24">
        <f t="shared" si="59"/>
        <v>61</v>
      </c>
      <c r="R205" s="24">
        <f t="shared" si="60"/>
        <v>29</v>
      </c>
      <c r="S205" s="24">
        <f t="shared" si="61"/>
        <v>2</v>
      </c>
      <c r="T205" s="24">
        <f t="shared" si="62"/>
        <v>450</v>
      </c>
      <c r="U205" s="27">
        <f t="shared" si="63"/>
        <v>0.79555555555555557</v>
      </c>
      <c r="V205" s="27">
        <f t="shared" si="64"/>
        <v>0.13555555555555557</v>
      </c>
      <c r="W205" s="27">
        <f t="shared" si="65"/>
        <v>6.4444444444444443E-2</v>
      </c>
      <c r="X205" s="27">
        <f t="shared" si="66"/>
        <v>4.4444444444444444E-3</v>
      </c>
      <c r="Y205" s="25">
        <f t="shared" si="67"/>
        <v>55.204444444444441</v>
      </c>
    </row>
    <row r="206" spans="1:25" x14ac:dyDescent="0.25">
      <c r="A206" s="24" t="s">
        <v>343</v>
      </c>
      <c r="B206" s="24" t="s">
        <v>344</v>
      </c>
      <c r="C206" s="24" t="s">
        <v>234</v>
      </c>
      <c r="D206" s="24">
        <v>3</v>
      </c>
      <c r="E206" s="24"/>
      <c r="F206" s="24">
        <v>1</v>
      </c>
      <c r="G206" s="24"/>
      <c r="H206" s="24">
        <v>107</v>
      </c>
      <c r="I206" s="24">
        <v>29</v>
      </c>
      <c r="J206" s="24">
        <v>1</v>
      </c>
      <c r="K206" s="24">
        <v>492</v>
      </c>
      <c r="L206" s="24">
        <v>3</v>
      </c>
      <c r="M206" s="24">
        <v>633</v>
      </c>
      <c r="N206" s="25">
        <v>44.606635071090047</v>
      </c>
      <c r="O206" s="24" t="s">
        <v>281</v>
      </c>
      <c r="P206" s="24">
        <f t="shared" si="58"/>
        <v>492</v>
      </c>
      <c r="Q206" s="24">
        <f t="shared" si="59"/>
        <v>107</v>
      </c>
      <c r="R206" s="24">
        <f t="shared" si="60"/>
        <v>29</v>
      </c>
      <c r="S206" s="24">
        <f t="shared" si="61"/>
        <v>5</v>
      </c>
      <c r="T206" s="24">
        <f t="shared" si="62"/>
        <v>633</v>
      </c>
      <c r="U206" s="27">
        <f t="shared" si="63"/>
        <v>0.77725118483412325</v>
      </c>
      <c r="V206" s="27">
        <f t="shared" si="64"/>
        <v>0.16903633491311215</v>
      </c>
      <c r="W206" s="27">
        <f t="shared" si="65"/>
        <v>4.5813586097946286E-2</v>
      </c>
      <c r="X206" s="27">
        <f t="shared" si="66"/>
        <v>7.8988941548183249E-3</v>
      </c>
      <c r="Y206" s="25">
        <f t="shared" si="67"/>
        <v>44.606635071090047</v>
      </c>
    </row>
    <row r="207" spans="1:25" x14ac:dyDescent="0.25">
      <c r="A207" s="24" t="s">
        <v>343</v>
      </c>
      <c r="B207" s="24" t="s">
        <v>344</v>
      </c>
      <c r="C207" s="24" t="s">
        <v>234</v>
      </c>
      <c r="D207" s="24">
        <v>4</v>
      </c>
      <c r="E207" s="24"/>
      <c r="F207" s="24"/>
      <c r="G207" s="24"/>
      <c r="H207" s="24">
        <v>89</v>
      </c>
      <c r="I207" s="24">
        <v>35</v>
      </c>
      <c r="J207" s="24"/>
      <c r="K207" s="24">
        <v>509</v>
      </c>
      <c r="L207" s="24"/>
      <c r="M207" s="24">
        <v>633</v>
      </c>
      <c r="N207" s="25">
        <v>36.650868878357031</v>
      </c>
      <c r="O207" s="24" t="s">
        <v>281</v>
      </c>
      <c r="P207" s="24">
        <f t="shared" si="58"/>
        <v>509</v>
      </c>
      <c r="Q207" s="24">
        <f t="shared" si="59"/>
        <v>89</v>
      </c>
      <c r="R207" s="24">
        <f t="shared" si="60"/>
        <v>35</v>
      </c>
      <c r="S207" s="24">
        <f t="shared" si="61"/>
        <v>0</v>
      </c>
      <c r="T207" s="24">
        <f t="shared" si="62"/>
        <v>633</v>
      </c>
      <c r="U207" s="27">
        <f t="shared" si="63"/>
        <v>0.80410742496050558</v>
      </c>
      <c r="V207" s="27">
        <f t="shared" si="64"/>
        <v>0.14060031595576619</v>
      </c>
      <c r="W207" s="27">
        <f t="shared" si="65"/>
        <v>5.5292259083728278E-2</v>
      </c>
      <c r="X207" s="27">
        <f t="shared" si="66"/>
        <v>0</v>
      </c>
      <c r="Y207" s="25">
        <f t="shared" si="67"/>
        <v>36.650868878357031</v>
      </c>
    </row>
    <row r="208" spans="1:25" x14ac:dyDescent="0.25">
      <c r="A208" s="24" t="s">
        <v>343</v>
      </c>
      <c r="B208" s="24" t="s">
        <v>344</v>
      </c>
      <c r="C208" s="24" t="s">
        <v>234</v>
      </c>
      <c r="D208" s="24">
        <v>5</v>
      </c>
      <c r="E208" s="24"/>
      <c r="F208" s="24"/>
      <c r="G208" s="24"/>
      <c r="H208" s="24">
        <v>60</v>
      </c>
      <c r="I208" s="24">
        <v>38</v>
      </c>
      <c r="J208" s="24">
        <v>1</v>
      </c>
      <c r="K208" s="24">
        <v>534</v>
      </c>
      <c r="L208" s="24"/>
      <c r="M208" s="24">
        <v>633</v>
      </c>
      <c r="N208" s="25">
        <v>29.723538704581358</v>
      </c>
      <c r="O208" s="24" t="s">
        <v>281</v>
      </c>
      <c r="P208" s="24">
        <f t="shared" si="58"/>
        <v>534</v>
      </c>
      <c r="Q208" s="24">
        <f t="shared" si="59"/>
        <v>60</v>
      </c>
      <c r="R208" s="24">
        <f t="shared" si="60"/>
        <v>38</v>
      </c>
      <c r="S208" s="24">
        <f t="shared" si="61"/>
        <v>1</v>
      </c>
      <c r="T208" s="24">
        <f t="shared" si="62"/>
        <v>633</v>
      </c>
      <c r="U208" s="27">
        <f t="shared" si="63"/>
        <v>0.84360189573459721</v>
      </c>
      <c r="V208" s="27">
        <f t="shared" si="64"/>
        <v>9.4786729857819899E-2</v>
      </c>
      <c r="W208" s="27">
        <f t="shared" si="65"/>
        <v>6.0031595576619273E-2</v>
      </c>
      <c r="X208" s="27">
        <f t="shared" si="66"/>
        <v>1.5797788309636651E-3</v>
      </c>
      <c r="Y208" s="25">
        <f t="shared" si="67"/>
        <v>29.723538704581358</v>
      </c>
    </row>
    <row r="209" spans="1:25" x14ac:dyDescent="0.25">
      <c r="A209" s="24" t="s">
        <v>343</v>
      </c>
      <c r="B209" s="24" t="s">
        <v>344</v>
      </c>
      <c r="C209" s="24" t="s">
        <v>234</v>
      </c>
      <c r="D209" s="24">
        <v>6</v>
      </c>
      <c r="E209" s="24"/>
      <c r="F209" s="24"/>
      <c r="G209" s="24"/>
      <c r="H209" s="24">
        <v>56</v>
      </c>
      <c r="I209" s="24">
        <v>22</v>
      </c>
      <c r="J209" s="24"/>
      <c r="K209" s="24">
        <v>556</v>
      </c>
      <c r="L209" s="24"/>
      <c r="M209" s="24">
        <v>634</v>
      </c>
      <c r="N209" s="25">
        <v>24.347003154574132</v>
      </c>
      <c r="O209" s="24" t="s">
        <v>281</v>
      </c>
      <c r="P209" s="24">
        <f t="shared" si="58"/>
        <v>556</v>
      </c>
      <c r="Q209" s="24">
        <f t="shared" si="59"/>
        <v>56</v>
      </c>
      <c r="R209" s="24">
        <f t="shared" si="60"/>
        <v>22</v>
      </c>
      <c r="S209" s="24">
        <f t="shared" si="61"/>
        <v>0</v>
      </c>
      <c r="T209" s="24">
        <f t="shared" si="62"/>
        <v>634</v>
      </c>
      <c r="U209" s="27">
        <f t="shared" si="63"/>
        <v>0.87697160883280756</v>
      </c>
      <c r="V209" s="27">
        <f t="shared" si="64"/>
        <v>8.8328075709779186E-2</v>
      </c>
      <c r="W209" s="27">
        <f t="shared" si="65"/>
        <v>3.4700315457413249E-2</v>
      </c>
      <c r="X209" s="27">
        <f t="shared" si="66"/>
        <v>0</v>
      </c>
      <c r="Y209" s="25">
        <f t="shared" si="67"/>
        <v>24.347003154574132</v>
      </c>
    </row>
    <row r="210" spans="1:25" x14ac:dyDescent="0.25">
      <c r="A210" s="24" t="s">
        <v>343</v>
      </c>
      <c r="B210" s="24" t="s">
        <v>344</v>
      </c>
      <c r="C210" s="24" t="s">
        <v>234</v>
      </c>
      <c r="D210" s="24">
        <v>7</v>
      </c>
      <c r="E210" s="24"/>
      <c r="F210" s="24"/>
      <c r="G210" s="24"/>
      <c r="H210" s="24">
        <v>45</v>
      </c>
      <c r="I210" s="24">
        <v>19</v>
      </c>
      <c r="J210" s="24"/>
      <c r="K210" s="24">
        <v>570</v>
      </c>
      <c r="L210" s="24"/>
      <c r="M210" s="24">
        <v>634</v>
      </c>
      <c r="N210" s="25">
        <v>19.962145110410095</v>
      </c>
      <c r="O210" s="24" t="s">
        <v>281</v>
      </c>
      <c r="P210" s="24">
        <f t="shared" si="58"/>
        <v>570</v>
      </c>
      <c r="Q210" s="24">
        <f t="shared" si="59"/>
        <v>45</v>
      </c>
      <c r="R210" s="24">
        <f t="shared" si="60"/>
        <v>19</v>
      </c>
      <c r="S210" s="24">
        <f t="shared" si="61"/>
        <v>0</v>
      </c>
      <c r="T210" s="24">
        <f t="shared" si="62"/>
        <v>634</v>
      </c>
      <c r="U210" s="27">
        <f t="shared" si="63"/>
        <v>0.89905362776025233</v>
      </c>
      <c r="V210" s="27">
        <f t="shared" si="64"/>
        <v>7.0977917981072558E-2</v>
      </c>
      <c r="W210" s="27">
        <f t="shared" si="65"/>
        <v>2.996845425867508E-2</v>
      </c>
      <c r="X210" s="27">
        <f t="shared" si="66"/>
        <v>0</v>
      </c>
      <c r="Y210" s="25">
        <f t="shared" si="67"/>
        <v>19.962145110410095</v>
      </c>
    </row>
    <row r="211" spans="1:25" x14ac:dyDescent="0.25">
      <c r="A211" s="24" t="s">
        <v>345</v>
      </c>
      <c r="B211" s="24" t="s">
        <v>346</v>
      </c>
      <c r="C211" s="24" t="s">
        <v>236</v>
      </c>
      <c r="D211" s="24">
        <v>1</v>
      </c>
      <c r="E211" s="24">
        <v>1</v>
      </c>
      <c r="F211" s="24">
        <v>1</v>
      </c>
      <c r="G211" s="24"/>
      <c r="H211" s="24">
        <v>200</v>
      </c>
      <c r="I211" s="24">
        <v>98</v>
      </c>
      <c r="J211" s="24">
        <v>2</v>
      </c>
      <c r="K211" s="24">
        <v>148</v>
      </c>
      <c r="L211" s="24"/>
      <c r="M211" s="24">
        <v>450</v>
      </c>
      <c r="N211" s="25">
        <v>65.353333333333339</v>
      </c>
      <c r="O211" s="24" t="s">
        <v>281</v>
      </c>
      <c r="P211" s="24">
        <f t="shared" si="58"/>
        <v>148</v>
      </c>
      <c r="Q211" s="24">
        <f t="shared" si="59"/>
        <v>200</v>
      </c>
      <c r="R211" s="24">
        <f t="shared" si="60"/>
        <v>98</v>
      </c>
      <c r="S211" s="24">
        <f t="shared" si="61"/>
        <v>4</v>
      </c>
      <c r="T211" s="24">
        <f t="shared" si="62"/>
        <v>450</v>
      </c>
      <c r="U211" s="27">
        <f t="shared" si="63"/>
        <v>0.3288888888888889</v>
      </c>
      <c r="V211" s="27">
        <f t="shared" si="64"/>
        <v>0.44444444444444442</v>
      </c>
      <c r="W211" s="27">
        <f t="shared" si="65"/>
        <v>0.21777777777777776</v>
      </c>
      <c r="X211" s="27">
        <f t="shared" si="66"/>
        <v>8.8888888888888889E-3</v>
      </c>
      <c r="Y211" s="25">
        <f t="shared" si="67"/>
        <v>65.353333333333339</v>
      </c>
    </row>
    <row r="212" spans="1:25" x14ac:dyDescent="0.25">
      <c r="A212" s="24" t="s">
        <v>345</v>
      </c>
      <c r="B212" s="24" t="s">
        <v>346</v>
      </c>
      <c r="C212" s="24" t="s">
        <v>236</v>
      </c>
      <c r="D212" s="24">
        <v>2</v>
      </c>
      <c r="E212" s="24"/>
      <c r="F212" s="24">
        <v>2</v>
      </c>
      <c r="G212" s="24"/>
      <c r="H212" s="24">
        <v>169</v>
      </c>
      <c r="I212" s="24">
        <v>61</v>
      </c>
      <c r="J212" s="24">
        <v>2</v>
      </c>
      <c r="K212" s="24">
        <v>216</v>
      </c>
      <c r="L212" s="24"/>
      <c r="M212" s="24">
        <v>450</v>
      </c>
      <c r="N212" s="25">
        <v>61.548888888888889</v>
      </c>
      <c r="O212" s="24" t="s">
        <v>281</v>
      </c>
      <c r="P212" s="24">
        <f t="shared" si="58"/>
        <v>216</v>
      </c>
      <c r="Q212" s="24">
        <f t="shared" si="59"/>
        <v>169</v>
      </c>
      <c r="R212" s="24">
        <f t="shared" si="60"/>
        <v>61</v>
      </c>
      <c r="S212" s="24">
        <f t="shared" si="61"/>
        <v>4</v>
      </c>
      <c r="T212" s="24">
        <f t="shared" si="62"/>
        <v>450</v>
      </c>
      <c r="U212" s="27">
        <f t="shared" si="63"/>
        <v>0.48</v>
      </c>
      <c r="V212" s="27">
        <f t="shared" si="64"/>
        <v>0.37555555555555553</v>
      </c>
      <c r="W212" s="27">
        <f t="shared" si="65"/>
        <v>0.13555555555555557</v>
      </c>
      <c r="X212" s="27">
        <f t="shared" si="66"/>
        <v>8.8888888888888889E-3</v>
      </c>
      <c r="Y212" s="25">
        <f t="shared" si="67"/>
        <v>61.548888888888889</v>
      </c>
    </row>
    <row r="213" spans="1:25" x14ac:dyDescent="0.25">
      <c r="A213" s="24" t="s">
        <v>345</v>
      </c>
      <c r="B213" s="24" t="s">
        <v>346</v>
      </c>
      <c r="C213" s="24" t="s">
        <v>236</v>
      </c>
      <c r="D213" s="24">
        <v>3</v>
      </c>
      <c r="E213" s="24"/>
      <c r="F213" s="24">
        <v>1</v>
      </c>
      <c r="G213" s="24">
        <v>3</v>
      </c>
      <c r="H213" s="24">
        <v>260</v>
      </c>
      <c r="I213" s="24">
        <v>83</v>
      </c>
      <c r="J213" s="24">
        <v>2</v>
      </c>
      <c r="K213" s="24">
        <v>317</v>
      </c>
      <c r="L213" s="24"/>
      <c r="M213" s="24">
        <v>666</v>
      </c>
      <c r="N213" s="25">
        <v>52.996996996996998</v>
      </c>
      <c r="O213" s="24" t="s">
        <v>281</v>
      </c>
      <c r="P213" s="24">
        <f t="shared" si="58"/>
        <v>317</v>
      </c>
      <c r="Q213" s="24">
        <f t="shared" si="59"/>
        <v>260</v>
      </c>
      <c r="R213" s="24">
        <f t="shared" si="60"/>
        <v>83</v>
      </c>
      <c r="S213" s="24">
        <f t="shared" si="61"/>
        <v>6</v>
      </c>
      <c r="T213" s="24">
        <f t="shared" si="62"/>
        <v>666</v>
      </c>
      <c r="U213" s="27">
        <f t="shared" si="63"/>
        <v>0.47597597597597596</v>
      </c>
      <c r="V213" s="27">
        <f t="shared" si="64"/>
        <v>0.39039039039039036</v>
      </c>
      <c r="W213" s="27">
        <f t="shared" si="65"/>
        <v>0.12462462462462462</v>
      </c>
      <c r="X213" s="27">
        <f t="shared" si="66"/>
        <v>9.0090090090090089E-3</v>
      </c>
      <c r="Y213" s="25">
        <f t="shared" si="67"/>
        <v>52.996996996996998</v>
      </c>
    </row>
    <row r="214" spans="1:25" x14ac:dyDescent="0.25">
      <c r="A214" s="24" t="s">
        <v>345</v>
      </c>
      <c r="B214" s="24" t="s">
        <v>346</v>
      </c>
      <c r="C214" s="24" t="s">
        <v>236</v>
      </c>
      <c r="D214" s="24">
        <v>4</v>
      </c>
      <c r="E214" s="24"/>
      <c r="F214" s="24">
        <v>4</v>
      </c>
      <c r="G214" s="24">
        <v>1</v>
      </c>
      <c r="H214" s="24">
        <v>252</v>
      </c>
      <c r="I214" s="24">
        <v>99</v>
      </c>
      <c r="J214" s="24">
        <v>6</v>
      </c>
      <c r="K214" s="24">
        <v>304</v>
      </c>
      <c r="L214" s="24"/>
      <c r="M214" s="24">
        <v>666</v>
      </c>
      <c r="N214" s="25">
        <v>44.195195195195197</v>
      </c>
      <c r="O214" s="24" t="s">
        <v>281</v>
      </c>
      <c r="P214" s="24">
        <f t="shared" si="58"/>
        <v>304</v>
      </c>
      <c r="Q214" s="24">
        <f t="shared" si="59"/>
        <v>252</v>
      </c>
      <c r="R214" s="24">
        <f t="shared" si="60"/>
        <v>99</v>
      </c>
      <c r="S214" s="24">
        <f t="shared" si="61"/>
        <v>11</v>
      </c>
      <c r="T214" s="24">
        <f t="shared" si="62"/>
        <v>666</v>
      </c>
      <c r="U214" s="27">
        <f t="shared" si="63"/>
        <v>0.45645645645645644</v>
      </c>
      <c r="V214" s="27">
        <f t="shared" si="64"/>
        <v>0.3783783783783784</v>
      </c>
      <c r="W214" s="27">
        <f t="shared" si="65"/>
        <v>0.14864864864864866</v>
      </c>
      <c r="X214" s="27">
        <f t="shared" si="66"/>
        <v>1.6516516516516516E-2</v>
      </c>
      <c r="Y214" s="25">
        <f t="shared" si="67"/>
        <v>44.195195195195197</v>
      </c>
    </row>
    <row r="215" spans="1:25" x14ac:dyDescent="0.25">
      <c r="A215" s="24" t="s">
        <v>345</v>
      </c>
      <c r="B215" s="24" t="s">
        <v>346</v>
      </c>
      <c r="C215" s="24" t="s">
        <v>236</v>
      </c>
      <c r="D215" s="24">
        <v>5</v>
      </c>
      <c r="E215" s="24"/>
      <c r="F215" s="24">
        <v>1</v>
      </c>
      <c r="G215" s="24"/>
      <c r="H215" s="24">
        <v>229</v>
      </c>
      <c r="I215" s="24">
        <v>90</v>
      </c>
      <c r="J215" s="24">
        <v>2</v>
      </c>
      <c r="K215" s="24">
        <v>344</v>
      </c>
      <c r="L215" s="24"/>
      <c r="M215" s="24">
        <v>666</v>
      </c>
      <c r="N215" s="25">
        <v>37.475975975975977</v>
      </c>
      <c r="O215" s="24" t="s">
        <v>281</v>
      </c>
      <c r="P215" s="24">
        <f t="shared" si="58"/>
        <v>344</v>
      </c>
      <c r="Q215" s="24">
        <f t="shared" si="59"/>
        <v>229</v>
      </c>
      <c r="R215" s="24">
        <f t="shared" si="60"/>
        <v>90</v>
      </c>
      <c r="S215" s="24">
        <f t="shared" si="61"/>
        <v>3</v>
      </c>
      <c r="T215" s="24">
        <f t="shared" si="62"/>
        <v>666</v>
      </c>
      <c r="U215" s="27">
        <f t="shared" si="63"/>
        <v>0.51651651651651653</v>
      </c>
      <c r="V215" s="27">
        <f t="shared" si="64"/>
        <v>0.34384384384384387</v>
      </c>
      <c r="W215" s="27">
        <f t="shared" si="65"/>
        <v>0.13513513513513514</v>
      </c>
      <c r="X215" s="27">
        <f t="shared" si="66"/>
        <v>4.5045045045045045E-3</v>
      </c>
      <c r="Y215" s="25">
        <f t="shared" si="67"/>
        <v>37.475975975975977</v>
      </c>
    </row>
    <row r="216" spans="1:25" x14ac:dyDescent="0.25">
      <c r="A216" s="24" t="s">
        <v>345</v>
      </c>
      <c r="B216" s="24" t="s">
        <v>346</v>
      </c>
      <c r="C216" s="24" t="s">
        <v>236</v>
      </c>
      <c r="D216" s="24">
        <v>6</v>
      </c>
      <c r="E216" s="24"/>
      <c r="F216" s="24"/>
      <c r="G216" s="24">
        <v>1</v>
      </c>
      <c r="H216" s="24">
        <v>196</v>
      </c>
      <c r="I216" s="24">
        <v>88</v>
      </c>
      <c r="J216" s="24">
        <v>2</v>
      </c>
      <c r="K216" s="24">
        <v>379</v>
      </c>
      <c r="L216" s="24"/>
      <c r="M216" s="24">
        <v>666</v>
      </c>
      <c r="N216" s="25">
        <v>31.84984984984985</v>
      </c>
      <c r="O216" s="24" t="s">
        <v>281</v>
      </c>
      <c r="P216" s="24">
        <f t="shared" si="58"/>
        <v>379</v>
      </c>
      <c r="Q216" s="24">
        <f t="shared" si="59"/>
        <v>196</v>
      </c>
      <c r="R216" s="24">
        <f t="shared" si="60"/>
        <v>88</v>
      </c>
      <c r="S216" s="24">
        <f t="shared" si="61"/>
        <v>3</v>
      </c>
      <c r="T216" s="24">
        <f t="shared" si="62"/>
        <v>666</v>
      </c>
      <c r="U216" s="27">
        <f t="shared" si="63"/>
        <v>0.56906906906906907</v>
      </c>
      <c r="V216" s="27">
        <f t="shared" si="64"/>
        <v>0.29429429429429427</v>
      </c>
      <c r="W216" s="27">
        <f t="shared" si="65"/>
        <v>0.13213213213213212</v>
      </c>
      <c r="X216" s="27">
        <f t="shared" si="66"/>
        <v>4.5045045045045045E-3</v>
      </c>
      <c r="Y216" s="25">
        <f t="shared" si="67"/>
        <v>31.84984984984985</v>
      </c>
    </row>
    <row r="217" spans="1:25" x14ac:dyDescent="0.25">
      <c r="A217" s="24" t="s">
        <v>345</v>
      </c>
      <c r="B217" s="24" t="s">
        <v>346</v>
      </c>
      <c r="C217" s="24" t="s">
        <v>236</v>
      </c>
      <c r="D217" s="24">
        <v>7</v>
      </c>
      <c r="E217" s="24"/>
      <c r="F217" s="24"/>
      <c r="G217" s="24"/>
      <c r="H217" s="24">
        <v>171</v>
      </c>
      <c r="I217" s="24">
        <v>67</v>
      </c>
      <c r="J217" s="24"/>
      <c r="K217" s="24">
        <v>428</v>
      </c>
      <c r="L217" s="24"/>
      <c r="M217" s="24">
        <v>666</v>
      </c>
      <c r="N217" s="25">
        <v>27.208708708708709</v>
      </c>
      <c r="O217" s="24" t="s">
        <v>281</v>
      </c>
      <c r="P217" s="24">
        <f t="shared" si="58"/>
        <v>428</v>
      </c>
      <c r="Q217" s="24">
        <f t="shared" si="59"/>
        <v>171</v>
      </c>
      <c r="R217" s="24">
        <f t="shared" si="60"/>
        <v>67</v>
      </c>
      <c r="S217" s="24">
        <f t="shared" si="61"/>
        <v>0</v>
      </c>
      <c r="T217" s="24">
        <f t="shared" si="62"/>
        <v>666</v>
      </c>
      <c r="U217" s="27">
        <f t="shared" si="63"/>
        <v>0.64264264264264259</v>
      </c>
      <c r="V217" s="27">
        <f t="shared" si="64"/>
        <v>0.25675675675675674</v>
      </c>
      <c r="W217" s="27">
        <f t="shared" si="65"/>
        <v>0.1006006006006006</v>
      </c>
      <c r="X217" s="27">
        <f t="shared" si="66"/>
        <v>0</v>
      </c>
      <c r="Y217" s="25">
        <f t="shared" si="67"/>
        <v>27.208708708708709</v>
      </c>
    </row>
    <row r="218" spans="1:25" x14ac:dyDescent="0.25">
      <c r="A218" s="24" t="s">
        <v>345</v>
      </c>
      <c r="B218" s="24" t="s">
        <v>346</v>
      </c>
      <c r="C218" s="24" t="s">
        <v>236</v>
      </c>
      <c r="D218" s="24">
        <v>8</v>
      </c>
      <c r="E218" s="24"/>
      <c r="F218" s="24"/>
      <c r="G218" s="24"/>
      <c r="H218" s="24">
        <v>153</v>
      </c>
      <c r="I218" s="24">
        <v>79</v>
      </c>
      <c r="J218" s="24"/>
      <c r="K218" s="24">
        <v>435</v>
      </c>
      <c r="L218" s="24"/>
      <c r="M218" s="24">
        <v>667</v>
      </c>
      <c r="N218" s="25">
        <v>23.469265367316343</v>
      </c>
      <c r="O218" s="24" t="s">
        <v>281</v>
      </c>
      <c r="P218" s="24">
        <f t="shared" si="58"/>
        <v>435</v>
      </c>
      <c r="Q218" s="24">
        <f t="shared" si="59"/>
        <v>153</v>
      </c>
      <c r="R218" s="24">
        <f t="shared" si="60"/>
        <v>79</v>
      </c>
      <c r="S218" s="24">
        <f t="shared" si="61"/>
        <v>0</v>
      </c>
      <c r="T218" s="24">
        <f t="shared" si="62"/>
        <v>667</v>
      </c>
      <c r="U218" s="27">
        <f t="shared" si="63"/>
        <v>0.65217391304347827</v>
      </c>
      <c r="V218" s="27">
        <f t="shared" si="64"/>
        <v>0.22938530734632684</v>
      </c>
      <c r="W218" s="27">
        <f t="shared" si="65"/>
        <v>0.1184407796101949</v>
      </c>
      <c r="X218" s="27">
        <f t="shared" si="66"/>
        <v>0</v>
      </c>
      <c r="Y218" s="25">
        <f t="shared" si="67"/>
        <v>23.469265367316343</v>
      </c>
    </row>
    <row r="219" spans="1:25" x14ac:dyDescent="0.25">
      <c r="A219" s="24" t="s">
        <v>345</v>
      </c>
      <c r="B219" s="24" t="s">
        <v>346</v>
      </c>
      <c r="C219" s="24" t="s">
        <v>236</v>
      </c>
      <c r="D219" s="24">
        <v>9</v>
      </c>
      <c r="E219" s="24"/>
      <c r="F219" s="24"/>
      <c r="G219" s="24"/>
      <c r="H219" s="24">
        <v>124</v>
      </c>
      <c r="I219" s="24">
        <v>65</v>
      </c>
      <c r="J219" s="24"/>
      <c r="K219" s="24">
        <v>478</v>
      </c>
      <c r="L219" s="24"/>
      <c r="M219" s="24">
        <v>667</v>
      </c>
      <c r="N219" s="25">
        <v>19.751124437781108</v>
      </c>
      <c r="O219" s="24" t="s">
        <v>281</v>
      </c>
      <c r="P219" s="24">
        <f t="shared" si="58"/>
        <v>478</v>
      </c>
      <c r="Q219" s="24">
        <f t="shared" si="59"/>
        <v>124</v>
      </c>
      <c r="R219" s="24">
        <f t="shared" si="60"/>
        <v>65</v>
      </c>
      <c r="S219" s="24">
        <f t="shared" si="61"/>
        <v>0</v>
      </c>
      <c r="T219" s="24">
        <f t="shared" si="62"/>
        <v>667</v>
      </c>
      <c r="U219" s="27">
        <f t="shared" si="63"/>
        <v>0.71664167916041976</v>
      </c>
      <c r="V219" s="27">
        <f t="shared" si="64"/>
        <v>0.18590704647676162</v>
      </c>
      <c r="W219" s="27">
        <f t="shared" si="65"/>
        <v>9.7451274362818585E-2</v>
      </c>
      <c r="X219" s="27">
        <f t="shared" si="66"/>
        <v>0</v>
      </c>
      <c r="Y219" s="25">
        <f t="shared" si="67"/>
        <v>19.751124437781108</v>
      </c>
    </row>
    <row r="220" spans="1:25" x14ac:dyDescent="0.25">
      <c r="A220" s="24" t="s">
        <v>347</v>
      </c>
      <c r="B220" s="24" t="s">
        <v>348</v>
      </c>
      <c r="C220" s="24" t="s">
        <v>238</v>
      </c>
      <c r="D220" s="24">
        <v>1</v>
      </c>
      <c r="E220" s="24"/>
      <c r="F220" s="24">
        <v>1</v>
      </c>
      <c r="G220" s="24"/>
      <c r="H220" s="24">
        <v>83</v>
      </c>
      <c r="I220" s="24">
        <v>94</v>
      </c>
      <c r="J220" s="24">
        <v>9</v>
      </c>
      <c r="K220" s="24">
        <v>263</v>
      </c>
      <c r="L220" s="24"/>
      <c r="M220" s="24">
        <v>450</v>
      </c>
      <c r="N220" s="25">
        <v>72.204444444444448</v>
      </c>
      <c r="O220" s="24" t="s">
        <v>281</v>
      </c>
      <c r="P220" s="24">
        <f t="shared" si="58"/>
        <v>263</v>
      </c>
      <c r="Q220" s="24">
        <f t="shared" si="59"/>
        <v>83</v>
      </c>
      <c r="R220" s="24">
        <f t="shared" si="60"/>
        <v>94</v>
      </c>
      <c r="S220" s="24">
        <f t="shared" si="61"/>
        <v>10</v>
      </c>
      <c r="T220" s="24">
        <f t="shared" si="62"/>
        <v>450</v>
      </c>
      <c r="U220" s="27">
        <f t="shared" si="63"/>
        <v>0.58444444444444443</v>
      </c>
      <c r="V220" s="27">
        <f t="shared" si="64"/>
        <v>0.18444444444444444</v>
      </c>
      <c r="W220" s="27">
        <f t="shared" si="65"/>
        <v>0.2088888888888889</v>
      </c>
      <c r="X220" s="27">
        <f t="shared" si="66"/>
        <v>2.2222222222222223E-2</v>
      </c>
      <c r="Y220" s="25">
        <f t="shared" si="67"/>
        <v>72.204444444444448</v>
      </c>
    </row>
    <row r="221" spans="1:25" x14ac:dyDescent="0.25">
      <c r="A221" s="24" t="s">
        <v>347</v>
      </c>
      <c r="B221" s="24" t="s">
        <v>348</v>
      </c>
      <c r="C221" s="24" t="s">
        <v>238</v>
      </c>
      <c r="D221" s="24">
        <v>2</v>
      </c>
      <c r="E221" s="24"/>
      <c r="F221" s="24"/>
      <c r="G221" s="24"/>
      <c r="H221" s="24">
        <v>80</v>
      </c>
      <c r="I221" s="24">
        <v>98</v>
      </c>
      <c r="J221" s="24">
        <v>1</v>
      </c>
      <c r="K221" s="24">
        <v>271</v>
      </c>
      <c r="L221" s="24"/>
      <c r="M221" s="24">
        <v>450</v>
      </c>
      <c r="N221" s="25">
        <v>64.562222222222218</v>
      </c>
      <c r="O221" s="24" t="s">
        <v>281</v>
      </c>
      <c r="P221" s="24">
        <f t="shared" si="58"/>
        <v>271</v>
      </c>
      <c r="Q221" s="24">
        <f t="shared" si="59"/>
        <v>80</v>
      </c>
      <c r="R221" s="24">
        <f t="shared" si="60"/>
        <v>98</v>
      </c>
      <c r="S221" s="24">
        <f t="shared" si="61"/>
        <v>1</v>
      </c>
      <c r="T221" s="24">
        <f t="shared" si="62"/>
        <v>450</v>
      </c>
      <c r="U221" s="27">
        <f t="shared" si="63"/>
        <v>0.60222222222222221</v>
      </c>
      <c r="V221" s="27">
        <f t="shared" si="64"/>
        <v>0.17777777777777778</v>
      </c>
      <c r="W221" s="27">
        <f t="shared" si="65"/>
        <v>0.21777777777777776</v>
      </c>
      <c r="X221" s="27">
        <f t="shared" si="66"/>
        <v>2.2222222222222222E-3</v>
      </c>
      <c r="Y221" s="25">
        <f t="shared" si="67"/>
        <v>64.562222222222218</v>
      </c>
    </row>
    <row r="222" spans="1:25" x14ac:dyDescent="0.25">
      <c r="A222" s="24" t="s">
        <v>347</v>
      </c>
      <c r="B222" s="24" t="s">
        <v>348</v>
      </c>
      <c r="C222" s="24" t="s">
        <v>238</v>
      </c>
      <c r="D222" s="24">
        <v>3</v>
      </c>
      <c r="E222" s="24">
        <v>1</v>
      </c>
      <c r="F222" s="24"/>
      <c r="G222" s="24">
        <v>2</v>
      </c>
      <c r="H222" s="24">
        <v>101</v>
      </c>
      <c r="I222" s="24">
        <v>79</v>
      </c>
      <c r="J222" s="24"/>
      <c r="K222" s="24">
        <v>310</v>
      </c>
      <c r="L222" s="24"/>
      <c r="M222" s="24">
        <v>493</v>
      </c>
      <c r="N222" s="25">
        <v>53.997971602434077</v>
      </c>
      <c r="O222" s="24" t="s">
        <v>281</v>
      </c>
      <c r="P222" s="24">
        <f t="shared" si="58"/>
        <v>310</v>
      </c>
      <c r="Q222" s="24">
        <f t="shared" si="59"/>
        <v>101</v>
      </c>
      <c r="R222" s="24">
        <f t="shared" si="60"/>
        <v>79</v>
      </c>
      <c r="S222" s="24">
        <f t="shared" si="61"/>
        <v>3</v>
      </c>
      <c r="T222" s="24">
        <f t="shared" si="62"/>
        <v>493</v>
      </c>
      <c r="U222" s="27">
        <f t="shared" si="63"/>
        <v>0.62880324543610544</v>
      </c>
      <c r="V222" s="27">
        <f t="shared" si="64"/>
        <v>0.20486815415821502</v>
      </c>
      <c r="W222" s="27">
        <f t="shared" si="65"/>
        <v>0.16024340770791076</v>
      </c>
      <c r="X222" s="27">
        <f t="shared" si="66"/>
        <v>6.0851926977687626E-3</v>
      </c>
      <c r="Y222" s="25">
        <f t="shared" si="67"/>
        <v>53.997971602434077</v>
      </c>
    </row>
    <row r="223" spans="1:25" x14ac:dyDescent="0.25">
      <c r="A223" s="24" t="s">
        <v>347</v>
      </c>
      <c r="B223" s="24" t="s">
        <v>348</v>
      </c>
      <c r="C223" s="24" t="s">
        <v>238</v>
      </c>
      <c r="D223" s="24">
        <v>4</v>
      </c>
      <c r="E223" s="24"/>
      <c r="F223" s="24"/>
      <c r="G223" s="24">
        <v>4</v>
      </c>
      <c r="H223" s="24">
        <v>79</v>
      </c>
      <c r="I223" s="24">
        <v>63</v>
      </c>
      <c r="J223" s="24">
        <v>2</v>
      </c>
      <c r="K223" s="24">
        <v>344</v>
      </c>
      <c r="L223" s="24">
        <v>1</v>
      </c>
      <c r="M223" s="24">
        <v>493</v>
      </c>
      <c r="N223" s="25">
        <v>42.807302231237323</v>
      </c>
      <c r="O223" s="24" t="s">
        <v>281</v>
      </c>
      <c r="P223" s="24">
        <f t="shared" si="58"/>
        <v>344</v>
      </c>
      <c r="Q223" s="24">
        <f t="shared" si="59"/>
        <v>79</v>
      </c>
      <c r="R223" s="24">
        <f t="shared" si="60"/>
        <v>63</v>
      </c>
      <c r="S223" s="24">
        <f t="shared" si="61"/>
        <v>7</v>
      </c>
      <c r="T223" s="24">
        <f t="shared" si="62"/>
        <v>493</v>
      </c>
      <c r="U223" s="27">
        <f t="shared" si="63"/>
        <v>0.69776876267748478</v>
      </c>
      <c r="V223" s="27">
        <f t="shared" si="64"/>
        <v>0.16024340770791076</v>
      </c>
      <c r="W223" s="27">
        <f t="shared" si="65"/>
        <v>0.12778904665314403</v>
      </c>
      <c r="X223" s="27">
        <f t="shared" si="66"/>
        <v>1.4198782961460446E-2</v>
      </c>
      <c r="Y223" s="25">
        <f t="shared" si="67"/>
        <v>42.807302231237323</v>
      </c>
    </row>
    <row r="224" spans="1:25" x14ac:dyDescent="0.25">
      <c r="A224" s="24" t="s">
        <v>347</v>
      </c>
      <c r="B224" s="24" t="s">
        <v>348</v>
      </c>
      <c r="C224" s="24" t="s">
        <v>238</v>
      </c>
      <c r="D224" s="24">
        <v>5</v>
      </c>
      <c r="E224" s="24"/>
      <c r="F224" s="24"/>
      <c r="G224" s="24">
        <v>1</v>
      </c>
      <c r="H224" s="24">
        <v>41</v>
      </c>
      <c r="I224" s="24">
        <v>46</v>
      </c>
      <c r="J224" s="24"/>
      <c r="K224" s="24">
        <v>406</v>
      </c>
      <c r="L224" s="24"/>
      <c r="M224" s="24">
        <v>494</v>
      </c>
      <c r="N224" s="25">
        <v>33.491902834008094</v>
      </c>
      <c r="O224" s="24" t="s">
        <v>281</v>
      </c>
      <c r="P224" s="24">
        <f t="shared" si="58"/>
        <v>406</v>
      </c>
      <c r="Q224" s="24">
        <f t="shared" si="59"/>
        <v>41</v>
      </c>
      <c r="R224" s="24">
        <f t="shared" si="60"/>
        <v>46</v>
      </c>
      <c r="S224" s="24">
        <f t="shared" si="61"/>
        <v>1</v>
      </c>
      <c r="T224" s="24">
        <f t="shared" si="62"/>
        <v>494</v>
      </c>
      <c r="U224" s="27">
        <f t="shared" si="63"/>
        <v>0.82186234817813764</v>
      </c>
      <c r="V224" s="27">
        <f t="shared" si="64"/>
        <v>8.2995951417004055E-2</v>
      </c>
      <c r="W224" s="27">
        <f t="shared" si="65"/>
        <v>9.3117408906882596E-2</v>
      </c>
      <c r="X224" s="27">
        <f t="shared" si="66"/>
        <v>2.0242914979757085E-3</v>
      </c>
      <c r="Y224" s="25">
        <f t="shared" si="67"/>
        <v>33.491902834008094</v>
      </c>
    </row>
    <row r="225" spans="1:25" x14ac:dyDescent="0.25">
      <c r="A225" s="24" t="s">
        <v>347</v>
      </c>
      <c r="B225" s="24" t="s">
        <v>348</v>
      </c>
      <c r="C225" s="24" t="s">
        <v>238</v>
      </c>
      <c r="D225" s="24">
        <v>6</v>
      </c>
      <c r="E225" s="24"/>
      <c r="F225" s="24"/>
      <c r="G225" s="24">
        <v>1</v>
      </c>
      <c r="H225" s="24">
        <v>42</v>
      </c>
      <c r="I225" s="24">
        <v>41</v>
      </c>
      <c r="J225" s="24">
        <v>1</v>
      </c>
      <c r="K225" s="24">
        <v>409</v>
      </c>
      <c r="L225" s="24"/>
      <c r="M225" s="24">
        <v>494</v>
      </c>
      <c r="N225" s="25">
        <v>23.694331983805668</v>
      </c>
      <c r="O225" s="24" t="s">
        <v>281</v>
      </c>
      <c r="P225" s="24">
        <f t="shared" si="58"/>
        <v>409</v>
      </c>
      <c r="Q225" s="24">
        <f t="shared" si="59"/>
        <v>42</v>
      </c>
      <c r="R225" s="24">
        <f t="shared" si="60"/>
        <v>41</v>
      </c>
      <c r="S225" s="24">
        <f t="shared" si="61"/>
        <v>2</v>
      </c>
      <c r="T225" s="24">
        <f t="shared" si="62"/>
        <v>494</v>
      </c>
      <c r="U225" s="27">
        <f t="shared" si="63"/>
        <v>0.82793522267206476</v>
      </c>
      <c r="V225" s="27">
        <f t="shared" si="64"/>
        <v>8.5020242914979755E-2</v>
      </c>
      <c r="W225" s="27">
        <f t="shared" si="65"/>
        <v>8.2995951417004055E-2</v>
      </c>
      <c r="X225" s="27">
        <f t="shared" si="66"/>
        <v>4.048582995951417E-3</v>
      </c>
      <c r="Y225" s="25">
        <f t="shared" si="67"/>
        <v>23.694331983805668</v>
      </c>
    </row>
    <row r="226" spans="1:25" x14ac:dyDescent="0.25">
      <c r="A226" s="24" t="s">
        <v>349</v>
      </c>
      <c r="B226" s="24" t="s">
        <v>350</v>
      </c>
      <c r="C226" s="24" t="s">
        <v>240</v>
      </c>
      <c r="D226" s="24">
        <v>1</v>
      </c>
      <c r="E226" s="24"/>
      <c r="F226" s="24">
        <v>1</v>
      </c>
      <c r="G226" s="24"/>
      <c r="H226" s="24">
        <v>24</v>
      </c>
      <c r="I226" s="24">
        <v>17</v>
      </c>
      <c r="J226" s="24"/>
      <c r="K226" s="24">
        <v>408</v>
      </c>
      <c r="L226" s="24"/>
      <c r="M226" s="24">
        <v>450</v>
      </c>
      <c r="N226" s="25">
        <v>62.684444444444445</v>
      </c>
      <c r="O226" s="24" t="s">
        <v>281</v>
      </c>
      <c r="P226" s="24">
        <f t="shared" ref="P226:P232" si="77">K226</f>
        <v>408</v>
      </c>
      <c r="Q226" s="24">
        <f t="shared" ref="Q226:R232" si="78">H226</f>
        <v>24</v>
      </c>
      <c r="R226" s="24">
        <f t="shared" si="78"/>
        <v>17</v>
      </c>
      <c r="S226" s="24">
        <f t="shared" ref="S226:S232" si="79">M226-SUM(P226:R226)</f>
        <v>1</v>
      </c>
      <c r="T226" s="24">
        <f t="shared" ref="T226:T232" si="80">SUM(P226:S226)</f>
        <v>450</v>
      </c>
      <c r="U226" s="27">
        <f t="shared" ref="U226:U232" si="81">P226/M226</f>
        <v>0.90666666666666662</v>
      </c>
      <c r="V226" s="27">
        <f t="shared" ref="V226:V232" si="82">Q226/M226</f>
        <v>5.3333333333333337E-2</v>
      </c>
      <c r="W226" s="27">
        <f t="shared" ref="W226:W232" si="83">R226/M226</f>
        <v>3.7777777777777778E-2</v>
      </c>
      <c r="X226" s="27">
        <f t="shared" ref="X226:X232" si="84">S226/M226</f>
        <v>2.2222222222222222E-3</v>
      </c>
      <c r="Y226" s="25">
        <f t="shared" ref="Y226:Y232" si="85">N226</f>
        <v>62.684444444444445</v>
      </c>
    </row>
    <row r="227" spans="1:25" x14ac:dyDescent="0.25">
      <c r="A227" s="24" t="s">
        <v>349</v>
      </c>
      <c r="B227" s="24" t="s">
        <v>350</v>
      </c>
      <c r="C227" s="24" t="s">
        <v>240</v>
      </c>
      <c r="D227" s="24">
        <v>2</v>
      </c>
      <c r="E227" s="24">
        <v>1</v>
      </c>
      <c r="F227" s="24">
        <v>1</v>
      </c>
      <c r="G227" s="24">
        <v>1</v>
      </c>
      <c r="H227" s="24">
        <v>14</v>
      </c>
      <c r="I227" s="24">
        <v>32</v>
      </c>
      <c r="J227" s="24"/>
      <c r="K227" s="24">
        <v>401</v>
      </c>
      <c r="L227" s="24"/>
      <c r="M227" s="24">
        <v>450</v>
      </c>
      <c r="N227" s="25">
        <v>60.528888888888886</v>
      </c>
      <c r="O227" s="24" t="s">
        <v>281</v>
      </c>
      <c r="P227" s="24">
        <f t="shared" si="77"/>
        <v>401</v>
      </c>
      <c r="Q227" s="24">
        <f t="shared" si="78"/>
        <v>14</v>
      </c>
      <c r="R227" s="24">
        <f t="shared" si="78"/>
        <v>32</v>
      </c>
      <c r="S227" s="24">
        <f t="shared" si="79"/>
        <v>3</v>
      </c>
      <c r="T227" s="24">
        <f t="shared" si="80"/>
        <v>450</v>
      </c>
      <c r="U227" s="27">
        <f t="shared" si="81"/>
        <v>0.89111111111111108</v>
      </c>
      <c r="V227" s="27">
        <f t="shared" si="82"/>
        <v>3.111111111111111E-2</v>
      </c>
      <c r="W227" s="27">
        <f t="shared" si="83"/>
        <v>7.1111111111111111E-2</v>
      </c>
      <c r="X227" s="27">
        <f t="shared" si="84"/>
        <v>6.6666666666666671E-3</v>
      </c>
      <c r="Y227" s="25">
        <f t="shared" si="85"/>
        <v>60.528888888888886</v>
      </c>
    </row>
    <row r="228" spans="1:25" x14ac:dyDescent="0.25">
      <c r="A228" s="24" t="s">
        <v>349</v>
      </c>
      <c r="B228" s="24" t="s">
        <v>350</v>
      </c>
      <c r="C228" s="24" t="s">
        <v>240</v>
      </c>
      <c r="D228" s="24">
        <v>3</v>
      </c>
      <c r="E228" s="24"/>
      <c r="F228" s="24"/>
      <c r="G228" s="24">
        <v>2</v>
      </c>
      <c r="H228" s="24">
        <v>36</v>
      </c>
      <c r="I228" s="24">
        <v>38</v>
      </c>
      <c r="J228" s="24">
        <v>1</v>
      </c>
      <c r="K228" s="24">
        <v>573</v>
      </c>
      <c r="L228" s="24"/>
      <c r="M228" s="24">
        <v>650</v>
      </c>
      <c r="N228" s="25">
        <v>49.303076923076922</v>
      </c>
      <c r="O228" s="24" t="s">
        <v>281</v>
      </c>
      <c r="P228" s="24">
        <f t="shared" si="77"/>
        <v>573</v>
      </c>
      <c r="Q228" s="24">
        <f t="shared" si="78"/>
        <v>36</v>
      </c>
      <c r="R228" s="24">
        <f t="shared" si="78"/>
        <v>38</v>
      </c>
      <c r="S228" s="24">
        <f t="shared" si="79"/>
        <v>3</v>
      </c>
      <c r="T228" s="24">
        <f t="shared" si="80"/>
        <v>650</v>
      </c>
      <c r="U228" s="27">
        <f t="shared" si="81"/>
        <v>0.88153846153846149</v>
      </c>
      <c r="V228" s="27">
        <f t="shared" si="82"/>
        <v>5.5384615384615386E-2</v>
      </c>
      <c r="W228" s="27">
        <f t="shared" si="83"/>
        <v>5.8461538461538461E-2</v>
      </c>
      <c r="X228" s="27">
        <f t="shared" si="84"/>
        <v>4.6153846153846158E-3</v>
      </c>
      <c r="Y228" s="25">
        <f t="shared" si="85"/>
        <v>49.303076923076922</v>
      </c>
    </row>
    <row r="229" spans="1:25" x14ac:dyDescent="0.25">
      <c r="A229" s="24" t="s">
        <v>349</v>
      </c>
      <c r="B229" s="24" t="s">
        <v>350</v>
      </c>
      <c r="C229" s="24" t="s">
        <v>240</v>
      </c>
      <c r="D229" s="24">
        <v>4</v>
      </c>
      <c r="E229" s="24"/>
      <c r="F229" s="24"/>
      <c r="G229" s="24"/>
      <c r="H229" s="24">
        <v>27</v>
      </c>
      <c r="I229" s="24">
        <v>29</v>
      </c>
      <c r="J229" s="24">
        <v>1</v>
      </c>
      <c r="K229" s="24">
        <v>593</v>
      </c>
      <c r="L229" s="24"/>
      <c r="M229" s="24">
        <v>650</v>
      </c>
      <c r="N229" s="25">
        <v>38.970769230769228</v>
      </c>
      <c r="O229" s="24" t="s">
        <v>281</v>
      </c>
      <c r="P229" s="24">
        <f t="shared" si="77"/>
        <v>593</v>
      </c>
      <c r="Q229" s="24">
        <f t="shared" si="78"/>
        <v>27</v>
      </c>
      <c r="R229" s="24">
        <f t="shared" si="78"/>
        <v>29</v>
      </c>
      <c r="S229" s="24">
        <f t="shared" si="79"/>
        <v>1</v>
      </c>
      <c r="T229" s="24">
        <f t="shared" si="80"/>
        <v>650</v>
      </c>
      <c r="U229" s="27">
        <f t="shared" si="81"/>
        <v>0.91230769230769226</v>
      </c>
      <c r="V229" s="27">
        <f t="shared" si="82"/>
        <v>4.1538461538461538E-2</v>
      </c>
      <c r="W229" s="27">
        <f t="shared" si="83"/>
        <v>4.4615384615384612E-2</v>
      </c>
      <c r="X229" s="27">
        <f t="shared" si="84"/>
        <v>1.5384615384615385E-3</v>
      </c>
      <c r="Y229" s="25">
        <f t="shared" si="85"/>
        <v>38.970769230769228</v>
      </c>
    </row>
    <row r="230" spans="1:25" x14ac:dyDescent="0.25">
      <c r="A230" s="24" t="s">
        <v>349</v>
      </c>
      <c r="B230" s="24" t="s">
        <v>350</v>
      </c>
      <c r="C230" s="24" t="s">
        <v>240</v>
      </c>
      <c r="D230" s="24">
        <v>5</v>
      </c>
      <c r="E230" s="24"/>
      <c r="F230" s="24"/>
      <c r="G230" s="24"/>
      <c r="H230" s="24">
        <v>25</v>
      </c>
      <c r="I230" s="24">
        <v>35</v>
      </c>
      <c r="J230" s="24">
        <v>1</v>
      </c>
      <c r="K230" s="24">
        <v>589</v>
      </c>
      <c r="L230" s="24"/>
      <c r="M230" s="24">
        <v>650</v>
      </c>
      <c r="N230" s="25">
        <v>33.616923076923079</v>
      </c>
      <c r="O230" s="24" t="s">
        <v>281</v>
      </c>
      <c r="P230" s="24">
        <f t="shared" si="77"/>
        <v>589</v>
      </c>
      <c r="Q230" s="24">
        <f t="shared" si="78"/>
        <v>25</v>
      </c>
      <c r="R230" s="24">
        <f t="shared" si="78"/>
        <v>35</v>
      </c>
      <c r="S230" s="24">
        <f t="shared" si="79"/>
        <v>1</v>
      </c>
      <c r="T230" s="24">
        <f t="shared" si="80"/>
        <v>650</v>
      </c>
      <c r="U230" s="27">
        <f t="shared" si="81"/>
        <v>0.9061538461538462</v>
      </c>
      <c r="V230" s="27">
        <f t="shared" si="82"/>
        <v>3.8461538461538464E-2</v>
      </c>
      <c r="W230" s="27">
        <f t="shared" si="83"/>
        <v>5.3846153846153849E-2</v>
      </c>
      <c r="X230" s="27">
        <f t="shared" si="84"/>
        <v>1.5384615384615385E-3</v>
      </c>
      <c r="Y230" s="25">
        <f t="shared" si="85"/>
        <v>33.616923076923079</v>
      </c>
    </row>
    <row r="231" spans="1:25" x14ac:dyDescent="0.25">
      <c r="A231" s="24" t="s">
        <v>349</v>
      </c>
      <c r="B231" s="24" t="s">
        <v>350</v>
      </c>
      <c r="C231" s="24" t="s">
        <v>240</v>
      </c>
      <c r="D231" s="24">
        <v>6</v>
      </c>
      <c r="E231" s="24"/>
      <c r="F231" s="24"/>
      <c r="G231" s="24"/>
      <c r="H231" s="24">
        <v>27</v>
      </c>
      <c r="I231" s="24">
        <v>24</v>
      </c>
      <c r="J231" s="24">
        <v>2</v>
      </c>
      <c r="K231" s="24">
        <v>597</v>
      </c>
      <c r="L231" s="24"/>
      <c r="M231" s="24">
        <v>650</v>
      </c>
      <c r="N231" s="25">
        <v>28.26</v>
      </c>
      <c r="O231" s="24" t="s">
        <v>281</v>
      </c>
      <c r="P231" s="24">
        <f t="shared" si="77"/>
        <v>597</v>
      </c>
      <c r="Q231" s="24">
        <f t="shared" si="78"/>
        <v>27</v>
      </c>
      <c r="R231" s="24">
        <f t="shared" si="78"/>
        <v>24</v>
      </c>
      <c r="S231" s="24">
        <f t="shared" si="79"/>
        <v>2</v>
      </c>
      <c r="T231" s="24">
        <f t="shared" si="80"/>
        <v>650</v>
      </c>
      <c r="U231" s="27">
        <f t="shared" si="81"/>
        <v>0.91846153846153844</v>
      </c>
      <c r="V231" s="27">
        <f t="shared" si="82"/>
        <v>4.1538461538461538E-2</v>
      </c>
      <c r="W231" s="27">
        <f t="shared" si="83"/>
        <v>3.6923076923076927E-2</v>
      </c>
      <c r="X231" s="27">
        <f t="shared" si="84"/>
        <v>3.0769230769230769E-3</v>
      </c>
      <c r="Y231" s="25">
        <f t="shared" si="85"/>
        <v>28.26</v>
      </c>
    </row>
    <row r="232" spans="1:25" x14ac:dyDescent="0.25">
      <c r="A232" s="24" t="s">
        <v>349</v>
      </c>
      <c r="B232" s="24" t="s">
        <v>350</v>
      </c>
      <c r="C232" s="24" t="s">
        <v>240</v>
      </c>
      <c r="D232" s="24">
        <v>7</v>
      </c>
      <c r="E232" s="24"/>
      <c r="F232" s="24"/>
      <c r="G232" s="24"/>
      <c r="H232" s="24">
        <v>11</v>
      </c>
      <c r="I232" s="24">
        <v>26</v>
      </c>
      <c r="J232" s="24"/>
      <c r="K232" s="24">
        <v>614</v>
      </c>
      <c r="L232" s="24"/>
      <c r="M232" s="24">
        <v>651</v>
      </c>
      <c r="N232" s="25">
        <v>21.892473118279568</v>
      </c>
      <c r="O232" s="24" t="s">
        <v>281</v>
      </c>
      <c r="P232" s="24">
        <f t="shared" si="77"/>
        <v>614</v>
      </c>
      <c r="Q232" s="24">
        <f t="shared" si="78"/>
        <v>11</v>
      </c>
      <c r="R232" s="24">
        <f t="shared" si="78"/>
        <v>26</v>
      </c>
      <c r="S232" s="24">
        <f t="shared" si="79"/>
        <v>0</v>
      </c>
      <c r="T232" s="24">
        <f t="shared" si="80"/>
        <v>651</v>
      </c>
      <c r="U232" s="27">
        <f t="shared" si="81"/>
        <v>0.94316436251920122</v>
      </c>
      <c r="V232" s="27">
        <f t="shared" si="82"/>
        <v>1.6897081413210446E-2</v>
      </c>
      <c r="W232" s="27">
        <f t="shared" si="83"/>
        <v>3.9938556067588324E-2</v>
      </c>
      <c r="X232" s="27">
        <f t="shared" si="84"/>
        <v>0</v>
      </c>
      <c r="Y232" s="25">
        <f t="shared" si="85"/>
        <v>21.892473118279568</v>
      </c>
    </row>
    <row r="233" spans="1:25" x14ac:dyDescent="0.25">
      <c r="A233" s="24" t="s">
        <v>349</v>
      </c>
      <c r="B233" s="24" t="s">
        <v>350</v>
      </c>
      <c r="C233" s="24" t="s">
        <v>241</v>
      </c>
      <c r="D233" s="24">
        <v>1</v>
      </c>
      <c r="E233" s="24"/>
      <c r="F233" s="24">
        <v>1</v>
      </c>
      <c r="G233" s="24"/>
      <c r="H233" s="24">
        <v>88</v>
      </c>
      <c r="I233" s="24">
        <v>78</v>
      </c>
      <c r="J233" s="24">
        <v>2</v>
      </c>
      <c r="K233" s="24">
        <v>281</v>
      </c>
      <c r="L233" s="24"/>
      <c r="M233" s="24">
        <v>450</v>
      </c>
      <c r="N233" s="25">
        <v>60.453333333333333</v>
      </c>
      <c r="O233" s="24" t="s">
        <v>281</v>
      </c>
      <c r="P233" s="24">
        <f t="shared" si="58"/>
        <v>281</v>
      </c>
      <c r="Q233" s="24">
        <f t="shared" si="59"/>
        <v>88</v>
      </c>
      <c r="R233" s="24">
        <f t="shared" si="60"/>
        <v>78</v>
      </c>
      <c r="S233" s="24">
        <f t="shared" si="61"/>
        <v>3</v>
      </c>
      <c r="T233" s="24">
        <f t="shared" si="62"/>
        <v>450</v>
      </c>
      <c r="U233" s="27">
        <f t="shared" si="63"/>
        <v>0.62444444444444447</v>
      </c>
      <c r="V233" s="27">
        <f t="shared" si="64"/>
        <v>0.19555555555555557</v>
      </c>
      <c r="W233" s="27">
        <f t="shared" si="65"/>
        <v>0.17333333333333334</v>
      </c>
      <c r="X233" s="27">
        <f t="shared" si="66"/>
        <v>6.6666666666666671E-3</v>
      </c>
      <c r="Y233" s="25">
        <f t="shared" si="67"/>
        <v>60.453333333333333</v>
      </c>
    </row>
    <row r="234" spans="1:25" x14ac:dyDescent="0.25">
      <c r="A234" s="24" t="s">
        <v>349</v>
      </c>
      <c r="B234" s="24" t="s">
        <v>350</v>
      </c>
      <c r="C234" s="24" t="s">
        <v>241</v>
      </c>
      <c r="D234" s="24">
        <v>2</v>
      </c>
      <c r="E234" s="24">
        <v>2</v>
      </c>
      <c r="F234" s="24">
        <v>2</v>
      </c>
      <c r="G234" s="24"/>
      <c r="H234" s="24">
        <v>174</v>
      </c>
      <c r="I234" s="24">
        <v>72</v>
      </c>
      <c r="J234" s="24">
        <v>2</v>
      </c>
      <c r="K234" s="24">
        <v>497</v>
      </c>
      <c r="L234" s="24"/>
      <c r="M234" s="24">
        <v>749</v>
      </c>
      <c r="N234" s="25">
        <v>44.762349799732981</v>
      </c>
      <c r="O234" s="24" t="s">
        <v>281</v>
      </c>
      <c r="P234" s="24">
        <f t="shared" si="58"/>
        <v>497</v>
      </c>
      <c r="Q234" s="24">
        <f t="shared" si="59"/>
        <v>174</v>
      </c>
      <c r="R234" s="24">
        <f t="shared" si="60"/>
        <v>72</v>
      </c>
      <c r="S234" s="24">
        <f t="shared" si="61"/>
        <v>6</v>
      </c>
      <c r="T234" s="24">
        <f t="shared" si="62"/>
        <v>749</v>
      </c>
      <c r="U234" s="27">
        <f t="shared" si="63"/>
        <v>0.66355140186915884</v>
      </c>
      <c r="V234" s="27">
        <f t="shared" si="64"/>
        <v>0.23230974632843793</v>
      </c>
      <c r="W234" s="27">
        <f t="shared" si="65"/>
        <v>9.6128170894526035E-2</v>
      </c>
      <c r="X234" s="27">
        <f t="shared" si="66"/>
        <v>8.0106809078771702E-3</v>
      </c>
      <c r="Y234" s="25">
        <f t="shared" si="67"/>
        <v>44.762349799732981</v>
      </c>
    </row>
    <row r="235" spans="1:25" x14ac:dyDescent="0.25">
      <c r="A235" s="24" t="s">
        <v>349</v>
      </c>
      <c r="B235" s="24" t="s">
        <v>350</v>
      </c>
      <c r="C235" s="24" t="s">
        <v>241</v>
      </c>
      <c r="D235" s="24">
        <v>3</v>
      </c>
      <c r="E235" s="24"/>
      <c r="F235" s="24"/>
      <c r="G235" s="24"/>
      <c r="H235" s="24">
        <v>200</v>
      </c>
      <c r="I235" s="24">
        <v>80</v>
      </c>
      <c r="J235" s="24">
        <v>4</v>
      </c>
      <c r="K235" s="24">
        <v>465</v>
      </c>
      <c r="L235" s="24"/>
      <c r="M235" s="24">
        <v>749</v>
      </c>
      <c r="N235" s="25">
        <v>32.072096128170891</v>
      </c>
      <c r="O235" s="24" t="s">
        <v>281</v>
      </c>
      <c r="P235" s="24">
        <f t="shared" si="58"/>
        <v>465</v>
      </c>
      <c r="Q235" s="24">
        <f t="shared" si="59"/>
        <v>200</v>
      </c>
      <c r="R235" s="24">
        <f t="shared" si="60"/>
        <v>80</v>
      </c>
      <c r="S235" s="24">
        <f t="shared" si="61"/>
        <v>4</v>
      </c>
      <c r="T235" s="24">
        <f t="shared" si="62"/>
        <v>749</v>
      </c>
      <c r="U235" s="27">
        <f t="shared" si="63"/>
        <v>0.62082777036048065</v>
      </c>
      <c r="V235" s="27">
        <f t="shared" si="64"/>
        <v>0.26702269692923897</v>
      </c>
      <c r="W235" s="27">
        <f t="shared" si="65"/>
        <v>0.1068090787716956</v>
      </c>
      <c r="X235" s="27">
        <f t="shared" si="66"/>
        <v>5.3404539385847796E-3</v>
      </c>
      <c r="Y235" s="25">
        <f t="shared" si="67"/>
        <v>32.072096128170891</v>
      </c>
    </row>
    <row r="236" spans="1:25" x14ac:dyDescent="0.25">
      <c r="A236" s="24" t="s">
        <v>349</v>
      </c>
      <c r="B236" s="24" t="s">
        <v>350</v>
      </c>
      <c r="C236" s="24" t="s">
        <v>241</v>
      </c>
      <c r="D236" s="24">
        <v>4</v>
      </c>
      <c r="E236" s="24"/>
      <c r="F236" s="24"/>
      <c r="G236" s="24">
        <v>1</v>
      </c>
      <c r="H236" s="24">
        <v>165</v>
      </c>
      <c r="I236" s="24">
        <v>64</v>
      </c>
      <c r="J236" s="24">
        <v>2</v>
      </c>
      <c r="K236" s="24">
        <v>517</v>
      </c>
      <c r="L236" s="24"/>
      <c r="M236" s="24">
        <v>749</v>
      </c>
      <c r="N236" s="25">
        <v>25.535380507343124</v>
      </c>
      <c r="O236" s="24" t="s">
        <v>281</v>
      </c>
      <c r="P236" s="24">
        <f t="shared" si="58"/>
        <v>517</v>
      </c>
      <c r="Q236" s="24">
        <f t="shared" si="59"/>
        <v>165</v>
      </c>
      <c r="R236" s="24">
        <f t="shared" si="60"/>
        <v>64</v>
      </c>
      <c r="S236" s="24">
        <f t="shared" si="61"/>
        <v>3</v>
      </c>
      <c r="T236" s="24">
        <f t="shared" si="62"/>
        <v>749</v>
      </c>
      <c r="U236" s="27">
        <f t="shared" si="63"/>
        <v>0.69025367156208273</v>
      </c>
      <c r="V236" s="27">
        <f t="shared" si="64"/>
        <v>0.22029372496662217</v>
      </c>
      <c r="W236" s="27">
        <f t="shared" si="65"/>
        <v>8.5447263017356473E-2</v>
      </c>
      <c r="X236" s="27">
        <f t="shared" si="66"/>
        <v>4.0053404539385851E-3</v>
      </c>
      <c r="Y236" s="25">
        <f t="shared" si="67"/>
        <v>25.535380507343124</v>
      </c>
    </row>
    <row r="237" spans="1:25" x14ac:dyDescent="0.25">
      <c r="A237" s="24" t="s">
        <v>349</v>
      </c>
      <c r="B237" s="24" t="s">
        <v>350</v>
      </c>
      <c r="C237" s="24" t="s">
        <v>241</v>
      </c>
      <c r="D237" s="24">
        <v>5</v>
      </c>
      <c r="E237" s="24"/>
      <c r="F237" s="24"/>
      <c r="G237" s="24"/>
      <c r="H237" s="24">
        <v>135</v>
      </c>
      <c r="I237" s="24">
        <v>45</v>
      </c>
      <c r="J237" s="24">
        <v>1</v>
      </c>
      <c r="K237" s="24">
        <v>568</v>
      </c>
      <c r="L237" s="24"/>
      <c r="M237" s="24">
        <v>749</v>
      </c>
      <c r="N237" s="25">
        <v>20.429906542056074</v>
      </c>
      <c r="O237" s="24" t="s">
        <v>281</v>
      </c>
      <c r="P237" s="24">
        <f t="shared" si="58"/>
        <v>568</v>
      </c>
      <c r="Q237" s="24">
        <f t="shared" si="59"/>
        <v>135</v>
      </c>
      <c r="R237" s="24">
        <f t="shared" si="60"/>
        <v>45</v>
      </c>
      <c r="S237" s="24">
        <f t="shared" si="61"/>
        <v>1</v>
      </c>
      <c r="T237" s="24">
        <f t="shared" si="62"/>
        <v>749</v>
      </c>
      <c r="U237" s="27">
        <f t="shared" si="63"/>
        <v>0.75834445927903871</v>
      </c>
      <c r="V237" s="27">
        <f t="shared" si="64"/>
        <v>0.18024032042723631</v>
      </c>
      <c r="W237" s="27">
        <f t="shared" si="65"/>
        <v>6.008010680907877E-2</v>
      </c>
      <c r="X237" s="27">
        <f t="shared" si="66"/>
        <v>1.3351134846461949E-3</v>
      </c>
      <c r="Y237" s="25">
        <f t="shared" si="67"/>
        <v>20.429906542056074</v>
      </c>
    </row>
    <row r="238" spans="1:25" x14ac:dyDescent="0.25">
      <c r="A238" s="24" t="s">
        <v>349</v>
      </c>
      <c r="B238" s="24" t="s">
        <v>350</v>
      </c>
      <c r="C238" s="24" t="s">
        <v>242</v>
      </c>
      <c r="D238" s="24">
        <v>1</v>
      </c>
      <c r="E238" s="24"/>
      <c r="F238" s="24">
        <v>1</v>
      </c>
      <c r="G238" s="24"/>
      <c r="H238" s="24">
        <v>170</v>
      </c>
      <c r="I238" s="24">
        <v>61</v>
      </c>
      <c r="J238" s="24">
        <v>2</v>
      </c>
      <c r="K238" s="24">
        <v>216</v>
      </c>
      <c r="L238" s="24"/>
      <c r="M238" s="24">
        <v>450</v>
      </c>
      <c r="N238" s="25">
        <v>63.153333333333336</v>
      </c>
      <c r="O238" s="24" t="s">
        <v>281</v>
      </c>
      <c r="P238" s="24">
        <f t="shared" ref="P238:P280" si="86">K238</f>
        <v>216</v>
      </c>
      <c r="Q238" s="24">
        <f t="shared" ref="Q238:Q280" si="87">H238</f>
        <v>170</v>
      </c>
      <c r="R238" s="24">
        <f t="shared" ref="R238:R280" si="88">I238</f>
        <v>61</v>
      </c>
      <c r="S238" s="24">
        <f t="shared" ref="S238:S280" si="89">M238-SUM(P238:R238)</f>
        <v>3</v>
      </c>
      <c r="T238" s="24">
        <f t="shared" ref="T238:T280" si="90">SUM(P238:S238)</f>
        <v>450</v>
      </c>
      <c r="U238" s="27">
        <f t="shared" ref="U238:U280" si="91">P238/M238</f>
        <v>0.48</v>
      </c>
      <c r="V238" s="27">
        <f t="shared" ref="V238:V280" si="92">Q238/M238</f>
        <v>0.37777777777777777</v>
      </c>
      <c r="W238" s="27">
        <f t="shared" ref="W238:W280" si="93">R238/M238</f>
        <v>0.13555555555555557</v>
      </c>
      <c r="X238" s="27">
        <f t="shared" ref="X238:X280" si="94">S238/M238</f>
        <v>6.6666666666666671E-3</v>
      </c>
      <c r="Y238" s="25">
        <f t="shared" ref="Y238:Y280" si="95">N238</f>
        <v>63.153333333333336</v>
      </c>
    </row>
    <row r="239" spans="1:25" x14ac:dyDescent="0.25">
      <c r="A239" s="24" t="s">
        <v>349</v>
      </c>
      <c r="B239" s="24" t="s">
        <v>350</v>
      </c>
      <c r="C239" s="24" t="s">
        <v>242</v>
      </c>
      <c r="D239" s="24">
        <v>2</v>
      </c>
      <c r="E239" s="24"/>
      <c r="F239" s="24">
        <v>2</v>
      </c>
      <c r="G239" s="24">
        <v>1</v>
      </c>
      <c r="H239" s="24">
        <v>310</v>
      </c>
      <c r="I239" s="24">
        <v>55</v>
      </c>
      <c r="J239" s="24">
        <v>2</v>
      </c>
      <c r="K239" s="24">
        <v>285</v>
      </c>
      <c r="L239" s="24"/>
      <c r="M239" s="24">
        <v>655</v>
      </c>
      <c r="N239" s="25">
        <v>47.332824427480915</v>
      </c>
      <c r="O239" s="24" t="s">
        <v>281</v>
      </c>
      <c r="P239" s="24">
        <f t="shared" si="86"/>
        <v>285</v>
      </c>
      <c r="Q239" s="24">
        <f t="shared" si="87"/>
        <v>310</v>
      </c>
      <c r="R239" s="24">
        <f t="shared" si="88"/>
        <v>55</v>
      </c>
      <c r="S239" s="24">
        <f t="shared" si="89"/>
        <v>5</v>
      </c>
      <c r="T239" s="24">
        <f t="shared" si="90"/>
        <v>655</v>
      </c>
      <c r="U239" s="27">
        <f t="shared" si="91"/>
        <v>0.4351145038167939</v>
      </c>
      <c r="V239" s="27">
        <f t="shared" si="92"/>
        <v>0.47328244274809161</v>
      </c>
      <c r="W239" s="27">
        <f t="shared" si="93"/>
        <v>8.3969465648854963E-2</v>
      </c>
      <c r="X239" s="27">
        <f t="shared" si="94"/>
        <v>7.6335877862595417E-3</v>
      </c>
      <c r="Y239" s="25">
        <f t="shared" si="95"/>
        <v>47.332824427480915</v>
      </c>
    </row>
    <row r="240" spans="1:25" x14ac:dyDescent="0.25">
      <c r="A240" s="24" t="s">
        <v>349</v>
      </c>
      <c r="B240" s="24" t="s">
        <v>350</v>
      </c>
      <c r="C240" s="24" t="s">
        <v>242</v>
      </c>
      <c r="D240" s="24">
        <v>3</v>
      </c>
      <c r="E240" s="24"/>
      <c r="F240" s="24"/>
      <c r="G240" s="24"/>
      <c r="H240" s="24">
        <v>195</v>
      </c>
      <c r="I240" s="24">
        <v>73</v>
      </c>
      <c r="J240" s="24">
        <v>1</v>
      </c>
      <c r="K240" s="24">
        <v>386</v>
      </c>
      <c r="L240" s="24"/>
      <c r="M240" s="24">
        <v>655</v>
      </c>
      <c r="N240" s="25">
        <v>33.102290076335876</v>
      </c>
      <c r="O240" s="24" t="s">
        <v>281</v>
      </c>
      <c r="P240" s="24">
        <f t="shared" si="86"/>
        <v>386</v>
      </c>
      <c r="Q240" s="24">
        <f t="shared" si="87"/>
        <v>195</v>
      </c>
      <c r="R240" s="24">
        <f t="shared" si="88"/>
        <v>73</v>
      </c>
      <c r="S240" s="24">
        <f t="shared" si="89"/>
        <v>1</v>
      </c>
      <c r="T240" s="24">
        <f t="shared" si="90"/>
        <v>655</v>
      </c>
      <c r="U240" s="27">
        <f t="shared" si="91"/>
        <v>0.58931297709923669</v>
      </c>
      <c r="V240" s="27">
        <f t="shared" si="92"/>
        <v>0.29770992366412213</v>
      </c>
      <c r="W240" s="27">
        <f t="shared" si="93"/>
        <v>0.11145038167938931</v>
      </c>
      <c r="X240" s="27">
        <f t="shared" si="94"/>
        <v>1.5267175572519084E-3</v>
      </c>
      <c r="Y240" s="25">
        <f t="shared" si="95"/>
        <v>33.102290076335876</v>
      </c>
    </row>
    <row r="241" spans="1:25" x14ac:dyDescent="0.25">
      <c r="A241" s="24" t="s">
        <v>349</v>
      </c>
      <c r="B241" s="24" t="s">
        <v>350</v>
      </c>
      <c r="C241" s="24" t="s">
        <v>242</v>
      </c>
      <c r="D241" s="24">
        <v>4</v>
      </c>
      <c r="E241" s="24"/>
      <c r="F241" s="24"/>
      <c r="G241" s="24"/>
      <c r="H241" s="24">
        <v>129</v>
      </c>
      <c r="I241" s="24">
        <v>59</v>
      </c>
      <c r="J241" s="24">
        <v>1</v>
      </c>
      <c r="K241" s="24">
        <v>466</v>
      </c>
      <c r="L241" s="24"/>
      <c r="M241" s="24">
        <v>655</v>
      </c>
      <c r="N241" s="25">
        <v>23.279389312977099</v>
      </c>
      <c r="O241" s="24" t="s">
        <v>281</v>
      </c>
      <c r="P241" s="24">
        <f t="shared" si="86"/>
        <v>466</v>
      </c>
      <c r="Q241" s="24">
        <f t="shared" si="87"/>
        <v>129</v>
      </c>
      <c r="R241" s="24">
        <f t="shared" si="88"/>
        <v>59</v>
      </c>
      <c r="S241" s="24">
        <f t="shared" si="89"/>
        <v>1</v>
      </c>
      <c r="T241" s="24">
        <f t="shared" si="90"/>
        <v>655</v>
      </c>
      <c r="U241" s="27">
        <f t="shared" si="91"/>
        <v>0.71145038167938934</v>
      </c>
      <c r="V241" s="27">
        <f t="shared" si="92"/>
        <v>0.19694656488549619</v>
      </c>
      <c r="W241" s="27">
        <f t="shared" si="93"/>
        <v>9.0076335877862596E-2</v>
      </c>
      <c r="X241" s="27">
        <f t="shared" si="94"/>
        <v>1.5267175572519084E-3</v>
      </c>
      <c r="Y241" s="25">
        <f t="shared" si="95"/>
        <v>23.279389312977099</v>
      </c>
    </row>
    <row r="242" spans="1:25" x14ac:dyDescent="0.25">
      <c r="A242" s="24" t="s">
        <v>351</v>
      </c>
      <c r="B242" s="24" t="s">
        <v>352</v>
      </c>
      <c r="C242" s="24" t="s">
        <v>244</v>
      </c>
      <c r="D242" s="24">
        <v>1</v>
      </c>
      <c r="E242" s="24"/>
      <c r="F242" s="24"/>
      <c r="G242" s="24"/>
      <c r="H242" s="24">
        <v>255</v>
      </c>
      <c r="I242" s="24">
        <v>117</v>
      </c>
      <c r="J242" s="24">
        <v>7</v>
      </c>
      <c r="K242" s="24">
        <v>71</v>
      </c>
      <c r="L242" s="24"/>
      <c r="M242" s="24">
        <v>450</v>
      </c>
      <c r="N242" s="25">
        <v>75.75555555555556</v>
      </c>
      <c r="O242" s="24" t="s">
        <v>281</v>
      </c>
      <c r="P242" s="24">
        <f t="shared" si="86"/>
        <v>71</v>
      </c>
      <c r="Q242" s="24">
        <f t="shared" si="87"/>
        <v>255</v>
      </c>
      <c r="R242" s="24">
        <f t="shared" si="88"/>
        <v>117</v>
      </c>
      <c r="S242" s="24">
        <f t="shared" si="89"/>
        <v>7</v>
      </c>
      <c r="T242" s="24">
        <f t="shared" si="90"/>
        <v>450</v>
      </c>
      <c r="U242" s="27">
        <f t="shared" si="91"/>
        <v>0.15777777777777777</v>
      </c>
      <c r="V242" s="27">
        <f t="shared" si="92"/>
        <v>0.56666666666666665</v>
      </c>
      <c r="W242" s="27">
        <f t="shared" si="93"/>
        <v>0.26</v>
      </c>
      <c r="X242" s="27">
        <f t="shared" si="94"/>
        <v>1.5555555555555555E-2</v>
      </c>
      <c r="Y242" s="25">
        <f t="shared" si="95"/>
        <v>75.75555555555556</v>
      </c>
    </row>
    <row r="243" spans="1:25" x14ac:dyDescent="0.25">
      <c r="A243" s="24" t="s">
        <v>351</v>
      </c>
      <c r="B243" s="24" t="s">
        <v>352</v>
      </c>
      <c r="C243" s="24" t="s">
        <v>244</v>
      </c>
      <c r="D243" s="24">
        <v>2</v>
      </c>
      <c r="E243" s="24"/>
      <c r="F243" s="24"/>
      <c r="G243" s="24">
        <v>1</v>
      </c>
      <c r="H243" s="24">
        <v>237</v>
      </c>
      <c r="I243" s="24">
        <v>96</v>
      </c>
      <c r="J243" s="24">
        <v>5</v>
      </c>
      <c r="K243" s="24">
        <v>111</v>
      </c>
      <c r="L243" s="24"/>
      <c r="M243" s="24">
        <v>450</v>
      </c>
      <c r="N243" s="25">
        <v>62.104444444444447</v>
      </c>
      <c r="O243" s="24" t="s">
        <v>281</v>
      </c>
      <c r="P243" s="24">
        <f t="shared" si="86"/>
        <v>111</v>
      </c>
      <c r="Q243" s="24">
        <f t="shared" si="87"/>
        <v>237</v>
      </c>
      <c r="R243" s="24">
        <f t="shared" si="88"/>
        <v>96</v>
      </c>
      <c r="S243" s="24">
        <f t="shared" si="89"/>
        <v>6</v>
      </c>
      <c r="T243" s="24">
        <f t="shared" si="90"/>
        <v>450</v>
      </c>
      <c r="U243" s="27">
        <f t="shared" si="91"/>
        <v>0.24666666666666667</v>
      </c>
      <c r="V243" s="27">
        <f t="shared" si="92"/>
        <v>0.52666666666666662</v>
      </c>
      <c r="W243" s="27">
        <f t="shared" si="93"/>
        <v>0.21333333333333335</v>
      </c>
      <c r="X243" s="27">
        <f t="shared" si="94"/>
        <v>1.3333333333333334E-2</v>
      </c>
      <c r="Y243" s="25">
        <f t="shared" si="95"/>
        <v>62.104444444444447</v>
      </c>
    </row>
    <row r="244" spans="1:25" x14ac:dyDescent="0.25">
      <c r="A244" s="24" t="s">
        <v>351</v>
      </c>
      <c r="B244" s="24" t="s">
        <v>352</v>
      </c>
      <c r="C244" s="24" t="s">
        <v>244</v>
      </c>
      <c r="D244" s="24">
        <v>3</v>
      </c>
      <c r="E244" s="24"/>
      <c r="F244" s="24">
        <v>1</v>
      </c>
      <c r="G244" s="24">
        <v>1</v>
      </c>
      <c r="H244" s="24">
        <v>244</v>
      </c>
      <c r="I244" s="24">
        <v>99</v>
      </c>
      <c r="J244" s="24">
        <v>6</v>
      </c>
      <c r="K244" s="24">
        <v>129</v>
      </c>
      <c r="L244" s="24">
        <v>1</v>
      </c>
      <c r="M244" s="24">
        <v>481</v>
      </c>
      <c r="N244" s="25">
        <v>45.634095634095637</v>
      </c>
      <c r="O244" s="24" t="s">
        <v>281</v>
      </c>
      <c r="P244" s="24">
        <f t="shared" si="86"/>
        <v>129</v>
      </c>
      <c r="Q244" s="24">
        <f t="shared" si="87"/>
        <v>244</v>
      </c>
      <c r="R244" s="24">
        <f t="shared" si="88"/>
        <v>99</v>
      </c>
      <c r="S244" s="24">
        <f t="shared" si="89"/>
        <v>9</v>
      </c>
      <c r="T244" s="24">
        <f t="shared" si="90"/>
        <v>481</v>
      </c>
      <c r="U244" s="27">
        <f t="shared" si="91"/>
        <v>0.26819126819126821</v>
      </c>
      <c r="V244" s="27">
        <f t="shared" si="92"/>
        <v>0.5072765072765073</v>
      </c>
      <c r="W244" s="27">
        <f t="shared" si="93"/>
        <v>0.20582120582120583</v>
      </c>
      <c r="X244" s="27">
        <f t="shared" si="94"/>
        <v>1.8711018711018712E-2</v>
      </c>
      <c r="Y244" s="25">
        <f t="shared" si="95"/>
        <v>45.634095634095637</v>
      </c>
    </row>
    <row r="245" spans="1:25" x14ac:dyDescent="0.25">
      <c r="A245" s="24" t="s">
        <v>351</v>
      </c>
      <c r="B245" s="24" t="s">
        <v>352</v>
      </c>
      <c r="C245" s="24" t="s">
        <v>244</v>
      </c>
      <c r="D245" s="24">
        <v>4</v>
      </c>
      <c r="E245" s="24"/>
      <c r="F245" s="24"/>
      <c r="G245" s="24"/>
      <c r="H245" s="24">
        <v>196</v>
      </c>
      <c r="I245" s="24">
        <v>109</v>
      </c>
      <c r="J245" s="24">
        <v>5</v>
      </c>
      <c r="K245" s="24">
        <v>171</v>
      </c>
      <c r="L245" s="24"/>
      <c r="M245" s="24">
        <v>481</v>
      </c>
      <c r="N245" s="25">
        <v>27.405405405405407</v>
      </c>
      <c r="O245" s="24" t="s">
        <v>281</v>
      </c>
      <c r="P245" s="24">
        <f t="shared" si="86"/>
        <v>171</v>
      </c>
      <c r="Q245" s="24">
        <f t="shared" si="87"/>
        <v>196</v>
      </c>
      <c r="R245" s="24">
        <f t="shared" si="88"/>
        <v>109</v>
      </c>
      <c r="S245" s="24">
        <f t="shared" si="89"/>
        <v>5</v>
      </c>
      <c r="T245" s="24">
        <f t="shared" si="90"/>
        <v>481</v>
      </c>
      <c r="U245" s="27">
        <f t="shared" si="91"/>
        <v>0.35550935550935553</v>
      </c>
      <c r="V245" s="27">
        <f t="shared" si="92"/>
        <v>0.40748440748440751</v>
      </c>
      <c r="W245" s="27">
        <f t="shared" si="93"/>
        <v>0.22661122661122662</v>
      </c>
      <c r="X245" s="27">
        <f t="shared" si="94"/>
        <v>1.0395010395010396E-2</v>
      </c>
      <c r="Y245" s="25">
        <f t="shared" si="95"/>
        <v>27.405405405405407</v>
      </c>
    </row>
    <row r="246" spans="1:25" x14ac:dyDescent="0.25">
      <c r="A246" s="24" t="s">
        <v>353</v>
      </c>
      <c r="B246" s="24" t="s">
        <v>354</v>
      </c>
      <c r="C246" s="24" t="s">
        <v>246</v>
      </c>
      <c r="D246" s="24">
        <v>1</v>
      </c>
      <c r="E246" s="24"/>
      <c r="F246" s="24"/>
      <c r="G246" s="24"/>
      <c r="H246" s="24">
        <v>33</v>
      </c>
      <c r="I246" s="24">
        <v>18</v>
      </c>
      <c r="J246" s="24">
        <v>2</v>
      </c>
      <c r="K246" s="24">
        <v>397</v>
      </c>
      <c r="L246" s="24"/>
      <c r="M246" s="24">
        <v>450</v>
      </c>
      <c r="N246" s="25">
        <v>73.568888888888893</v>
      </c>
      <c r="O246" s="24" t="s">
        <v>281</v>
      </c>
      <c r="P246" s="24">
        <f t="shared" si="86"/>
        <v>397</v>
      </c>
      <c r="Q246" s="24">
        <f t="shared" si="87"/>
        <v>33</v>
      </c>
      <c r="R246" s="24">
        <f t="shared" si="88"/>
        <v>18</v>
      </c>
      <c r="S246" s="24">
        <f t="shared" si="89"/>
        <v>2</v>
      </c>
      <c r="T246" s="24">
        <f t="shared" si="90"/>
        <v>450</v>
      </c>
      <c r="U246" s="27">
        <f t="shared" si="91"/>
        <v>0.88222222222222224</v>
      </c>
      <c r="V246" s="27">
        <f t="shared" si="92"/>
        <v>7.3333333333333334E-2</v>
      </c>
      <c r="W246" s="27">
        <f t="shared" si="93"/>
        <v>0.04</v>
      </c>
      <c r="X246" s="27">
        <f t="shared" si="94"/>
        <v>4.4444444444444444E-3</v>
      </c>
      <c r="Y246" s="25">
        <f t="shared" si="95"/>
        <v>73.568888888888893</v>
      </c>
    </row>
    <row r="247" spans="1:25" x14ac:dyDescent="0.25">
      <c r="A247" s="24" t="s">
        <v>353</v>
      </c>
      <c r="B247" s="24" t="s">
        <v>354</v>
      </c>
      <c r="C247" s="24" t="s">
        <v>246</v>
      </c>
      <c r="D247" s="24">
        <v>2</v>
      </c>
      <c r="E247" s="24"/>
      <c r="F247" s="24"/>
      <c r="G247" s="24"/>
      <c r="H247" s="24">
        <v>18</v>
      </c>
      <c r="I247" s="24">
        <v>11</v>
      </c>
      <c r="J247" s="24">
        <v>5</v>
      </c>
      <c r="K247" s="24">
        <v>416</v>
      </c>
      <c r="L247" s="24"/>
      <c r="M247" s="24">
        <v>450</v>
      </c>
      <c r="N247" s="25">
        <v>60.842222222222219</v>
      </c>
      <c r="O247" s="24" t="s">
        <v>281</v>
      </c>
      <c r="P247" s="24">
        <f t="shared" si="86"/>
        <v>416</v>
      </c>
      <c r="Q247" s="24">
        <f t="shared" si="87"/>
        <v>18</v>
      </c>
      <c r="R247" s="24">
        <f t="shared" si="88"/>
        <v>11</v>
      </c>
      <c r="S247" s="24">
        <f t="shared" si="89"/>
        <v>5</v>
      </c>
      <c r="T247" s="24">
        <f t="shared" si="90"/>
        <v>450</v>
      </c>
      <c r="U247" s="27">
        <f t="shared" si="91"/>
        <v>0.9244444444444444</v>
      </c>
      <c r="V247" s="27">
        <f t="shared" si="92"/>
        <v>0.04</v>
      </c>
      <c r="W247" s="27">
        <f t="shared" si="93"/>
        <v>2.4444444444444446E-2</v>
      </c>
      <c r="X247" s="27">
        <f t="shared" si="94"/>
        <v>1.1111111111111112E-2</v>
      </c>
      <c r="Y247" s="25">
        <f t="shared" si="95"/>
        <v>60.842222222222219</v>
      </c>
    </row>
    <row r="248" spans="1:25" x14ac:dyDescent="0.25">
      <c r="A248" s="24" t="s">
        <v>353</v>
      </c>
      <c r="B248" s="24" t="s">
        <v>354</v>
      </c>
      <c r="C248" s="24" t="s">
        <v>246</v>
      </c>
      <c r="D248" s="24">
        <v>3</v>
      </c>
      <c r="E248" s="24"/>
      <c r="F248" s="24">
        <v>1</v>
      </c>
      <c r="G248" s="24"/>
      <c r="H248" s="24">
        <v>17</v>
      </c>
      <c r="I248" s="24">
        <v>11</v>
      </c>
      <c r="J248" s="24">
        <v>5</v>
      </c>
      <c r="K248" s="24">
        <v>545</v>
      </c>
      <c r="L248" s="24"/>
      <c r="M248" s="24">
        <v>579</v>
      </c>
      <c r="N248" s="25">
        <v>47.611398963730572</v>
      </c>
      <c r="O248" s="24" t="s">
        <v>281</v>
      </c>
      <c r="P248" s="24">
        <f t="shared" si="86"/>
        <v>545</v>
      </c>
      <c r="Q248" s="24">
        <f t="shared" si="87"/>
        <v>17</v>
      </c>
      <c r="R248" s="24">
        <f t="shared" si="88"/>
        <v>11</v>
      </c>
      <c r="S248" s="24">
        <f t="shared" si="89"/>
        <v>6</v>
      </c>
      <c r="T248" s="24">
        <f t="shared" si="90"/>
        <v>579</v>
      </c>
      <c r="U248" s="27">
        <f t="shared" si="91"/>
        <v>0.94127806563039729</v>
      </c>
      <c r="V248" s="27">
        <f t="shared" si="92"/>
        <v>2.9360967184801381E-2</v>
      </c>
      <c r="W248" s="27">
        <f t="shared" si="93"/>
        <v>1.8998272884283247E-2</v>
      </c>
      <c r="X248" s="27">
        <f t="shared" si="94"/>
        <v>1.0362694300518135E-2</v>
      </c>
      <c r="Y248" s="25">
        <f t="shared" si="95"/>
        <v>47.611398963730572</v>
      </c>
    </row>
    <row r="249" spans="1:25" x14ac:dyDescent="0.25">
      <c r="A249" s="24" t="s">
        <v>353</v>
      </c>
      <c r="B249" s="24" t="s">
        <v>354</v>
      </c>
      <c r="C249" s="24" t="s">
        <v>246</v>
      </c>
      <c r="D249" s="24">
        <v>4</v>
      </c>
      <c r="E249" s="24"/>
      <c r="F249" s="24">
        <v>1</v>
      </c>
      <c r="G249" s="24"/>
      <c r="H249" s="24">
        <v>16</v>
      </c>
      <c r="I249" s="24">
        <v>5</v>
      </c>
      <c r="J249" s="24">
        <v>1</v>
      </c>
      <c r="K249" s="24">
        <v>557</v>
      </c>
      <c r="L249" s="24"/>
      <c r="M249" s="24">
        <v>580</v>
      </c>
      <c r="N249" s="25">
        <v>29.010344827586206</v>
      </c>
      <c r="O249" s="24" t="s">
        <v>281</v>
      </c>
      <c r="P249" s="24">
        <f t="shared" si="86"/>
        <v>557</v>
      </c>
      <c r="Q249" s="24">
        <f t="shared" si="87"/>
        <v>16</v>
      </c>
      <c r="R249" s="24">
        <f t="shared" si="88"/>
        <v>5</v>
      </c>
      <c r="S249" s="24">
        <f t="shared" si="89"/>
        <v>2</v>
      </c>
      <c r="T249" s="24">
        <f t="shared" si="90"/>
        <v>580</v>
      </c>
      <c r="U249" s="27">
        <f t="shared" si="91"/>
        <v>0.96034482758620687</v>
      </c>
      <c r="V249" s="27">
        <f t="shared" si="92"/>
        <v>2.7586206896551724E-2</v>
      </c>
      <c r="W249" s="27">
        <f t="shared" si="93"/>
        <v>8.6206896551724137E-3</v>
      </c>
      <c r="X249" s="27">
        <f t="shared" si="94"/>
        <v>3.4482758620689655E-3</v>
      </c>
      <c r="Y249" s="25">
        <f t="shared" si="95"/>
        <v>29.010344827586206</v>
      </c>
    </row>
    <row r="250" spans="1:25" x14ac:dyDescent="0.25">
      <c r="A250" s="24" t="s">
        <v>355</v>
      </c>
      <c r="B250" s="24" t="s">
        <v>356</v>
      </c>
      <c r="C250" s="24" t="s">
        <v>248</v>
      </c>
      <c r="D250" s="24">
        <v>1</v>
      </c>
      <c r="E250" s="24"/>
      <c r="F250" s="24"/>
      <c r="G250" s="24"/>
      <c r="H250" s="24">
        <v>9</v>
      </c>
      <c r="I250" s="24">
        <v>5</v>
      </c>
      <c r="J250" s="24">
        <v>2</v>
      </c>
      <c r="K250" s="24">
        <v>434</v>
      </c>
      <c r="L250" s="24"/>
      <c r="M250" s="24">
        <v>450</v>
      </c>
      <c r="N250" s="25">
        <v>69.011111111111106</v>
      </c>
      <c r="O250" s="24" t="s">
        <v>281</v>
      </c>
      <c r="P250" s="24">
        <f t="shared" si="86"/>
        <v>434</v>
      </c>
      <c r="Q250" s="24">
        <f t="shared" si="87"/>
        <v>9</v>
      </c>
      <c r="R250" s="24">
        <f t="shared" si="88"/>
        <v>5</v>
      </c>
      <c r="S250" s="24">
        <f t="shared" si="89"/>
        <v>2</v>
      </c>
      <c r="T250" s="24">
        <f t="shared" si="90"/>
        <v>450</v>
      </c>
      <c r="U250" s="27">
        <f t="shared" si="91"/>
        <v>0.96444444444444444</v>
      </c>
      <c r="V250" s="27">
        <f t="shared" si="92"/>
        <v>0.02</v>
      </c>
      <c r="W250" s="27">
        <f t="shared" si="93"/>
        <v>1.1111111111111112E-2</v>
      </c>
      <c r="X250" s="27">
        <f t="shared" si="94"/>
        <v>4.4444444444444444E-3</v>
      </c>
      <c r="Y250" s="25">
        <f t="shared" si="95"/>
        <v>69.011111111111106</v>
      </c>
    </row>
    <row r="251" spans="1:25" x14ac:dyDescent="0.25">
      <c r="A251" s="24" t="s">
        <v>355</v>
      </c>
      <c r="B251" s="24" t="s">
        <v>356</v>
      </c>
      <c r="C251" s="24" t="s">
        <v>248</v>
      </c>
      <c r="D251" s="24">
        <v>2</v>
      </c>
      <c r="E251" s="24"/>
      <c r="F251" s="24"/>
      <c r="G251" s="24"/>
      <c r="H251" s="24">
        <v>6</v>
      </c>
      <c r="I251" s="24">
        <v>3</v>
      </c>
      <c r="J251" s="24"/>
      <c r="K251" s="24">
        <v>441</v>
      </c>
      <c r="L251" s="24"/>
      <c r="M251" s="24">
        <v>450</v>
      </c>
      <c r="N251" s="25">
        <v>62.026666666666664</v>
      </c>
      <c r="O251" s="24" t="s">
        <v>281</v>
      </c>
      <c r="P251" s="24">
        <f t="shared" si="86"/>
        <v>441</v>
      </c>
      <c r="Q251" s="24">
        <f t="shared" si="87"/>
        <v>6</v>
      </c>
      <c r="R251" s="24">
        <f t="shared" si="88"/>
        <v>3</v>
      </c>
      <c r="S251" s="24">
        <f t="shared" si="89"/>
        <v>0</v>
      </c>
      <c r="T251" s="24">
        <f t="shared" si="90"/>
        <v>450</v>
      </c>
      <c r="U251" s="27">
        <f t="shared" si="91"/>
        <v>0.98</v>
      </c>
      <c r="V251" s="27">
        <f t="shared" si="92"/>
        <v>1.3333333333333334E-2</v>
      </c>
      <c r="W251" s="27">
        <f t="shared" si="93"/>
        <v>6.6666666666666671E-3</v>
      </c>
      <c r="X251" s="27">
        <f t="shared" si="94"/>
        <v>0</v>
      </c>
      <c r="Y251" s="25">
        <f t="shared" si="95"/>
        <v>62.026666666666664</v>
      </c>
    </row>
    <row r="252" spans="1:25" x14ac:dyDescent="0.25">
      <c r="A252" s="24" t="s">
        <v>355</v>
      </c>
      <c r="B252" s="24" t="s">
        <v>356</v>
      </c>
      <c r="C252" s="24" t="s">
        <v>248</v>
      </c>
      <c r="D252" s="24">
        <v>3</v>
      </c>
      <c r="E252" s="24"/>
      <c r="F252" s="24">
        <v>1</v>
      </c>
      <c r="G252" s="24"/>
      <c r="H252" s="24">
        <v>5</v>
      </c>
      <c r="I252" s="24">
        <v>9</v>
      </c>
      <c r="J252" s="24">
        <v>4</v>
      </c>
      <c r="K252" s="24">
        <v>668</v>
      </c>
      <c r="L252" s="24"/>
      <c r="M252" s="24">
        <v>687</v>
      </c>
      <c r="N252" s="25">
        <v>51.786026200873366</v>
      </c>
      <c r="O252" s="24" t="s">
        <v>281</v>
      </c>
      <c r="P252" s="24">
        <f t="shared" si="86"/>
        <v>668</v>
      </c>
      <c r="Q252" s="24">
        <f t="shared" si="87"/>
        <v>5</v>
      </c>
      <c r="R252" s="24">
        <f t="shared" si="88"/>
        <v>9</v>
      </c>
      <c r="S252" s="24">
        <f t="shared" si="89"/>
        <v>5</v>
      </c>
      <c r="T252" s="24">
        <f t="shared" si="90"/>
        <v>687</v>
      </c>
      <c r="U252" s="27">
        <f t="shared" si="91"/>
        <v>0.97234352256186318</v>
      </c>
      <c r="V252" s="27">
        <f t="shared" si="92"/>
        <v>7.2780203784570596E-3</v>
      </c>
      <c r="W252" s="27">
        <f t="shared" si="93"/>
        <v>1.3100436681222707E-2</v>
      </c>
      <c r="X252" s="27">
        <f t="shared" si="94"/>
        <v>7.2780203784570596E-3</v>
      </c>
      <c r="Y252" s="25">
        <f t="shared" si="95"/>
        <v>51.786026200873366</v>
      </c>
    </row>
    <row r="253" spans="1:25" x14ac:dyDescent="0.25">
      <c r="A253" s="24" t="s">
        <v>355</v>
      </c>
      <c r="B253" s="24" t="s">
        <v>356</v>
      </c>
      <c r="C253" s="24" t="s">
        <v>248</v>
      </c>
      <c r="D253" s="24">
        <v>4</v>
      </c>
      <c r="E253" s="24"/>
      <c r="F253" s="24">
        <v>2</v>
      </c>
      <c r="G253" s="24"/>
      <c r="H253" s="24"/>
      <c r="I253" s="24">
        <v>3</v>
      </c>
      <c r="J253" s="24">
        <v>1</v>
      </c>
      <c r="K253" s="24">
        <v>681</v>
      </c>
      <c r="L253" s="24"/>
      <c r="M253" s="24">
        <v>687</v>
      </c>
      <c r="N253" s="25">
        <v>41.262008733624455</v>
      </c>
      <c r="O253" s="24" t="s">
        <v>281</v>
      </c>
      <c r="P253" s="24">
        <f t="shared" si="86"/>
        <v>681</v>
      </c>
      <c r="Q253" s="24">
        <f t="shared" si="87"/>
        <v>0</v>
      </c>
      <c r="R253" s="24">
        <f t="shared" si="88"/>
        <v>3</v>
      </c>
      <c r="S253" s="24">
        <f t="shared" si="89"/>
        <v>3</v>
      </c>
      <c r="T253" s="24">
        <f t="shared" si="90"/>
        <v>687</v>
      </c>
      <c r="U253" s="27">
        <f t="shared" si="91"/>
        <v>0.99126637554585151</v>
      </c>
      <c r="V253" s="27">
        <f t="shared" si="92"/>
        <v>0</v>
      </c>
      <c r="W253" s="27">
        <f t="shared" si="93"/>
        <v>4.3668122270742356E-3</v>
      </c>
      <c r="X253" s="27">
        <f t="shared" si="94"/>
        <v>4.3668122270742356E-3</v>
      </c>
      <c r="Y253" s="25">
        <f t="shared" si="95"/>
        <v>41.262008733624455</v>
      </c>
    </row>
    <row r="254" spans="1:25" x14ac:dyDescent="0.25">
      <c r="A254" s="24" t="s">
        <v>355</v>
      </c>
      <c r="B254" s="24" t="s">
        <v>356</v>
      </c>
      <c r="C254" s="24" t="s">
        <v>248</v>
      </c>
      <c r="D254" s="24">
        <v>5</v>
      </c>
      <c r="E254" s="24">
        <v>1</v>
      </c>
      <c r="F254" s="24"/>
      <c r="G254" s="24"/>
      <c r="H254" s="24">
        <v>1</v>
      </c>
      <c r="I254" s="24">
        <v>2</v>
      </c>
      <c r="J254" s="24">
        <v>1</v>
      </c>
      <c r="K254" s="24">
        <v>682</v>
      </c>
      <c r="L254" s="24"/>
      <c r="M254" s="24">
        <v>687</v>
      </c>
      <c r="N254" s="25">
        <v>34.113537117903931</v>
      </c>
      <c r="O254" s="24" t="s">
        <v>281</v>
      </c>
      <c r="P254" s="24">
        <f t="shared" si="86"/>
        <v>682</v>
      </c>
      <c r="Q254" s="24">
        <f t="shared" si="87"/>
        <v>1</v>
      </c>
      <c r="R254" s="24">
        <f t="shared" si="88"/>
        <v>2</v>
      </c>
      <c r="S254" s="24">
        <f t="shared" si="89"/>
        <v>2</v>
      </c>
      <c r="T254" s="24">
        <f t="shared" si="90"/>
        <v>687</v>
      </c>
      <c r="U254" s="27">
        <f t="shared" si="91"/>
        <v>0.99272197962154296</v>
      </c>
      <c r="V254" s="27">
        <f t="shared" si="92"/>
        <v>1.455604075691412E-3</v>
      </c>
      <c r="W254" s="27">
        <f t="shared" si="93"/>
        <v>2.911208151382824E-3</v>
      </c>
      <c r="X254" s="27">
        <f t="shared" si="94"/>
        <v>2.911208151382824E-3</v>
      </c>
      <c r="Y254" s="25">
        <f t="shared" si="95"/>
        <v>34.113537117903931</v>
      </c>
    </row>
    <row r="255" spans="1:25" x14ac:dyDescent="0.25">
      <c r="A255" s="24" t="s">
        <v>355</v>
      </c>
      <c r="B255" s="24" t="s">
        <v>356</v>
      </c>
      <c r="C255" s="24" t="s">
        <v>248</v>
      </c>
      <c r="D255" s="24">
        <v>6</v>
      </c>
      <c r="E255" s="24">
        <v>1</v>
      </c>
      <c r="F255" s="24"/>
      <c r="G255" s="24"/>
      <c r="H255" s="24">
        <v>4</v>
      </c>
      <c r="I255" s="24">
        <v>1</v>
      </c>
      <c r="J255" s="24">
        <v>2</v>
      </c>
      <c r="K255" s="24">
        <v>679</v>
      </c>
      <c r="L255" s="24"/>
      <c r="M255" s="24">
        <v>687</v>
      </c>
      <c r="N255" s="25">
        <v>27.895196506550217</v>
      </c>
      <c r="O255" s="24" t="s">
        <v>281</v>
      </c>
      <c r="P255" s="24">
        <f t="shared" si="86"/>
        <v>679</v>
      </c>
      <c r="Q255" s="24">
        <f t="shared" si="87"/>
        <v>4</v>
      </c>
      <c r="R255" s="24">
        <f t="shared" si="88"/>
        <v>1</v>
      </c>
      <c r="S255" s="24">
        <f t="shared" si="89"/>
        <v>3</v>
      </c>
      <c r="T255" s="24">
        <f t="shared" si="90"/>
        <v>687</v>
      </c>
      <c r="U255" s="27">
        <f t="shared" si="91"/>
        <v>0.98835516739446871</v>
      </c>
      <c r="V255" s="27">
        <f t="shared" si="92"/>
        <v>5.822416302765648E-3</v>
      </c>
      <c r="W255" s="27">
        <f t="shared" si="93"/>
        <v>1.455604075691412E-3</v>
      </c>
      <c r="X255" s="27">
        <f t="shared" si="94"/>
        <v>4.3668122270742356E-3</v>
      </c>
      <c r="Y255" s="25">
        <f t="shared" si="95"/>
        <v>27.895196506550217</v>
      </c>
    </row>
    <row r="256" spans="1:25" x14ac:dyDescent="0.25">
      <c r="A256" s="24" t="s">
        <v>355</v>
      </c>
      <c r="B256" s="24" t="s">
        <v>356</v>
      </c>
      <c r="C256" s="24" t="s">
        <v>248</v>
      </c>
      <c r="D256" s="24">
        <v>7</v>
      </c>
      <c r="E256" s="24"/>
      <c r="F256" s="24"/>
      <c r="G256" s="24"/>
      <c r="H256" s="24">
        <v>2</v>
      </c>
      <c r="I256" s="24">
        <v>2</v>
      </c>
      <c r="J256" s="24"/>
      <c r="K256" s="24">
        <v>684</v>
      </c>
      <c r="L256" s="24"/>
      <c r="M256" s="24">
        <v>688</v>
      </c>
      <c r="N256" s="25">
        <v>21.396802325581394</v>
      </c>
      <c r="O256" s="24" t="s">
        <v>281</v>
      </c>
      <c r="P256" s="24">
        <f t="shared" si="86"/>
        <v>684</v>
      </c>
      <c r="Q256" s="24">
        <f t="shared" si="87"/>
        <v>2</v>
      </c>
      <c r="R256" s="24">
        <f t="shared" si="88"/>
        <v>2</v>
      </c>
      <c r="S256" s="24">
        <f t="shared" si="89"/>
        <v>0</v>
      </c>
      <c r="T256" s="24">
        <f t="shared" si="90"/>
        <v>688</v>
      </c>
      <c r="U256" s="27">
        <f t="shared" si="91"/>
        <v>0.9941860465116279</v>
      </c>
      <c r="V256" s="27">
        <f t="shared" si="92"/>
        <v>2.9069767441860465E-3</v>
      </c>
      <c r="W256" s="27">
        <f t="shared" si="93"/>
        <v>2.9069767441860465E-3</v>
      </c>
      <c r="X256" s="27">
        <f t="shared" si="94"/>
        <v>0</v>
      </c>
      <c r="Y256" s="25">
        <f t="shared" si="95"/>
        <v>21.396802325581394</v>
      </c>
    </row>
    <row r="257" spans="1:25" x14ac:dyDescent="0.25">
      <c r="A257" s="24" t="s">
        <v>357</v>
      </c>
      <c r="B257" s="24" t="s">
        <v>358</v>
      </c>
      <c r="C257" s="24" t="s">
        <v>250</v>
      </c>
      <c r="D257" s="24">
        <v>1</v>
      </c>
      <c r="E257" s="24"/>
      <c r="F257" s="24">
        <v>1</v>
      </c>
      <c r="G257" s="24">
        <v>1</v>
      </c>
      <c r="H257" s="24">
        <v>3</v>
      </c>
      <c r="I257" s="24">
        <v>15</v>
      </c>
      <c r="J257" s="24">
        <v>4</v>
      </c>
      <c r="K257" s="24">
        <v>425</v>
      </c>
      <c r="L257" s="24">
        <v>1</v>
      </c>
      <c r="M257" s="24">
        <v>450</v>
      </c>
      <c r="N257" s="25">
        <v>64.348888888888894</v>
      </c>
      <c r="O257" s="24" t="s">
        <v>281</v>
      </c>
      <c r="P257" s="24">
        <f t="shared" si="86"/>
        <v>425</v>
      </c>
      <c r="Q257" s="24">
        <f t="shared" si="87"/>
        <v>3</v>
      </c>
      <c r="R257" s="24">
        <f t="shared" si="88"/>
        <v>15</v>
      </c>
      <c r="S257" s="24">
        <f t="shared" si="89"/>
        <v>7</v>
      </c>
      <c r="T257" s="24">
        <f t="shared" si="90"/>
        <v>450</v>
      </c>
      <c r="U257" s="27">
        <f t="shared" si="91"/>
        <v>0.94444444444444442</v>
      </c>
      <c r="V257" s="27">
        <f t="shared" si="92"/>
        <v>6.6666666666666671E-3</v>
      </c>
      <c r="W257" s="27">
        <f t="shared" si="93"/>
        <v>3.3333333333333333E-2</v>
      </c>
      <c r="X257" s="27">
        <f t="shared" si="94"/>
        <v>1.5555555555555555E-2</v>
      </c>
      <c r="Y257" s="25">
        <f t="shared" si="95"/>
        <v>64.348888888888894</v>
      </c>
    </row>
    <row r="258" spans="1:25" x14ac:dyDescent="0.25">
      <c r="A258" s="24" t="s">
        <v>357</v>
      </c>
      <c r="B258" s="24" t="s">
        <v>358</v>
      </c>
      <c r="C258" s="24" t="s">
        <v>250</v>
      </c>
      <c r="D258" s="24">
        <v>2</v>
      </c>
      <c r="E258" s="24"/>
      <c r="F258" s="24"/>
      <c r="G258" s="24"/>
      <c r="H258" s="24">
        <v>17</v>
      </c>
      <c r="I258" s="24">
        <v>14</v>
      </c>
      <c r="J258" s="24">
        <v>2</v>
      </c>
      <c r="K258" s="24">
        <v>513</v>
      </c>
      <c r="L258" s="24"/>
      <c r="M258" s="24">
        <v>546</v>
      </c>
      <c r="N258" s="25">
        <v>47.31318681318681</v>
      </c>
      <c r="O258" s="24" t="s">
        <v>281</v>
      </c>
      <c r="P258" s="24">
        <f t="shared" si="86"/>
        <v>513</v>
      </c>
      <c r="Q258" s="24">
        <f t="shared" si="87"/>
        <v>17</v>
      </c>
      <c r="R258" s="24">
        <f t="shared" si="88"/>
        <v>14</v>
      </c>
      <c r="S258" s="24">
        <f t="shared" si="89"/>
        <v>2</v>
      </c>
      <c r="T258" s="24">
        <f t="shared" si="90"/>
        <v>546</v>
      </c>
      <c r="U258" s="27">
        <f t="shared" si="91"/>
        <v>0.93956043956043955</v>
      </c>
      <c r="V258" s="27">
        <f t="shared" si="92"/>
        <v>3.1135531135531136E-2</v>
      </c>
      <c r="W258" s="27">
        <f t="shared" si="93"/>
        <v>2.564102564102564E-2</v>
      </c>
      <c r="X258" s="27">
        <f t="shared" si="94"/>
        <v>3.663003663003663E-3</v>
      </c>
      <c r="Y258" s="25">
        <f t="shared" si="95"/>
        <v>47.31318681318681</v>
      </c>
    </row>
    <row r="259" spans="1:25" x14ac:dyDescent="0.25">
      <c r="A259" s="24" t="s">
        <v>357</v>
      </c>
      <c r="B259" s="24" t="s">
        <v>358</v>
      </c>
      <c r="C259" s="24" t="s">
        <v>250</v>
      </c>
      <c r="D259" s="24">
        <v>3</v>
      </c>
      <c r="E259" s="24"/>
      <c r="F259" s="24">
        <v>1</v>
      </c>
      <c r="G259" s="24">
        <v>1</v>
      </c>
      <c r="H259" s="24">
        <v>29</v>
      </c>
      <c r="I259" s="24">
        <v>7</v>
      </c>
      <c r="J259" s="24">
        <v>1</v>
      </c>
      <c r="K259" s="24">
        <v>507</v>
      </c>
      <c r="L259" s="24"/>
      <c r="M259" s="24">
        <v>546</v>
      </c>
      <c r="N259" s="25">
        <v>33.734432234432234</v>
      </c>
      <c r="O259" s="24" t="s">
        <v>281</v>
      </c>
      <c r="P259" s="24">
        <f t="shared" si="86"/>
        <v>507</v>
      </c>
      <c r="Q259" s="24">
        <f t="shared" si="87"/>
        <v>29</v>
      </c>
      <c r="R259" s="24">
        <f t="shared" si="88"/>
        <v>7</v>
      </c>
      <c r="S259" s="24">
        <f t="shared" si="89"/>
        <v>3</v>
      </c>
      <c r="T259" s="24">
        <f t="shared" si="90"/>
        <v>546</v>
      </c>
      <c r="U259" s="27">
        <f t="shared" si="91"/>
        <v>0.9285714285714286</v>
      </c>
      <c r="V259" s="27">
        <f t="shared" si="92"/>
        <v>5.3113553113553112E-2</v>
      </c>
      <c r="W259" s="27">
        <f t="shared" si="93"/>
        <v>1.282051282051282E-2</v>
      </c>
      <c r="X259" s="27">
        <f t="shared" si="94"/>
        <v>5.4945054945054949E-3</v>
      </c>
      <c r="Y259" s="25">
        <f t="shared" si="95"/>
        <v>33.734432234432234</v>
      </c>
    </row>
    <row r="260" spans="1:25" x14ac:dyDescent="0.25">
      <c r="A260" s="24" t="s">
        <v>357</v>
      </c>
      <c r="B260" s="24" t="s">
        <v>358</v>
      </c>
      <c r="C260" s="24" t="s">
        <v>250</v>
      </c>
      <c r="D260" s="24">
        <v>4</v>
      </c>
      <c r="E260" s="24"/>
      <c r="F260" s="24"/>
      <c r="G260" s="24"/>
      <c r="H260" s="24">
        <v>27</v>
      </c>
      <c r="I260" s="24">
        <v>15</v>
      </c>
      <c r="J260" s="24"/>
      <c r="K260" s="24">
        <v>506</v>
      </c>
      <c r="L260" s="24"/>
      <c r="M260" s="24">
        <v>548</v>
      </c>
      <c r="N260" s="25">
        <v>23.240875912408757</v>
      </c>
      <c r="O260" s="24" t="s">
        <v>281</v>
      </c>
      <c r="P260" s="24">
        <f t="shared" si="86"/>
        <v>506</v>
      </c>
      <c r="Q260" s="24">
        <f t="shared" si="87"/>
        <v>27</v>
      </c>
      <c r="R260" s="24">
        <f t="shared" si="88"/>
        <v>15</v>
      </c>
      <c r="S260" s="24">
        <f t="shared" si="89"/>
        <v>0</v>
      </c>
      <c r="T260" s="24">
        <f t="shared" si="90"/>
        <v>548</v>
      </c>
      <c r="U260" s="27">
        <f t="shared" si="91"/>
        <v>0.92335766423357668</v>
      </c>
      <c r="V260" s="27">
        <f t="shared" si="92"/>
        <v>4.9270072992700732E-2</v>
      </c>
      <c r="W260" s="27">
        <f t="shared" si="93"/>
        <v>2.7372262773722629E-2</v>
      </c>
      <c r="X260" s="27">
        <f t="shared" si="94"/>
        <v>0</v>
      </c>
      <c r="Y260" s="25">
        <f t="shared" si="95"/>
        <v>23.240875912408757</v>
      </c>
    </row>
    <row r="261" spans="1:25" x14ac:dyDescent="0.25">
      <c r="A261" s="24" t="s">
        <v>357</v>
      </c>
      <c r="B261" s="24" t="s">
        <v>358</v>
      </c>
      <c r="C261" s="24" t="s">
        <v>251</v>
      </c>
      <c r="D261" s="24">
        <v>1</v>
      </c>
      <c r="E261" s="24"/>
      <c r="F261" s="24"/>
      <c r="G261" s="24"/>
      <c r="H261" s="24">
        <v>107</v>
      </c>
      <c r="I261" s="24">
        <v>68</v>
      </c>
      <c r="J261" s="24">
        <v>5</v>
      </c>
      <c r="K261" s="24">
        <v>270</v>
      </c>
      <c r="L261" s="24"/>
      <c r="M261" s="24">
        <v>450</v>
      </c>
      <c r="N261" s="25">
        <v>70.357777777777784</v>
      </c>
      <c r="O261" s="24" t="s">
        <v>281</v>
      </c>
      <c r="P261" s="24">
        <f t="shared" si="86"/>
        <v>270</v>
      </c>
      <c r="Q261" s="24">
        <f t="shared" si="87"/>
        <v>107</v>
      </c>
      <c r="R261" s="24">
        <f t="shared" si="88"/>
        <v>68</v>
      </c>
      <c r="S261" s="24">
        <f t="shared" si="89"/>
        <v>5</v>
      </c>
      <c r="T261" s="24">
        <f t="shared" si="90"/>
        <v>450</v>
      </c>
      <c r="U261" s="27">
        <f t="shared" si="91"/>
        <v>0.6</v>
      </c>
      <c r="V261" s="27">
        <f t="shared" si="92"/>
        <v>0.23777777777777778</v>
      </c>
      <c r="W261" s="27">
        <f t="shared" si="93"/>
        <v>0.15111111111111111</v>
      </c>
      <c r="X261" s="27">
        <f t="shared" si="94"/>
        <v>1.1111111111111112E-2</v>
      </c>
      <c r="Y261" s="25">
        <f t="shared" si="95"/>
        <v>70.357777777777784</v>
      </c>
    </row>
    <row r="262" spans="1:25" x14ac:dyDescent="0.25">
      <c r="A262" s="24" t="s">
        <v>357</v>
      </c>
      <c r="B262" s="24" t="s">
        <v>358</v>
      </c>
      <c r="C262" s="24" t="s">
        <v>251</v>
      </c>
      <c r="D262" s="24">
        <v>2</v>
      </c>
      <c r="E262" s="24"/>
      <c r="F262" s="24">
        <v>2</v>
      </c>
      <c r="G262" s="24">
        <v>1</v>
      </c>
      <c r="H262" s="24">
        <v>155</v>
      </c>
      <c r="I262" s="24">
        <v>77</v>
      </c>
      <c r="J262" s="24">
        <v>8</v>
      </c>
      <c r="K262" s="24">
        <v>207</v>
      </c>
      <c r="L262" s="24"/>
      <c r="M262" s="24">
        <v>450</v>
      </c>
      <c r="N262" s="25">
        <v>59.31111111111111</v>
      </c>
      <c r="O262" s="24" t="s">
        <v>281</v>
      </c>
      <c r="P262" s="24">
        <f t="shared" si="86"/>
        <v>207</v>
      </c>
      <c r="Q262" s="24">
        <f t="shared" si="87"/>
        <v>155</v>
      </c>
      <c r="R262" s="24">
        <f t="shared" si="88"/>
        <v>77</v>
      </c>
      <c r="S262" s="24">
        <f t="shared" si="89"/>
        <v>11</v>
      </c>
      <c r="T262" s="24">
        <f t="shared" si="90"/>
        <v>450</v>
      </c>
      <c r="U262" s="27">
        <f t="shared" si="91"/>
        <v>0.46</v>
      </c>
      <c r="V262" s="27">
        <f t="shared" si="92"/>
        <v>0.34444444444444444</v>
      </c>
      <c r="W262" s="27">
        <f t="shared" si="93"/>
        <v>0.1711111111111111</v>
      </c>
      <c r="X262" s="27">
        <f t="shared" si="94"/>
        <v>2.4444444444444446E-2</v>
      </c>
      <c r="Y262" s="25">
        <f t="shared" si="95"/>
        <v>59.31111111111111</v>
      </c>
    </row>
    <row r="263" spans="1:25" x14ac:dyDescent="0.25">
      <c r="A263" s="24" t="s">
        <v>357</v>
      </c>
      <c r="B263" s="24" t="s">
        <v>358</v>
      </c>
      <c r="C263" s="24" t="s">
        <v>251</v>
      </c>
      <c r="D263" s="24">
        <v>3</v>
      </c>
      <c r="E263" s="24"/>
      <c r="F263" s="24"/>
      <c r="G263" s="24"/>
      <c r="H263" s="24">
        <v>223</v>
      </c>
      <c r="I263" s="24">
        <v>99</v>
      </c>
      <c r="J263" s="24">
        <v>1</v>
      </c>
      <c r="K263" s="24">
        <v>175</v>
      </c>
      <c r="L263" s="24"/>
      <c r="M263" s="24">
        <v>498</v>
      </c>
      <c r="N263" s="25">
        <v>48.556224899598391</v>
      </c>
      <c r="O263" s="24" t="s">
        <v>281</v>
      </c>
      <c r="P263" s="24">
        <f t="shared" si="86"/>
        <v>175</v>
      </c>
      <c r="Q263" s="24">
        <f t="shared" si="87"/>
        <v>223</v>
      </c>
      <c r="R263" s="24">
        <f t="shared" si="88"/>
        <v>99</v>
      </c>
      <c r="S263" s="24">
        <f t="shared" si="89"/>
        <v>1</v>
      </c>
      <c r="T263" s="24">
        <f t="shared" si="90"/>
        <v>498</v>
      </c>
      <c r="U263" s="27">
        <f t="shared" si="91"/>
        <v>0.35140562248995982</v>
      </c>
      <c r="V263" s="27">
        <f t="shared" si="92"/>
        <v>0.44779116465863456</v>
      </c>
      <c r="W263" s="27">
        <f t="shared" si="93"/>
        <v>0.19879518072289157</v>
      </c>
      <c r="X263" s="27">
        <f t="shared" si="94"/>
        <v>2.008032128514056E-3</v>
      </c>
      <c r="Y263" s="25">
        <f t="shared" si="95"/>
        <v>48.556224899598391</v>
      </c>
    </row>
    <row r="264" spans="1:25" x14ac:dyDescent="0.25">
      <c r="A264" s="24" t="s">
        <v>357</v>
      </c>
      <c r="B264" s="24" t="s">
        <v>358</v>
      </c>
      <c r="C264" s="24" t="s">
        <v>251</v>
      </c>
      <c r="D264" s="24">
        <v>4</v>
      </c>
      <c r="E264" s="24"/>
      <c r="F264" s="24"/>
      <c r="G264" s="24"/>
      <c r="H264" s="24">
        <v>178</v>
      </c>
      <c r="I264" s="24">
        <v>99</v>
      </c>
      <c r="J264" s="24">
        <v>2</v>
      </c>
      <c r="K264" s="24">
        <v>220</v>
      </c>
      <c r="L264" s="24"/>
      <c r="M264" s="24">
        <v>499</v>
      </c>
      <c r="N264" s="25">
        <v>40.146292585170343</v>
      </c>
      <c r="O264" s="24" t="s">
        <v>281</v>
      </c>
      <c r="P264" s="24">
        <f t="shared" si="86"/>
        <v>220</v>
      </c>
      <c r="Q264" s="24">
        <f t="shared" si="87"/>
        <v>178</v>
      </c>
      <c r="R264" s="24">
        <f t="shared" si="88"/>
        <v>99</v>
      </c>
      <c r="S264" s="24">
        <f t="shared" si="89"/>
        <v>2</v>
      </c>
      <c r="T264" s="24">
        <f t="shared" si="90"/>
        <v>499</v>
      </c>
      <c r="U264" s="27">
        <f t="shared" si="91"/>
        <v>0.4408817635270541</v>
      </c>
      <c r="V264" s="27">
        <f t="shared" si="92"/>
        <v>0.35671342685370744</v>
      </c>
      <c r="W264" s="27">
        <f t="shared" si="93"/>
        <v>0.19839679358717435</v>
      </c>
      <c r="X264" s="27">
        <f t="shared" si="94"/>
        <v>4.0080160320641279E-3</v>
      </c>
      <c r="Y264" s="25">
        <f t="shared" si="95"/>
        <v>40.146292585170343</v>
      </c>
    </row>
    <row r="265" spans="1:25" x14ac:dyDescent="0.25">
      <c r="A265" s="24" t="s">
        <v>357</v>
      </c>
      <c r="B265" s="24" t="s">
        <v>358</v>
      </c>
      <c r="C265" s="24" t="s">
        <v>251</v>
      </c>
      <c r="D265" s="24">
        <v>5</v>
      </c>
      <c r="E265" s="24"/>
      <c r="F265" s="24"/>
      <c r="G265" s="24"/>
      <c r="H265" s="24">
        <v>171</v>
      </c>
      <c r="I265" s="24">
        <v>83</v>
      </c>
      <c r="J265" s="24"/>
      <c r="K265" s="24">
        <v>245</v>
      </c>
      <c r="L265" s="24"/>
      <c r="M265" s="24">
        <v>499</v>
      </c>
      <c r="N265" s="25">
        <v>32.198396793587172</v>
      </c>
      <c r="O265" s="24" t="s">
        <v>281</v>
      </c>
      <c r="P265" s="24">
        <f t="shared" si="86"/>
        <v>245</v>
      </c>
      <c r="Q265" s="24">
        <f t="shared" si="87"/>
        <v>171</v>
      </c>
      <c r="R265" s="24">
        <f t="shared" si="88"/>
        <v>83</v>
      </c>
      <c r="S265" s="24">
        <f t="shared" si="89"/>
        <v>0</v>
      </c>
      <c r="T265" s="24">
        <f t="shared" si="90"/>
        <v>499</v>
      </c>
      <c r="U265" s="27">
        <f t="shared" si="91"/>
        <v>0.4909819639278557</v>
      </c>
      <c r="V265" s="27">
        <f t="shared" si="92"/>
        <v>0.34268537074148298</v>
      </c>
      <c r="W265" s="27">
        <f t="shared" si="93"/>
        <v>0.16633266533066132</v>
      </c>
      <c r="X265" s="27">
        <f t="shared" si="94"/>
        <v>0</v>
      </c>
      <c r="Y265" s="25">
        <f t="shared" si="95"/>
        <v>32.198396793587172</v>
      </c>
    </row>
    <row r="266" spans="1:25" x14ac:dyDescent="0.25">
      <c r="A266" s="24" t="s">
        <v>357</v>
      </c>
      <c r="B266" s="24" t="s">
        <v>358</v>
      </c>
      <c r="C266" s="24" t="s">
        <v>251</v>
      </c>
      <c r="D266" s="24">
        <v>6</v>
      </c>
      <c r="E266" s="24"/>
      <c r="F266" s="24"/>
      <c r="G266" s="24"/>
      <c r="H266" s="24">
        <v>144</v>
      </c>
      <c r="I266" s="24">
        <v>78</v>
      </c>
      <c r="J266" s="24">
        <v>1</v>
      </c>
      <c r="K266" s="24">
        <v>276</v>
      </c>
      <c r="L266" s="24"/>
      <c r="M266" s="24">
        <v>499</v>
      </c>
      <c r="N266" s="25">
        <v>23.092184368737474</v>
      </c>
      <c r="O266" s="24" t="s">
        <v>281</v>
      </c>
      <c r="P266" s="24">
        <f t="shared" si="86"/>
        <v>276</v>
      </c>
      <c r="Q266" s="24">
        <f t="shared" si="87"/>
        <v>144</v>
      </c>
      <c r="R266" s="24">
        <f t="shared" si="88"/>
        <v>78</v>
      </c>
      <c r="S266" s="24">
        <f t="shared" si="89"/>
        <v>1</v>
      </c>
      <c r="T266" s="24">
        <f t="shared" si="90"/>
        <v>499</v>
      </c>
      <c r="U266" s="27">
        <f t="shared" si="91"/>
        <v>0.5531062124248497</v>
      </c>
      <c r="V266" s="27">
        <f t="shared" si="92"/>
        <v>0.28857715430861725</v>
      </c>
      <c r="W266" s="27">
        <f t="shared" si="93"/>
        <v>0.15631262525050099</v>
      </c>
      <c r="X266" s="27">
        <f t="shared" si="94"/>
        <v>2.004008016032064E-3</v>
      </c>
      <c r="Y266" s="25">
        <f t="shared" si="95"/>
        <v>23.092184368737474</v>
      </c>
    </row>
    <row r="267" spans="1:25" x14ac:dyDescent="0.25">
      <c r="A267" s="24" t="s">
        <v>359</v>
      </c>
      <c r="B267" s="24" t="s">
        <v>360</v>
      </c>
      <c r="C267" s="24" t="s">
        <v>253</v>
      </c>
      <c r="D267" s="24">
        <v>1</v>
      </c>
      <c r="E267" s="24"/>
      <c r="F267" s="24"/>
      <c r="G267" s="24"/>
      <c r="H267" s="24">
        <v>215</v>
      </c>
      <c r="I267" s="24">
        <v>81</v>
      </c>
      <c r="J267" s="24">
        <v>1</v>
      </c>
      <c r="K267" s="24">
        <v>153</v>
      </c>
      <c r="L267" s="24"/>
      <c r="M267" s="24">
        <v>450</v>
      </c>
      <c r="N267" s="25">
        <v>71.048888888888882</v>
      </c>
      <c r="O267" s="24" t="s">
        <v>281</v>
      </c>
      <c r="P267" s="24">
        <f t="shared" si="86"/>
        <v>153</v>
      </c>
      <c r="Q267" s="24">
        <f t="shared" si="87"/>
        <v>215</v>
      </c>
      <c r="R267" s="24">
        <f t="shared" si="88"/>
        <v>81</v>
      </c>
      <c r="S267" s="24">
        <f t="shared" si="89"/>
        <v>1</v>
      </c>
      <c r="T267" s="24">
        <f t="shared" si="90"/>
        <v>450</v>
      </c>
      <c r="U267" s="27">
        <f t="shared" si="91"/>
        <v>0.34</v>
      </c>
      <c r="V267" s="27">
        <f t="shared" si="92"/>
        <v>0.4777777777777778</v>
      </c>
      <c r="W267" s="27">
        <f t="shared" si="93"/>
        <v>0.18</v>
      </c>
      <c r="X267" s="27">
        <f t="shared" si="94"/>
        <v>2.2222222222222222E-3</v>
      </c>
      <c r="Y267" s="25">
        <f t="shared" si="95"/>
        <v>71.048888888888882</v>
      </c>
    </row>
    <row r="268" spans="1:25" x14ac:dyDescent="0.25">
      <c r="A268" s="24" t="s">
        <v>359</v>
      </c>
      <c r="B268" s="24" t="s">
        <v>360</v>
      </c>
      <c r="C268" s="24" t="s">
        <v>253</v>
      </c>
      <c r="D268" s="24">
        <v>2</v>
      </c>
      <c r="E268" s="24"/>
      <c r="F268" s="24"/>
      <c r="G268" s="24"/>
      <c r="H268" s="24">
        <v>213</v>
      </c>
      <c r="I268" s="24">
        <v>80</v>
      </c>
      <c r="J268" s="24">
        <v>6</v>
      </c>
      <c r="K268" s="24">
        <v>151</v>
      </c>
      <c r="L268" s="24"/>
      <c r="M268" s="24">
        <v>450</v>
      </c>
      <c r="N268" s="25">
        <v>63.69777777777778</v>
      </c>
      <c r="O268" s="24" t="s">
        <v>281</v>
      </c>
      <c r="P268" s="24">
        <f t="shared" si="86"/>
        <v>151</v>
      </c>
      <c r="Q268" s="24">
        <f t="shared" si="87"/>
        <v>213</v>
      </c>
      <c r="R268" s="24">
        <f t="shared" si="88"/>
        <v>80</v>
      </c>
      <c r="S268" s="24">
        <f t="shared" si="89"/>
        <v>6</v>
      </c>
      <c r="T268" s="24">
        <f t="shared" si="90"/>
        <v>450</v>
      </c>
      <c r="U268" s="27">
        <f t="shared" si="91"/>
        <v>0.33555555555555555</v>
      </c>
      <c r="V268" s="27">
        <f t="shared" si="92"/>
        <v>0.47333333333333333</v>
      </c>
      <c r="W268" s="27">
        <f t="shared" si="93"/>
        <v>0.17777777777777778</v>
      </c>
      <c r="X268" s="27">
        <f t="shared" si="94"/>
        <v>1.3333333333333334E-2</v>
      </c>
      <c r="Y268" s="25">
        <f t="shared" si="95"/>
        <v>63.69777777777778</v>
      </c>
    </row>
    <row r="269" spans="1:25" x14ac:dyDescent="0.25">
      <c r="A269" s="24" t="s">
        <v>359</v>
      </c>
      <c r="B269" s="24" t="s">
        <v>360</v>
      </c>
      <c r="C269" s="24" t="s">
        <v>253</v>
      </c>
      <c r="D269" s="24">
        <v>3</v>
      </c>
      <c r="E269" s="24"/>
      <c r="F269" s="24"/>
      <c r="G269" s="24"/>
      <c r="H269" s="24">
        <v>171</v>
      </c>
      <c r="I269" s="24">
        <v>60</v>
      </c>
      <c r="J269" s="24">
        <v>6</v>
      </c>
      <c r="K269" s="24">
        <v>213</v>
      </c>
      <c r="L269" s="24"/>
      <c r="M269" s="24">
        <v>450</v>
      </c>
      <c r="N269" s="25">
        <v>56.462222222222223</v>
      </c>
      <c r="O269" s="24" t="s">
        <v>281</v>
      </c>
      <c r="P269" s="24">
        <f t="shared" si="86"/>
        <v>213</v>
      </c>
      <c r="Q269" s="24">
        <f t="shared" si="87"/>
        <v>171</v>
      </c>
      <c r="R269" s="24">
        <f t="shared" si="88"/>
        <v>60</v>
      </c>
      <c r="S269" s="24">
        <f t="shared" si="89"/>
        <v>6</v>
      </c>
      <c r="T269" s="24">
        <f t="shared" si="90"/>
        <v>450</v>
      </c>
      <c r="U269" s="27">
        <f t="shared" si="91"/>
        <v>0.47333333333333333</v>
      </c>
      <c r="V269" s="27">
        <f t="shared" si="92"/>
        <v>0.38</v>
      </c>
      <c r="W269" s="27">
        <f t="shared" si="93"/>
        <v>0.13333333333333333</v>
      </c>
      <c r="X269" s="27">
        <f t="shared" si="94"/>
        <v>1.3333333333333334E-2</v>
      </c>
      <c r="Y269" s="25">
        <f t="shared" si="95"/>
        <v>56.462222222222223</v>
      </c>
    </row>
    <row r="270" spans="1:25" x14ac:dyDescent="0.25">
      <c r="A270" s="24" t="s">
        <v>359</v>
      </c>
      <c r="B270" s="24" t="s">
        <v>360</v>
      </c>
      <c r="C270" s="24" t="s">
        <v>253</v>
      </c>
      <c r="D270" s="24">
        <v>4</v>
      </c>
      <c r="E270" s="24"/>
      <c r="F270" s="24">
        <v>1</v>
      </c>
      <c r="G270" s="24"/>
      <c r="H270" s="24">
        <v>169</v>
      </c>
      <c r="I270" s="24">
        <v>95</v>
      </c>
      <c r="J270" s="24">
        <v>1</v>
      </c>
      <c r="K270" s="24">
        <v>297</v>
      </c>
      <c r="L270" s="24"/>
      <c r="M270" s="24">
        <v>563</v>
      </c>
      <c r="N270" s="25">
        <v>47.838365896980463</v>
      </c>
      <c r="O270" s="24" t="s">
        <v>281</v>
      </c>
      <c r="P270" s="24">
        <f t="shared" si="86"/>
        <v>297</v>
      </c>
      <c r="Q270" s="24">
        <f t="shared" si="87"/>
        <v>169</v>
      </c>
      <c r="R270" s="24">
        <f t="shared" si="88"/>
        <v>95</v>
      </c>
      <c r="S270" s="24">
        <f t="shared" si="89"/>
        <v>2</v>
      </c>
      <c r="T270" s="24">
        <f t="shared" si="90"/>
        <v>563</v>
      </c>
      <c r="U270" s="27">
        <f t="shared" si="91"/>
        <v>0.52753108348134992</v>
      </c>
      <c r="V270" s="27">
        <f t="shared" si="92"/>
        <v>0.30017761989342806</v>
      </c>
      <c r="W270" s="27">
        <f t="shared" si="93"/>
        <v>0.16873889875666073</v>
      </c>
      <c r="X270" s="27">
        <f t="shared" si="94"/>
        <v>3.552397868561279E-3</v>
      </c>
      <c r="Y270" s="25">
        <f t="shared" si="95"/>
        <v>47.838365896980463</v>
      </c>
    </row>
    <row r="271" spans="1:25" x14ac:dyDescent="0.25">
      <c r="A271" s="24" t="s">
        <v>359</v>
      </c>
      <c r="B271" s="24" t="s">
        <v>360</v>
      </c>
      <c r="C271" s="24" t="s">
        <v>253</v>
      </c>
      <c r="D271" s="24">
        <v>5</v>
      </c>
      <c r="E271" s="24"/>
      <c r="F271" s="24"/>
      <c r="G271" s="24"/>
      <c r="H271" s="24">
        <v>156</v>
      </c>
      <c r="I271" s="24">
        <v>68</v>
      </c>
      <c r="J271" s="24">
        <v>3</v>
      </c>
      <c r="K271" s="24">
        <v>336</v>
      </c>
      <c r="L271" s="24"/>
      <c r="M271" s="24">
        <v>563</v>
      </c>
      <c r="N271" s="25">
        <v>38.404973357015983</v>
      </c>
      <c r="O271" s="24" t="s">
        <v>281</v>
      </c>
      <c r="P271" s="24">
        <f t="shared" si="86"/>
        <v>336</v>
      </c>
      <c r="Q271" s="24">
        <f t="shared" si="87"/>
        <v>156</v>
      </c>
      <c r="R271" s="24">
        <f t="shared" si="88"/>
        <v>68</v>
      </c>
      <c r="S271" s="24">
        <f t="shared" si="89"/>
        <v>3</v>
      </c>
      <c r="T271" s="24">
        <f t="shared" si="90"/>
        <v>563</v>
      </c>
      <c r="U271" s="27">
        <f t="shared" si="91"/>
        <v>0.5968028419182948</v>
      </c>
      <c r="V271" s="27">
        <f t="shared" si="92"/>
        <v>0.27708703374777977</v>
      </c>
      <c r="W271" s="27">
        <f t="shared" si="93"/>
        <v>0.12078152753108348</v>
      </c>
      <c r="X271" s="27">
        <f t="shared" si="94"/>
        <v>5.3285968028419185E-3</v>
      </c>
      <c r="Y271" s="25">
        <f t="shared" si="95"/>
        <v>38.404973357015983</v>
      </c>
    </row>
    <row r="272" spans="1:25" x14ac:dyDescent="0.25">
      <c r="A272" s="24" t="s">
        <v>359</v>
      </c>
      <c r="B272" s="24" t="s">
        <v>360</v>
      </c>
      <c r="C272" s="24" t="s">
        <v>253</v>
      </c>
      <c r="D272" s="24">
        <v>6</v>
      </c>
      <c r="E272" s="24">
        <v>2</v>
      </c>
      <c r="F272" s="24"/>
      <c r="G272" s="24"/>
      <c r="H272" s="24">
        <v>133</v>
      </c>
      <c r="I272" s="24">
        <v>79</v>
      </c>
      <c r="J272" s="24">
        <v>2</v>
      </c>
      <c r="K272" s="24">
        <v>347</v>
      </c>
      <c r="L272" s="24"/>
      <c r="M272" s="24">
        <v>563</v>
      </c>
      <c r="N272" s="25">
        <v>30.307282415630549</v>
      </c>
      <c r="O272" s="24" t="s">
        <v>281</v>
      </c>
      <c r="P272" s="24">
        <f t="shared" si="86"/>
        <v>347</v>
      </c>
      <c r="Q272" s="24">
        <f t="shared" si="87"/>
        <v>133</v>
      </c>
      <c r="R272" s="24">
        <f t="shared" si="88"/>
        <v>79</v>
      </c>
      <c r="S272" s="24">
        <f t="shared" si="89"/>
        <v>4</v>
      </c>
      <c r="T272" s="24">
        <f t="shared" si="90"/>
        <v>563</v>
      </c>
      <c r="U272" s="27">
        <f t="shared" si="91"/>
        <v>0.61634103019538189</v>
      </c>
      <c r="V272" s="27">
        <f t="shared" si="92"/>
        <v>0.23623445825932504</v>
      </c>
      <c r="W272" s="27">
        <f t="shared" si="93"/>
        <v>0.14031971580817051</v>
      </c>
      <c r="X272" s="27">
        <f t="shared" si="94"/>
        <v>7.104795737122558E-3</v>
      </c>
      <c r="Y272" s="25">
        <f t="shared" si="95"/>
        <v>30.307282415630549</v>
      </c>
    </row>
    <row r="273" spans="1:25" x14ac:dyDescent="0.25">
      <c r="A273" s="24" t="s">
        <v>359</v>
      </c>
      <c r="B273" s="24" t="s">
        <v>360</v>
      </c>
      <c r="C273" s="24" t="s">
        <v>253</v>
      </c>
      <c r="D273" s="24">
        <v>7</v>
      </c>
      <c r="E273" s="24"/>
      <c r="F273" s="24"/>
      <c r="G273" s="24"/>
      <c r="H273" s="24">
        <v>100</v>
      </c>
      <c r="I273" s="24">
        <v>71</v>
      </c>
      <c r="J273" s="24"/>
      <c r="K273" s="24">
        <v>393</v>
      </c>
      <c r="L273" s="24"/>
      <c r="M273" s="24">
        <v>564</v>
      </c>
      <c r="N273" s="25">
        <v>22.382978723404257</v>
      </c>
      <c r="O273" s="24" t="s">
        <v>281</v>
      </c>
      <c r="P273" s="24">
        <f t="shared" si="86"/>
        <v>393</v>
      </c>
      <c r="Q273" s="24">
        <f t="shared" si="87"/>
        <v>100</v>
      </c>
      <c r="R273" s="24">
        <f t="shared" si="88"/>
        <v>71</v>
      </c>
      <c r="S273" s="24">
        <f t="shared" si="89"/>
        <v>0</v>
      </c>
      <c r="T273" s="24">
        <f t="shared" si="90"/>
        <v>564</v>
      </c>
      <c r="U273" s="27">
        <f t="shared" si="91"/>
        <v>0.69680851063829785</v>
      </c>
      <c r="V273" s="27">
        <f t="shared" si="92"/>
        <v>0.1773049645390071</v>
      </c>
      <c r="W273" s="27">
        <f t="shared" si="93"/>
        <v>0.12588652482269502</v>
      </c>
      <c r="X273" s="27">
        <f t="shared" si="94"/>
        <v>0</v>
      </c>
      <c r="Y273" s="25">
        <f t="shared" si="95"/>
        <v>22.382978723404257</v>
      </c>
    </row>
    <row r="274" spans="1:25" x14ac:dyDescent="0.25">
      <c r="A274" s="24" t="s">
        <v>361</v>
      </c>
      <c r="B274" s="24" t="s">
        <v>362</v>
      </c>
      <c r="C274" s="24" t="s">
        <v>255</v>
      </c>
      <c r="D274" s="24">
        <v>1</v>
      </c>
      <c r="E274" s="24"/>
      <c r="F274" s="24">
        <v>1</v>
      </c>
      <c r="G274" s="24"/>
      <c r="H274" s="24">
        <v>28</v>
      </c>
      <c r="I274" s="24">
        <v>31</v>
      </c>
      <c r="J274" s="24">
        <v>4</v>
      </c>
      <c r="K274" s="24">
        <v>386</v>
      </c>
      <c r="L274" s="24"/>
      <c r="M274" s="24">
        <v>450</v>
      </c>
      <c r="N274" s="25">
        <v>69.833333333333329</v>
      </c>
      <c r="O274" s="24" t="s">
        <v>281</v>
      </c>
      <c r="P274" s="24">
        <f>K274</f>
        <v>386</v>
      </c>
      <c r="Q274" s="24">
        <f t="shared" ref="Q274:R278" si="96">H274</f>
        <v>28</v>
      </c>
      <c r="R274" s="24">
        <f t="shared" si="96"/>
        <v>31</v>
      </c>
      <c r="S274" s="24">
        <f>M274-SUM(P274:R274)</f>
        <v>5</v>
      </c>
      <c r="T274" s="24">
        <f>SUM(P274:S274)</f>
        <v>450</v>
      </c>
      <c r="U274" s="27">
        <f>P274/M274</f>
        <v>0.85777777777777775</v>
      </c>
      <c r="V274" s="27">
        <f>Q274/M274</f>
        <v>6.222222222222222E-2</v>
      </c>
      <c r="W274" s="27">
        <f>R274/M274</f>
        <v>6.8888888888888888E-2</v>
      </c>
      <c r="X274" s="27">
        <f>S274/M274</f>
        <v>1.1111111111111112E-2</v>
      </c>
      <c r="Y274" s="25">
        <f>N274</f>
        <v>69.833333333333329</v>
      </c>
    </row>
    <row r="275" spans="1:25" x14ac:dyDescent="0.25">
      <c r="A275" s="24" t="s">
        <v>361</v>
      </c>
      <c r="B275" s="24" t="s">
        <v>362</v>
      </c>
      <c r="C275" s="24" t="s">
        <v>255</v>
      </c>
      <c r="D275" s="24">
        <v>2</v>
      </c>
      <c r="E275" s="24"/>
      <c r="F275" s="24">
        <v>2</v>
      </c>
      <c r="G275" s="24"/>
      <c r="H275" s="24">
        <v>22</v>
      </c>
      <c r="I275" s="24">
        <v>26</v>
      </c>
      <c r="J275" s="24"/>
      <c r="K275" s="24">
        <v>400</v>
      </c>
      <c r="L275" s="24"/>
      <c r="M275" s="24">
        <v>450</v>
      </c>
      <c r="N275" s="25">
        <v>59.717777777777776</v>
      </c>
      <c r="O275" s="24" t="s">
        <v>281</v>
      </c>
      <c r="P275" s="24">
        <f>K275</f>
        <v>400</v>
      </c>
      <c r="Q275" s="24">
        <f t="shared" si="96"/>
        <v>22</v>
      </c>
      <c r="R275" s="24">
        <f t="shared" si="96"/>
        <v>26</v>
      </c>
      <c r="S275" s="24">
        <f>M275-SUM(P275:R275)</f>
        <v>2</v>
      </c>
      <c r="T275" s="24">
        <f>SUM(P275:S275)</f>
        <v>450</v>
      </c>
      <c r="U275" s="27">
        <f>P275/M275</f>
        <v>0.88888888888888884</v>
      </c>
      <c r="V275" s="27">
        <f>Q275/M275</f>
        <v>4.8888888888888891E-2</v>
      </c>
      <c r="W275" s="27">
        <f>R275/M275</f>
        <v>5.7777777777777775E-2</v>
      </c>
      <c r="X275" s="27">
        <f>S275/M275</f>
        <v>4.4444444444444444E-3</v>
      </c>
      <c r="Y275" s="25">
        <f>N275</f>
        <v>59.717777777777776</v>
      </c>
    </row>
    <row r="276" spans="1:25" x14ac:dyDescent="0.25">
      <c r="A276" s="24" t="s">
        <v>361</v>
      </c>
      <c r="B276" s="24" t="s">
        <v>362</v>
      </c>
      <c r="C276" s="24" t="s">
        <v>255</v>
      </c>
      <c r="D276" s="24">
        <v>3</v>
      </c>
      <c r="E276" s="24">
        <v>1</v>
      </c>
      <c r="F276" s="24">
        <v>1</v>
      </c>
      <c r="G276" s="24">
        <v>1</v>
      </c>
      <c r="H276" s="24">
        <v>23</v>
      </c>
      <c r="I276" s="24">
        <v>25</v>
      </c>
      <c r="J276" s="24">
        <v>7</v>
      </c>
      <c r="K276" s="24">
        <v>656</v>
      </c>
      <c r="L276" s="24"/>
      <c r="M276" s="24">
        <v>714</v>
      </c>
      <c r="N276" s="25">
        <v>48.757703081232492</v>
      </c>
      <c r="O276" s="24" t="s">
        <v>281</v>
      </c>
      <c r="P276" s="24">
        <f>K276</f>
        <v>656</v>
      </c>
      <c r="Q276" s="24">
        <f t="shared" si="96"/>
        <v>23</v>
      </c>
      <c r="R276" s="24">
        <f t="shared" si="96"/>
        <v>25</v>
      </c>
      <c r="S276" s="24">
        <f>M276-SUM(P276:R276)</f>
        <v>10</v>
      </c>
      <c r="T276" s="24">
        <f>SUM(P276:S276)</f>
        <v>714</v>
      </c>
      <c r="U276" s="27">
        <f>P276/M276</f>
        <v>0.91876750700280108</v>
      </c>
      <c r="V276" s="27">
        <f>Q276/M276</f>
        <v>3.2212885154061621E-2</v>
      </c>
      <c r="W276" s="27">
        <f>R276/M276</f>
        <v>3.5014005602240897E-2</v>
      </c>
      <c r="X276" s="27">
        <f>S276/M276</f>
        <v>1.4005602240896359E-2</v>
      </c>
      <c r="Y276" s="25">
        <f>N276</f>
        <v>48.757703081232492</v>
      </c>
    </row>
    <row r="277" spans="1:25" x14ac:dyDescent="0.25">
      <c r="A277" s="24" t="s">
        <v>361</v>
      </c>
      <c r="B277" s="24" t="s">
        <v>362</v>
      </c>
      <c r="C277" s="24" t="s">
        <v>255</v>
      </c>
      <c r="D277" s="24">
        <v>4</v>
      </c>
      <c r="E277" s="24">
        <v>1</v>
      </c>
      <c r="F277" s="24">
        <v>2</v>
      </c>
      <c r="G277" s="24">
        <v>1</v>
      </c>
      <c r="H277" s="24">
        <v>16</v>
      </c>
      <c r="I277" s="24">
        <v>4</v>
      </c>
      <c r="J277" s="24">
        <v>5</v>
      </c>
      <c r="K277" s="24">
        <v>685</v>
      </c>
      <c r="L277" s="24"/>
      <c r="M277" s="24">
        <v>714</v>
      </c>
      <c r="N277" s="25">
        <v>35.717086834733891</v>
      </c>
      <c r="O277" s="24" t="s">
        <v>281</v>
      </c>
      <c r="P277" s="24">
        <f>K277</f>
        <v>685</v>
      </c>
      <c r="Q277" s="24">
        <f t="shared" si="96"/>
        <v>16</v>
      </c>
      <c r="R277" s="24">
        <f t="shared" si="96"/>
        <v>4</v>
      </c>
      <c r="S277" s="24">
        <f>M277-SUM(P277:R277)</f>
        <v>9</v>
      </c>
      <c r="T277" s="24">
        <f>SUM(P277:S277)</f>
        <v>714</v>
      </c>
      <c r="U277" s="27">
        <f>P277/M277</f>
        <v>0.95938375350140059</v>
      </c>
      <c r="V277" s="27">
        <f>Q277/M277</f>
        <v>2.2408963585434174E-2</v>
      </c>
      <c r="W277" s="27">
        <f>R277/M277</f>
        <v>5.6022408963585435E-3</v>
      </c>
      <c r="X277" s="27">
        <f>S277/M277</f>
        <v>1.2605042016806723E-2</v>
      </c>
      <c r="Y277" s="25">
        <f>N277</f>
        <v>35.717086834733891</v>
      </c>
    </row>
    <row r="278" spans="1:25" x14ac:dyDescent="0.25">
      <c r="A278" s="24" t="s">
        <v>361</v>
      </c>
      <c r="B278" s="24" t="s">
        <v>362</v>
      </c>
      <c r="C278" s="24" t="s">
        <v>255</v>
      </c>
      <c r="D278" s="24">
        <v>5</v>
      </c>
      <c r="E278" s="24"/>
      <c r="F278" s="24"/>
      <c r="G278" s="24"/>
      <c r="H278" s="24">
        <v>3</v>
      </c>
      <c r="I278" s="24">
        <v>5</v>
      </c>
      <c r="J278" s="24">
        <v>4</v>
      </c>
      <c r="K278" s="24">
        <v>702</v>
      </c>
      <c r="L278" s="24"/>
      <c r="M278" s="24">
        <v>714</v>
      </c>
      <c r="N278" s="25">
        <v>24.260504201680671</v>
      </c>
      <c r="O278" s="24" t="s">
        <v>281</v>
      </c>
      <c r="P278" s="24">
        <f>K278</f>
        <v>702</v>
      </c>
      <c r="Q278" s="24">
        <f t="shared" si="96"/>
        <v>3</v>
      </c>
      <c r="R278" s="24">
        <f t="shared" si="96"/>
        <v>5</v>
      </c>
      <c r="S278" s="24">
        <f>M278-SUM(P278:R278)</f>
        <v>4</v>
      </c>
      <c r="T278" s="24">
        <f>SUM(P278:S278)</f>
        <v>714</v>
      </c>
      <c r="U278" s="27">
        <f>P278/M278</f>
        <v>0.98319327731092432</v>
      </c>
      <c r="V278" s="27">
        <f>Q278/M278</f>
        <v>4.2016806722689074E-3</v>
      </c>
      <c r="W278" s="27">
        <f>R278/M278</f>
        <v>7.0028011204481795E-3</v>
      </c>
      <c r="X278" s="27">
        <f>S278/M278</f>
        <v>5.6022408963585435E-3</v>
      </c>
      <c r="Y278" s="25">
        <f>N278</f>
        <v>24.260504201680671</v>
      </c>
    </row>
    <row r="279" spans="1:25" x14ac:dyDescent="0.25">
      <c r="A279" s="24" t="s">
        <v>361</v>
      </c>
      <c r="B279" s="24" t="s">
        <v>362</v>
      </c>
      <c r="C279" s="24" t="s">
        <v>256</v>
      </c>
      <c r="D279" s="24">
        <v>1</v>
      </c>
      <c r="E279" s="24"/>
      <c r="F279" s="24"/>
      <c r="G279" s="24"/>
      <c r="H279" s="24">
        <v>1</v>
      </c>
      <c r="I279" s="24">
        <v>10</v>
      </c>
      <c r="J279" s="24">
        <v>1</v>
      </c>
      <c r="K279" s="24">
        <v>438</v>
      </c>
      <c r="L279" s="24"/>
      <c r="M279" s="24">
        <v>450</v>
      </c>
      <c r="N279" s="25">
        <v>61.224444444444444</v>
      </c>
      <c r="O279" s="24" t="s">
        <v>281</v>
      </c>
      <c r="P279" s="24">
        <f t="shared" si="86"/>
        <v>438</v>
      </c>
      <c r="Q279" s="24">
        <f t="shared" si="87"/>
        <v>1</v>
      </c>
      <c r="R279" s="24">
        <f t="shared" si="88"/>
        <v>10</v>
      </c>
      <c r="S279" s="24">
        <f t="shared" si="89"/>
        <v>1</v>
      </c>
      <c r="T279" s="24">
        <f t="shared" si="90"/>
        <v>450</v>
      </c>
      <c r="U279" s="27">
        <f t="shared" si="91"/>
        <v>0.97333333333333338</v>
      </c>
      <c r="V279" s="27">
        <f t="shared" si="92"/>
        <v>2.2222222222222222E-3</v>
      </c>
      <c r="W279" s="27">
        <f t="shared" si="93"/>
        <v>2.2222222222222223E-2</v>
      </c>
      <c r="X279" s="27">
        <f t="shared" si="94"/>
        <v>2.2222222222222222E-3</v>
      </c>
      <c r="Y279" s="25">
        <f t="shared" si="95"/>
        <v>61.224444444444444</v>
      </c>
    </row>
    <row r="280" spans="1:25" x14ac:dyDescent="0.25">
      <c r="A280" s="24" t="s">
        <v>361</v>
      </c>
      <c r="B280" s="24" t="s">
        <v>362</v>
      </c>
      <c r="C280" s="24" t="s">
        <v>256</v>
      </c>
      <c r="D280" s="24">
        <v>2</v>
      </c>
      <c r="E280" s="24"/>
      <c r="F280" s="24">
        <v>2</v>
      </c>
      <c r="G280" s="24"/>
      <c r="H280" s="24"/>
      <c r="I280" s="24">
        <v>3</v>
      </c>
      <c r="J280" s="24">
        <v>2</v>
      </c>
      <c r="K280" s="24">
        <v>571</v>
      </c>
      <c r="L280" s="24"/>
      <c r="M280" s="24">
        <v>578</v>
      </c>
      <c r="N280" s="25">
        <v>33.48096885813149</v>
      </c>
      <c r="O280" s="24" t="s">
        <v>281</v>
      </c>
      <c r="P280" s="24">
        <f t="shared" si="86"/>
        <v>571</v>
      </c>
      <c r="Q280" s="24">
        <f t="shared" si="87"/>
        <v>0</v>
      </c>
      <c r="R280" s="24">
        <f t="shared" si="88"/>
        <v>3</v>
      </c>
      <c r="S280" s="24">
        <f t="shared" si="89"/>
        <v>4</v>
      </c>
      <c r="T280" s="24">
        <f t="shared" si="90"/>
        <v>578</v>
      </c>
      <c r="U280" s="27">
        <f t="shared" si="91"/>
        <v>0.98788927335640142</v>
      </c>
      <c r="V280" s="27">
        <f t="shared" si="92"/>
        <v>0</v>
      </c>
      <c r="W280" s="27">
        <f t="shared" si="93"/>
        <v>5.1903114186851208E-3</v>
      </c>
      <c r="X280" s="27">
        <f t="shared" si="94"/>
        <v>6.920415224913495E-3</v>
      </c>
      <c r="Y280" s="25">
        <f t="shared" si="95"/>
        <v>33.48096885813149</v>
      </c>
    </row>
    <row r="281" spans="1:25" x14ac:dyDescent="0.25">
      <c r="A281" s="22"/>
      <c r="B281" s="22"/>
      <c r="C281" s="22"/>
      <c r="D281" s="22"/>
      <c r="E281" s="22">
        <v>70</v>
      </c>
      <c r="F281" s="22">
        <v>147</v>
      </c>
      <c r="G281" s="22">
        <v>196</v>
      </c>
      <c r="H281" s="22">
        <v>49826</v>
      </c>
      <c r="I281" s="22">
        <v>21221</v>
      </c>
      <c r="J281" s="22">
        <v>476</v>
      </c>
      <c r="K281" s="22">
        <v>84591</v>
      </c>
      <c r="L281" s="22">
        <v>717</v>
      </c>
      <c r="M281" s="22">
        <v>157244</v>
      </c>
      <c r="N281" s="28">
        <v>44.898597278720182</v>
      </c>
      <c r="O281" s="22"/>
      <c r="P281" s="24">
        <v>84591</v>
      </c>
      <c r="Q281" s="24">
        <v>49826</v>
      </c>
      <c r="R281" s="24">
        <v>21221</v>
      </c>
      <c r="S281" s="24">
        <v>1606</v>
      </c>
      <c r="T281" s="24">
        <v>157244</v>
      </c>
      <c r="U281" s="27">
        <v>0.53796011294548596</v>
      </c>
      <c r="V281" s="27">
        <v>0.31687059601638218</v>
      </c>
      <c r="W281" s="27">
        <v>0.13495586477067487</v>
      </c>
      <c r="X281" s="27">
        <v>1.0213426267456947E-2</v>
      </c>
      <c r="Y281" s="25">
        <v>44.898597278720182</v>
      </c>
    </row>
    <row r="283" spans="1:25" x14ac:dyDescent="0.25">
      <c r="A283" s="24" t="s">
        <v>290</v>
      </c>
      <c r="B283" s="24" t="s">
        <v>291</v>
      </c>
      <c r="C283" s="24" t="s">
        <v>292</v>
      </c>
      <c r="D283" s="24"/>
      <c r="E283" s="24"/>
      <c r="F283" s="24"/>
      <c r="G283" s="24"/>
      <c r="H283" s="24"/>
      <c r="I283" s="24"/>
      <c r="J283" s="24"/>
      <c r="K283" s="24">
        <v>1</v>
      </c>
      <c r="L283" s="24"/>
      <c r="M283" s="24">
        <v>1</v>
      </c>
      <c r="N283" s="25">
        <v>30</v>
      </c>
      <c r="O283" s="24" t="s">
        <v>281</v>
      </c>
      <c r="P283" s="24">
        <f t="shared" ref="P283:P302" si="97">K283</f>
        <v>1</v>
      </c>
      <c r="Q283" s="24">
        <f t="shared" ref="Q283:Q302" si="98">H283</f>
        <v>0</v>
      </c>
      <c r="R283" s="24">
        <f t="shared" ref="R283:R302" si="99">I283</f>
        <v>0</v>
      </c>
      <c r="S283" s="24">
        <f t="shared" ref="S283:S302" si="100">M283-SUM(P283:R283)</f>
        <v>0</v>
      </c>
      <c r="T283" s="24">
        <f t="shared" ref="T283:T302" si="101">SUM(P283:S283)</f>
        <v>1</v>
      </c>
      <c r="U283" s="27">
        <f t="shared" ref="U283:U302" si="102">P283/M283</f>
        <v>1</v>
      </c>
      <c r="V283" s="27">
        <f t="shared" ref="V283:V302" si="103">Q283/M283</f>
        <v>0</v>
      </c>
      <c r="W283" s="27">
        <f t="shared" ref="W283:W302" si="104">R283/M283</f>
        <v>0</v>
      </c>
      <c r="X283" s="27">
        <f t="shared" ref="X283:X302" si="105">S283/M283</f>
        <v>0</v>
      </c>
      <c r="Y283" s="25">
        <f t="shared" ref="Y283:Y302" si="106">N283</f>
        <v>30</v>
      </c>
    </row>
    <row r="284" spans="1:25" x14ac:dyDescent="0.25">
      <c r="A284" s="24" t="s">
        <v>293</v>
      </c>
      <c r="B284" s="24" t="s">
        <v>294</v>
      </c>
      <c r="C284" s="24" t="s">
        <v>292</v>
      </c>
      <c r="D284" s="24"/>
      <c r="E284" s="24"/>
      <c r="F284" s="24"/>
      <c r="G284" s="24"/>
      <c r="H284" s="24"/>
      <c r="I284" s="24"/>
      <c r="J284" s="24"/>
      <c r="K284" s="24">
        <v>1</v>
      </c>
      <c r="L284" s="24"/>
      <c r="M284" s="24">
        <v>1</v>
      </c>
      <c r="N284" s="25">
        <v>42</v>
      </c>
      <c r="O284" s="24" t="s">
        <v>281</v>
      </c>
      <c r="P284" s="24">
        <f t="shared" si="97"/>
        <v>1</v>
      </c>
      <c r="Q284" s="24">
        <f t="shared" si="98"/>
        <v>0</v>
      </c>
      <c r="R284" s="24">
        <f t="shared" si="99"/>
        <v>0</v>
      </c>
      <c r="S284" s="24">
        <f t="shared" si="100"/>
        <v>0</v>
      </c>
      <c r="T284" s="24">
        <f t="shared" si="101"/>
        <v>1</v>
      </c>
      <c r="U284" s="27">
        <f t="shared" si="102"/>
        <v>1</v>
      </c>
      <c r="V284" s="27">
        <f t="shared" si="103"/>
        <v>0</v>
      </c>
      <c r="W284" s="27">
        <f t="shared" si="104"/>
        <v>0</v>
      </c>
      <c r="X284" s="27">
        <f t="shared" si="105"/>
        <v>0</v>
      </c>
      <c r="Y284" s="25">
        <f t="shared" si="106"/>
        <v>42</v>
      </c>
    </row>
    <row r="285" spans="1:25" x14ac:dyDescent="0.25">
      <c r="A285" s="24" t="s">
        <v>297</v>
      </c>
      <c r="B285" s="24" t="s">
        <v>298</v>
      </c>
      <c r="C285" s="24" t="s">
        <v>292</v>
      </c>
      <c r="D285" s="24"/>
      <c r="E285" s="24"/>
      <c r="F285" s="24"/>
      <c r="G285" s="24"/>
      <c r="H285" s="24"/>
      <c r="I285" s="24"/>
      <c r="J285" s="24"/>
      <c r="K285" s="24">
        <v>5</v>
      </c>
      <c r="L285" s="24"/>
      <c r="M285" s="24">
        <v>5</v>
      </c>
      <c r="N285" s="25">
        <v>35.4</v>
      </c>
      <c r="O285" s="24" t="s">
        <v>281</v>
      </c>
      <c r="P285" s="24">
        <f t="shared" si="97"/>
        <v>5</v>
      </c>
      <c r="Q285" s="24">
        <f t="shared" si="98"/>
        <v>0</v>
      </c>
      <c r="R285" s="24">
        <f t="shared" si="99"/>
        <v>0</v>
      </c>
      <c r="S285" s="24">
        <f t="shared" si="100"/>
        <v>0</v>
      </c>
      <c r="T285" s="24">
        <f t="shared" si="101"/>
        <v>5</v>
      </c>
      <c r="U285" s="27">
        <f t="shared" si="102"/>
        <v>1</v>
      </c>
      <c r="V285" s="27">
        <f t="shared" si="103"/>
        <v>0</v>
      </c>
      <c r="W285" s="27">
        <f t="shared" si="104"/>
        <v>0</v>
      </c>
      <c r="X285" s="27">
        <f t="shared" si="105"/>
        <v>0</v>
      </c>
      <c r="Y285" s="25">
        <f t="shared" si="106"/>
        <v>35.4</v>
      </c>
    </row>
    <row r="286" spans="1:25" x14ac:dyDescent="0.25">
      <c r="A286" s="24" t="s">
        <v>317</v>
      </c>
      <c r="B286" s="24" t="s">
        <v>318</v>
      </c>
      <c r="C286" s="24" t="s">
        <v>292</v>
      </c>
      <c r="D286" s="24"/>
      <c r="E286" s="24"/>
      <c r="F286" s="24"/>
      <c r="G286" s="24"/>
      <c r="H286" s="24"/>
      <c r="I286" s="24">
        <v>2</v>
      </c>
      <c r="J286" s="24"/>
      <c r="K286" s="24">
        <v>7</v>
      </c>
      <c r="L286" s="24"/>
      <c r="M286" s="24">
        <v>9</v>
      </c>
      <c r="N286" s="25">
        <v>44.333333333333336</v>
      </c>
      <c r="O286" s="24" t="s">
        <v>281</v>
      </c>
      <c r="P286" s="24">
        <f t="shared" si="97"/>
        <v>7</v>
      </c>
      <c r="Q286" s="24">
        <f t="shared" si="98"/>
        <v>0</v>
      </c>
      <c r="R286" s="24">
        <f t="shared" si="99"/>
        <v>2</v>
      </c>
      <c r="S286" s="24">
        <f t="shared" si="100"/>
        <v>0</v>
      </c>
      <c r="T286" s="24">
        <f t="shared" si="101"/>
        <v>9</v>
      </c>
      <c r="U286" s="27">
        <f t="shared" si="102"/>
        <v>0.77777777777777779</v>
      </c>
      <c r="V286" s="27">
        <f t="shared" si="103"/>
        <v>0</v>
      </c>
      <c r="W286" s="27">
        <f t="shared" si="104"/>
        <v>0.22222222222222221</v>
      </c>
      <c r="X286" s="27">
        <f t="shared" si="105"/>
        <v>0</v>
      </c>
      <c r="Y286" s="25">
        <f t="shared" si="106"/>
        <v>44.333333333333336</v>
      </c>
    </row>
    <row r="287" spans="1:25" x14ac:dyDescent="0.25">
      <c r="A287" s="24" t="s">
        <v>321</v>
      </c>
      <c r="B287" s="24" t="s">
        <v>322</v>
      </c>
      <c r="C287" s="24" t="s">
        <v>292</v>
      </c>
      <c r="D287" s="24"/>
      <c r="E287" s="24"/>
      <c r="F287" s="24"/>
      <c r="G287" s="24"/>
      <c r="H287" s="24">
        <v>1</v>
      </c>
      <c r="I287" s="24"/>
      <c r="J287" s="24"/>
      <c r="K287" s="24"/>
      <c r="L287" s="24"/>
      <c r="M287" s="24">
        <v>1</v>
      </c>
      <c r="N287" s="25">
        <v>54</v>
      </c>
      <c r="O287" s="24" t="s">
        <v>281</v>
      </c>
      <c r="P287" s="24">
        <f t="shared" si="97"/>
        <v>0</v>
      </c>
      <c r="Q287" s="24">
        <f t="shared" si="98"/>
        <v>1</v>
      </c>
      <c r="R287" s="24">
        <f t="shared" si="99"/>
        <v>0</v>
      </c>
      <c r="S287" s="24">
        <f t="shared" si="100"/>
        <v>0</v>
      </c>
      <c r="T287" s="24">
        <f t="shared" si="101"/>
        <v>1</v>
      </c>
      <c r="U287" s="27">
        <f t="shared" si="102"/>
        <v>0</v>
      </c>
      <c r="V287" s="27">
        <f t="shared" si="103"/>
        <v>1</v>
      </c>
      <c r="W287" s="27">
        <f t="shared" si="104"/>
        <v>0</v>
      </c>
      <c r="X287" s="27">
        <f t="shared" si="105"/>
        <v>0</v>
      </c>
      <c r="Y287" s="25">
        <f t="shared" si="106"/>
        <v>54</v>
      </c>
    </row>
    <row r="288" spans="1:25" x14ac:dyDescent="0.25">
      <c r="A288" s="24" t="s">
        <v>325</v>
      </c>
      <c r="B288" s="24" t="s">
        <v>326</v>
      </c>
      <c r="C288" s="24" t="s">
        <v>292</v>
      </c>
      <c r="D288" s="24"/>
      <c r="E288" s="24"/>
      <c r="F288" s="24"/>
      <c r="G288" s="24"/>
      <c r="H288" s="24">
        <v>2</v>
      </c>
      <c r="I288" s="24"/>
      <c r="J288" s="24"/>
      <c r="K288" s="24"/>
      <c r="L288" s="24"/>
      <c r="M288" s="24">
        <v>2</v>
      </c>
      <c r="N288" s="25">
        <v>36</v>
      </c>
      <c r="O288" s="24" t="s">
        <v>281</v>
      </c>
      <c r="P288" s="24">
        <f t="shared" si="97"/>
        <v>0</v>
      </c>
      <c r="Q288" s="24">
        <f t="shared" si="98"/>
        <v>2</v>
      </c>
      <c r="R288" s="24">
        <f t="shared" si="99"/>
        <v>0</v>
      </c>
      <c r="S288" s="24">
        <f t="shared" si="100"/>
        <v>0</v>
      </c>
      <c r="T288" s="24">
        <f t="shared" si="101"/>
        <v>2</v>
      </c>
      <c r="U288" s="27">
        <f t="shared" si="102"/>
        <v>0</v>
      </c>
      <c r="V288" s="27">
        <f t="shared" si="103"/>
        <v>1</v>
      </c>
      <c r="W288" s="27">
        <f t="shared" si="104"/>
        <v>0</v>
      </c>
      <c r="X288" s="27">
        <f t="shared" si="105"/>
        <v>0</v>
      </c>
      <c r="Y288" s="25">
        <f t="shared" si="106"/>
        <v>36</v>
      </c>
    </row>
    <row r="289" spans="1:25" x14ac:dyDescent="0.25">
      <c r="A289" s="24" t="s">
        <v>327</v>
      </c>
      <c r="B289" s="24" t="s">
        <v>328</v>
      </c>
      <c r="C289" s="24" t="s">
        <v>292</v>
      </c>
      <c r="D289" s="24"/>
      <c r="E289" s="24"/>
      <c r="F289" s="24"/>
      <c r="G289" s="24"/>
      <c r="H289" s="24">
        <v>2</v>
      </c>
      <c r="I289" s="24"/>
      <c r="J289" s="24"/>
      <c r="K289" s="24"/>
      <c r="L289" s="24"/>
      <c r="M289" s="24">
        <v>2</v>
      </c>
      <c r="N289" s="25">
        <v>45.5</v>
      </c>
      <c r="O289" s="24" t="s">
        <v>281</v>
      </c>
      <c r="P289" s="24">
        <f t="shared" si="97"/>
        <v>0</v>
      </c>
      <c r="Q289" s="24">
        <f t="shared" si="98"/>
        <v>2</v>
      </c>
      <c r="R289" s="24">
        <f t="shared" si="99"/>
        <v>0</v>
      </c>
      <c r="S289" s="24">
        <f t="shared" si="100"/>
        <v>0</v>
      </c>
      <c r="T289" s="24">
        <f t="shared" si="101"/>
        <v>2</v>
      </c>
      <c r="U289" s="27">
        <f t="shared" si="102"/>
        <v>0</v>
      </c>
      <c r="V289" s="27">
        <f t="shared" si="103"/>
        <v>1</v>
      </c>
      <c r="W289" s="27">
        <f t="shared" si="104"/>
        <v>0</v>
      </c>
      <c r="X289" s="27">
        <f t="shared" si="105"/>
        <v>0</v>
      </c>
      <c r="Y289" s="25">
        <f t="shared" si="106"/>
        <v>45.5</v>
      </c>
    </row>
    <row r="290" spans="1:25" x14ac:dyDescent="0.25">
      <c r="A290" s="24" t="s">
        <v>331</v>
      </c>
      <c r="B290" s="24" t="s">
        <v>332</v>
      </c>
      <c r="C290" s="24" t="s">
        <v>292</v>
      </c>
      <c r="D290" s="24"/>
      <c r="E290" s="24"/>
      <c r="F290" s="24"/>
      <c r="G290" s="24"/>
      <c r="H290" s="24">
        <v>1</v>
      </c>
      <c r="I290" s="24"/>
      <c r="J290" s="24"/>
      <c r="K290" s="24">
        <v>1</v>
      </c>
      <c r="L290" s="24"/>
      <c r="M290" s="24">
        <v>2</v>
      </c>
      <c r="N290" s="25">
        <v>32.5</v>
      </c>
      <c r="O290" s="24" t="s">
        <v>281</v>
      </c>
      <c r="P290" s="24">
        <f t="shared" si="97"/>
        <v>1</v>
      </c>
      <c r="Q290" s="24">
        <f t="shared" si="98"/>
        <v>1</v>
      </c>
      <c r="R290" s="24">
        <f t="shared" si="99"/>
        <v>0</v>
      </c>
      <c r="S290" s="24">
        <f t="shared" si="100"/>
        <v>0</v>
      </c>
      <c r="T290" s="24">
        <f t="shared" si="101"/>
        <v>2</v>
      </c>
      <c r="U290" s="27">
        <f t="shared" si="102"/>
        <v>0.5</v>
      </c>
      <c r="V290" s="27">
        <f t="shared" si="103"/>
        <v>0.5</v>
      </c>
      <c r="W290" s="27">
        <f t="shared" si="104"/>
        <v>0</v>
      </c>
      <c r="X290" s="27">
        <f t="shared" si="105"/>
        <v>0</v>
      </c>
      <c r="Y290" s="25">
        <f t="shared" si="106"/>
        <v>32.5</v>
      </c>
    </row>
    <row r="291" spans="1:25" x14ac:dyDescent="0.25">
      <c r="A291" s="24" t="s">
        <v>333</v>
      </c>
      <c r="B291" s="24" t="s">
        <v>334</v>
      </c>
      <c r="C291" s="24" t="s">
        <v>292</v>
      </c>
      <c r="D291" s="24"/>
      <c r="E291" s="24"/>
      <c r="F291" s="24"/>
      <c r="G291" s="24"/>
      <c r="H291" s="24"/>
      <c r="I291" s="24"/>
      <c r="J291" s="24"/>
      <c r="K291" s="24">
        <v>1</v>
      </c>
      <c r="L291" s="24"/>
      <c r="M291" s="24">
        <v>1</v>
      </c>
      <c r="N291" s="25">
        <v>46</v>
      </c>
      <c r="O291" s="24" t="s">
        <v>281</v>
      </c>
      <c r="P291" s="24">
        <f t="shared" si="97"/>
        <v>1</v>
      </c>
      <c r="Q291" s="24">
        <f t="shared" si="98"/>
        <v>0</v>
      </c>
      <c r="R291" s="24">
        <f t="shared" si="99"/>
        <v>0</v>
      </c>
      <c r="S291" s="24">
        <f t="shared" si="100"/>
        <v>0</v>
      </c>
      <c r="T291" s="24">
        <f t="shared" si="101"/>
        <v>1</v>
      </c>
      <c r="U291" s="27">
        <f t="shared" si="102"/>
        <v>1</v>
      </c>
      <c r="V291" s="27">
        <f t="shared" si="103"/>
        <v>0</v>
      </c>
      <c r="W291" s="27">
        <f t="shared" si="104"/>
        <v>0</v>
      </c>
      <c r="X291" s="27">
        <f t="shared" si="105"/>
        <v>0</v>
      </c>
      <c r="Y291" s="25">
        <f t="shared" si="106"/>
        <v>46</v>
      </c>
    </row>
    <row r="292" spans="1:25" x14ac:dyDescent="0.25">
      <c r="A292" s="24" t="s">
        <v>337</v>
      </c>
      <c r="B292" s="24" t="s">
        <v>338</v>
      </c>
      <c r="C292" s="24" t="s">
        <v>292</v>
      </c>
      <c r="D292" s="24"/>
      <c r="E292" s="24"/>
      <c r="F292" s="24"/>
      <c r="G292" s="24"/>
      <c r="H292" s="24">
        <v>1</v>
      </c>
      <c r="I292" s="24"/>
      <c r="J292" s="24"/>
      <c r="K292" s="24"/>
      <c r="L292" s="24"/>
      <c r="M292" s="24">
        <v>1</v>
      </c>
      <c r="N292" s="25">
        <v>27</v>
      </c>
      <c r="O292" s="24" t="s">
        <v>281</v>
      </c>
      <c r="P292" s="24">
        <f t="shared" si="97"/>
        <v>0</v>
      </c>
      <c r="Q292" s="24">
        <f t="shared" si="98"/>
        <v>1</v>
      </c>
      <c r="R292" s="24">
        <f t="shared" si="99"/>
        <v>0</v>
      </c>
      <c r="S292" s="24">
        <f t="shared" si="100"/>
        <v>0</v>
      </c>
      <c r="T292" s="24">
        <f t="shared" si="101"/>
        <v>1</v>
      </c>
      <c r="U292" s="27">
        <f t="shared" si="102"/>
        <v>0</v>
      </c>
      <c r="V292" s="27">
        <f t="shared" si="103"/>
        <v>1</v>
      </c>
      <c r="W292" s="27">
        <f t="shared" si="104"/>
        <v>0</v>
      </c>
      <c r="X292" s="27">
        <f t="shared" si="105"/>
        <v>0</v>
      </c>
      <c r="Y292" s="25">
        <f t="shared" si="106"/>
        <v>27</v>
      </c>
    </row>
    <row r="293" spans="1:25" x14ac:dyDescent="0.25">
      <c r="A293" s="24" t="s">
        <v>341</v>
      </c>
      <c r="B293" s="24" t="s">
        <v>342</v>
      </c>
      <c r="C293" s="24" t="s">
        <v>292</v>
      </c>
      <c r="D293" s="24"/>
      <c r="E293" s="24"/>
      <c r="F293" s="24"/>
      <c r="G293" s="24"/>
      <c r="H293" s="24"/>
      <c r="I293" s="24"/>
      <c r="J293" s="24"/>
      <c r="K293" s="24">
        <v>3</v>
      </c>
      <c r="L293" s="24"/>
      <c r="M293" s="24">
        <v>3</v>
      </c>
      <c r="N293" s="25">
        <v>48.333333333333336</v>
      </c>
      <c r="O293" s="24" t="s">
        <v>281</v>
      </c>
      <c r="P293" s="24">
        <f t="shared" si="97"/>
        <v>3</v>
      </c>
      <c r="Q293" s="24">
        <f t="shared" si="98"/>
        <v>0</v>
      </c>
      <c r="R293" s="24">
        <f t="shared" si="99"/>
        <v>0</v>
      </c>
      <c r="S293" s="24">
        <f t="shared" si="100"/>
        <v>0</v>
      </c>
      <c r="T293" s="24">
        <f t="shared" si="101"/>
        <v>3</v>
      </c>
      <c r="U293" s="27">
        <f t="shared" si="102"/>
        <v>1</v>
      </c>
      <c r="V293" s="27">
        <f t="shared" si="103"/>
        <v>0</v>
      </c>
      <c r="W293" s="27">
        <f t="shared" si="104"/>
        <v>0</v>
      </c>
      <c r="X293" s="27">
        <f t="shared" si="105"/>
        <v>0</v>
      </c>
      <c r="Y293" s="25">
        <f t="shared" si="106"/>
        <v>48.333333333333336</v>
      </c>
    </row>
    <row r="294" spans="1:25" x14ac:dyDescent="0.25">
      <c r="A294" s="24" t="s">
        <v>343</v>
      </c>
      <c r="B294" s="24" t="s">
        <v>344</v>
      </c>
      <c r="C294" s="24" t="s">
        <v>292</v>
      </c>
      <c r="D294" s="24"/>
      <c r="E294" s="24"/>
      <c r="F294" s="24"/>
      <c r="G294" s="24"/>
      <c r="H294" s="24">
        <v>1</v>
      </c>
      <c r="I294" s="24"/>
      <c r="J294" s="24"/>
      <c r="K294" s="24"/>
      <c r="L294" s="24"/>
      <c r="M294" s="24">
        <v>1</v>
      </c>
      <c r="N294" s="25">
        <v>31</v>
      </c>
      <c r="O294" s="24" t="s">
        <v>281</v>
      </c>
      <c r="P294" s="24">
        <f t="shared" si="97"/>
        <v>0</v>
      </c>
      <c r="Q294" s="24">
        <f t="shared" si="98"/>
        <v>1</v>
      </c>
      <c r="R294" s="24">
        <f t="shared" si="99"/>
        <v>0</v>
      </c>
      <c r="S294" s="24">
        <f t="shared" si="100"/>
        <v>0</v>
      </c>
      <c r="T294" s="24">
        <f t="shared" si="101"/>
        <v>1</v>
      </c>
      <c r="U294" s="27">
        <f t="shared" si="102"/>
        <v>0</v>
      </c>
      <c r="V294" s="27">
        <f t="shared" si="103"/>
        <v>1</v>
      </c>
      <c r="W294" s="27">
        <f t="shared" si="104"/>
        <v>0</v>
      </c>
      <c r="X294" s="27">
        <f t="shared" si="105"/>
        <v>0</v>
      </c>
      <c r="Y294" s="25">
        <f t="shared" si="106"/>
        <v>31</v>
      </c>
    </row>
    <row r="295" spans="1:25" x14ac:dyDescent="0.25">
      <c r="A295" s="24" t="s">
        <v>345</v>
      </c>
      <c r="B295" s="24" t="s">
        <v>346</v>
      </c>
      <c r="C295" s="24" t="s">
        <v>292</v>
      </c>
      <c r="D295" s="24"/>
      <c r="E295" s="24"/>
      <c r="F295" s="24"/>
      <c r="G295" s="24"/>
      <c r="H295" s="24">
        <v>1</v>
      </c>
      <c r="I295" s="24"/>
      <c r="J295" s="24"/>
      <c r="K295" s="24">
        <v>1</v>
      </c>
      <c r="L295" s="24"/>
      <c r="M295" s="24">
        <v>2</v>
      </c>
      <c r="N295" s="25">
        <v>54</v>
      </c>
      <c r="O295" s="24" t="s">
        <v>281</v>
      </c>
      <c r="P295" s="24">
        <f t="shared" si="97"/>
        <v>1</v>
      </c>
      <c r="Q295" s="24">
        <f t="shared" si="98"/>
        <v>1</v>
      </c>
      <c r="R295" s="24">
        <f t="shared" si="99"/>
        <v>0</v>
      </c>
      <c r="S295" s="24">
        <f t="shared" si="100"/>
        <v>0</v>
      </c>
      <c r="T295" s="24">
        <f t="shared" si="101"/>
        <v>2</v>
      </c>
      <c r="U295" s="27">
        <f t="shared" si="102"/>
        <v>0.5</v>
      </c>
      <c r="V295" s="27">
        <f t="shared" si="103"/>
        <v>0.5</v>
      </c>
      <c r="W295" s="27">
        <f t="shared" si="104"/>
        <v>0</v>
      </c>
      <c r="X295" s="27">
        <f t="shared" si="105"/>
        <v>0</v>
      </c>
      <c r="Y295" s="25">
        <f t="shared" si="106"/>
        <v>54</v>
      </c>
    </row>
    <row r="296" spans="1:25" x14ac:dyDescent="0.25">
      <c r="A296" s="24" t="s">
        <v>347</v>
      </c>
      <c r="B296" s="24" t="s">
        <v>348</v>
      </c>
      <c r="C296" s="24" t="s">
        <v>292</v>
      </c>
      <c r="D296" s="24"/>
      <c r="E296" s="24"/>
      <c r="F296" s="24"/>
      <c r="G296" s="24"/>
      <c r="H296" s="24"/>
      <c r="I296" s="24"/>
      <c r="J296" s="24"/>
      <c r="K296" s="24">
        <v>1</v>
      </c>
      <c r="L296" s="24"/>
      <c r="M296" s="24">
        <v>1</v>
      </c>
      <c r="N296" s="25">
        <v>40</v>
      </c>
      <c r="O296" s="24" t="s">
        <v>281</v>
      </c>
      <c r="P296" s="24">
        <f t="shared" si="97"/>
        <v>1</v>
      </c>
      <c r="Q296" s="24">
        <f t="shared" si="98"/>
        <v>0</v>
      </c>
      <c r="R296" s="24">
        <f t="shared" si="99"/>
        <v>0</v>
      </c>
      <c r="S296" s="24">
        <f t="shared" si="100"/>
        <v>0</v>
      </c>
      <c r="T296" s="24">
        <f t="shared" si="101"/>
        <v>1</v>
      </c>
      <c r="U296" s="27">
        <f t="shared" si="102"/>
        <v>1</v>
      </c>
      <c r="V296" s="27">
        <f t="shared" si="103"/>
        <v>0</v>
      </c>
      <c r="W296" s="27">
        <f t="shared" si="104"/>
        <v>0</v>
      </c>
      <c r="X296" s="27">
        <f t="shared" si="105"/>
        <v>0</v>
      </c>
      <c r="Y296" s="25">
        <f t="shared" si="106"/>
        <v>40</v>
      </c>
    </row>
    <row r="297" spans="1:25" x14ac:dyDescent="0.25">
      <c r="A297" s="24" t="s">
        <v>349</v>
      </c>
      <c r="B297" s="24" t="s">
        <v>350</v>
      </c>
      <c r="C297" s="24" t="s">
        <v>292</v>
      </c>
      <c r="D297" s="24"/>
      <c r="E297" s="24"/>
      <c r="F297" s="24"/>
      <c r="G297" s="24"/>
      <c r="H297" s="24"/>
      <c r="I297" s="24">
        <v>2</v>
      </c>
      <c r="J297" s="24"/>
      <c r="K297" s="24">
        <v>2</v>
      </c>
      <c r="L297" s="24"/>
      <c r="M297" s="24">
        <v>4</v>
      </c>
      <c r="N297" s="25">
        <v>28.5</v>
      </c>
      <c r="O297" s="24" t="s">
        <v>281</v>
      </c>
      <c r="P297" s="24">
        <f t="shared" si="97"/>
        <v>2</v>
      </c>
      <c r="Q297" s="24">
        <f t="shared" si="98"/>
        <v>0</v>
      </c>
      <c r="R297" s="24">
        <f t="shared" si="99"/>
        <v>2</v>
      </c>
      <c r="S297" s="24">
        <f t="shared" si="100"/>
        <v>0</v>
      </c>
      <c r="T297" s="24">
        <f t="shared" si="101"/>
        <v>4</v>
      </c>
      <c r="U297" s="27">
        <f t="shared" si="102"/>
        <v>0.5</v>
      </c>
      <c r="V297" s="27">
        <f t="shared" si="103"/>
        <v>0</v>
      </c>
      <c r="W297" s="27">
        <f t="shared" si="104"/>
        <v>0.5</v>
      </c>
      <c r="X297" s="27">
        <f t="shared" si="105"/>
        <v>0</v>
      </c>
      <c r="Y297" s="25">
        <f t="shared" si="106"/>
        <v>28.5</v>
      </c>
    </row>
    <row r="298" spans="1:25" x14ac:dyDescent="0.25">
      <c r="A298" s="24" t="s">
        <v>353</v>
      </c>
      <c r="B298" s="24" t="s">
        <v>354</v>
      </c>
      <c r="C298" s="24" t="s">
        <v>292</v>
      </c>
      <c r="D298" s="24"/>
      <c r="E298" s="24"/>
      <c r="F298" s="24"/>
      <c r="G298" s="24"/>
      <c r="H298" s="24"/>
      <c r="I298" s="24"/>
      <c r="J298" s="24"/>
      <c r="K298" s="24">
        <v>1</v>
      </c>
      <c r="L298" s="24"/>
      <c r="M298" s="24">
        <v>1</v>
      </c>
      <c r="N298" s="25">
        <v>73</v>
      </c>
      <c r="O298" s="24" t="s">
        <v>281</v>
      </c>
      <c r="P298" s="24">
        <f t="shared" si="97"/>
        <v>1</v>
      </c>
      <c r="Q298" s="24">
        <f t="shared" si="98"/>
        <v>0</v>
      </c>
      <c r="R298" s="24">
        <f t="shared" si="99"/>
        <v>0</v>
      </c>
      <c r="S298" s="24">
        <f t="shared" si="100"/>
        <v>0</v>
      </c>
      <c r="T298" s="24">
        <f t="shared" si="101"/>
        <v>1</v>
      </c>
      <c r="U298" s="27">
        <f t="shared" si="102"/>
        <v>1</v>
      </c>
      <c r="V298" s="27">
        <f t="shared" si="103"/>
        <v>0</v>
      </c>
      <c r="W298" s="27">
        <f t="shared" si="104"/>
        <v>0</v>
      </c>
      <c r="X298" s="27">
        <f t="shared" si="105"/>
        <v>0</v>
      </c>
      <c r="Y298" s="25">
        <f t="shared" si="106"/>
        <v>73</v>
      </c>
    </row>
    <row r="299" spans="1:25" x14ac:dyDescent="0.25">
      <c r="A299" s="24" t="s">
        <v>355</v>
      </c>
      <c r="B299" s="24" t="s">
        <v>356</v>
      </c>
      <c r="C299" s="24" t="s">
        <v>292</v>
      </c>
      <c r="D299" s="24"/>
      <c r="E299" s="24"/>
      <c r="F299" s="24"/>
      <c r="G299" s="24"/>
      <c r="H299" s="24"/>
      <c r="I299" s="24"/>
      <c r="J299" s="24"/>
      <c r="K299" s="24">
        <v>3</v>
      </c>
      <c r="L299" s="24"/>
      <c r="M299" s="24">
        <v>3</v>
      </c>
      <c r="N299" s="25">
        <v>40.333333333333336</v>
      </c>
      <c r="O299" s="24" t="s">
        <v>281</v>
      </c>
      <c r="P299" s="24">
        <f t="shared" si="97"/>
        <v>3</v>
      </c>
      <c r="Q299" s="24">
        <f t="shared" si="98"/>
        <v>0</v>
      </c>
      <c r="R299" s="24">
        <f t="shared" si="99"/>
        <v>0</v>
      </c>
      <c r="S299" s="24">
        <f t="shared" si="100"/>
        <v>0</v>
      </c>
      <c r="T299" s="24">
        <f t="shared" si="101"/>
        <v>3</v>
      </c>
      <c r="U299" s="27">
        <f t="shared" si="102"/>
        <v>1</v>
      </c>
      <c r="V299" s="27">
        <f t="shared" si="103"/>
        <v>0</v>
      </c>
      <c r="W299" s="27">
        <f t="shared" si="104"/>
        <v>0</v>
      </c>
      <c r="X299" s="27">
        <f t="shared" si="105"/>
        <v>0</v>
      </c>
      <c r="Y299" s="25">
        <f t="shared" si="106"/>
        <v>40.333333333333336</v>
      </c>
    </row>
    <row r="300" spans="1:25" x14ac:dyDescent="0.25">
      <c r="A300" s="24" t="s">
        <v>357</v>
      </c>
      <c r="B300" s="24" t="s">
        <v>358</v>
      </c>
      <c r="C300" s="24" t="s">
        <v>292</v>
      </c>
      <c r="D300" s="24"/>
      <c r="E300" s="24"/>
      <c r="F300" s="24"/>
      <c r="G300" s="24"/>
      <c r="H300" s="24"/>
      <c r="I300" s="24"/>
      <c r="J300" s="24"/>
      <c r="K300" s="24">
        <v>2</v>
      </c>
      <c r="L300" s="24"/>
      <c r="M300" s="24">
        <v>2</v>
      </c>
      <c r="N300" s="25">
        <v>36</v>
      </c>
      <c r="O300" s="24" t="s">
        <v>281</v>
      </c>
      <c r="P300" s="24">
        <f t="shared" si="97"/>
        <v>2</v>
      </c>
      <c r="Q300" s="24">
        <f t="shared" si="98"/>
        <v>0</v>
      </c>
      <c r="R300" s="24">
        <f t="shared" si="99"/>
        <v>0</v>
      </c>
      <c r="S300" s="24">
        <f t="shared" si="100"/>
        <v>0</v>
      </c>
      <c r="T300" s="24">
        <f t="shared" si="101"/>
        <v>2</v>
      </c>
      <c r="U300" s="27">
        <f t="shared" si="102"/>
        <v>1</v>
      </c>
      <c r="V300" s="27">
        <f t="shared" si="103"/>
        <v>0</v>
      </c>
      <c r="W300" s="27">
        <f t="shared" si="104"/>
        <v>0</v>
      </c>
      <c r="X300" s="27">
        <f t="shared" si="105"/>
        <v>0</v>
      </c>
      <c r="Y300" s="25">
        <f t="shared" si="106"/>
        <v>36</v>
      </c>
    </row>
    <row r="301" spans="1:25" x14ac:dyDescent="0.25">
      <c r="A301" s="24" t="s">
        <v>359</v>
      </c>
      <c r="B301" s="24" t="s">
        <v>360</v>
      </c>
      <c r="C301" s="24" t="s">
        <v>292</v>
      </c>
      <c r="D301" s="24"/>
      <c r="E301" s="24"/>
      <c r="F301" s="24"/>
      <c r="G301" s="24"/>
      <c r="H301" s="24"/>
      <c r="I301" s="24"/>
      <c r="J301" s="24"/>
      <c r="K301" s="24">
        <v>1</v>
      </c>
      <c r="L301" s="24"/>
      <c r="M301" s="24">
        <v>1</v>
      </c>
      <c r="N301" s="25">
        <v>43</v>
      </c>
      <c r="O301" s="24" t="s">
        <v>281</v>
      </c>
      <c r="P301" s="24">
        <f t="shared" si="97"/>
        <v>1</v>
      </c>
      <c r="Q301" s="24">
        <f t="shared" si="98"/>
        <v>0</v>
      </c>
      <c r="R301" s="24">
        <f t="shared" si="99"/>
        <v>0</v>
      </c>
      <c r="S301" s="24">
        <f t="shared" si="100"/>
        <v>0</v>
      </c>
      <c r="T301" s="24">
        <f t="shared" si="101"/>
        <v>1</v>
      </c>
      <c r="U301" s="27">
        <f t="shared" si="102"/>
        <v>1</v>
      </c>
      <c r="V301" s="27">
        <f t="shared" si="103"/>
        <v>0</v>
      </c>
      <c r="W301" s="27">
        <f t="shared" si="104"/>
        <v>0</v>
      </c>
      <c r="X301" s="27">
        <f t="shared" si="105"/>
        <v>0</v>
      </c>
      <c r="Y301" s="25">
        <f t="shared" si="106"/>
        <v>43</v>
      </c>
    </row>
    <row r="302" spans="1:25" x14ac:dyDescent="0.25">
      <c r="C302" s="29" t="s">
        <v>373</v>
      </c>
      <c r="E302">
        <f>SUM(E283:E301)</f>
        <v>0</v>
      </c>
      <c r="F302">
        <f t="shared" ref="F302:M302" si="107">SUM(F283:F301)</f>
        <v>0</v>
      </c>
      <c r="G302">
        <f t="shared" si="107"/>
        <v>0</v>
      </c>
      <c r="H302">
        <f t="shared" si="107"/>
        <v>9</v>
      </c>
      <c r="I302">
        <f t="shared" si="107"/>
        <v>4</v>
      </c>
      <c r="J302">
        <f t="shared" si="107"/>
        <v>0</v>
      </c>
      <c r="K302">
        <f t="shared" si="107"/>
        <v>30</v>
      </c>
      <c r="L302">
        <f t="shared" si="107"/>
        <v>0</v>
      </c>
      <c r="M302">
        <f t="shared" si="107"/>
        <v>43</v>
      </c>
      <c r="N302" s="26">
        <f>AVERAGE(N283:N301)</f>
        <v>41.415789473684207</v>
      </c>
      <c r="P302" s="24">
        <f t="shared" si="97"/>
        <v>30</v>
      </c>
      <c r="Q302" s="24">
        <f t="shared" si="98"/>
        <v>9</v>
      </c>
      <c r="R302" s="24">
        <f t="shared" si="99"/>
        <v>4</v>
      </c>
      <c r="S302" s="24">
        <f t="shared" si="100"/>
        <v>0</v>
      </c>
      <c r="T302" s="24">
        <f t="shared" si="101"/>
        <v>43</v>
      </c>
      <c r="U302" s="27">
        <f t="shared" si="102"/>
        <v>0.69767441860465118</v>
      </c>
      <c r="V302" s="27">
        <f t="shared" si="103"/>
        <v>0.20930232558139536</v>
      </c>
      <c r="W302" s="27">
        <f t="shared" si="104"/>
        <v>9.3023255813953487E-2</v>
      </c>
      <c r="X302" s="27">
        <f t="shared" si="105"/>
        <v>0</v>
      </c>
      <c r="Y302" s="25">
        <f t="shared" si="106"/>
        <v>41.415789473684207</v>
      </c>
    </row>
    <row r="303" spans="1:25" x14ac:dyDescent="0.25">
      <c r="C303" s="29"/>
      <c r="P303" s="24"/>
      <c r="Q303" s="24"/>
      <c r="R303" s="24"/>
      <c r="S303" s="24"/>
      <c r="T303" s="24"/>
      <c r="U303" s="27"/>
      <c r="V303" s="27"/>
      <c r="W303" s="27"/>
      <c r="X303" s="27"/>
      <c r="Y303" s="25"/>
    </row>
    <row r="304" spans="1:25" x14ac:dyDescent="0.25">
      <c r="A304" s="24" t="s">
        <v>279</v>
      </c>
      <c r="B304" s="24" t="s">
        <v>280</v>
      </c>
      <c r="C304" s="24" t="s">
        <v>150</v>
      </c>
      <c r="D304" s="24">
        <v>1</v>
      </c>
      <c r="E304" s="24"/>
      <c r="F304" s="24"/>
      <c r="G304" s="24">
        <v>1</v>
      </c>
      <c r="H304" s="24"/>
      <c r="I304" s="24"/>
      <c r="J304" s="24"/>
      <c r="K304" s="24">
        <v>12</v>
      </c>
      <c r="L304" s="24"/>
      <c r="M304" s="24">
        <v>13</v>
      </c>
      <c r="N304" s="25">
        <v>41.615384615384613</v>
      </c>
      <c r="O304" s="24" t="s">
        <v>281</v>
      </c>
      <c r="P304" s="24">
        <f t="shared" ref="P304" si="108">K304</f>
        <v>12</v>
      </c>
      <c r="Q304" s="24">
        <f t="shared" ref="Q304:R304" si="109">H304</f>
        <v>0</v>
      </c>
      <c r="R304" s="24">
        <f t="shared" si="109"/>
        <v>0</v>
      </c>
      <c r="S304" s="24">
        <f t="shared" ref="S304" si="110">M304-SUM(P304:R304)</f>
        <v>1</v>
      </c>
      <c r="T304" s="24">
        <f t="shared" ref="T304" si="111">SUM(P304:S304)</f>
        <v>13</v>
      </c>
      <c r="U304" s="27">
        <f t="shared" ref="U304" si="112">P304/M304</f>
        <v>0.92307692307692313</v>
      </c>
      <c r="V304" s="27">
        <f t="shared" ref="V304" si="113">Q304/M304</f>
        <v>0</v>
      </c>
      <c r="W304" s="27">
        <f t="shared" ref="W304" si="114">R304/M304</f>
        <v>0</v>
      </c>
      <c r="X304" s="27">
        <f t="shared" ref="X304" si="115">S304/M304</f>
        <v>7.6923076923076927E-2</v>
      </c>
      <c r="Y304" s="25">
        <f t="shared" ref="Y304" si="116">N304</f>
        <v>41.615384615384613</v>
      </c>
    </row>
    <row r="305" spans="1:25" x14ac:dyDescent="0.25">
      <c r="A305" s="24" t="s">
        <v>288</v>
      </c>
      <c r="B305" s="24" t="s">
        <v>289</v>
      </c>
      <c r="C305" s="24" t="s">
        <v>150</v>
      </c>
      <c r="D305" s="24">
        <v>1</v>
      </c>
      <c r="E305" s="24"/>
      <c r="F305" s="24"/>
      <c r="G305" s="24"/>
      <c r="H305" s="24"/>
      <c r="I305" s="24">
        <v>1</v>
      </c>
      <c r="J305" s="24"/>
      <c r="K305" s="24">
        <v>15</v>
      </c>
      <c r="L305" s="24"/>
      <c r="M305" s="24">
        <v>16</v>
      </c>
      <c r="N305" s="25">
        <v>36.5625</v>
      </c>
      <c r="O305" s="24" t="s">
        <v>281</v>
      </c>
      <c r="P305" s="24">
        <f t="shared" ref="P305:P318" si="117">K305</f>
        <v>15</v>
      </c>
      <c r="Q305" s="24">
        <f t="shared" ref="Q305:Q318" si="118">H305</f>
        <v>0</v>
      </c>
      <c r="R305" s="24">
        <f t="shared" ref="R305:R318" si="119">I305</f>
        <v>1</v>
      </c>
      <c r="S305" s="24">
        <f t="shared" ref="S305:S318" si="120">M305-SUM(P305:R305)</f>
        <v>0</v>
      </c>
      <c r="T305" s="24">
        <f t="shared" ref="T305:T318" si="121">SUM(P305:S305)</f>
        <v>16</v>
      </c>
      <c r="U305" s="27">
        <f t="shared" ref="U305:U318" si="122">P305/M305</f>
        <v>0.9375</v>
      </c>
      <c r="V305" s="27">
        <f t="shared" ref="V305:V318" si="123">Q305/M305</f>
        <v>0</v>
      </c>
      <c r="W305" s="27">
        <f t="shared" ref="W305:W318" si="124">R305/M305</f>
        <v>6.25E-2</v>
      </c>
      <c r="X305" s="27">
        <f t="shared" ref="X305:X318" si="125">S305/M305</f>
        <v>0</v>
      </c>
      <c r="Y305" s="25">
        <f t="shared" ref="Y305:Y318" si="126">N305</f>
        <v>36.5625</v>
      </c>
    </row>
    <row r="306" spans="1:25" x14ac:dyDescent="0.25">
      <c r="A306" s="24" t="s">
        <v>295</v>
      </c>
      <c r="B306" s="24" t="s">
        <v>296</v>
      </c>
      <c r="C306" s="24" t="s">
        <v>150</v>
      </c>
      <c r="D306" s="24">
        <v>1</v>
      </c>
      <c r="E306" s="24"/>
      <c r="F306" s="24">
        <v>1</v>
      </c>
      <c r="G306" s="24"/>
      <c r="H306" s="24"/>
      <c r="I306" s="24">
        <v>1</v>
      </c>
      <c r="J306" s="24"/>
      <c r="K306" s="24">
        <v>8</v>
      </c>
      <c r="L306" s="24"/>
      <c r="M306" s="24">
        <v>10</v>
      </c>
      <c r="N306" s="25">
        <v>33.9</v>
      </c>
      <c r="O306" s="24" t="s">
        <v>281</v>
      </c>
      <c r="P306" s="24">
        <f t="shared" si="117"/>
        <v>8</v>
      </c>
      <c r="Q306" s="24">
        <f t="shared" si="118"/>
        <v>0</v>
      </c>
      <c r="R306" s="24">
        <f t="shared" si="119"/>
        <v>1</v>
      </c>
      <c r="S306" s="24">
        <f t="shared" si="120"/>
        <v>1</v>
      </c>
      <c r="T306" s="24">
        <f t="shared" si="121"/>
        <v>10</v>
      </c>
      <c r="U306" s="27">
        <f t="shared" si="122"/>
        <v>0.8</v>
      </c>
      <c r="V306" s="27">
        <f t="shared" si="123"/>
        <v>0</v>
      </c>
      <c r="W306" s="27">
        <f t="shared" si="124"/>
        <v>0.1</v>
      </c>
      <c r="X306" s="27">
        <f t="shared" si="125"/>
        <v>0.1</v>
      </c>
      <c r="Y306" s="25">
        <f t="shared" si="126"/>
        <v>33.9</v>
      </c>
    </row>
    <row r="307" spans="1:25" x14ac:dyDescent="0.25">
      <c r="A307" s="24" t="s">
        <v>297</v>
      </c>
      <c r="B307" s="24" t="s">
        <v>298</v>
      </c>
      <c r="C307" s="24" t="s">
        <v>150</v>
      </c>
      <c r="D307" s="24">
        <v>1</v>
      </c>
      <c r="E307" s="24"/>
      <c r="F307" s="24">
        <v>1</v>
      </c>
      <c r="G307" s="24">
        <v>1</v>
      </c>
      <c r="H307" s="24"/>
      <c r="I307" s="24">
        <v>1</v>
      </c>
      <c r="J307" s="24">
        <v>1</v>
      </c>
      <c r="K307" s="24">
        <v>15</v>
      </c>
      <c r="L307" s="24"/>
      <c r="M307" s="24">
        <v>19</v>
      </c>
      <c r="N307" s="25">
        <v>33.789473684210527</v>
      </c>
      <c r="O307" s="24" t="s">
        <v>281</v>
      </c>
      <c r="P307" s="24">
        <f t="shared" si="117"/>
        <v>15</v>
      </c>
      <c r="Q307" s="24">
        <f t="shared" si="118"/>
        <v>0</v>
      </c>
      <c r="R307" s="24">
        <f t="shared" si="119"/>
        <v>1</v>
      </c>
      <c r="S307" s="24">
        <f t="shared" si="120"/>
        <v>3</v>
      </c>
      <c r="T307" s="24">
        <f t="shared" si="121"/>
        <v>19</v>
      </c>
      <c r="U307" s="27">
        <f t="shared" si="122"/>
        <v>0.78947368421052633</v>
      </c>
      <c r="V307" s="27">
        <f t="shared" si="123"/>
        <v>0</v>
      </c>
      <c r="W307" s="27">
        <f t="shared" si="124"/>
        <v>5.2631578947368418E-2</v>
      </c>
      <c r="X307" s="27">
        <f t="shared" si="125"/>
        <v>0.15789473684210525</v>
      </c>
      <c r="Y307" s="25">
        <f t="shared" si="126"/>
        <v>33.789473684210527</v>
      </c>
    </row>
    <row r="308" spans="1:25" x14ac:dyDescent="0.25">
      <c r="A308" s="22"/>
      <c r="B308" s="22"/>
      <c r="C308" s="22" t="str">
        <f>C307</f>
        <v>RUANG A, DEWAN EMERALD IBU PEJABAT POLIS DAERAH NILAI ( DUN LENGGENG)</v>
      </c>
      <c r="D308" s="22">
        <f>D307</f>
        <v>1</v>
      </c>
      <c r="E308" s="22">
        <f>SUM(E304:E307)</f>
        <v>0</v>
      </c>
      <c r="F308" s="22">
        <f t="shared" ref="F308:M308" si="127">SUM(F304:F307)</f>
        <v>2</v>
      </c>
      <c r="G308" s="22">
        <f t="shared" si="127"/>
        <v>2</v>
      </c>
      <c r="H308" s="22">
        <f t="shared" si="127"/>
        <v>0</v>
      </c>
      <c r="I308" s="22">
        <f t="shared" si="127"/>
        <v>3</v>
      </c>
      <c r="J308" s="22">
        <f t="shared" si="127"/>
        <v>1</v>
      </c>
      <c r="K308" s="22">
        <f t="shared" si="127"/>
        <v>50</v>
      </c>
      <c r="L308" s="22">
        <f t="shared" si="127"/>
        <v>0</v>
      </c>
      <c r="M308" s="22">
        <f t="shared" si="127"/>
        <v>58</v>
      </c>
      <c r="N308" s="28">
        <f>AVERAGE(N304:N307)</f>
        <v>36.466839574898785</v>
      </c>
      <c r="O308" s="22"/>
      <c r="P308" s="24">
        <f t="shared" si="117"/>
        <v>50</v>
      </c>
      <c r="Q308" s="24">
        <f t="shared" si="118"/>
        <v>0</v>
      </c>
      <c r="R308" s="24">
        <f t="shared" si="119"/>
        <v>3</v>
      </c>
      <c r="S308" s="24">
        <f t="shared" si="120"/>
        <v>5</v>
      </c>
      <c r="T308" s="24">
        <f t="shared" si="121"/>
        <v>58</v>
      </c>
      <c r="U308" s="27">
        <f t="shared" si="122"/>
        <v>0.86206896551724133</v>
      </c>
      <c r="V308" s="27">
        <f t="shared" si="123"/>
        <v>0</v>
      </c>
      <c r="W308" s="27">
        <f t="shared" si="124"/>
        <v>5.1724137931034482E-2</v>
      </c>
      <c r="X308" s="27">
        <f t="shared" si="125"/>
        <v>8.6206896551724144E-2</v>
      </c>
      <c r="Y308" s="25">
        <f t="shared" si="126"/>
        <v>36.466839574898785</v>
      </c>
    </row>
    <row r="309" spans="1:25" x14ac:dyDescent="0.25">
      <c r="A309" s="24" t="s">
        <v>299</v>
      </c>
      <c r="B309" s="24" t="s">
        <v>300</v>
      </c>
      <c r="C309" s="24" t="s">
        <v>152</v>
      </c>
      <c r="D309" s="24">
        <v>1</v>
      </c>
      <c r="E309" s="24"/>
      <c r="F309" s="24"/>
      <c r="G309" s="24">
        <v>2</v>
      </c>
      <c r="H309" s="24"/>
      <c r="I309" s="24">
        <v>2</v>
      </c>
      <c r="J309" s="24"/>
      <c r="K309" s="24">
        <v>55</v>
      </c>
      <c r="L309" s="24"/>
      <c r="M309" s="24">
        <v>59</v>
      </c>
      <c r="N309" s="25">
        <v>39.220338983050844</v>
      </c>
      <c r="O309" s="24" t="s">
        <v>281</v>
      </c>
      <c r="P309" s="24">
        <f t="shared" si="117"/>
        <v>55</v>
      </c>
      <c r="Q309" s="24">
        <f t="shared" si="118"/>
        <v>0</v>
      </c>
      <c r="R309" s="24">
        <f t="shared" si="119"/>
        <v>2</v>
      </c>
      <c r="S309" s="24">
        <f t="shared" si="120"/>
        <v>2</v>
      </c>
      <c r="T309" s="24">
        <f t="shared" si="121"/>
        <v>59</v>
      </c>
      <c r="U309" s="27">
        <f t="shared" si="122"/>
        <v>0.93220338983050843</v>
      </c>
      <c r="V309" s="27">
        <f t="shared" si="123"/>
        <v>0</v>
      </c>
      <c r="W309" s="27">
        <f t="shared" si="124"/>
        <v>3.3898305084745763E-2</v>
      </c>
      <c r="X309" s="27">
        <f t="shared" si="125"/>
        <v>3.3898305084745763E-2</v>
      </c>
      <c r="Y309" s="25">
        <f t="shared" si="126"/>
        <v>39.220338983050844</v>
      </c>
    </row>
    <row r="310" spans="1:25" x14ac:dyDescent="0.25">
      <c r="A310" s="24" t="s">
        <v>315</v>
      </c>
      <c r="B310" s="24" t="s">
        <v>316</v>
      </c>
      <c r="C310" s="24" t="s">
        <v>152</v>
      </c>
      <c r="D310" s="24">
        <v>1</v>
      </c>
      <c r="E310" s="24">
        <v>7</v>
      </c>
      <c r="F310" s="24">
        <v>2</v>
      </c>
      <c r="G310" s="24">
        <v>5</v>
      </c>
      <c r="H310" s="24">
        <v>2</v>
      </c>
      <c r="I310" s="24">
        <v>7</v>
      </c>
      <c r="J310" s="24">
        <v>6</v>
      </c>
      <c r="K310" s="24">
        <v>277</v>
      </c>
      <c r="L310" s="24"/>
      <c r="M310" s="24">
        <v>306</v>
      </c>
      <c r="N310" s="25">
        <v>37.83660130718954</v>
      </c>
      <c r="O310" s="24" t="s">
        <v>281</v>
      </c>
      <c r="P310" s="24">
        <f t="shared" si="117"/>
        <v>277</v>
      </c>
      <c r="Q310" s="24">
        <f t="shared" si="118"/>
        <v>2</v>
      </c>
      <c r="R310" s="24">
        <f t="shared" si="119"/>
        <v>7</v>
      </c>
      <c r="S310" s="24">
        <f t="shared" si="120"/>
        <v>20</v>
      </c>
      <c r="T310" s="24">
        <f t="shared" si="121"/>
        <v>306</v>
      </c>
      <c r="U310" s="27">
        <f t="shared" si="122"/>
        <v>0.90522875816993464</v>
      </c>
      <c r="V310" s="27">
        <f t="shared" si="123"/>
        <v>6.5359477124183009E-3</v>
      </c>
      <c r="W310" s="27">
        <f t="shared" si="124"/>
        <v>2.2875816993464051E-2</v>
      </c>
      <c r="X310" s="27">
        <f t="shared" si="125"/>
        <v>6.535947712418301E-2</v>
      </c>
      <c r="Y310" s="25">
        <f t="shared" si="126"/>
        <v>37.83660130718954</v>
      </c>
    </row>
    <row r="311" spans="1:25" x14ac:dyDescent="0.25">
      <c r="A311" s="22"/>
      <c r="B311" s="22"/>
      <c r="C311" s="22" t="str">
        <f>C310</f>
        <v>RUANG B, DEWAN EMERALD IBU PEJABAT POLIS DAERAH NILAI (DUN NILAI)</v>
      </c>
      <c r="D311" s="22">
        <f>D310</f>
        <v>1</v>
      </c>
      <c r="E311" s="22">
        <f>SUM(E309:E310)</f>
        <v>7</v>
      </c>
      <c r="F311" s="22">
        <f t="shared" ref="F311:M311" si="128">SUM(F309:F310)</f>
        <v>2</v>
      </c>
      <c r="G311" s="22">
        <f t="shared" si="128"/>
        <v>7</v>
      </c>
      <c r="H311" s="22">
        <f t="shared" si="128"/>
        <v>2</v>
      </c>
      <c r="I311" s="22">
        <f t="shared" si="128"/>
        <v>9</v>
      </c>
      <c r="J311" s="22">
        <f t="shared" si="128"/>
        <v>6</v>
      </c>
      <c r="K311" s="22">
        <f t="shared" si="128"/>
        <v>332</v>
      </c>
      <c r="L311" s="22">
        <f t="shared" si="128"/>
        <v>0</v>
      </c>
      <c r="M311" s="22">
        <f t="shared" si="128"/>
        <v>365</v>
      </c>
      <c r="N311" s="28">
        <f>AVERAGE(N309:N310)</f>
        <v>38.528470145120195</v>
      </c>
      <c r="O311" s="22"/>
      <c r="P311" s="24">
        <f t="shared" si="117"/>
        <v>332</v>
      </c>
      <c r="Q311" s="24">
        <f t="shared" si="118"/>
        <v>2</v>
      </c>
      <c r="R311" s="24">
        <f t="shared" si="119"/>
        <v>9</v>
      </c>
      <c r="S311" s="24">
        <f t="shared" si="120"/>
        <v>22</v>
      </c>
      <c r="T311" s="24">
        <f t="shared" si="121"/>
        <v>365</v>
      </c>
      <c r="U311" s="27">
        <f t="shared" si="122"/>
        <v>0.90958904109589045</v>
      </c>
      <c r="V311" s="27">
        <f t="shared" si="123"/>
        <v>5.4794520547945206E-3</v>
      </c>
      <c r="W311" s="27">
        <f t="shared" si="124"/>
        <v>2.4657534246575342E-2</v>
      </c>
      <c r="X311" s="27">
        <f t="shared" si="125"/>
        <v>6.0273972602739728E-2</v>
      </c>
      <c r="Y311" s="25">
        <f t="shared" si="126"/>
        <v>38.528470145120195</v>
      </c>
    </row>
    <row r="312" spans="1:25" x14ac:dyDescent="0.25">
      <c r="A312" s="24" t="s">
        <v>317</v>
      </c>
      <c r="B312" s="24" t="s">
        <v>318</v>
      </c>
      <c r="C312" s="24" t="s">
        <v>153</v>
      </c>
      <c r="D312" s="24">
        <v>1</v>
      </c>
      <c r="E312" s="24"/>
      <c r="F312" s="24"/>
      <c r="G312" s="24"/>
      <c r="H312" s="24"/>
      <c r="I312" s="24">
        <v>1</v>
      </c>
      <c r="J312" s="24"/>
      <c r="K312" s="24">
        <v>32</v>
      </c>
      <c r="L312" s="24"/>
      <c r="M312" s="24">
        <v>33</v>
      </c>
      <c r="N312" s="25">
        <v>34.545454545454547</v>
      </c>
      <c r="O312" s="24" t="s">
        <v>281</v>
      </c>
      <c r="P312" s="24">
        <f t="shared" si="117"/>
        <v>32</v>
      </c>
      <c r="Q312" s="24">
        <f t="shared" si="118"/>
        <v>0</v>
      </c>
      <c r="R312" s="24">
        <f t="shared" si="119"/>
        <v>1</v>
      </c>
      <c r="S312" s="24">
        <f t="shared" si="120"/>
        <v>0</v>
      </c>
      <c r="T312" s="24">
        <f t="shared" si="121"/>
        <v>33</v>
      </c>
      <c r="U312" s="27">
        <f t="shared" si="122"/>
        <v>0.96969696969696972</v>
      </c>
      <c r="V312" s="27">
        <f t="shared" si="123"/>
        <v>0</v>
      </c>
      <c r="W312" s="27">
        <f t="shared" si="124"/>
        <v>3.0303030303030304E-2</v>
      </c>
      <c r="X312" s="27">
        <f t="shared" si="125"/>
        <v>0</v>
      </c>
      <c r="Y312" s="25">
        <f t="shared" si="126"/>
        <v>34.545454545454547</v>
      </c>
    </row>
    <row r="313" spans="1:25" x14ac:dyDescent="0.25">
      <c r="A313" s="24" t="s">
        <v>337</v>
      </c>
      <c r="B313" s="24" t="s">
        <v>338</v>
      </c>
      <c r="C313" s="24" t="s">
        <v>155</v>
      </c>
      <c r="D313" s="24">
        <v>1</v>
      </c>
      <c r="E313" s="24">
        <v>3</v>
      </c>
      <c r="F313" s="24">
        <v>5</v>
      </c>
      <c r="G313" s="24">
        <v>7</v>
      </c>
      <c r="H313" s="24">
        <v>14</v>
      </c>
      <c r="I313" s="24">
        <v>22</v>
      </c>
      <c r="J313" s="24">
        <v>1</v>
      </c>
      <c r="K313" s="24">
        <v>293</v>
      </c>
      <c r="L313" s="24"/>
      <c r="M313" s="24">
        <v>345</v>
      </c>
      <c r="N313" s="25">
        <v>39.127536231884058</v>
      </c>
      <c r="O313" s="24" t="s">
        <v>281</v>
      </c>
      <c r="P313" s="24">
        <f t="shared" si="117"/>
        <v>293</v>
      </c>
      <c r="Q313" s="24">
        <f t="shared" si="118"/>
        <v>14</v>
      </c>
      <c r="R313" s="24">
        <f t="shared" si="119"/>
        <v>22</v>
      </c>
      <c r="S313" s="24">
        <f t="shared" si="120"/>
        <v>16</v>
      </c>
      <c r="T313" s="24">
        <f t="shared" si="121"/>
        <v>345</v>
      </c>
      <c r="U313" s="27">
        <f t="shared" si="122"/>
        <v>0.8492753623188406</v>
      </c>
      <c r="V313" s="27">
        <f t="shared" si="123"/>
        <v>4.0579710144927533E-2</v>
      </c>
      <c r="W313" s="27">
        <f t="shared" si="124"/>
        <v>6.3768115942028983E-2</v>
      </c>
      <c r="X313" s="27">
        <f t="shared" si="125"/>
        <v>4.6376811594202899E-2</v>
      </c>
      <c r="Y313" s="25">
        <f t="shared" si="126"/>
        <v>39.127536231884058</v>
      </c>
    </row>
    <row r="314" spans="1:25" x14ac:dyDescent="0.25">
      <c r="A314" s="24" t="s">
        <v>337</v>
      </c>
      <c r="B314" s="24" t="s">
        <v>338</v>
      </c>
      <c r="C314" s="24" t="s">
        <v>155</v>
      </c>
      <c r="D314" s="24">
        <v>2</v>
      </c>
      <c r="E314" s="24"/>
      <c r="F314" s="24"/>
      <c r="G314" s="24">
        <v>2</v>
      </c>
      <c r="H314" s="24"/>
      <c r="I314" s="24">
        <v>1</v>
      </c>
      <c r="J314" s="24"/>
      <c r="K314" s="24">
        <v>342</v>
      </c>
      <c r="L314" s="24"/>
      <c r="M314" s="24">
        <v>345</v>
      </c>
      <c r="N314" s="25">
        <v>35.472463768115944</v>
      </c>
      <c r="O314" s="24" t="s">
        <v>281</v>
      </c>
      <c r="P314" s="24">
        <f t="shared" si="117"/>
        <v>342</v>
      </c>
      <c r="Q314" s="24">
        <f t="shared" si="118"/>
        <v>0</v>
      </c>
      <c r="R314" s="24">
        <f t="shared" si="119"/>
        <v>1</v>
      </c>
      <c r="S314" s="24">
        <f t="shared" si="120"/>
        <v>2</v>
      </c>
      <c r="T314" s="24">
        <f t="shared" si="121"/>
        <v>345</v>
      </c>
      <c r="U314" s="27">
        <f t="shared" si="122"/>
        <v>0.99130434782608701</v>
      </c>
      <c r="V314" s="27">
        <f t="shared" si="123"/>
        <v>0</v>
      </c>
      <c r="W314" s="27">
        <f t="shared" si="124"/>
        <v>2.8985507246376812E-3</v>
      </c>
      <c r="X314" s="27">
        <f t="shared" si="125"/>
        <v>5.7971014492753624E-3</v>
      </c>
      <c r="Y314" s="25">
        <f t="shared" si="126"/>
        <v>35.472463768115944</v>
      </c>
    </row>
    <row r="315" spans="1:25" x14ac:dyDescent="0.25">
      <c r="A315" s="24" t="s">
        <v>337</v>
      </c>
      <c r="B315" s="24" t="s">
        <v>338</v>
      </c>
      <c r="C315" s="24" t="s">
        <v>155</v>
      </c>
      <c r="D315" s="24">
        <v>3</v>
      </c>
      <c r="E315" s="24">
        <v>1</v>
      </c>
      <c r="F315" s="24"/>
      <c r="G315" s="24">
        <v>4</v>
      </c>
      <c r="H315" s="24">
        <v>7</v>
      </c>
      <c r="I315" s="24">
        <v>24</v>
      </c>
      <c r="J315" s="24">
        <v>2</v>
      </c>
      <c r="K315" s="24">
        <v>307</v>
      </c>
      <c r="L315" s="24"/>
      <c r="M315" s="24">
        <v>345</v>
      </c>
      <c r="N315" s="25">
        <v>39.594202898550726</v>
      </c>
      <c r="O315" s="24" t="s">
        <v>281</v>
      </c>
      <c r="P315" s="24">
        <f t="shared" si="117"/>
        <v>307</v>
      </c>
      <c r="Q315" s="24">
        <f t="shared" si="118"/>
        <v>7</v>
      </c>
      <c r="R315" s="24">
        <f t="shared" si="119"/>
        <v>24</v>
      </c>
      <c r="S315" s="24">
        <f t="shared" si="120"/>
        <v>7</v>
      </c>
      <c r="T315" s="24">
        <f t="shared" si="121"/>
        <v>345</v>
      </c>
      <c r="U315" s="27">
        <f t="shared" si="122"/>
        <v>0.88985507246376816</v>
      </c>
      <c r="V315" s="27">
        <f t="shared" si="123"/>
        <v>2.0289855072463767E-2</v>
      </c>
      <c r="W315" s="27">
        <f t="shared" si="124"/>
        <v>6.9565217391304349E-2</v>
      </c>
      <c r="X315" s="27">
        <f t="shared" si="125"/>
        <v>2.0289855072463767E-2</v>
      </c>
      <c r="Y315" s="25">
        <f t="shared" si="126"/>
        <v>39.594202898550726</v>
      </c>
    </row>
    <row r="316" spans="1:25" x14ac:dyDescent="0.25">
      <c r="A316" s="24" t="s">
        <v>343</v>
      </c>
      <c r="B316" s="24" t="s">
        <v>344</v>
      </c>
      <c r="C316" s="24" t="s">
        <v>157</v>
      </c>
      <c r="D316" s="24">
        <v>1</v>
      </c>
      <c r="E316" s="24"/>
      <c r="F316" s="24"/>
      <c r="G316" s="24">
        <v>1</v>
      </c>
      <c r="H316" s="24"/>
      <c r="I316" s="24"/>
      <c r="J316" s="24"/>
      <c r="K316" s="24">
        <v>13</v>
      </c>
      <c r="L316" s="24"/>
      <c r="M316" s="24">
        <v>14</v>
      </c>
      <c r="N316" s="25">
        <v>36.214285714285715</v>
      </c>
      <c r="O316" s="24" t="s">
        <v>281</v>
      </c>
      <c r="P316" s="24">
        <f t="shared" si="117"/>
        <v>13</v>
      </c>
      <c r="Q316" s="24">
        <f t="shared" si="118"/>
        <v>0</v>
      </c>
      <c r="R316" s="24">
        <f t="shared" si="119"/>
        <v>0</v>
      </c>
      <c r="S316" s="24">
        <f t="shared" si="120"/>
        <v>1</v>
      </c>
      <c r="T316" s="24">
        <f t="shared" si="121"/>
        <v>14</v>
      </c>
      <c r="U316" s="27">
        <f t="shared" si="122"/>
        <v>0.9285714285714286</v>
      </c>
      <c r="V316" s="27">
        <f t="shared" si="123"/>
        <v>0</v>
      </c>
      <c r="W316" s="27">
        <f t="shared" si="124"/>
        <v>0</v>
      </c>
      <c r="X316" s="27">
        <f t="shared" si="125"/>
        <v>7.1428571428571425E-2</v>
      </c>
      <c r="Y316" s="25">
        <f t="shared" si="126"/>
        <v>36.214285714285715</v>
      </c>
    </row>
    <row r="317" spans="1:25" x14ac:dyDescent="0.25">
      <c r="A317" s="24" t="s">
        <v>349</v>
      </c>
      <c r="B317" s="24" t="s">
        <v>350</v>
      </c>
      <c r="C317" s="24" t="s">
        <v>157</v>
      </c>
      <c r="D317" s="24">
        <v>1</v>
      </c>
      <c r="E317" s="24"/>
      <c r="F317" s="24">
        <v>1</v>
      </c>
      <c r="G317" s="24">
        <v>2</v>
      </c>
      <c r="H317" s="24"/>
      <c r="I317" s="24">
        <v>1</v>
      </c>
      <c r="J317" s="24"/>
      <c r="K317" s="24">
        <v>71</v>
      </c>
      <c r="L317" s="24"/>
      <c r="M317" s="24">
        <v>75</v>
      </c>
      <c r="N317" s="25">
        <v>33.813333333333333</v>
      </c>
      <c r="O317" s="24" t="s">
        <v>281</v>
      </c>
      <c r="P317" s="24">
        <f t="shared" si="117"/>
        <v>71</v>
      </c>
      <c r="Q317" s="24">
        <f t="shared" si="118"/>
        <v>0</v>
      </c>
      <c r="R317" s="24">
        <f t="shared" si="119"/>
        <v>1</v>
      </c>
      <c r="S317" s="24">
        <f t="shared" si="120"/>
        <v>3</v>
      </c>
      <c r="T317" s="24">
        <f t="shared" si="121"/>
        <v>75</v>
      </c>
      <c r="U317" s="27">
        <f t="shared" si="122"/>
        <v>0.94666666666666666</v>
      </c>
      <c r="V317" s="27">
        <f t="shared" si="123"/>
        <v>0</v>
      </c>
      <c r="W317" s="27">
        <f t="shared" si="124"/>
        <v>1.3333333333333334E-2</v>
      </c>
      <c r="X317" s="27">
        <f t="shared" si="125"/>
        <v>0.04</v>
      </c>
      <c r="Y317" s="25">
        <f t="shared" si="126"/>
        <v>33.813333333333333</v>
      </c>
    </row>
    <row r="318" spans="1:25" x14ac:dyDescent="0.25">
      <c r="A318" s="22"/>
      <c r="B318" s="22"/>
      <c r="C318" s="22" t="str">
        <f>C317</f>
        <v>BILIK GERAKAN BALAI POLIS SIKAMAT (DUN SIKAMAT)</v>
      </c>
      <c r="D318" s="22">
        <f>D317</f>
        <v>1</v>
      </c>
      <c r="E318" s="22">
        <f>SUM(E314:E317)</f>
        <v>1</v>
      </c>
      <c r="F318" s="22">
        <f t="shared" ref="F318" si="129">SUM(F314:F317)</f>
        <v>1</v>
      </c>
      <c r="G318" s="22">
        <f t="shared" ref="G318" si="130">SUM(G314:G317)</f>
        <v>9</v>
      </c>
      <c r="H318" s="22">
        <f t="shared" ref="H318" si="131">SUM(H314:H317)</f>
        <v>7</v>
      </c>
      <c r="I318" s="22">
        <f t="shared" ref="I318" si="132">SUM(I314:I317)</f>
        <v>26</v>
      </c>
      <c r="J318" s="22">
        <f t="shared" ref="J318" si="133">SUM(J314:J317)</f>
        <v>2</v>
      </c>
      <c r="K318" s="22">
        <f t="shared" ref="K318" si="134">SUM(K314:K317)</f>
        <v>733</v>
      </c>
      <c r="L318" s="22">
        <f t="shared" ref="L318" si="135">SUM(L314:L317)</f>
        <v>0</v>
      </c>
      <c r="M318" s="22">
        <f t="shared" ref="M318" si="136">SUM(M314:M317)</f>
        <v>779</v>
      </c>
      <c r="N318" s="28">
        <f>AVERAGE(N314:N317)</f>
        <v>36.273571428571429</v>
      </c>
      <c r="O318" s="22"/>
      <c r="P318" s="24">
        <f t="shared" si="117"/>
        <v>733</v>
      </c>
      <c r="Q318" s="24">
        <f t="shared" si="118"/>
        <v>7</v>
      </c>
      <c r="R318" s="24">
        <f t="shared" si="119"/>
        <v>26</v>
      </c>
      <c r="S318" s="24">
        <f t="shared" si="120"/>
        <v>13</v>
      </c>
      <c r="T318" s="24">
        <f t="shared" si="121"/>
        <v>779</v>
      </c>
      <c r="U318" s="27">
        <f t="shared" si="122"/>
        <v>0.94094993581514763</v>
      </c>
      <c r="V318" s="27">
        <f t="shared" si="123"/>
        <v>8.9858793324775355E-3</v>
      </c>
      <c r="W318" s="27">
        <f t="shared" si="124"/>
        <v>3.3376123234916559E-2</v>
      </c>
      <c r="X318" s="27">
        <f t="shared" si="125"/>
        <v>1.668806161745828E-2</v>
      </c>
      <c r="Y318" s="25">
        <f t="shared" si="126"/>
        <v>36.273571428571429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workbookViewId="0">
      <selection activeCell="A2" sqref="A2:M17"/>
    </sheetView>
  </sheetViews>
  <sheetFormatPr defaultRowHeight="13.2" x14ac:dyDescent="0.25"/>
  <cols>
    <col min="1" max="1" width="5.5546875" customWidth="1"/>
    <col min="2" max="2" width="17.33203125" customWidth="1"/>
    <col min="3" max="3" width="23.33203125" customWidth="1"/>
    <col min="4" max="4" width="9.33203125" customWidth="1"/>
    <col min="5" max="5" width="11.5546875" customWidth="1"/>
    <col min="6" max="10" width="14" customWidth="1"/>
    <col min="11" max="13" width="11.77734375" customWidth="1"/>
  </cols>
  <sheetData>
    <row r="1" spans="1:13" ht="34.799999999999997" customHeight="1" x14ac:dyDescent="0.25">
      <c r="A1" s="69" t="s">
        <v>0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1"/>
    </row>
    <row r="2" spans="1:13" ht="18" customHeight="1" x14ac:dyDescent="0.25">
      <c r="A2" s="72" t="s">
        <v>1</v>
      </c>
      <c r="B2" s="72" t="s">
        <v>2</v>
      </c>
      <c r="C2" s="72" t="s">
        <v>3</v>
      </c>
      <c r="D2" s="75" t="s">
        <v>4</v>
      </c>
      <c r="E2" s="78" t="s">
        <v>5</v>
      </c>
      <c r="F2" s="81" t="s">
        <v>6</v>
      </c>
      <c r="G2" s="82"/>
      <c r="H2" s="82"/>
      <c r="I2" s="82"/>
      <c r="J2" s="82"/>
      <c r="K2" s="83"/>
      <c r="L2" s="75" t="s">
        <v>7</v>
      </c>
      <c r="M2" s="78" t="s">
        <v>8</v>
      </c>
    </row>
    <row r="3" spans="1:13" ht="37.950000000000003" customHeight="1" x14ac:dyDescent="0.25">
      <c r="A3" s="73"/>
      <c r="B3" s="73"/>
      <c r="C3" s="73"/>
      <c r="D3" s="76"/>
      <c r="E3" s="79"/>
      <c r="F3" s="1" t="s">
        <v>9</v>
      </c>
      <c r="G3" s="1" t="s">
        <v>10</v>
      </c>
      <c r="H3" s="1" t="s">
        <v>11</v>
      </c>
      <c r="I3" s="2" t="s">
        <v>12</v>
      </c>
      <c r="J3" s="1" t="s">
        <v>13</v>
      </c>
      <c r="K3" s="84" t="s">
        <v>14</v>
      </c>
      <c r="L3" s="76"/>
      <c r="M3" s="79"/>
    </row>
    <row r="4" spans="1:13" ht="28.5" customHeight="1" x14ac:dyDescent="0.25">
      <c r="A4" s="74"/>
      <c r="B4" s="74"/>
      <c r="C4" s="74"/>
      <c r="D4" s="77"/>
      <c r="E4" s="80"/>
      <c r="F4" s="3" t="s">
        <v>139</v>
      </c>
      <c r="G4" s="3" t="s">
        <v>140</v>
      </c>
      <c r="H4" s="3" t="s">
        <v>141</v>
      </c>
      <c r="I4" s="3" t="s">
        <v>142</v>
      </c>
      <c r="J4" s="3" t="s">
        <v>143</v>
      </c>
      <c r="K4" s="85"/>
      <c r="L4" s="77"/>
      <c r="M4" s="80"/>
    </row>
    <row r="5" spans="1:13" ht="19.05" customHeight="1" x14ac:dyDescent="0.25">
      <c r="A5" s="4">
        <v>1</v>
      </c>
      <c r="B5" s="62" t="s">
        <v>15</v>
      </c>
      <c r="C5" s="63"/>
      <c r="D5" s="3"/>
      <c r="E5" s="6">
        <v>2632</v>
      </c>
      <c r="F5" s="7">
        <v>669</v>
      </c>
      <c r="G5" s="7">
        <v>11</v>
      </c>
      <c r="H5" s="7">
        <v>529</v>
      </c>
      <c r="I5" s="7">
        <v>33</v>
      </c>
      <c r="J5" s="7">
        <v>852</v>
      </c>
      <c r="K5" s="8">
        <v>2094</v>
      </c>
      <c r="L5" s="7">
        <v>218</v>
      </c>
      <c r="M5" s="9">
        <v>320</v>
      </c>
    </row>
    <row r="6" spans="1:13" ht="19.05" customHeight="1" x14ac:dyDescent="0.25">
      <c r="A6" s="50" t="s">
        <v>16</v>
      </c>
      <c r="B6" s="51"/>
      <c r="C6" s="51"/>
      <c r="D6" s="51"/>
      <c r="E6" s="51"/>
      <c r="F6" s="51"/>
      <c r="G6" s="51"/>
      <c r="H6" s="51"/>
      <c r="I6" s="51"/>
      <c r="J6" s="51"/>
      <c r="K6" s="51"/>
      <c r="L6" s="51"/>
      <c r="M6" s="52"/>
    </row>
    <row r="7" spans="1:13" ht="41.7" customHeight="1" x14ac:dyDescent="0.25">
      <c r="A7" s="4">
        <v>2</v>
      </c>
      <c r="B7" s="10" t="s">
        <v>17</v>
      </c>
      <c r="C7" s="5" t="s">
        <v>18</v>
      </c>
      <c r="D7" s="11">
        <v>1</v>
      </c>
      <c r="E7" s="12">
        <v>53</v>
      </c>
      <c r="F7" s="12">
        <v>4</v>
      </c>
      <c r="G7" s="12">
        <v>0</v>
      </c>
      <c r="H7" s="12">
        <v>27</v>
      </c>
      <c r="I7" s="12">
        <v>0</v>
      </c>
      <c r="J7" s="12">
        <v>22</v>
      </c>
      <c r="K7" s="13">
        <v>53</v>
      </c>
      <c r="L7" s="12">
        <v>0</v>
      </c>
      <c r="M7" s="13">
        <v>0</v>
      </c>
    </row>
    <row r="8" spans="1:13" ht="41.7" customHeight="1" x14ac:dyDescent="0.25">
      <c r="A8" s="53">
        <v>3</v>
      </c>
      <c r="B8" s="64" t="s">
        <v>19</v>
      </c>
      <c r="C8" s="5" t="s">
        <v>20</v>
      </c>
      <c r="D8" s="11">
        <v>1</v>
      </c>
      <c r="E8" s="12">
        <v>329</v>
      </c>
      <c r="F8" s="12">
        <v>18</v>
      </c>
      <c r="G8" s="12">
        <v>1</v>
      </c>
      <c r="H8" s="12">
        <v>179</v>
      </c>
      <c r="I8" s="12">
        <v>4</v>
      </c>
      <c r="J8" s="12">
        <v>125</v>
      </c>
      <c r="K8" s="13">
        <v>327</v>
      </c>
      <c r="L8" s="12">
        <v>2</v>
      </c>
      <c r="M8" s="13">
        <v>0</v>
      </c>
    </row>
    <row r="9" spans="1:13" ht="41.7" customHeight="1" x14ac:dyDescent="0.25">
      <c r="A9" s="55"/>
      <c r="B9" s="65"/>
      <c r="C9" s="5" t="s">
        <v>21</v>
      </c>
      <c r="D9" s="11">
        <v>1</v>
      </c>
      <c r="E9" s="12">
        <v>31</v>
      </c>
      <c r="F9" s="12">
        <v>2</v>
      </c>
      <c r="G9" s="12">
        <v>0</v>
      </c>
      <c r="H9" s="12">
        <v>3</v>
      </c>
      <c r="I9" s="12">
        <v>0</v>
      </c>
      <c r="J9" s="12">
        <v>26</v>
      </c>
      <c r="K9" s="13">
        <v>31</v>
      </c>
      <c r="L9" s="12">
        <v>0</v>
      </c>
      <c r="M9" s="13">
        <v>0</v>
      </c>
    </row>
    <row r="10" spans="1:13" ht="17.25" customHeight="1" x14ac:dyDescent="0.25">
      <c r="A10" s="53">
        <v>4</v>
      </c>
      <c r="B10" s="66" t="s">
        <v>22</v>
      </c>
      <c r="C10" s="59" t="s">
        <v>23</v>
      </c>
      <c r="D10" s="15">
        <v>1</v>
      </c>
      <c r="E10" s="7">
        <v>323</v>
      </c>
      <c r="F10" s="7">
        <v>26</v>
      </c>
      <c r="G10" s="7">
        <v>0</v>
      </c>
      <c r="H10" s="7">
        <v>153</v>
      </c>
      <c r="I10" s="7">
        <v>3</v>
      </c>
      <c r="J10" s="7">
        <v>139</v>
      </c>
      <c r="K10" s="9">
        <v>321</v>
      </c>
      <c r="L10" s="7">
        <v>2</v>
      </c>
      <c r="M10" s="9">
        <v>0</v>
      </c>
    </row>
    <row r="11" spans="1:13" ht="17.25" customHeight="1" x14ac:dyDescent="0.25">
      <c r="A11" s="54"/>
      <c r="B11" s="67"/>
      <c r="C11" s="60"/>
      <c r="D11" s="15">
        <v>2</v>
      </c>
      <c r="E11" s="7">
        <v>325</v>
      </c>
      <c r="F11" s="7">
        <v>13</v>
      </c>
      <c r="G11" s="7">
        <v>0</v>
      </c>
      <c r="H11" s="7">
        <v>133</v>
      </c>
      <c r="I11" s="7">
        <v>3</v>
      </c>
      <c r="J11" s="7">
        <v>173</v>
      </c>
      <c r="K11" s="9">
        <v>322</v>
      </c>
      <c r="L11" s="7">
        <v>3</v>
      </c>
      <c r="M11" s="9">
        <v>0</v>
      </c>
    </row>
    <row r="12" spans="1:13" ht="18" customHeight="1" x14ac:dyDescent="0.25">
      <c r="A12" s="55"/>
      <c r="B12" s="68"/>
      <c r="C12" s="61"/>
      <c r="D12" s="15">
        <v>3</v>
      </c>
      <c r="E12" s="7">
        <v>320</v>
      </c>
      <c r="F12" s="7">
        <v>16</v>
      </c>
      <c r="G12" s="7">
        <v>1</v>
      </c>
      <c r="H12" s="7">
        <v>168</v>
      </c>
      <c r="I12" s="7">
        <v>3</v>
      </c>
      <c r="J12" s="7">
        <v>130</v>
      </c>
      <c r="K12" s="9">
        <v>318</v>
      </c>
      <c r="L12" s="7">
        <v>2</v>
      </c>
      <c r="M12" s="9">
        <v>0</v>
      </c>
    </row>
    <row r="13" spans="1:13" ht="32.700000000000003" customHeight="1" x14ac:dyDescent="0.25">
      <c r="A13" s="16">
        <v>5</v>
      </c>
      <c r="B13" s="14" t="s">
        <v>24</v>
      </c>
      <c r="C13" s="5" t="s">
        <v>25</v>
      </c>
      <c r="D13" s="15">
        <v>1</v>
      </c>
      <c r="E13" s="7">
        <v>84</v>
      </c>
      <c r="F13" s="7">
        <v>4</v>
      </c>
      <c r="G13" s="7">
        <v>0</v>
      </c>
      <c r="H13" s="7">
        <v>52</v>
      </c>
      <c r="I13" s="7">
        <v>1</v>
      </c>
      <c r="J13" s="7">
        <v>27</v>
      </c>
      <c r="K13" s="9">
        <v>84</v>
      </c>
      <c r="L13" s="7">
        <v>0</v>
      </c>
      <c r="M13" s="9">
        <v>0</v>
      </c>
    </row>
    <row r="14" spans="1:13" ht="19.05" customHeight="1" x14ac:dyDescent="0.25">
      <c r="A14" s="50" t="s">
        <v>26</v>
      </c>
      <c r="B14" s="51"/>
      <c r="C14" s="51"/>
      <c r="D14" s="51"/>
      <c r="E14" s="51"/>
      <c r="F14" s="51"/>
      <c r="G14" s="51"/>
      <c r="H14" s="51"/>
      <c r="I14" s="51"/>
      <c r="J14" s="51"/>
      <c r="K14" s="51"/>
      <c r="L14" s="51"/>
      <c r="M14" s="52"/>
    </row>
    <row r="15" spans="1:13" ht="17.25" customHeight="1" x14ac:dyDescent="0.25">
      <c r="A15" s="53">
        <v>6</v>
      </c>
      <c r="B15" s="56" t="s">
        <v>27</v>
      </c>
      <c r="C15" s="59" t="s">
        <v>28</v>
      </c>
      <c r="D15" s="15">
        <v>1</v>
      </c>
      <c r="E15" s="7">
        <v>359</v>
      </c>
      <c r="F15" s="7">
        <v>230</v>
      </c>
      <c r="G15" s="7">
        <v>2</v>
      </c>
      <c r="H15" s="7">
        <v>101</v>
      </c>
      <c r="I15" s="7">
        <v>2</v>
      </c>
      <c r="J15" s="7">
        <v>23</v>
      </c>
      <c r="K15" s="9">
        <v>358</v>
      </c>
      <c r="L15" s="7">
        <v>1</v>
      </c>
      <c r="M15" s="9">
        <v>0</v>
      </c>
    </row>
    <row r="16" spans="1:13" ht="17.25" customHeight="1" x14ac:dyDescent="0.25">
      <c r="A16" s="54"/>
      <c r="B16" s="57"/>
      <c r="C16" s="60"/>
      <c r="D16" s="15">
        <v>2</v>
      </c>
      <c r="E16" s="7">
        <v>398</v>
      </c>
      <c r="F16" s="7">
        <v>280</v>
      </c>
      <c r="G16" s="7">
        <v>0</v>
      </c>
      <c r="H16" s="7">
        <v>71</v>
      </c>
      <c r="I16" s="7">
        <v>1</v>
      </c>
      <c r="J16" s="7">
        <v>39</v>
      </c>
      <c r="K16" s="9">
        <v>391</v>
      </c>
      <c r="L16" s="7">
        <v>7</v>
      </c>
      <c r="M16" s="9">
        <v>0</v>
      </c>
    </row>
    <row r="17" spans="1:13" ht="17.25" customHeight="1" x14ac:dyDescent="0.25">
      <c r="A17" s="55"/>
      <c r="B17" s="58"/>
      <c r="C17" s="61"/>
      <c r="D17" s="15">
        <v>3</v>
      </c>
      <c r="E17" s="7">
        <v>396</v>
      </c>
      <c r="F17" s="7">
        <v>258</v>
      </c>
      <c r="G17" s="7">
        <v>0</v>
      </c>
      <c r="H17" s="7">
        <v>60</v>
      </c>
      <c r="I17" s="7">
        <v>1</v>
      </c>
      <c r="J17" s="7">
        <v>76</v>
      </c>
      <c r="K17" s="9">
        <v>395</v>
      </c>
      <c r="L17" s="7">
        <v>1</v>
      </c>
      <c r="M17" s="9">
        <v>0</v>
      </c>
    </row>
    <row r="18" spans="1:13" ht="37.950000000000003" customHeight="1" x14ac:dyDescent="0.25"/>
    <row r="19" spans="1:13" ht="19.05" customHeight="1" x14ac:dyDescent="0.25"/>
    <row r="20" spans="1:13" ht="208.95" customHeight="1" x14ac:dyDescent="0.25"/>
    <row r="21" spans="1:13" ht="208.95" customHeight="1" x14ac:dyDescent="0.25"/>
    <row r="22" spans="1:13" ht="49.05" customHeight="1" x14ac:dyDescent="0.25"/>
    <row r="23" spans="1:13" ht="49.05" customHeight="1" x14ac:dyDescent="0.25"/>
  </sheetData>
  <mergeCells count="21">
    <mergeCell ref="A1:M1"/>
    <mergeCell ref="A2:A4"/>
    <mergeCell ref="B2:B4"/>
    <mergeCell ref="C2:C4"/>
    <mergeCell ref="D2:D4"/>
    <mergeCell ref="E2:E4"/>
    <mergeCell ref="F2:K2"/>
    <mergeCell ref="L2:L4"/>
    <mergeCell ref="M2:M4"/>
    <mergeCell ref="K3:K4"/>
    <mergeCell ref="A14:M14"/>
    <mergeCell ref="A15:A17"/>
    <mergeCell ref="B15:B17"/>
    <mergeCell ref="C15:C17"/>
    <mergeCell ref="B5:C5"/>
    <mergeCell ref="A6:M6"/>
    <mergeCell ref="A8:A9"/>
    <mergeCell ref="B8:B9"/>
    <mergeCell ref="A10:A12"/>
    <mergeCell ref="B10:B12"/>
    <mergeCell ref="C10:C12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8"/>
  <sheetViews>
    <sheetView workbookViewId="0">
      <selection activeCell="A5" sqref="A5:M25"/>
    </sheetView>
  </sheetViews>
  <sheetFormatPr defaultRowHeight="13.2" x14ac:dyDescent="0.25"/>
  <cols>
    <col min="1" max="1" width="5.5546875" customWidth="1"/>
    <col min="2" max="2" width="17.33203125" customWidth="1"/>
    <col min="3" max="3" width="23.33203125" customWidth="1"/>
    <col min="4" max="4" width="9.33203125" customWidth="1"/>
    <col min="5" max="5" width="11.5546875" customWidth="1"/>
    <col min="6" max="10" width="14" customWidth="1"/>
    <col min="11" max="13" width="11.77734375" customWidth="1"/>
  </cols>
  <sheetData>
    <row r="1" spans="1:13" ht="34.799999999999997" customHeight="1" x14ac:dyDescent="0.25">
      <c r="A1" s="69" t="s">
        <v>29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1"/>
    </row>
    <row r="2" spans="1:13" ht="18" customHeight="1" x14ac:dyDescent="0.25">
      <c r="A2" s="72" t="s">
        <v>1</v>
      </c>
      <c r="B2" s="72" t="s">
        <v>2</v>
      </c>
      <c r="C2" s="72" t="s">
        <v>3</v>
      </c>
      <c r="D2" s="75" t="s">
        <v>4</v>
      </c>
      <c r="E2" s="78" t="s">
        <v>5</v>
      </c>
      <c r="F2" s="81" t="s">
        <v>6</v>
      </c>
      <c r="G2" s="82"/>
      <c r="H2" s="82"/>
      <c r="I2" s="82"/>
      <c r="J2" s="82"/>
      <c r="K2" s="83"/>
      <c r="L2" s="75" t="s">
        <v>7</v>
      </c>
      <c r="M2" s="78" t="s">
        <v>8</v>
      </c>
    </row>
    <row r="3" spans="1:13" ht="37.950000000000003" customHeight="1" x14ac:dyDescent="0.25">
      <c r="A3" s="73"/>
      <c r="B3" s="73"/>
      <c r="C3" s="73"/>
      <c r="D3" s="76"/>
      <c r="E3" s="79"/>
      <c r="F3" s="1" t="s">
        <v>9</v>
      </c>
      <c r="G3" s="1" t="s">
        <v>10</v>
      </c>
      <c r="H3" s="1" t="s">
        <v>11</v>
      </c>
      <c r="I3" s="2" t="s">
        <v>12</v>
      </c>
      <c r="J3" s="1" t="s">
        <v>13</v>
      </c>
      <c r="K3" s="84" t="s">
        <v>14</v>
      </c>
      <c r="L3" s="76"/>
      <c r="M3" s="79"/>
    </row>
    <row r="4" spans="1:13" ht="28.2" customHeight="1" x14ac:dyDescent="0.25">
      <c r="A4" s="74"/>
      <c r="B4" s="74"/>
      <c r="C4" s="74"/>
      <c r="D4" s="77"/>
      <c r="E4" s="80"/>
      <c r="F4" s="3"/>
      <c r="G4" s="3"/>
      <c r="H4" s="3"/>
      <c r="I4" s="3"/>
      <c r="J4" s="3"/>
      <c r="K4" s="85"/>
      <c r="L4" s="77"/>
      <c r="M4" s="80"/>
    </row>
    <row r="5" spans="1:13" ht="17.25" customHeight="1" x14ac:dyDescent="0.25">
      <c r="A5" s="53">
        <v>7</v>
      </c>
      <c r="B5" s="56" t="s">
        <v>30</v>
      </c>
      <c r="C5" s="90" t="s">
        <v>31</v>
      </c>
      <c r="D5" s="15">
        <v>1</v>
      </c>
      <c r="E5" s="7">
        <v>312</v>
      </c>
      <c r="F5" s="7">
        <v>139</v>
      </c>
      <c r="G5" s="7">
        <v>3</v>
      </c>
      <c r="H5" s="7">
        <v>127</v>
      </c>
      <c r="I5" s="7">
        <v>5</v>
      </c>
      <c r="J5" s="7">
        <v>23</v>
      </c>
      <c r="K5" s="9">
        <v>297</v>
      </c>
      <c r="L5" s="15">
        <v>15</v>
      </c>
      <c r="M5" s="9">
        <v>0</v>
      </c>
    </row>
    <row r="6" spans="1:13" ht="17.25" customHeight="1" x14ac:dyDescent="0.25">
      <c r="A6" s="54"/>
      <c r="B6" s="57"/>
      <c r="C6" s="91"/>
      <c r="D6" s="15">
        <v>2</v>
      </c>
      <c r="E6" s="7">
        <v>352</v>
      </c>
      <c r="F6" s="7">
        <v>162</v>
      </c>
      <c r="G6" s="7">
        <v>0</v>
      </c>
      <c r="H6" s="7">
        <v>138</v>
      </c>
      <c r="I6" s="7">
        <v>4</v>
      </c>
      <c r="J6" s="7">
        <v>46</v>
      </c>
      <c r="K6" s="9">
        <v>350</v>
      </c>
      <c r="L6" s="17">
        <v>2</v>
      </c>
      <c r="M6" s="9">
        <v>0</v>
      </c>
    </row>
    <row r="7" spans="1:13" ht="17.25" customHeight="1" x14ac:dyDescent="0.25">
      <c r="A7" s="54"/>
      <c r="B7" s="57"/>
      <c r="C7" s="91"/>
      <c r="D7" s="15">
        <v>3</v>
      </c>
      <c r="E7" s="7">
        <v>496</v>
      </c>
      <c r="F7" s="7">
        <v>205</v>
      </c>
      <c r="G7" s="7">
        <v>0</v>
      </c>
      <c r="H7" s="7">
        <v>167</v>
      </c>
      <c r="I7" s="7">
        <v>0</v>
      </c>
      <c r="J7" s="7">
        <v>120</v>
      </c>
      <c r="K7" s="9">
        <v>492</v>
      </c>
      <c r="L7" s="17">
        <v>4</v>
      </c>
      <c r="M7" s="9">
        <v>0</v>
      </c>
    </row>
    <row r="8" spans="1:13" ht="17.25" customHeight="1" x14ac:dyDescent="0.25">
      <c r="A8" s="55"/>
      <c r="B8" s="58"/>
      <c r="C8" s="92"/>
      <c r="D8" s="15">
        <v>4</v>
      </c>
      <c r="E8" s="7">
        <v>471</v>
      </c>
      <c r="F8" s="7">
        <v>170</v>
      </c>
      <c r="G8" s="7">
        <v>0</v>
      </c>
      <c r="H8" s="7">
        <v>159</v>
      </c>
      <c r="I8" s="7">
        <v>0</v>
      </c>
      <c r="J8" s="7">
        <v>137</v>
      </c>
      <c r="K8" s="9">
        <v>466</v>
      </c>
      <c r="L8" s="17">
        <v>5</v>
      </c>
      <c r="M8" s="9">
        <v>0</v>
      </c>
    </row>
    <row r="9" spans="1:13" ht="17.25" customHeight="1" x14ac:dyDescent="0.25">
      <c r="A9" s="53">
        <v>8</v>
      </c>
      <c r="B9" s="66" t="s">
        <v>32</v>
      </c>
      <c r="C9" s="90" t="s">
        <v>33</v>
      </c>
      <c r="D9" s="15">
        <v>1</v>
      </c>
      <c r="E9" s="7">
        <v>357</v>
      </c>
      <c r="F9" s="7">
        <v>67</v>
      </c>
      <c r="G9" s="7">
        <v>6</v>
      </c>
      <c r="H9" s="7">
        <v>210</v>
      </c>
      <c r="I9" s="7">
        <v>10</v>
      </c>
      <c r="J9" s="7">
        <v>63</v>
      </c>
      <c r="K9" s="9">
        <v>356</v>
      </c>
      <c r="L9" s="17">
        <v>1</v>
      </c>
      <c r="M9" s="9">
        <v>0</v>
      </c>
    </row>
    <row r="10" spans="1:13" ht="17.25" customHeight="1" x14ac:dyDescent="0.25">
      <c r="A10" s="54"/>
      <c r="B10" s="67"/>
      <c r="C10" s="91"/>
      <c r="D10" s="15">
        <v>2</v>
      </c>
      <c r="E10" s="7">
        <v>477</v>
      </c>
      <c r="F10" s="7">
        <v>77</v>
      </c>
      <c r="G10" s="7">
        <v>1</v>
      </c>
      <c r="H10" s="7">
        <v>197</v>
      </c>
      <c r="I10" s="7">
        <v>8</v>
      </c>
      <c r="J10" s="7">
        <v>193</v>
      </c>
      <c r="K10" s="9">
        <v>476</v>
      </c>
      <c r="L10" s="17">
        <v>1</v>
      </c>
      <c r="M10" s="9">
        <v>0</v>
      </c>
    </row>
    <row r="11" spans="1:13" ht="17.25" customHeight="1" x14ac:dyDescent="0.25">
      <c r="A11" s="55"/>
      <c r="B11" s="68"/>
      <c r="C11" s="92"/>
      <c r="D11" s="15">
        <v>3</v>
      </c>
      <c r="E11" s="7">
        <v>467</v>
      </c>
      <c r="F11" s="7">
        <v>82</v>
      </c>
      <c r="G11" s="7">
        <v>2</v>
      </c>
      <c r="H11" s="7">
        <v>142</v>
      </c>
      <c r="I11" s="7">
        <v>4</v>
      </c>
      <c r="J11" s="7">
        <v>234</v>
      </c>
      <c r="K11" s="9">
        <v>464</v>
      </c>
      <c r="L11" s="17">
        <v>3</v>
      </c>
      <c r="M11" s="9">
        <v>0</v>
      </c>
    </row>
    <row r="12" spans="1:13" ht="17.25" customHeight="1" x14ac:dyDescent="0.25">
      <c r="A12" s="53">
        <v>9</v>
      </c>
      <c r="B12" s="93" t="s">
        <v>34</v>
      </c>
      <c r="C12" s="90" t="s">
        <v>35</v>
      </c>
      <c r="D12" s="15">
        <v>1</v>
      </c>
      <c r="E12" s="7">
        <v>347</v>
      </c>
      <c r="F12" s="7">
        <v>44</v>
      </c>
      <c r="G12" s="7">
        <v>1</v>
      </c>
      <c r="H12" s="7">
        <v>212</v>
      </c>
      <c r="I12" s="7">
        <v>0</v>
      </c>
      <c r="J12" s="7">
        <v>81</v>
      </c>
      <c r="K12" s="9">
        <v>338</v>
      </c>
      <c r="L12" s="17">
        <v>9</v>
      </c>
      <c r="M12" s="9">
        <v>0</v>
      </c>
    </row>
    <row r="13" spans="1:13" ht="17.25" customHeight="1" x14ac:dyDescent="0.25">
      <c r="A13" s="54"/>
      <c r="B13" s="94"/>
      <c r="C13" s="91"/>
      <c r="D13" s="15">
        <v>2</v>
      </c>
      <c r="E13" s="7">
        <v>510</v>
      </c>
      <c r="F13" s="7">
        <v>85</v>
      </c>
      <c r="G13" s="7">
        <v>3</v>
      </c>
      <c r="H13" s="7">
        <v>213</v>
      </c>
      <c r="I13" s="7">
        <v>5</v>
      </c>
      <c r="J13" s="7">
        <v>203</v>
      </c>
      <c r="K13" s="9">
        <v>509</v>
      </c>
      <c r="L13" s="17">
        <v>1</v>
      </c>
      <c r="M13" s="9">
        <v>0</v>
      </c>
    </row>
    <row r="14" spans="1:13" ht="17.25" customHeight="1" x14ac:dyDescent="0.25">
      <c r="A14" s="55"/>
      <c r="B14" s="95"/>
      <c r="C14" s="92"/>
      <c r="D14" s="15">
        <v>3</v>
      </c>
      <c r="E14" s="7">
        <v>494</v>
      </c>
      <c r="F14" s="7">
        <v>59</v>
      </c>
      <c r="G14" s="7">
        <v>1</v>
      </c>
      <c r="H14" s="7">
        <v>171</v>
      </c>
      <c r="I14" s="7">
        <v>1</v>
      </c>
      <c r="J14" s="7">
        <v>261</v>
      </c>
      <c r="K14" s="9">
        <v>493</v>
      </c>
      <c r="L14" s="17">
        <v>1</v>
      </c>
      <c r="M14" s="9">
        <v>0</v>
      </c>
    </row>
    <row r="15" spans="1:13" ht="17.25" customHeight="1" x14ac:dyDescent="0.25">
      <c r="A15" s="86">
        <v>10</v>
      </c>
      <c r="B15" s="66" t="s">
        <v>36</v>
      </c>
      <c r="C15" s="96" t="s">
        <v>37</v>
      </c>
      <c r="D15" s="15">
        <v>1</v>
      </c>
      <c r="E15" s="7">
        <v>348</v>
      </c>
      <c r="F15" s="7">
        <v>109</v>
      </c>
      <c r="G15" s="7">
        <v>2</v>
      </c>
      <c r="H15" s="7">
        <v>155</v>
      </c>
      <c r="I15" s="7">
        <v>4</v>
      </c>
      <c r="J15" s="7">
        <v>69</v>
      </c>
      <c r="K15" s="9">
        <v>339</v>
      </c>
      <c r="L15" s="17">
        <v>9</v>
      </c>
      <c r="M15" s="9">
        <v>0</v>
      </c>
    </row>
    <row r="16" spans="1:13" ht="17.25" customHeight="1" x14ac:dyDescent="0.25">
      <c r="A16" s="88"/>
      <c r="B16" s="68"/>
      <c r="C16" s="97"/>
      <c r="D16" s="15">
        <v>2</v>
      </c>
      <c r="E16" s="7">
        <v>388</v>
      </c>
      <c r="F16" s="7">
        <v>101</v>
      </c>
      <c r="G16" s="7">
        <v>1</v>
      </c>
      <c r="H16" s="7">
        <v>113</v>
      </c>
      <c r="I16" s="7">
        <v>2</v>
      </c>
      <c r="J16" s="7">
        <v>170</v>
      </c>
      <c r="K16" s="9">
        <v>387</v>
      </c>
      <c r="L16" s="17">
        <v>1</v>
      </c>
      <c r="M16" s="9">
        <v>0</v>
      </c>
    </row>
    <row r="17" spans="1:13" ht="17.25" customHeight="1" x14ac:dyDescent="0.25">
      <c r="A17" s="86">
        <v>11</v>
      </c>
      <c r="B17" s="64" t="s">
        <v>38</v>
      </c>
      <c r="C17" s="90" t="s">
        <v>39</v>
      </c>
      <c r="D17" s="15">
        <v>1</v>
      </c>
      <c r="E17" s="7">
        <v>331</v>
      </c>
      <c r="F17" s="7">
        <v>37</v>
      </c>
      <c r="G17" s="7">
        <v>0</v>
      </c>
      <c r="H17" s="7">
        <v>198</v>
      </c>
      <c r="I17" s="7">
        <v>5</v>
      </c>
      <c r="J17" s="7">
        <v>81</v>
      </c>
      <c r="K17" s="9">
        <v>321</v>
      </c>
      <c r="L17" s="15">
        <v>10</v>
      </c>
      <c r="M17" s="9">
        <v>0</v>
      </c>
    </row>
    <row r="18" spans="1:13" ht="17.25" customHeight="1" x14ac:dyDescent="0.25">
      <c r="A18" s="87"/>
      <c r="B18" s="89"/>
      <c r="C18" s="91"/>
      <c r="D18" s="15">
        <v>2</v>
      </c>
      <c r="E18" s="7">
        <v>478</v>
      </c>
      <c r="F18" s="7">
        <v>85</v>
      </c>
      <c r="G18" s="7">
        <v>1</v>
      </c>
      <c r="H18" s="7">
        <v>213</v>
      </c>
      <c r="I18" s="7">
        <v>5</v>
      </c>
      <c r="J18" s="7">
        <v>171</v>
      </c>
      <c r="K18" s="9">
        <v>475</v>
      </c>
      <c r="L18" s="17">
        <v>3</v>
      </c>
      <c r="M18" s="9">
        <v>0</v>
      </c>
    </row>
    <row r="19" spans="1:13" ht="17.25" customHeight="1" x14ac:dyDescent="0.25">
      <c r="A19" s="87"/>
      <c r="B19" s="89"/>
      <c r="C19" s="91"/>
      <c r="D19" s="15">
        <v>3</v>
      </c>
      <c r="E19" s="7">
        <v>429</v>
      </c>
      <c r="F19" s="7">
        <v>56</v>
      </c>
      <c r="G19" s="7">
        <v>0</v>
      </c>
      <c r="H19" s="7">
        <v>145</v>
      </c>
      <c r="I19" s="7">
        <v>6</v>
      </c>
      <c r="J19" s="7">
        <v>221</v>
      </c>
      <c r="K19" s="9">
        <v>428</v>
      </c>
      <c r="L19" s="17">
        <v>1</v>
      </c>
      <c r="M19" s="9">
        <v>0</v>
      </c>
    </row>
    <row r="20" spans="1:13" ht="17.25" customHeight="1" x14ac:dyDescent="0.25">
      <c r="A20" s="88"/>
      <c r="B20" s="65"/>
      <c r="C20" s="92"/>
      <c r="D20" s="15">
        <v>4</v>
      </c>
      <c r="E20" s="7">
        <v>474</v>
      </c>
      <c r="F20" s="7">
        <v>70</v>
      </c>
      <c r="G20" s="7">
        <v>1</v>
      </c>
      <c r="H20" s="7">
        <v>155</v>
      </c>
      <c r="I20" s="7">
        <v>3</v>
      </c>
      <c r="J20" s="7">
        <v>241</v>
      </c>
      <c r="K20" s="9">
        <v>470</v>
      </c>
      <c r="L20" s="17">
        <v>4</v>
      </c>
      <c r="M20" s="9">
        <v>0</v>
      </c>
    </row>
    <row r="21" spans="1:13" ht="17.25" customHeight="1" x14ac:dyDescent="0.25">
      <c r="A21" s="86">
        <v>12</v>
      </c>
      <c r="B21" s="90" t="s">
        <v>40</v>
      </c>
      <c r="C21" s="90" t="s">
        <v>41</v>
      </c>
      <c r="D21" s="15">
        <v>1</v>
      </c>
      <c r="E21" s="7">
        <v>331</v>
      </c>
      <c r="F21" s="7">
        <v>82</v>
      </c>
      <c r="G21" s="7">
        <v>4</v>
      </c>
      <c r="H21" s="7">
        <v>145</v>
      </c>
      <c r="I21" s="7">
        <v>3</v>
      </c>
      <c r="J21" s="7">
        <v>73</v>
      </c>
      <c r="K21" s="9">
        <v>307</v>
      </c>
      <c r="L21" s="15">
        <v>24</v>
      </c>
      <c r="M21" s="9">
        <v>0</v>
      </c>
    </row>
    <row r="22" spans="1:13" ht="17.25" customHeight="1" x14ac:dyDescent="0.25">
      <c r="A22" s="87"/>
      <c r="B22" s="91"/>
      <c r="C22" s="91"/>
      <c r="D22" s="15">
        <v>2</v>
      </c>
      <c r="E22" s="7">
        <v>461</v>
      </c>
      <c r="F22" s="7">
        <v>130</v>
      </c>
      <c r="G22" s="7">
        <v>3</v>
      </c>
      <c r="H22" s="7">
        <v>174</v>
      </c>
      <c r="I22" s="7">
        <v>5</v>
      </c>
      <c r="J22" s="7">
        <v>139</v>
      </c>
      <c r="K22" s="9">
        <v>451</v>
      </c>
      <c r="L22" s="15">
        <v>10</v>
      </c>
      <c r="M22" s="9">
        <v>0</v>
      </c>
    </row>
    <row r="23" spans="1:13" ht="17.25" customHeight="1" x14ac:dyDescent="0.25">
      <c r="A23" s="87"/>
      <c r="B23" s="91"/>
      <c r="C23" s="91"/>
      <c r="D23" s="15">
        <v>3</v>
      </c>
      <c r="E23" s="7">
        <v>419</v>
      </c>
      <c r="F23" s="7">
        <v>118</v>
      </c>
      <c r="G23" s="7">
        <v>0</v>
      </c>
      <c r="H23" s="7">
        <v>123</v>
      </c>
      <c r="I23" s="7">
        <v>3</v>
      </c>
      <c r="J23" s="7">
        <v>172</v>
      </c>
      <c r="K23" s="9">
        <v>416</v>
      </c>
      <c r="L23" s="17">
        <v>3</v>
      </c>
      <c r="M23" s="9">
        <v>0</v>
      </c>
    </row>
    <row r="24" spans="1:13" ht="17.25" customHeight="1" x14ac:dyDescent="0.25">
      <c r="A24" s="87"/>
      <c r="B24" s="91"/>
      <c r="C24" s="91"/>
      <c r="D24" s="15">
        <v>4</v>
      </c>
      <c r="E24" s="7">
        <v>417</v>
      </c>
      <c r="F24" s="7">
        <v>99</v>
      </c>
      <c r="G24" s="7">
        <v>2</v>
      </c>
      <c r="H24" s="7">
        <v>105</v>
      </c>
      <c r="I24" s="7">
        <v>6</v>
      </c>
      <c r="J24" s="7">
        <v>198</v>
      </c>
      <c r="K24" s="9">
        <v>410</v>
      </c>
      <c r="L24" s="17">
        <v>7</v>
      </c>
      <c r="M24" s="9">
        <v>0</v>
      </c>
    </row>
    <row r="25" spans="1:13" ht="17.25" customHeight="1" x14ac:dyDescent="0.25">
      <c r="A25" s="88"/>
      <c r="B25" s="92"/>
      <c r="C25" s="92"/>
      <c r="D25" s="15">
        <v>5</v>
      </c>
      <c r="E25" s="7">
        <v>427</v>
      </c>
      <c r="F25" s="7">
        <v>120</v>
      </c>
      <c r="G25" s="7">
        <v>0</v>
      </c>
      <c r="H25" s="7">
        <v>122</v>
      </c>
      <c r="I25" s="7">
        <v>6</v>
      </c>
      <c r="J25" s="7">
        <v>177</v>
      </c>
      <c r="K25" s="9">
        <v>425</v>
      </c>
      <c r="L25" s="17">
        <v>2</v>
      </c>
      <c r="M25" s="9">
        <v>0</v>
      </c>
    </row>
    <row r="26" spans="1:13" ht="37.950000000000003" customHeight="1" x14ac:dyDescent="0.25"/>
    <row r="27" spans="1:13" ht="342" customHeight="1" x14ac:dyDescent="0.25"/>
    <row r="28" spans="1:13" ht="342" customHeight="1" x14ac:dyDescent="0.25"/>
  </sheetData>
  <mergeCells count="28">
    <mergeCell ref="A1:M1"/>
    <mergeCell ref="A2:A4"/>
    <mergeCell ref="B2:B4"/>
    <mergeCell ref="C2:C4"/>
    <mergeCell ref="D2:D4"/>
    <mergeCell ref="E2:E4"/>
    <mergeCell ref="F2:K2"/>
    <mergeCell ref="L2:L4"/>
    <mergeCell ref="M2:M4"/>
    <mergeCell ref="K3:K4"/>
    <mergeCell ref="A5:A8"/>
    <mergeCell ref="B5:B8"/>
    <mergeCell ref="C5:C8"/>
    <mergeCell ref="A9:A11"/>
    <mergeCell ref="B9:B11"/>
    <mergeCell ref="C9:C11"/>
    <mergeCell ref="A12:A14"/>
    <mergeCell ref="B12:B14"/>
    <mergeCell ref="C12:C14"/>
    <mergeCell ref="A15:A16"/>
    <mergeCell ref="B15:B16"/>
    <mergeCell ref="C15:C16"/>
    <mergeCell ref="A17:A20"/>
    <mergeCell ref="B17:B20"/>
    <mergeCell ref="C17:C20"/>
    <mergeCell ref="A21:A25"/>
    <mergeCell ref="B21:B25"/>
    <mergeCell ref="C21:C25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7"/>
  <sheetViews>
    <sheetView workbookViewId="0">
      <selection activeCell="A5" sqref="A5:M24"/>
    </sheetView>
  </sheetViews>
  <sheetFormatPr defaultRowHeight="13.2" x14ac:dyDescent="0.25"/>
  <cols>
    <col min="1" max="1" width="5.5546875" customWidth="1"/>
    <col min="2" max="2" width="17.33203125" customWidth="1"/>
    <col min="3" max="3" width="23.33203125" customWidth="1"/>
    <col min="4" max="4" width="9.33203125" customWidth="1"/>
    <col min="5" max="5" width="11.5546875" customWidth="1"/>
    <col min="6" max="10" width="14" customWidth="1"/>
    <col min="11" max="13" width="11.77734375" customWidth="1"/>
  </cols>
  <sheetData>
    <row r="1" spans="1:13" ht="34.799999999999997" customHeight="1" x14ac:dyDescent="0.25">
      <c r="A1" s="69" t="s">
        <v>42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1"/>
    </row>
    <row r="2" spans="1:13" ht="18" customHeight="1" x14ac:dyDescent="0.25">
      <c r="A2" s="72" t="s">
        <v>1</v>
      </c>
      <c r="B2" s="72" t="s">
        <v>2</v>
      </c>
      <c r="C2" s="72" t="s">
        <v>3</v>
      </c>
      <c r="D2" s="75" t="s">
        <v>4</v>
      </c>
      <c r="E2" s="78" t="s">
        <v>5</v>
      </c>
      <c r="F2" s="81" t="s">
        <v>6</v>
      </c>
      <c r="G2" s="82"/>
      <c r="H2" s="82"/>
      <c r="I2" s="82"/>
      <c r="J2" s="82"/>
      <c r="K2" s="83"/>
      <c r="L2" s="75" t="s">
        <v>7</v>
      </c>
      <c r="M2" s="78" t="s">
        <v>8</v>
      </c>
    </row>
    <row r="3" spans="1:13" ht="37.950000000000003" customHeight="1" x14ac:dyDescent="0.25">
      <c r="A3" s="73"/>
      <c r="B3" s="73"/>
      <c r="C3" s="73"/>
      <c r="D3" s="76"/>
      <c r="E3" s="79"/>
      <c r="F3" s="1" t="s">
        <v>9</v>
      </c>
      <c r="G3" s="1" t="s">
        <v>10</v>
      </c>
      <c r="H3" s="1" t="s">
        <v>11</v>
      </c>
      <c r="I3" s="2" t="s">
        <v>12</v>
      </c>
      <c r="J3" s="1" t="s">
        <v>13</v>
      </c>
      <c r="K3" s="84" t="s">
        <v>14</v>
      </c>
      <c r="L3" s="76"/>
      <c r="M3" s="79"/>
    </row>
    <row r="4" spans="1:13" ht="28.2" customHeight="1" x14ac:dyDescent="0.25">
      <c r="A4" s="74"/>
      <c r="B4" s="74"/>
      <c r="C4" s="74"/>
      <c r="D4" s="77"/>
      <c r="E4" s="80"/>
      <c r="F4" s="3"/>
      <c r="G4" s="3"/>
      <c r="H4" s="3"/>
      <c r="I4" s="3"/>
      <c r="J4" s="3"/>
      <c r="K4" s="85"/>
      <c r="L4" s="77"/>
      <c r="M4" s="80"/>
    </row>
    <row r="5" spans="1:13" ht="17.25" customHeight="1" x14ac:dyDescent="0.25">
      <c r="A5" s="86">
        <v>13</v>
      </c>
      <c r="B5" s="66" t="s">
        <v>43</v>
      </c>
      <c r="C5" s="59" t="s">
        <v>44</v>
      </c>
      <c r="D5" s="7">
        <v>1</v>
      </c>
      <c r="E5" s="7">
        <v>249</v>
      </c>
      <c r="F5" s="7">
        <v>100</v>
      </c>
      <c r="G5" s="7">
        <v>1</v>
      </c>
      <c r="H5" s="7">
        <v>101</v>
      </c>
      <c r="I5" s="7">
        <v>4</v>
      </c>
      <c r="J5" s="7">
        <v>42</v>
      </c>
      <c r="K5" s="9">
        <v>248</v>
      </c>
      <c r="L5" s="18">
        <v>1</v>
      </c>
      <c r="M5" s="9">
        <v>0</v>
      </c>
    </row>
    <row r="6" spans="1:13" ht="17.25" customHeight="1" x14ac:dyDescent="0.25">
      <c r="A6" s="88"/>
      <c r="B6" s="68"/>
      <c r="C6" s="61"/>
      <c r="D6" s="7">
        <v>2</v>
      </c>
      <c r="E6" s="7">
        <v>257</v>
      </c>
      <c r="F6" s="7">
        <v>82</v>
      </c>
      <c r="G6" s="7">
        <v>2</v>
      </c>
      <c r="H6" s="7">
        <v>63</v>
      </c>
      <c r="I6" s="7">
        <v>7</v>
      </c>
      <c r="J6" s="7">
        <v>99</v>
      </c>
      <c r="K6" s="9">
        <v>253</v>
      </c>
      <c r="L6" s="18">
        <v>3</v>
      </c>
      <c r="M6" s="9">
        <v>1</v>
      </c>
    </row>
    <row r="7" spans="1:13" ht="17.25" customHeight="1" x14ac:dyDescent="0.25">
      <c r="A7" s="86">
        <v>14</v>
      </c>
      <c r="B7" s="64" t="s">
        <v>45</v>
      </c>
      <c r="C7" s="90" t="s">
        <v>46</v>
      </c>
      <c r="D7" s="7">
        <v>1</v>
      </c>
      <c r="E7" s="7">
        <v>324</v>
      </c>
      <c r="F7" s="7">
        <v>78</v>
      </c>
      <c r="G7" s="7">
        <v>2</v>
      </c>
      <c r="H7" s="7">
        <v>174</v>
      </c>
      <c r="I7" s="7">
        <v>7</v>
      </c>
      <c r="J7" s="7">
        <v>61</v>
      </c>
      <c r="K7" s="9">
        <v>322</v>
      </c>
      <c r="L7" s="18">
        <v>1</v>
      </c>
      <c r="M7" s="9">
        <v>1</v>
      </c>
    </row>
    <row r="8" spans="1:13" ht="17.25" customHeight="1" x14ac:dyDescent="0.25">
      <c r="A8" s="87"/>
      <c r="B8" s="89"/>
      <c r="C8" s="91"/>
      <c r="D8" s="7">
        <v>2</v>
      </c>
      <c r="E8" s="7">
        <v>385</v>
      </c>
      <c r="F8" s="7">
        <v>78</v>
      </c>
      <c r="G8" s="7">
        <v>1</v>
      </c>
      <c r="H8" s="7">
        <v>149</v>
      </c>
      <c r="I8" s="7">
        <v>9</v>
      </c>
      <c r="J8" s="7">
        <v>143</v>
      </c>
      <c r="K8" s="9">
        <v>380</v>
      </c>
      <c r="L8" s="18">
        <v>5</v>
      </c>
      <c r="M8" s="9">
        <v>0</v>
      </c>
    </row>
    <row r="9" spans="1:13" ht="17.25" customHeight="1" x14ac:dyDescent="0.25">
      <c r="A9" s="87"/>
      <c r="B9" s="89"/>
      <c r="C9" s="91"/>
      <c r="D9" s="7">
        <v>3</v>
      </c>
      <c r="E9" s="7">
        <v>395</v>
      </c>
      <c r="F9" s="7">
        <v>110</v>
      </c>
      <c r="G9" s="7">
        <v>1</v>
      </c>
      <c r="H9" s="7">
        <v>124</v>
      </c>
      <c r="I9" s="7">
        <v>8</v>
      </c>
      <c r="J9" s="7">
        <v>149</v>
      </c>
      <c r="K9" s="9">
        <v>392</v>
      </c>
      <c r="L9" s="18">
        <v>2</v>
      </c>
      <c r="M9" s="9">
        <v>1</v>
      </c>
    </row>
    <row r="10" spans="1:13" ht="17.25" customHeight="1" x14ac:dyDescent="0.25">
      <c r="A10" s="87"/>
      <c r="B10" s="89"/>
      <c r="C10" s="91"/>
      <c r="D10" s="7">
        <v>4</v>
      </c>
      <c r="E10" s="7">
        <v>537</v>
      </c>
      <c r="F10" s="7">
        <v>150</v>
      </c>
      <c r="G10" s="7">
        <v>2</v>
      </c>
      <c r="H10" s="7">
        <v>145</v>
      </c>
      <c r="I10" s="7">
        <v>10</v>
      </c>
      <c r="J10" s="7">
        <v>227</v>
      </c>
      <c r="K10" s="9">
        <v>534</v>
      </c>
      <c r="L10" s="18">
        <v>3</v>
      </c>
      <c r="M10" s="9">
        <v>0</v>
      </c>
    </row>
    <row r="11" spans="1:13" ht="17.25" customHeight="1" x14ac:dyDescent="0.25">
      <c r="A11" s="87"/>
      <c r="B11" s="89"/>
      <c r="C11" s="91"/>
      <c r="D11" s="7">
        <v>5</v>
      </c>
      <c r="E11" s="7">
        <v>505</v>
      </c>
      <c r="F11" s="7">
        <v>100</v>
      </c>
      <c r="G11" s="7">
        <v>0</v>
      </c>
      <c r="H11" s="7">
        <v>145</v>
      </c>
      <c r="I11" s="7">
        <v>4</v>
      </c>
      <c r="J11" s="7">
        <v>255</v>
      </c>
      <c r="K11" s="9">
        <v>504</v>
      </c>
      <c r="L11" s="18">
        <v>1</v>
      </c>
      <c r="M11" s="9">
        <v>0</v>
      </c>
    </row>
    <row r="12" spans="1:13" ht="17.25" customHeight="1" x14ac:dyDescent="0.25">
      <c r="A12" s="87"/>
      <c r="B12" s="89"/>
      <c r="C12" s="91"/>
      <c r="D12" s="7">
        <v>6</v>
      </c>
      <c r="E12" s="7">
        <v>497</v>
      </c>
      <c r="F12" s="7">
        <v>101</v>
      </c>
      <c r="G12" s="7">
        <v>3</v>
      </c>
      <c r="H12" s="7">
        <v>128</v>
      </c>
      <c r="I12" s="7">
        <v>13</v>
      </c>
      <c r="J12" s="7">
        <v>252</v>
      </c>
      <c r="K12" s="9">
        <v>497</v>
      </c>
      <c r="L12" s="18">
        <v>0</v>
      </c>
      <c r="M12" s="9">
        <v>0</v>
      </c>
    </row>
    <row r="13" spans="1:13" ht="17.25" customHeight="1" x14ac:dyDescent="0.25">
      <c r="A13" s="87"/>
      <c r="B13" s="89"/>
      <c r="C13" s="91"/>
      <c r="D13" s="7">
        <v>7</v>
      </c>
      <c r="E13" s="7">
        <v>479</v>
      </c>
      <c r="F13" s="7">
        <v>124</v>
      </c>
      <c r="G13" s="7">
        <v>3</v>
      </c>
      <c r="H13" s="7">
        <v>112</v>
      </c>
      <c r="I13" s="7">
        <v>10</v>
      </c>
      <c r="J13" s="7">
        <v>230</v>
      </c>
      <c r="K13" s="9">
        <v>479</v>
      </c>
      <c r="L13" s="18">
        <v>0</v>
      </c>
      <c r="M13" s="9">
        <v>0</v>
      </c>
    </row>
    <row r="14" spans="1:13" ht="17.25" customHeight="1" x14ac:dyDescent="0.25">
      <c r="A14" s="87"/>
      <c r="B14" s="89"/>
      <c r="C14" s="91"/>
      <c r="D14" s="7">
        <v>8</v>
      </c>
      <c r="E14" s="7">
        <v>506</v>
      </c>
      <c r="F14" s="7">
        <v>158</v>
      </c>
      <c r="G14" s="7">
        <v>2</v>
      </c>
      <c r="H14" s="7">
        <v>93</v>
      </c>
      <c r="I14" s="7">
        <v>8</v>
      </c>
      <c r="J14" s="7">
        <v>244</v>
      </c>
      <c r="K14" s="9">
        <v>505</v>
      </c>
      <c r="L14" s="18">
        <v>1</v>
      </c>
      <c r="M14" s="9">
        <v>0</v>
      </c>
    </row>
    <row r="15" spans="1:13" ht="17.25" customHeight="1" x14ac:dyDescent="0.25">
      <c r="A15" s="87"/>
      <c r="B15" s="89"/>
      <c r="C15" s="91"/>
      <c r="D15" s="7">
        <v>9</v>
      </c>
      <c r="E15" s="7">
        <v>535</v>
      </c>
      <c r="F15" s="7">
        <v>197</v>
      </c>
      <c r="G15" s="7">
        <v>1</v>
      </c>
      <c r="H15" s="7">
        <v>117</v>
      </c>
      <c r="I15" s="7">
        <v>7</v>
      </c>
      <c r="J15" s="7">
        <v>213</v>
      </c>
      <c r="K15" s="9">
        <v>535</v>
      </c>
      <c r="L15" s="18">
        <v>0</v>
      </c>
      <c r="M15" s="9">
        <v>0</v>
      </c>
    </row>
    <row r="16" spans="1:13" ht="17.25" customHeight="1" x14ac:dyDescent="0.25">
      <c r="A16" s="87"/>
      <c r="B16" s="89"/>
      <c r="C16" s="92"/>
      <c r="D16" s="7">
        <v>10</v>
      </c>
      <c r="E16" s="7">
        <v>563</v>
      </c>
      <c r="F16" s="7">
        <v>167</v>
      </c>
      <c r="G16" s="7">
        <v>1</v>
      </c>
      <c r="H16" s="7">
        <v>113</v>
      </c>
      <c r="I16" s="7">
        <v>6</v>
      </c>
      <c r="J16" s="7">
        <v>276</v>
      </c>
      <c r="K16" s="9">
        <v>563</v>
      </c>
      <c r="L16" s="18">
        <v>0</v>
      </c>
      <c r="M16" s="9">
        <v>0</v>
      </c>
    </row>
    <row r="17" spans="1:13" ht="17.25" customHeight="1" x14ac:dyDescent="0.25">
      <c r="A17" s="87"/>
      <c r="B17" s="89"/>
      <c r="C17" s="90" t="s">
        <v>47</v>
      </c>
      <c r="D17" s="7">
        <v>1</v>
      </c>
      <c r="E17" s="7">
        <v>332</v>
      </c>
      <c r="F17" s="7">
        <v>105</v>
      </c>
      <c r="G17" s="7">
        <v>0</v>
      </c>
      <c r="H17" s="7">
        <v>136</v>
      </c>
      <c r="I17" s="7">
        <v>7</v>
      </c>
      <c r="J17" s="7">
        <v>79</v>
      </c>
      <c r="K17" s="9">
        <v>327</v>
      </c>
      <c r="L17" s="18">
        <v>5</v>
      </c>
      <c r="M17" s="9">
        <v>0</v>
      </c>
    </row>
    <row r="18" spans="1:13" ht="17.25" customHeight="1" x14ac:dyDescent="0.25">
      <c r="A18" s="87"/>
      <c r="B18" s="89"/>
      <c r="C18" s="91"/>
      <c r="D18" s="7">
        <v>2</v>
      </c>
      <c r="E18" s="7">
        <v>372</v>
      </c>
      <c r="F18" s="7">
        <v>123</v>
      </c>
      <c r="G18" s="7">
        <v>0</v>
      </c>
      <c r="H18" s="7">
        <v>123</v>
      </c>
      <c r="I18" s="7">
        <v>3</v>
      </c>
      <c r="J18" s="7">
        <v>120</v>
      </c>
      <c r="K18" s="9">
        <v>369</v>
      </c>
      <c r="L18" s="18">
        <v>3</v>
      </c>
      <c r="M18" s="9">
        <v>0</v>
      </c>
    </row>
    <row r="19" spans="1:13" ht="17.25" customHeight="1" x14ac:dyDescent="0.25">
      <c r="A19" s="87"/>
      <c r="B19" s="89"/>
      <c r="C19" s="91"/>
      <c r="D19" s="7">
        <v>3</v>
      </c>
      <c r="E19" s="7">
        <v>585</v>
      </c>
      <c r="F19" s="7">
        <v>197</v>
      </c>
      <c r="G19" s="7">
        <v>1</v>
      </c>
      <c r="H19" s="7">
        <v>139</v>
      </c>
      <c r="I19" s="7">
        <v>6</v>
      </c>
      <c r="J19" s="7">
        <v>234</v>
      </c>
      <c r="K19" s="9">
        <v>577</v>
      </c>
      <c r="L19" s="18">
        <v>8</v>
      </c>
      <c r="M19" s="9">
        <v>0</v>
      </c>
    </row>
    <row r="20" spans="1:13" ht="17.25" customHeight="1" x14ac:dyDescent="0.25">
      <c r="A20" s="87"/>
      <c r="B20" s="89"/>
      <c r="C20" s="91"/>
      <c r="D20" s="7">
        <v>4</v>
      </c>
      <c r="E20" s="7">
        <v>527</v>
      </c>
      <c r="F20" s="7">
        <v>212</v>
      </c>
      <c r="G20" s="7">
        <v>2</v>
      </c>
      <c r="H20" s="7">
        <v>110</v>
      </c>
      <c r="I20" s="7">
        <v>3</v>
      </c>
      <c r="J20" s="7">
        <v>198</v>
      </c>
      <c r="K20" s="9">
        <v>525</v>
      </c>
      <c r="L20" s="18">
        <v>2</v>
      </c>
      <c r="M20" s="9">
        <v>0</v>
      </c>
    </row>
    <row r="21" spans="1:13" ht="17.25" customHeight="1" x14ac:dyDescent="0.25">
      <c r="A21" s="87"/>
      <c r="B21" s="89"/>
      <c r="C21" s="91"/>
      <c r="D21" s="7">
        <v>5</v>
      </c>
      <c r="E21" s="7">
        <v>538</v>
      </c>
      <c r="F21" s="7">
        <v>181</v>
      </c>
      <c r="G21" s="7">
        <v>2</v>
      </c>
      <c r="H21" s="7">
        <v>111</v>
      </c>
      <c r="I21" s="7">
        <v>8</v>
      </c>
      <c r="J21" s="7">
        <v>233</v>
      </c>
      <c r="K21" s="9">
        <v>535</v>
      </c>
      <c r="L21" s="18">
        <v>3</v>
      </c>
      <c r="M21" s="9">
        <v>0</v>
      </c>
    </row>
    <row r="22" spans="1:13" ht="17.25" customHeight="1" x14ac:dyDescent="0.25">
      <c r="A22" s="87"/>
      <c r="B22" s="89"/>
      <c r="C22" s="91"/>
      <c r="D22" s="7">
        <v>6</v>
      </c>
      <c r="E22" s="7">
        <v>586</v>
      </c>
      <c r="F22" s="7">
        <v>233</v>
      </c>
      <c r="G22" s="7">
        <v>4</v>
      </c>
      <c r="H22" s="7">
        <v>93</v>
      </c>
      <c r="I22" s="7">
        <v>7</v>
      </c>
      <c r="J22" s="7">
        <v>241</v>
      </c>
      <c r="K22" s="9">
        <v>578</v>
      </c>
      <c r="L22" s="18">
        <v>8</v>
      </c>
      <c r="M22" s="9">
        <v>0</v>
      </c>
    </row>
    <row r="23" spans="1:13" ht="17.25" customHeight="1" x14ac:dyDescent="0.25">
      <c r="A23" s="87"/>
      <c r="B23" s="89"/>
      <c r="C23" s="91"/>
      <c r="D23" s="7">
        <v>7</v>
      </c>
      <c r="E23" s="7">
        <v>586</v>
      </c>
      <c r="F23" s="7">
        <v>244</v>
      </c>
      <c r="G23" s="7">
        <v>0</v>
      </c>
      <c r="H23" s="7">
        <v>103</v>
      </c>
      <c r="I23" s="7">
        <v>7</v>
      </c>
      <c r="J23" s="7">
        <v>232</v>
      </c>
      <c r="K23" s="9">
        <v>586</v>
      </c>
      <c r="L23" s="18">
        <v>0</v>
      </c>
      <c r="M23" s="9">
        <v>0</v>
      </c>
    </row>
    <row r="24" spans="1:13" ht="17.25" customHeight="1" x14ac:dyDescent="0.25">
      <c r="A24" s="88"/>
      <c r="B24" s="65"/>
      <c r="C24" s="92"/>
      <c r="D24" s="7">
        <v>8</v>
      </c>
      <c r="E24" s="7">
        <v>598</v>
      </c>
      <c r="F24" s="7">
        <v>197</v>
      </c>
      <c r="G24" s="7">
        <v>1</v>
      </c>
      <c r="H24" s="7">
        <v>115</v>
      </c>
      <c r="I24" s="7">
        <v>9</v>
      </c>
      <c r="J24" s="7">
        <v>276</v>
      </c>
      <c r="K24" s="9">
        <v>598</v>
      </c>
      <c r="L24" s="18">
        <v>0</v>
      </c>
      <c r="M24" s="9">
        <v>0</v>
      </c>
    </row>
    <row r="25" spans="1:13" ht="37.950000000000003" customHeight="1" x14ac:dyDescent="0.25"/>
    <row r="26" spans="1:13" ht="325.95" customHeight="1" x14ac:dyDescent="0.25"/>
    <row r="27" spans="1:13" ht="325.95" customHeight="1" x14ac:dyDescent="0.25"/>
  </sheetData>
  <mergeCells count="17">
    <mergeCell ref="A1:M1"/>
    <mergeCell ref="A2:A4"/>
    <mergeCell ref="B2:B4"/>
    <mergeCell ref="C2:C4"/>
    <mergeCell ref="D2:D4"/>
    <mergeCell ref="E2:E4"/>
    <mergeCell ref="F2:K2"/>
    <mergeCell ref="L2:L4"/>
    <mergeCell ref="M2:M4"/>
    <mergeCell ref="K3:K4"/>
    <mergeCell ref="A5:A6"/>
    <mergeCell ref="B5:B6"/>
    <mergeCell ref="C5:C6"/>
    <mergeCell ref="A7:A24"/>
    <mergeCell ref="B7:B24"/>
    <mergeCell ref="C7:C16"/>
    <mergeCell ref="C17:C24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6"/>
  <sheetViews>
    <sheetView workbookViewId="0">
      <selection activeCell="A5" sqref="A5:M23"/>
    </sheetView>
  </sheetViews>
  <sheetFormatPr defaultRowHeight="13.2" x14ac:dyDescent="0.25"/>
  <cols>
    <col min="1" max="1" width="5.5546875" customWidth="1"/>
    <col min="2" max="2" width="17.33203125" customWidth="1"/>
    <col min="3" max="3" width="23.33203125" customWidth="1"/>
    <col min="4" max="4" width="9.33203125" customWidth="1"/>
    <col min="5" max="5" width="11.5546875" customWidth="1"/>
    <col min="6" max="10" width="14" customWidth="1"/>
    <col min="11" max="13" width="11.77734375" customWidth="1"/>
  </cols>
  <sheetData>
    <row r="1" spans="1:13" ht="34.799999999999997" customHeight="1" x14ac:dyDescent="0.25">
      <c r="A1" s="69" t="s">
        <v>48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1"/>
    </row>
    <row r="2" spans="1:13" ht="18" customHeight="1" x14ac:dyDescent="0.25">
      <c r="A2" s="72" t="s">
        <v>1</v>
      </c>
      <c r="B2" s="72" t="s">
        <v>2</v>
      </c>
      <c r="C2" s="72" t="s">
        <v>3</v>
      </c>
      <c r="D2" s="75" t="s">
        <v>4</v>
      </c>
      <c r="E2" s="78" t="s">
        <v>5</v>
      </c>
      <c r="F2" s="81" t="s">
        <v>6</v>
      </c>
      <c r="G2" s="82"/>
      <c r="H2" s="82"/>
      <c r="I2" s="82"/>
      <c r="J2" s="82"/>
      <c r="K2" s="83"/>
      <c r="L2" s="75" t="s">
        <v>7</v>
      </c>
      <c r="M2" s="78" t="s">
        <v>8</v>
      </c>
    </row>
    <row r="3" spans="1:13" ht="37.950000000000003" customHeight="1" x14ac:dyDescent="0.25">
      <c r="A3" s="73"/>
      <c r="B3" s="73"/>
      <c r="C3" s="73"/>
      <c r="D3" s="76"/>
      <c r="E3" s="79"/>
      <c r="F3" s="1" t="s">
        <v>9</v>
      </c>
      <c r="G3" s="1" t="s">
        <v>10</v>
      </c>
      <c r="H3" s="1" t="s">
        <v>11</v>
      </c>
      <c r="I3" s="2" t="s">
        <v>12</v>
      </c>
      <c r="J3" s="1" t="s">
        <v>13</v>
      </c>
      <c r="K3" s="84" t="s">
        <v>14</v>
      </c>
      <c r="L3" s="76"/>
      <c r="M3" s="79"/>
    </row>
    <row r="4" spans="1:13" ht="28.2" customHeight="1" x14ac:dyDescent="0.25">
      <c r="A4" s="74"/>
      <c r="B4" s="74"/>
      <c r="C4" s="74"/>
      <c r="D4" s="77"/>
      <c r="E4" s="80"/>
      <c r="F4" s="3"/>
      <c r="G4" s="3"/>
      <c r="H4" s="3"/>
      <c r="I4" s="3"/>
      <c r="J4" s="3"/>
      <c r="K4" s="85"/>
      <c r="L4" s="77"/>
      <c r="M4" s="80"/>
    </row>
    <row r="5" spans="1:13" ht="17.25" customHeight="1" x14ac:dyDescent="0.25">
      <c r="A5" s="86">
        <v>14</v>
      </c>
      <c r="B5" s="64" t="s">
        <v>45</v>
      </c>
      <c r="C5" s="59" t="s">
        <v>49</v>
      </c>
      <c r="D5" s="15">
        <v>1</v>
      </c>
      <c r="E5" s="7">
        <v>346</v>
      </c>
      <c r="F5" s="7">
        <v>233</v>
      </c>
      <c r="G5" s="7">
        <v>3</v>
      </c>
      <c r="H5" s="7">
        <v>70</v>
      </c>
      <c r="I5" s="7">
        <v>4</v>
      </c>
      <c r="J5" s="7">
        <v>28</v>
      </c>
      <c r="K5" s="9">
        <v>338</v>
      </c>
      <c r="L5" s="17">
        <v>8</v>
      </c>
      <c r="M5" s="9">
        <v>0</v>
      </c>
    </row>
    <row r="6" spans="1:13" ht="17.25" customHeight="1" x14ac:dyDescent="0.25">
      <c r="A6" s="87"/>
      <c r="B6" s="89"/>
      <c r="C6" s="60"/>
      <c r="D6" s="15">
        <v>2</v>
      </c>
      <c r="E6" s="7">
        <v>365</v>
      </c>
      <c r="F6" s="7">
        <v>217</v>
      </c>
      <c r="G6" s="7">
        <v>0</v>
      </c>
      <c r="H6" s="7">
        <v>69</v>
      </c>
      <c r="I6" s="7">
        <v>5</v>
      </c>
      <c r="J6" s="7">
        <v>69</v>
      </c>
      <c r="K6" s="9">
        <v>360</v>
      </c>
      <c r="L6" s="17">
        <v>5</v>
      </c>
      <c r="M6" s="9">
        <v>0</v>
      </c>
    </row>
    <row r="7" spans="1:13" ht="17.25" customHeight="1" x14ac:dyDescent="0.25">
      <c r="A7" s="87"/>
      <c r="B7" s="89"/>
      <c r="C7" s="60"/>
      <c r="D7" s="15">
        <v>3</v>
      </c>
      <c r="E7" s="7">
        <v>440</v>
      </c>
      <c r="F7" s="7">
        <v>252</v>
      </c>
      <c r="G7" s="7">
        <v>1</v>
      </c>
      <c r="H7" s="7">
        <v>59</v>
      </c>
      <c r="I7" s="7">
        <v>5</v>
      </c>
      <c r="J7" s="7">
        <v>123</v>
      </c>
      <c r="K7" s="9">
        <v>440</v>
      </c>
      <c r="L7" s="17">
        <v>0</v>
      </c>
      <c r="M7" s="9">
        <v>0</v>
      </c>
    </row>
    <row r="8" spans="1:13" ht="17.25" customHeight="1" x14ac:dyDescent="0.25">
      <c r="A8" s="87"/>
      <c r="B8" s="89"/>
      <c r="C8" s="60"/>
      <c r="D8" s="15">
        <v>4</v>
      </c>
      <c r="E8" s="7">
        <v>423</v>
      </c>
      <c r="F8" s="7">
        <v>189</v>
      </c>
      <c r="G8" s="7">
        <v>2</v>
      </c>
      <c r="H8" s="7">
        <v>81</v>
      </c>
      <c r="I8" s="7">
        <v>3</v>
      </c>
      <c r="J8" s="7">
        <v>146</v>
      </c>
      <c r="K8" s="9">
        <v>421</v>
      </c>
      <c r="L8" s="17">
        <v>2</v>
      </c>
      <c r="M8" s="9">
        <v>0</v>
      </c>
    </row>
    <row r="9" spans="1:13" ht="17.25" customHeight="1" x14ac:dyDescent="0.25">
      <c r="A9" s="88"/>
      <c r="B9" s="65"/>
      <c r="C9" s="61"/>
      <c r="D9" s="15">
        <v>5</v>
      </c>
      <c r="E9" s="7">
        <v>466</v>
      </c>
      <c r="F9" s="7">
        <v>167</v>
      </c>
      <c r="G9" s="7">
        <v>2</v>
      </c>
      <c r="H9" s="7">
        <v>71</v>
      </c>
      <c r="I9" s="7">
        <v>0</v>
      </c>
      <c r="J9" s="7">
        <v>223</v>
      </c>
      <c r="K9" s="9">
        <v>463</v>
      </c>
      <c r="L9" s="17">
        <v>3</v>
      </c>
      <c r="M9" s="9">
        <v>0</v>
      </c>
    </row>
    <row r="10" spans="1:13" ht="17.25" customHeight="1" x14ac:dyDescent="0.25">
      <c r="A10" s="86">
        <v>15</v>
      </c>
      <c r="B10" s="64" t="s">
        <v>50</v>
      </c>
      <c r="C10" s="59" t="s">
        <v>51</v>
      </c>
      <c r="D10" s="15">
        <v>1</v>
      </c>
      <c r="E10" s="7">
        <v>322</v>
      </c>
      <c r="F10" s="7">
        <v>239</v>
      </c>
      <c r="G10" s="7">
        <v>3</v>
      </c>
      <c r="H10" s="7">
        <v>44</v>
      </c>
      <c r="I10" s="7">
        <v>2</v>
      </c>
      <c r="J10" s="7">
        <v>29</v>
      </c>
      <c r="K10" s="9">
        <v>317</v>
      </c>
      <c r="L10" s="17">
        <v>4</v>
      </c>
      <c r="M10" s="9">
        <v>1</v>
      </c>
    </row>
    <row r="11" spans="1:13" ht="17.25" customHeight="1" x14ac:dyDescent="0.25">
      <c r="A11" s="87"/>
      <c r="B11" s="89"/>
      <c r="C11" s="60"/>
      <c r="D11" s="15">
        <v>2</v>
      </c>
      <c r="E11" s="7">
        <v>515</v>
      </c>
      <c r="F11" s="7">
        <v>335</v>
      </c>
      <c r="G11" s="7">
        <v>1</v>
      </c>
      <c r="H11" s="7">
        <v>52</v>
      </c>
      <c r="I11" s="7">
        <v>5</v>
      </c>
      <c r="J11" s="7">
        <v>116</v>
      </c>
      <c r="K11" s="9">
        <v>509</v>
      </c>
      <c r="L11" s="17">
        <v>6</v>
      </c>
      <c r="M11" s="9">
        <v>0</v>
      </c>
    </row>
    <row r="12" spans="1:13" ht="17.25" customHeight="1" x14ac:dyDescent="0.25">
      <c r="A12" s="87"/>
      <c r="B12" s="89"/>
      <c r="C12" s="60"/>
      <c r="D12" s="15">
        <v>3</v>
      </c>
      <c r="E12" s="7">
        <v>437</v>
      </c>
      <c r="F12" s="7">
        <v>265</v>
      </c>
      <c r="G12" s="7">
        <v>0</v>
      </c>
      <c r="H12" s="7">
        <v>47</v>
      </c>
      <c r="I12" s="7">
        <v>5</v>
      </c>
      <c r="J12" s="7">
        <v>120</v>
      </c>
      <c r="K12" s="9">
        <v>437</v>
      </c>
      <c r="L12" s="17">
        <v>0</v>
      </c>
      <c r="M12" s="9">
        <v>0</v>
      </c>
    </row>
    <row r="13" spans="1:13" ht="17.25" customHeight="1" x14ac:dyDescent="0.25">
      <c r="A13" s="87"/>
      <c r="B13" s="89"/>
      <c r="C13" s="60"/>
      <c r="D13" s="15">
        <v>4</v>
      </c>
      <c r="E13" s="7">
        <v>477</v>
      </c>
      <c r="F13" s="7">
        <v>217</v>
      </c>
      <c r="G13" s="7">
        <v>0</v>
      </c>
      <c r="H13" s="7">
        <v>49</v>
      </c>
      <c r="I13" s="7">
        <v>1</v>
      </c>
      <c r="J13" s="7">
        <v>210</v>
      </c>
      <c r="K13" s="9">
        <v>477</v>
      </c>
      <c r="L13" s="17">
        <v>0</v>
      </c>
      <c r="M13" s="9">
        <v>0</v>
      </c>
    </row>
    <row r="14" spans="1:13" ht="17.25" customHeight="1" x14ac:dyDescent="0.25">
      <c r="A14" s="87"/>
      <c r="B14" s="89"/>
      <c r="C14" s="61"/>
      <c r="D14" s="15">
        <v>5</v>
      </c>
      <c r="E14" s="7">
        <v>499</v>
      </c>
      <c r="F14" s="7">
        <v>174</v>
      </c>
      <c r="G14" s="7">
        <v>1</v>
      </c>
      <c r="H14" s="7">
        <v>50</v>
      </c>
      <c r="I14" s="7">
        <v>3</v>
      </c>
      <c r="J14" s="7">
        <v>268</v>
      </c>
      <c r="K14" s="9">
        <v>496</v>
      </c>
      <c r="L14" s="17">
        <v>3</v>
      </c>
      <c r="M14" s="9">
        <v>0</v>
      </c>
    </row>
    <row r="15" spans="1:13" ht="17.25" customHeight="1" x14ac:dyDescent="0.25">
      <c r="A15" s="87"/>
      <c r="B15" s="89"/>
      <c r="C15" s="59" t="s">
        <v>52</v>
      </c>
      <c r="D15" s="15">
        <v>1</v>
      </c>
      <c r="E15" s="7">
        <v>317</v>
      </c>
      <c r="F15" s="7">
        <v>212</v>
      </c>
      <c r="G15" s="7">
        <v>2</v>
      </c>
      <c r="H15" s="7">
        <v>58</v>
      </c>
      <c r="I15" s="7">
        <v>5</v>
      </c>
      <c r="J15" s="7">
        <v>37</v>
      </c>
      <c r="K15" s="9">
        <v>314</v>
      </c>
      <c r="L15" s="17">
        <v>3</v>
      </c>
      <c r="M15" s="9">
        <v>0</v>
      </c>
    </row>
    <row r="16" spans="1:13" ht="17.25" customHeight="1" x14ac:dyDescent="0.25">
      <c r="A16" s="87"/>
      <c r="B16" s="89"/>
      <c r="C16" s="60"/>
      <c r="D16" s="15">
        <v>2</v>
      </c>
      <c r="E16" s="7">
        <v>387</v>
      </c>
      <c r="F16" s="7">
        <v>255</v>
      </c>
      <c r="G16" s="7">
        <v>0</v>
      </c>
      <c r="H16" s="7">
        <v>64</v>
      </c>
      <c r="I16" s="7">
        <v>3</v>
      </c>
      <c r="J16" s="7">
        <v>62</v>
      </c>
      <c r="K16" s="9">
        <v>384</v>
      </c>
      <c r="L16" s="17">
        <v>3</v>
      </c>
      <c r="M16" s="9">
        <v>0</v>
      </c>
    </row>
    <row r="17" spans="1:13" ht="17.25" customHeight="1" x14ac:dyDescent="0.25">
      <c r="A17" s="87"/>
      <c r="B17" s="89"/>
      <c r="C17" s="60"/>
      <c r="D17" s="15">
        <v>3</v>
      </c>
      <c r="E17" s="7">
        <v>372</v>
      </c>
      <c r="F17" s="7">
        <v>236</v>
      </c>
      <c r="G17" s="7">
        <v>0</v>
      </c>
      <c r="H17" s="7">
        <v>56</v>
      </c>
      <c r="I17" s="7">
        <v>4</v>
      </c>
      <c r="J17" s="7">
        <v>74</v>
      </c>
      <c r="K17" s="9">
        <v>370</v>
      </c>
      <c r="L17" s="17">
        <v>2</v>
      </c>
      <c r="M17" s="9">
        <v>0</v>
      </c>
    </row>
    <row r="18" spans="1:13" ht="17.25" customHeight="1" x14ac:dyDescent="0.25">
      <c r="A18" s="88"/>
      <c r="B18" s="65"/>
      <c r="C18" s="61"/>
      <c r="D18" s="15">
        <v>4</v>
      </c>
      <c r="E18" s="7">
        <v>386</v>
      </c>
      <c r="F18" s="7">
        <v>238</v>
      </c>
      <c r="G18" s="7">
        <v>1</v>
      </c>
      <c r="H18" s="7">
        <v>57</v>
      </c>
      <c r="I18" s="7">
        <v>0</v>
      </c>
      <c r="J18" s="7">
        <v>89</v>
      </c>
      <c r="K18" s="9">
        <v>385</v>
      </c>
      <c r="L18" s="17">
        <v>1</v>
      </c>
      <c r="M18" s="9">
        <v>0</v>
      </c>
    </row>
    <row r="19" spans="1:13" ht="17.25" customHeight="1" x14ac:dyDescent="0.25">
      <c r="A19" s="86">
        <v>16</v>
      </c>
      <c r="B19" s="56" t="s">
        <v>53</v>
      </c>
      <c r="C19" s="90" t="s">
        <v>54</v>
      </c>
      <c r="D19" s="15">
        <v>1</v>
      </c>
      <c r="E19" s="7">
        <v>349</v>
      </c>
      <c r="F19" s="7">
        <v>122</v>
      </c>
      <c r="G19" s="7">
        <v>5</v>
      </c>
      <c r="H19" s="7">
        <v>134</v>
      </c>
      <c r="I19" s="7">
        <v>5</v>
      </c>
      <c r="J19" s="7">
        <v>67</v>
      </c>
      <c r="K19" s="9">
        <v>333</v>
      </c>
      <c r="L19" s="15">
        <v>16</v>
      </c>
      <c r="M19" s="9">
        <v>0</v>
      </c>
    </row>
    <row r="20" spans="1:13" ht="17.25" customHeight="1" x14ac:dyDescent="0.25">
      <c r="A20" s="87"/>
      <c r="B20" s="57"/>
      <c r="C20" s="91"/>
      <c r="D20" s="15">
        <v>2</v>
      </c>
      <c r="E20" s="7">
        <v>396</v>
      </c>
      <c r="F20" s="7">
        <v>175</v>
      </c>
      <c r="G20" s="7">
        <v>1</v>
      </c>
      <c r="H20" s="7">
        <v>120</v>
      </c>
      <c r="I20" s="7">
        <v>6</v>
      </c>
      <c r="J20" s="7">
        <v>92</v>
      </c>
      <c r="K20" s="9">
        <v>394</v>
      </c>
      <c r="L20" s="17">
        <v>2</v>
      </c>
      <c r="M20" s="9">
        <v>0</v>
      </c>
    </row>
    <row r="21" spans="1:13" ht="17.25" customHeight="1" x14ac:dyDescent="0.25">
      <c r="A21" s="87"/>
      <c r="B21" s="57"/>
      <c r="C21" s="91"/>
      <c r="D21" s="15">
        <v>3</v>
      </c>
      <c r="E21" s="7">
        <v>571</v>
      </c>
      <c r="F21" s="7">
        <v>259</v>
      </c>
      <c r="G21" s="7">
        <v>1</v>
      </c>
      <c r="H21" s="7">
        <v>115</v>
      </c>
      <c r="I21" s="7">
        <v>6</v>
      </c>
      <c r="J21" s="7">
        <v>189</v>
      </c>
      <c r="K21" s="9">
        <v>570</v>
      </c>
      <c r="L21" s="17">
        <v>1</v>
      </c>
      <c r="M21" s="9">
        <v>0</v>
      </c>
    </row>
    <row r="22" spans="1:13" ht="17.25" customHeight="1" x14ac:dyDescent="0.25">
      <c r="A22" s="87"/>
      <c r="B22" s="57"/>
      <c r="C22" s="91"/>
      <c r="D22" s="15">
        <v>4</v>
      </c>
      <c r="E22" s="7">
        <v>533</v>
      </c>
      <c r="F22" s="7">
        <v>240</v>
      </c>
      <c r="G22" s="7">
        <v>2</v>
      </c>
      <c r="H22" s="7">
        <v>86</v>
      </c>
      <c r="I22" s="7">
        <v>8</v>
      </c>
      <c r="J22" s="7">
        <v>197</v>
      </c>
      <c r="K22" s="9">
        <v>533</v>
      </c>
      <c r="L22" s="17">
        <v>0</v>
      </c>
      <c r="M22" s="9">
        <v>0</v>
      </c>
    </row>
    <row r="23" spans="1:13" ht="17.25" customHeight="1" x14ac:dyDescent="0.25">
      <c r="A23" s="88"/>
      <c r="B23" s="58"/>
      <c r="C23" s="92"/>
      <c r="D23" s="15">
        <v>5</v>
      </c>
      <c r="E23" s="7">
        <v>547</v>
      </c>
      <c r="F23" s="7">
        <v>198</v>
      </c>
      <c r="G23" s="7">
        <v>7</v>
      </c>
      <c r="H23" s="7">
        <v>88</v>
      </c>
      <c r="I23" s="7">
        <v>2</v>
      </c>
      <c r="J23" s="7">
        <v>250</v>
      </c>
      <c r="K23" s="9">
        <v>545</v>
      </c>
      <c r="L23" s="17">
        <v>2</v>
      </c>
      <c r="M23" s="9">
        <v>0</v>
      </c>
    </row>
    <row r="24" spans="1:13" ht="37.950000000000003" customHeight="1" x14ac:dyDescent="0.25"/>
    <row r="25" spans="1:13" ht="310.05" customHeight="1" x14ac:dyDescent="0.25"/>
    <row r="26" spans="1:13" ht="310.05" customHeight="1" x14ac:dyDescent="0.25"/>
  </sheetData>
  <mergeCells count="20">
    <mergeCell ref="A1:M1"/>
    <mergeCell ref="A2:A4"/>
    <mergeCell ref="B2:B4"/>
    <mergeCell ref="C2:C4"/>
    <mergeCell ref="D2:D4"/>
    <mergeCell ref="E2:E4"/>
    <mergeCell ref="F2:K2"/>
    <mergeCell ref="L2:L4"/>
    <mergeCell ref="M2:M4"/>
    <mergeCell ref="K3:K4"/>
    <mergeCell ref="A19:A23"/>
    <mergeCell ref="B19:B23"/>
    <mergeCell ref="C19:C23"/>
    <mergeCell ref="A5:A9"/>
    <mergeCell ref="B5:B9"/>
    <mergeCell ref="C5:C9"/>
    <mergeCell ref="A10:A18"/>
    <mergeCell ref="B10:B18"/>
    <mergeCell ref="C10:C14"/>
    <mergeCell ref="C15:C18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7"/>
  <sheetViews>
    <sheetView workbookViewId="0">
      <selection activeCell="A5" sqref="A5:M24"/>
    </sheetView>
  </sheetViews>
  <sheetFormatPr defaultRowHeight="13.2" x14ac:dyDescent="0.25"/>
  <cols>
    <col min="1" max="1" width="5.5546875" customWidth="1"/>
    <col min="2" max="2" width="17.33203125" customWidth="1"/>
    <col min="3" max="3" width="23.33203125" customWidth="1"/>
    <col min="4" max="4" width="9.33203125" customWidth="1"/>
    <col min="5" max="5" width="11.5546875" customWidth="1"/>
    <col min="6" max="10" width="14" customWidth="1"/>
    <col min="11" max="13" width="11.77734375" customWidth="1"/>
  </cols>
  <sheetData>
    <row r="1" spans="1:13" ht="34.799999999999997" customHeight="1" x14ac:dyDescent="0.25">
      <c r="A1" s="69" t="s">
        <v>55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1"/>
    </row>
    <row r="2" spans="1:13" ht="18" customHeight="1" x14ac:dyDescent="0.25">
      <c r="A2" s="72" t="s">
        <v>1</v>
      </c>
      <c r="B2" s="72" t="s">
        <v>2</v>
      </c>
      <c r="C2" s="72" t="s">
        <v>3</v>
      </c>
      <c r="D2" s="75" t="s">
        <v>4</v>
      </c>
      <c r="E2" s="78" t="s">
        <v>5</v>
      </c>
      <c r="F2" s="81" t="s">
        <v>6</v>
      </c>
      <c r="G2" s="82"/>
      <c r="H2" s="82"/>
      <c r="I2" s="82"/>
      <c r="J2" s="82"/>
      <c r="K2" s="83"/>
      <c r="L2" s="75" t="s">
        <v>7</v>
      </c>
      <c r="M2" s="78" t="s">
        <v>8</v>
      </c>
    </row>
    <row r="3" spans="1:13" ht="37.950000000000003" customHeight="1" x14ac:dyDescent="0.25">
      <c r="A3" s="73"/>
      <c r="B3" s="73"/>
      <c r="C3" s="73"/>
      <c r="D3" s="76"/>
      <c r="E3" s="79"/>
      <c r="F3" s="1" t="s">
        <v>9</v>
      </c>
      <c r="G3" s="1" t="s">
        <v>10</v>
      </c>
      <c r="H3" s="1" t="s">
        <v>11</v>
      </c>
      <c r="I3" s="2" t="s">
        <v>12</v>
      </c>
      <c r="J3" s="1" t="s">
        <v>13</v>
      </c>
      <c r="K3" s="84" t="s">
        <v>14</v>
      </c>
      <c r="L3" s="76"/>
      <c r="M3" s="79"/>
    </row>
    <row r="4" spans="1:13" ht="28.2" customHeight="1" x14ac:dyDescent="0.25">
      <c r="A4" s="74"/>
      <c r="B4" s="74"/>
      <c r="C4" s="74"/>
      <c r="D4" s="77"/>
      <c r="E4" s="80"/>
      <c r="F4" s="3"/>
      <c r="G4" s="3"/>
      <c r="H4" s="3"/>
      <c r="I4" s="3"/>
      <c r="J4" s="3"/>
      <c r="K4" s="85"/>
      <c r="L4" s="77"/>
      <c r="M4" s="80"/>
    </row>
    <row r="5" spans="1:13" ht="17.25" customHeight="1" x14ac:dyDescent="0.25">
      <c r="A5" s="86">
        <v>17</v>
      </c>
      <c r="B5" s="56" t="s">
        <v>56</v>
      </c>
      <c r="C5" s="59" t="s">
        <v>57</v>
      </c>
      <c r="D5" s="15">
        <v>1</v>
      </c>
      <c r="E5" s="7">
        <v>344</v>
      </c>
      <c r="F5" s="7">
        <v>258</v>
      </c>
      <c r="G5" s="7">
        <v>3</v>
      </c>
      <c r="H5" s="7">
        <v>49</v>
      </c>
      <c r="I5" s="7">
        <v>3</v>
      </c>
      <c r="J5" s="7">
        <v>19</v>
      </c>
      <c r="K5" s="9">
        <v>332</v>
      </c>
      <c r="L5" s="15">
        <v>12</v>
      </c>
      <c r="M5" s="9">
        <v>0</v>
      </c>
    </row>
    <row r="6" spans="1:13" ht="17.25" customHeight="1" x14ac:dyDescent="0.25">
      <c r="A6" s="87"/>
      <c r="B6" s="57"/>
      <c r="C6" s="60"/>
      <c r="D6" s="15">
        <v>2</v>
      </c>
      <c r="E6" s="7">
        <v>482</v>
      </c>
      <c r="F6" s="7">
        <v>405</v>
      </c>
      <c r="G6" s="7">
        <v>1</v>
      </c>
      <c r="H6" s="7">
        <v>39</v>
      </c>
      <c r="I6" s="7">
        <v>1</v>
      </c>
      <c r="J6" s="7">
        <v>33</v>
      </c>
      <c r="K6" s="9">
        <v>479</v>
      </c>
      <c r="L6" s="17">
        <v>3</v>
      </c>
      <c r="M6" s="9">
        <v>0</v>
      </c>
    </row>
    <row r="7" spans="1:13" ht="17.25" customHeight="1" x14ac:dyDescent="0.25">
      <c r="A7" s="88"/>
      <c r="B7" s="58"/>
      <c r="C7" s="61"/>
      <c r="D7" s="15">
        <v>3</v>
      </c>
      <c r="E7" s="7">
        <v>476</v>
      </c>
      <c r="F7" s="7">
        <v>339</v>
      </c>
      <c r="G7" s="7">
        <v>2</v>
      </c>
      <c r="H7" s="7">
        <v>44</v>
      </c>
      <c r="I7" s="7">
        <v>3</v>
      </c>
      <c r="J7" s="7">
        <v>83</v>
      </c>
      <c r="K7" s="9">
        <v>471</v>
      </c>
      <c r="L7" s="17">
        <v>5</v>
      </c>
      <c r="M7" s="9">
        <v>0</v>
      </c>
    </row>
    <row r="8" spans="1:13" ht="17.25" customHeight="1" x14ac:dyDescent="0.25">
      <c r="A8" s="86">
        <v>18</v>
      </c>
      <c r="B8" s="90" t="s">
        <v>58</v>
      </c>
      <c r="C8" s="59" t="s">
        <v>59</v>
      </c>
      <c r="D8" s="15">
        <v>1</v>
      </c>
      <c r="E8" s="7">
        <v>345</v>
      </c>
      <c r="F8" s="7">
        <v>121</v>
      </c>
      <c r="G8" s="7">
        <v>1</v>
      </c>
      <c r="H8" s="7">
        <v>143</v>
      </c>
      <c r="I8" s="7">
        <v>6</v>
      </c>
      <c r="J8" s="7">
        <v>66</v>
      </c>
      <c r="K8" s="9">
        <v>337</v>
      </c>
      <c r="L8" s="17">
        <v>8</v>
      </c>
      <c r="M8" s="9">
        <v>0</v>
      </c>
    </row>
    <row r="9" spans="1:13" ht="17.25" customHeight="1" x14ac:dyDescent="0.25">
      <c r="A9" s="87"/>
      <c r="B9" s="91"/>
      <c r="C9" s="60"/>
      <c r="D9" s="15">
        <v>2</v>
      </c>
      <c r="E9" s="7">
        <v>490</v>
      </c>
      <c r="F9" s="7">
        <v>148</v>
      </c>
      <c r="G9" s="7">
        <v>2</v>
      </c>
      <c r="H9" s="7">
        <v>134</v>
      </c>
      <c r="I9" s="7">
        <v>6</v>
      </c>
      <c r="J9" s="7">
        <v>196</v>
      </c>
      <c r="K9" s="9">
        <v>486</v>
      </c>
      <c r="L9" s="17">
        <v>4</v>
      </c>
      <c r="M9" s="9">
        <v>0</v>
      </c>
    </row>
    <row r="10" spans="1:13" ht="17.25" customHeight="1" x14ac:dyDescent="0.25">
      <c r="A10" s="88"/>
      <c r="B10" s="92"/>
      <c r="C10" s="61"/>
      <c r="D10" s="15">
        <v>3</v>
      </c>
      <c r="E10" s="7">
        <v>501</v>
      </c>
      <c r="F10" s="7">
        <v>152</v>
      </c>
      <c r="G10" s="7">
        <v>2</v>
      </c>
      <c r="H10" s="7">
        <v>116</v>
      </c>
      <c r="I10" s="7">
        <v>8</v>
      </c>
      <c r="J10" s="7">
        <v>221</v>
      </c>
      <c r="K10" s="9">
        <v>499</v>
      </c>
      <c r="L10" s="17">
        <v>2</v>
      </c>
      <c r="M10" s="9">
        <v>0</v>
      </c>
    </row>
    <row r="11" spans="1:13" ht="17.25" customHeight="1" x14ac:dyDescent="0.25">
      <c r="A11" s="86">
        <v>19</v>
      </c>
      <c r="B11" s="56" t="s">
        <v>60</v>
      </c>
      <c r="C11" s="90" t="s">
        <v>61</v>
      </c>
      <c r="D11" s="15">
        <v>1</v>
      </c>
      <c r="E11" s="7">
        <v>316</v>
      </c>
      <c r="F11" s="7">
        <v>222</v>
      </c>
      <c r="G11" s="7">
        <v>2</v>
      </c>
      <c r="H11" s="7">
        <v>50</v>
      </c>
      <c r="I11" s="7">
        <v>6</v>
      </c>
      <c r="J11" s="7">
        <v>26</v>
      </c>
      <c r="K11" s="9">
        <v>306</v>
      </c>
      <c r="L11" s="15">
        <v>10</v>
      </c>
      <c r="M11" s="9">
        <v>0</v>
      </c>
    </row>
    <row r="12" spans="1:13" ht="17.25" customHeight="1" x14ac:dyDescent="0.25">
      <c r="A12" s="87"/>
      <c r="B12" s="57"/>
      <c r="C12" s="91"/>
      <c r="D12" s="15">
        <v>2</v>
      </c>
      <c r="E12" s="7">
        <v>559</v>
      </c>
      <c r="F12" s="7">
        <v>335</v>
      </c>
      <c r="G12" s="7">
        <v>4</v>
      </c>
      <c r="H12" s="7">
        <v>80</v>
      </c>
      <c r="I12" s="7">
        <v>3</v>
      </c>
      <c r="J12" s="7">
        <v>134</v>
      </c>
      <c r="K12" s="9">
        <v>556</v>
      </c>
      <c r="L12" s="17">
        <v>3</v>
      </c>
      <c r="M12" s="9">
        <v>0</v>
      </c>
    </row>
    <row r="13" spans="1:13" ht="17.25" customHeight="1" x14ac:dyDescent="0.25">
      <c r="A13" s="88"/>
      <c r="B13" s="58"/>
      <c r="C13" s="92"/>
      <c r="D13" s="15">
        <v>3</v>
      </c>
      <c r="E13" s="7">
        <v>561</v>
      </c>
      <c r="F13" s="7">
        <v>184</v>
      </c>
      <c r="G13" s="7">
        <v>3</v>
      </c>
      <c r="H13" s="7">
        <v>115</v>
      </c>
      <c r="I13" s="7">
        <v>1</v>
      </c>
      <c r="J13" s="7">
        <v>256</v>
      </c>
      <c r="K13" s="9">
        <v>559</v>
      </c>
      <c r="L13" s="17">
        <v>2</v>
      </c>
      <c r="M13" s="9">
        <v>0</v>
      </c>
    </row>
    <row r="14" spans="1:13" ht="17.25" customHeight="1" x14ac:dyDescent="0.25">
      <c r="A14" s="86">
        <v>20</v>
      </c>
      <c r="B14" s="96" t="s">
        <v>62</v>
      </c>
      <c r="C14" s="90" t="s">
        <v>63</v>
      </c>
      <c r="D14" s="15">
        <v>1</v>
      </c>
      <c r="E14" s="7">
        <v>329</v>
      </c>
      <c r="F14" s="7">
        <v>275</v>
      </c>
      <c r="G14" s="7">
        <v>3</v>
      </c>
      <c r="H14" s="7">
        <v>44</v>
      </c>
      <c r="I14" s="7">
        <v>3</v>
      </c>
      <c r="J14" s="7">
        <v>2</v>
      </c>
      <c r="K14" s="9">
        <v>327</v>
      </c>
      <c r="L14" s="17">
        <v>2</v>
      </c>
      <c r="M14" s="9">
        <v>0</v>
      </c>
    </row>
    <row r="15" spans="1:13" ht="17.25" customHeight="1" x14ac:dyDescent="0.25">
      <c r="A15" s="87"/>
      <c r="B15" s="98"/>
      <c r="C15" s="91"/>
      <c r="D15" s="15">
        <v>2</v>
      </c>
      <c r="E15" s="7">
        <v>355</v>
      </c>
      <c r="F15" s="7">
        <v>310</v>
      </c>
      <c r="G15" s="7">
        <v>1</v>
      </c>
      <c r="H15" s="7">
        <v>36</v>
      </c>
      <c r="I15" s="7">
        <v>0</v>
      </c>
      <c r="J15" s="7">
        <v>4</v>
      </c>
      <c r="K15" s="9">
        <v>351</v>
      </c>
      <c r="L15" s="17">
        <v>4</v>
      </c>
      <c r="M15" s="9">
        <v>0</v>
      </c>
    </row>
    <row r="16" spans="1:13" ht="17.25" customHeight="1" x14ac:dyDescent="0.25">
      <c r="A16" s="87"/>
      <c r="B16" s="98"/>
      <c r="C16" s="91"/>
      <c r="D16" s="15">
        <v>3</v>
      </c>
      <c r="E16" s="7">
        <v>334</v>
      </c>
      <c r="F16" s="7">
        <v>298</v>
      </c>
      <c r="G16" s="7">
        <v>0</v>
      </c>
      <c r="H16" s="7">
        <v>28</v>
      </c>
      <c r="I16" s="7">
        <v>0</v>
      </c>
      <c r="J16" s="7">
        <v>7</v>
      </c>
      <c r="K16" s="9">
        <v>333</v>
      </c>
      <c r="L16" s="17">
        <v>1</v>
      </c>
      <c r="M16" s="9">
        <v>0</v>
      </c>
    </row>
    <row r="17" spans="1:13" ht="17.25" customHeight="1" x14ac:dyDescent="0.25">
      <c r="A17" s="88"/>
      <c r="B17" s="97"/>
      <c r="C17" s="92"/>
      <c r="D17" s="15">
        <v>4</v>
      </c>
      <c r="E17" s="7">
        <v>334</v>
      </c>
      <c r="F17" s="7">
        <v>295</v>
      </c>
      <c r="G17" s="7">
        <v>0</v>
      </c>
      <c r="H17" s="7">
        <v>26</v>
      </c>
      <c r="I17" s="7">
        <v>0</v>
      </c>
      <c r="J17" s="7">
        <v>12</v>
      </c>
      <c r="K17" s="9">
        <v>333</v>
      </c>
      <c r="L17" s="17">
        <v>1</v>
      </c>
      <c r="M17" s="9">
        <v>0</v>
      </c>
    </row>
    <row r="18" spans="1:13" ht="17.25" customHeight="1" x14ac:dyDescent="0.25">
      <c r="A18" s="86">
        <v>21</v>
      </c>
      <c r="B18" s="56" t="s">
        <v>64</v>
      </c>
      <c r="C18" s="56" t="s">
        <v>65</v>
      </c>
      <c r="D18" s="15">
        <v>1</v>
      </c>
      <c r="E18" s="7">
        <v>276</v>
      </c>
      <c r="F18" s="7">
        <v>216</v>
      </c>
      <c r="G18" s="7">
        <v>1</v>
      </c>
      <c r="H18" s="7">
        <v>47</v>
      </c>
      <c r="I18" s="7">
        <v>1</v>
      </c>
      <c r="J18" s="7">
        <v>10</v>
      </c>
      <c r="K18" s="9">
        <v>275</v>
      </c>
      <c r="L18" s="17">
        <v>1</v>
      </c>
      <c r="M18" s="9">
        <v>0</v>
      </c>
    </row>
    <row r="19" spans="1:13" ht="17.25" customHeight="1" x14ac:dyDescent="0.25">
      <c r="A19" s="87"/>
      <c r="B19" s="57"/>
      <c r="C19" s="57"/>
      <c r="D19" s="15">
        <v>2</v>
      </c>
      <c r="E19" s="7">
        <v>353</v>
      </c>
      <c r="F19" s="7">
        <v>286</v>
      </c>
      <c r="G19" s="7">
        <v>1</v>
      </c>
      <c r="H19" s="7">
        <v>54</v>
      </c>
      <c r="I19" s="7">
        <v>0</v>
      </c>
      <c r="J19" s="7">
        <v>9</v>
      </c>
      <c r="K19" s="9">
        <v>350</v>
      </c>
      <c r="L19" s="17">
        <v>3</v>
      </c>
      <c r="M19" s="9">
        <v>0</v>
      </c>
    </row>
    <row r="20" spans="1:13" ht="17.25" customHeight="1" x14ac:dyDescent="0.25">
      <c r="A20" s="87"/>
      <c r="B20" s="57"/>
      <c r="C20" s="57"/>
      <c r="D20" s="15">
        <v>3</v>
      </c>
      <c r="E20" s="7">
        <v>371</v>
      </c>
      <c r="F20" s="7">
        <v>310</v>
      </c>
      <c r="G20" s="7">
        <v>3</v>
      </c>
      <c r="H20" s="7">
        <v>38</v>
      </c>
      <c r="I20" s="7">
        <v>3</v>
      </c>
      <c r="J20" s="7">
        <v>13</v>
      </c>
      <c r="K20" s="9">
        <v>367</v>
      </c>
      <c r="L20" s="17">
        <v>4</v>
      </c>
      <c r="M20" s="9">
        <v>0</v>
      </c>
    </row>
    <row r="21" spans="1:13" ht="17.25" customHeight="1" x14ac:dyDescent="0.25">
      <c r="A21" s="87"/>
      <c r="B21" s="57"/>
      <c r="C21" s="57"/>
      <c r="D21" s="15">
        <v>4</v>
      </c>
      <c r="E21" s="7">
        <v>551</v>
      </c>
      <c r="F21" s="7">
        <v>464</v>
      </c>
      <c r="G21" s="7">
        <v>1</v>
      </c>
      <c r="H21" s="7">
        <v>57</v>
      </c>
      <c r="I21" s="7">
        <v>0</v>
      </c>
      <c r="J21" s="7">
        <v>24</v>
      </c>
      <c r="K21" s="9">
        <v>546</v>
      </c>
      <c r="L21" s="17">
        <v>5</v>
      </c>
      <c r="M21" s="9">
        <v>0</v>
      </c>
    </row>
    <row r="22" spans="1:13" ht="17.25" customHeight="1" x14ac:dyDescent="0.25">
      <c r="A22" s="87"/>
      <c r="B22" s="57"/>
      <c r="C22" s="57"/>
      <c r="D22" s="15">
        <v>5</v>
      </c>
      <c r="E22" s="7">
        <v>551</v>
      </c>
      <c r="F22" s="7">
        <v>452</v>
      </c>
      <c r="G22" s="7">
        <v>0</v>
      </c>
      <c r="H22" s="7">
        <v>46</v>
      </c>
      <c r="I22" s="7">
        <v>2</v>
      </c>
      <c r="J22" s="7">
        <v>45</v>
      </c>
      <c r="K22" s="9">
        <v>545</v>
      </c>
      <c r="L22" s="17">
        <v>6</v>
      </c>
      <c r="M22" s="9">
        <v>0</v>
      </c>
    </row>
    <row r="23" spans="1:13" ht="17.25" customHeight="1" x14ac:dyDescent="0.25">
      <c r="A23" s="87"/>
      <c r="B23" s="57"/>
      <c r="C23" s="57"/>
      <c r="D23" s="15">
        <v>6</v>
      </c>
      <c r="E23" s="7">
        <v>539</v>
      </c>
      <c r="F23" s="7">
        <v>435</v>
      </c>
      <c r="G23" s="7">
        <v>0</v>
      </c>
      <c r="H23" s="7">
        <v>58</v>
      </c>
      <c r="I23" s="7">
        <v>2</v>
      </c>
      <c r="J23" s="7">
        <v>43</v>
      </c>
      <c r="K23" s="9">
        <v>538</v>
      </c>
      <c r="L23" s="17">
        <v>1</v>
      </c>
      <c r="M23" s="9">
        <v>0</v>
      </c>
    </row>
    <row r="24" spans="1:13" ht="17.25" customHeight="1" x14ac:dyDescent="0.25">
      <c r="A24" s="88"/>
      <c r="B24" s="58"/>
      <c r="C24" s="58"/>
      <c r="D24" s="15">
        <v>7</v>
      </c>
      <c r="E24" s="7">
        <v>542</v>
      </c>
      <c r="F24" s="7">
        <v>420</v>
      </c>
      <c r="G24" s="7">
        <v>0</v>
      </c>
      <c r="H24" s="7">
        <v>45</v>
      </c>
      <c r="I24" s="7">
        <v>0</v>
      </c>
      <c r="J24" s="7">
        <v>76</v>
      </c>
      <c r="K24" s="9">
        <v>541</v>
      </c>
      <c r="L24" s="17">
        <v>1</v>
      </c>
      <c r="M24" s="9">
        <v>0</v>
      </c>
    </row>
    <row r="25" spans="1:13" ht="37.950000000000003" customHeight="1" x14ac:dyDescent="0.25"/>
    <row r="26" spans="1:13" ht="325.95" customHeight="1" x14ac:dyDescent="0.25"/>
    <row r="27" spans="1:13" ht="325.95" customHeight="1" x14ac:dyDescent="0.25"/>
  </sheetData>
  <mergeCells count="25">
    <mergeCell ref="A1:M1"/>
    <mergeCell ref="A2:A4"/>
    <mergeCell ref="B2:B4"/>
    <mergeCell ref="C2:C4"/>
    <mergeCell ref="D2:D4"/>
    <mergeCell ref="E2:E4"/>
    <mergeCell ref="F2:K2"/>
    <mergeCell ref="L2:L4"/>
    <mergeCell ref="M2:M4"/>
    <mergeCell ref="K3:K4"/>
    <mergeCell ref="A5:A7"/>
    <mergeCell ref="B5:B7"/>
    <mergeCell ref="C5:C7"/>
    <mergeCell ref="A8:A10"/>
    <mergeCell ref="B8:B10"/>
    <mergeCell ref="C8:C10"/>
    <mergeCell ref="A18:A24"/>
    <mergeCell ref="B18:B24"/>
    <mergeCell ref="C18:C24"/>
    <mergeCell ref="A11:A13"/>
    <mergeCell ref="B11:B13"/>
    <mergeCell ref="C11:C13"/>
    <mergeCell ref="A14:A17"/>
    <mergeCell ref="B14:B17"/>
    <mergeCell ref="C14:C17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22"/>
  <sheetViews>
    <sheetView topLeftCell="A5" workbookViewId="0">
      <selection activeCell="A5" sqref="A5:M19"/>
    </sheetView>
  </sheetViews>
  <sheetFormatPr defaultRowHeight="13.2" x14ac:dyDescent="0.25"/>
  <cols>
    <col min="1" max="1" width="5.5546875" customWidth="1"/>
    <col min="2" max="2" width="17.33203125" customWidth="1"/>
    <col min="3" max="3" width="23.33203125" customWidth="1"/>
    <col min="4" max="4" width="9.33203125" customWidth="1"/>
    <col min="5" max="5" width="11.5546875" customWidth="1"/>
    <col min="6" max="10" width="14" customWidth="1"/>
    <col min="11" max="13" width="11.77734375" customWidth="1"/>
  </cols>
  <sheetData>
    <row r="1" spans="1:13" ht="34.799999999999997" customHeight="1" x14ac:dyDescent="0.25">
      <c r="A1" s="69" t="s">
        <v>66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1"/>
    </row>
    <row r="2" spans="1:13" ht="18" customHeight="1" x14ac:dyDescent="0.25">
      <c r="A2" s="72" t="s">
        <v>1</v>
      </c>
      <c r="B2" s="72" t="s">
        <v>2</v>
      </c>
      <c r="C2" s="72" t="s">
        <v>3</v>
      </c>
      <c r="D2" s="75" t="s">
        <v>4</v>
      </c>
      <c r="E2" s="78" t="s">
        <v>5</v>
      </c>
      <c r="F2" s="81" t="s">
        <v>6</v>
      </c>
      <c r="G2" s="82"/>
      <c r="H2" s="82"/>
      <c r="I2" s="82"/>
      <c r="J2" s="82"/>
      <c r="K2" s="83"/>
      <c r="L2" s="75" t="s">
        <v>7</v>
      </c>
      <c r="M2" s="78" t="s">
        <v>8</v>
      </c>
    </row>
    <row r="3" spans="1:13" ht="37.950000000000003" customHeight="1" x14ac:dyDescent="0.25">
      <c r="A3" s="73"/>
      <c r="B3" s="73"/>
      <c r="C3" s="73"/>
      <c r="D3" s="76"/>
      <c r="E3" s="79"/>
      <c r="F3" s="1" t="s">
        <v>9</v>
      </c>
      <c r="G3" s="1" t="s">
        <v>10</v>
      </c>
      <c r="H3" s="1" t="s">
        <v>11</v>
      </c>
      <c r="I3" s="2" t="s">
        <v>12</v>
      </c>
      <c r="J3" s="1" t="s">
        <v>13</v>
      </c>
      <c r="K3" s="84" t="s">
        <v>14</v>
      </c>
      <c r="L3" s="76"/>
      <c r="M3" s="79"/>
    </row>
    <row r="4" spans="1:13" ht="28.2" customHeight="1" x14ac:dyDescent="0.25">
      <c r="A4" s="74"/>
      <c r="B4" s="74"/>
      <c r="C4" s="74"/>
      <c r="D4" s="77"/>
      <c r="E4" s="80"/>
      <c r="F4" s="3"/>
      <c r="G4" s="3"/>
      <c r="H4" s="3"/>
      <c r="I4" s="3"/>
      <c r="J4" s="3"/>
      <c r="K4" s="85"/>
      <c r="L4" s="77"/>
      <c r="M4" s="80"/>
    </row>
    <row r="5" spans="1:13" ht="17.25" customHeight="1" x14ac:dyDescent="0.25">
      <c r="A5" s="86">
        <v>21</v>
      </c>
      <c r="B5" s="56" t="s">
        <v>64</v>
      </c>
      <c r="C5" s="90" t="s">
        <v>67</v>
      </c>
      <c r="D5" s="15">
        <v>1</v>
      </c>
      <c r="E5" s="7">
        <v>335</v>
      </c>
      <c r="F5" s="7">
        <v>258</v>
      </c>
      <c r="G5" s="7">
        <v>2</v>
      </c>
      <c r="H5" s="7">
        <v>41</v>
      </c>
      <c r="I5" s="7">
        <v>2</v>
      </c>
      <c r="J5" s="7">
        <v>23</v>
      </c>
      <c r="K5" s="9">
        <v>326</v>
      </c>
      <c r="L5" s="18">
        <v>9</v>
      </c>
      <c r="M5" s="9">
        <v>0</v>
      </c>
    </row>
    <row r="6" spans="1:13" ht="17.25" customHeight="1" x14ac:dyDescent="0.25">
      <c r="A6" s="87"/>
      <c r="B6" s="57"/>
      <c r="C6" s="91"/>
      <c r="D6" s="15">
        <v>2</v>
      </c>
      <c r="E6" s="7">
        <v>336</v>
      </c>
      <c r="F6" s="7">
        <v>299</v>
      </c>
      <c r="G6" s="7">
        <v>1</v>
      </c>
      <c r="H6" s="7">
        <v>22</v>
      </c>
      <c r="I6" s="7">
        <v>0</v>
      </c>
      <c r="J6" s="7">
        <v>14</v>
      </c>
      <c r="K6" s="9">
        <v>336</v>
      </c>
      <c r="L6" s="18">
        <v>0</v>
      </c>
      <c r="M6" s="9">
        <v>0</v>
      </c>
    </row>
    <row r="7" spans="1:13" ht="17.25" customHeight="1" x14ac:dyDescent="0.25">
      <c r="A7" s="88"/>
      <c r="B7" s="58"/>
      <c r="C7" s="92"/>
      <c r="D7" s="15">
        <v>3</v>
      </c>
      <c r="E7" s="7">
        <v>329</v>
      </c>
      <c r="F7" s="7">
        <v>263</v>
      </c>
      <c r="G7" s="7">
        <v>2</v>
      </c>
      <c r="H7" s="7">
        <v>35</v>
      </c>
      <c r="I7" s="7">
        <v>0</v>
      </c>
      <c r="J7" s="7">
        <v>29</v>
      </c>
      <c r="K7" s="9">
        <v>329</v>
      </c>
      <c r="L7" s="18">
        <v>0</v>
      </c>
      <c r="M7" s="9">
        <v>0</v>
      </c>
    </row>
    <row r="8" spans="1:13" ht="17.25" customHeight="1" x14ac:dyDescent="0.25">
      <c r="A8" s="86">
        <v>22</v>
      </c>
      <c r="B8" s="64" t="s">
        <v>68</v>
      </c>
      <c r="C8" s="64" t="s">
        <v>69</v>
      </c>
      <c r="D8" s="15">
        <v>1</v>
      </c>
      <c r="E8" s="7">
        <v>336</v>
      </c>
      <c r="F8" s="7">
        <v>209</v>
      </c>
      <c r="G8" s="7">
        <v>7</v>
      </c>
      <c r="H8" s="7">
        <v>89</v>
      </c>
      <c r="I8" s="7">
        <v>2</v>
      </c>
      <c r="J8" s="7">
        <v>21</v>
      </c>
      <c r="K8" s="9">
        <v>328</v>
      </c>
      <c r="L8" s="18">
        <v>8</v>
      </c>
      <c r="M8" s="9">
        <v>0</v>
      </c>
    </row>
    <row r="9" spans="1:13" ht="17.25" customHeight="1" x14ac:dyDescent="0.25">
      <c r="A9" s="87"/>
      <c r="B9" s="89"/>
      <c r="C9" s="89"/>
      <c r="D9" s="15">
        <v>2</v>
      </c>
      <c r="E9" s="7">
        <v>491</v>
      </c>
      <c r="F9" s="7">
        <v>381</v>
      </c>
      <c r="G9" s="7">
        <v>1</v>
      </c>
      <c r="H9" s="7">
        <v>67</v>
      </c>
      <c r="I9" s="7">
        <v>2</v>
      </c>
      <c r="J9" s="7">
        <v>35</v>
      </c>
      <c r="K9" s="9">
        <v>486</v>
      </c>
      <c r="L9" s="18">
        <v>5</v>
      </c>
      <c r="M9" s="9">
        <v>0</v>
      </c>
    </row>
    <row r="10" spans="1:13" ht="17.25" customHeight="1" x14ac:dyDescent="0.25">
      <c r="A10" s="87"/>
      <c r="B10" s="89"/>
      <c r="C10" s="89"/>
      <c r="D10" s="15">
        <v>3</v>
      </c>
      <c r="E10" s="7">
        <v>451</v>
      </c>
      <c r="F10" s="7">
        <v>333</v>
      </c>
      <c r="G10" s="7">
        <v>0</v>
      </c>
      <c r="H10" s="7">
        <v>67</v>
      </c>
      <c r="I10" s="7">
        <v>0</v>
      </c>
      <c r="J10" s="7">
        <v>48</v>
      </c>
      <c r="K10" s="9">
        <v>448</v>
      </c>
      <c r="L10" s="18">
        <v>3</v>
      </c>
      <c r="M10" s="9">
        <v>0</v>
      </c>
    </row>
    <row r="11" spans="1:13" ht="17.25" customHeight="1" x14ac:dyDescent="0.25">
      <c r="A11" s="87"/>
      <c r="B11" s="89"/>
      <c r="C11" s="65"/>
      <c r="D11" s="15">
        <v>4</v>
      </c>
      <c r="E11" s="7">
        <v>445</v>
      </c>
      <c r="F11" s="7">
        <v>323</v>
      </c>
      <c r="G11" s="7">
        <v>1</v>
      </c>
      <c r="H11" s="7">
        <v>46</v>
      </c>
      <c r="I11" s="7">
        <v>2</v>
      </c>
      <c r="J11" s="7">
        <v>70</v>
      </c>
      <c r="K11" s="9">
        <v>442</v>
      </c>
      <c r="L11" s="18">
        <v>3</v>
      </c>
      <c r="M11" s="9">
        <v>0</v>
      </c>
    </row>
    <row r="12" spans="1:13" ht="17.25" customHeight="1" x14ac:dyDescent="0.25">
      <c r="A12" s="87"/>
      <c r="B12" s="89"/>
      <c r="C12" s="59" t="s">
        <v>70</v>
      </c>
      <c r="D12" s="15">
        <v>1</v>
      </c>
      <c r="E12" s="7">
        <v>301</v>
      </c>
      <c r="F12" s="7">
        <v>235</v>
      </c>
      <c r="G12" s="7">
        <v>4</v>
      </c>
      <c r="H12" s="7">
        <v>48</v>
      </c>
      <c r="I12" s="7">
        <v>2</v>
      </c>
      <c r="J12" s="7">
        <v>7</v>
      </c>
      <c r="K12" s="9">
        <v>296</v>
      </c>
      <c r="L12" s="18">
        <v>5</v>
      </c>
      <c r="M12" s="9">
        <v>0</v>
      </c>
    </row>
    <row r="13" spans="1:13" ht="17.25" customHeight="1" x14ac:dyDescent="0.25">
      <c r="A13" s="87"/>
      <c r="B13" s="89"/>
      <c r="C13" s="60"/>
      <c r="D13" s="15">
        <v>2</v>
      </c>
      <c r="E13" s="7">
        <v>367</v>
      </c>
      <c r="F13" s="7">
        <v>303</v>
      </c>
      <c r="G13" s="7">
        <v>0</v>
      </c>
      <c r="H13" s="7">
        <v>50</v>
      </c>
      <c r="I13" s="7">
        <v>0</v>
      </c>
      <c r="J13" s="7">
        <v>12</v>
      </c>
      <c r="K13" s="9">
        <v>365</v>
      </c>
      <c r="L13" s="18">
        <v>2</v>
      </c>
      <c r="M13" s="9">
        <v>0</v>
      </c>
    </row>
    <row r="14" spans="1:13" ht="17.25" customHeight="1" x14ac:dyDescent="0.25">
      <c r="A14" s="87"/>
      <c r="B14" s="89"/>
      <c r="C14" s="60"/>
      <c r="D14" s="15">
        <v>3</v>
      </c>
      <c r="E14" s="7">
        <v>584</v>
      </c>
      <c r="F14" s="7">
        <v>496</v>
      </c>
      <c r="G14" s="7">
        <v>2</v>
      </c>
      <c r="H14" s="7">
        <v>36</v>
      </c>
      <c r="I14" s="7">
        <v>4</v>
      </c>
      <c r="J14" s="7">
        <v>46</v>
      </c>
      <c r="K14" s="9">
        <v>584</v>
      </c>
      <c r="L14" s="18">
        <v>0</v>
      </c>
      <c r="M14" s="9">
        <v>0</v>
      </c>
    </row>
    <row r="15" spans="1:13" ht="17.25" customHeight="1" x14ac:dyDescent="0.25">
      <c r="A15" s="88"/>
      <c r="B15" s="65"/>
      <c r="C15" s="61"/>
      <c r="D15" s="15">
        <v>4</v>
      </c>
      <c r="E15" s="7">
        <v>586</v>
      </c>
      <c r="F15" s="7">
        <v>451</v>
      </c>
      <c r="G15" s="7">
        <v>1</v>
      </c>
      <c r="H15" s="7">
        <v>33</v>
      </c>
      <c r="I15" s="7">
        <v>1</v>
      </c>
      <c r="J15" s="7">
        <v>89</v>
      </c>
      <c r="K15" s="9">
        <v>575</v>
      </c>
      <c r="L15" s="19">
        <v>11</v>
      </c>
      <c r="M15" s="9">
        <v>0</v>
      </c>
    </row>
    <row r="16" spans="1:13" ht="17.25" customHeight="1" x14ac:dyDescent="0.25">
      <c r="A16" s="86">
        <v>23</v>
      </c>
      <c r="B16" s="56" t="s">
        <v>71</v>
      </c>
      <c r="C16" s="59" t="s">
        <v>72</v>
      </c>
      <c r="D16" s="15">
        <v>1</v>
      </c>
      <c r="E16" s="7">
        <v>367</v>
      </c>
      <c r="F16" s="7">
        <v>45</v>
      </c>
      <c r="G16" s="7">
        <v>0</v>
      </c>
      <c r="H16" s="7">
        <v>255</v>
      </c>
      <c r="I16" s="7">
        <v>4</v>
      </c>
      <c r="J16" s="7">
        <v>61</v>
      </c>
      <c r="K16" s="9">
        <v>365</v>
      </c>
      <c r="L16" s="18">
        <v>2</v>
      </c>
      <c r="M16" s="9">
        <v>0</v>
      </c>
    </row>
    <row r="17" spans="1:13" ht="17.25" customHeight="1" x14ac:dyDescent="0.25">
      <c r="A17" s="87"/>
      <c r="B17" s="57"/>
      <c r="C17" s="60"/>
      <c r="D17" s="15">
        <v>2</v>
      </c>
      <c r="E17" s="7">
        <v>457</v>
      </c>
      <c r="F17" s="7">
        <v>103</v>
      </c>
      <c r="G17" s="7">
        <v>2</v>
      </c>
      <c r="H17" s="7">
        <v>193</v>
      </c>
      <c r="I17" s="7">
        <v>9</v>
      </c>
      <c r="J17" s="7">
        <v>147</v>
      </c>
      <c r="K17" s="9">
        <v>454</v>
      </c>
      <c r="L17" s="18">
        <v>3</v>
      </c>
      <c r="M17" s="9">
        <v>0</v>
      </c>
    </row>
    <row r="18" spans="1:13" ht="17.25" customHeight="1" x14ac:dyDescent="0.25">
      <c r="A18" s="87"/>
      <c r="B18" s="57"/>
      <c r="C18" s="60"/>
      <c r="D18" s="15">
        <v>3</v>
      </c>
      <c r="E18" s="7">
        <v>449</v>
      </c>
      <c r="F18" s="7">
        <v>102</v>
      </c>
      <c r="G18" s="7">
        <v>1</v>
      </c>
      <c r="H18" s="7">
        <v>168</v>
      </c>
      <c r="I18" s="7">
        <v>3</v>
      </c>
      <c r="J18" s="7">
        <v>175</v>
      </c>
      <c r="K18" s="9">
        <v>449</v>
      </c>
      <c r="L18" s="18">
        <v>0</v>
      </c>
      <c r="M18" s="9">
        <v>0</v>
      </c>
    </row>
    <row r="19" spans="1:13" ht="17.25" customHeight="1" x14ac:dyDescent="0.25">
      <c r="A19" s="88"/>
      <c r="B19" s="58"/>
      <c r="C19" s="61"/>
      <c r="D19" s="15">
        <v>4</v>
      </c>
      <c r="E19" s="7">
        <v>473</v>
      </c>
      <c r="F19" s="7">
        <v>104</v>
      </c>
      <c r="G19" s="7">
        <v>1</v>
      </c>
      <c r="H19" s="7">
        <v>131</v>
      </c>
      <c r="I19" s="7">
        <v>2</v>
      </c>
      <c r="J19" s="7">
        <v>235</v>
      </c>
      <c r="K19" s="9">
        <v>473</v>
      </c>
      <c r="L19" s="18">
        <v>0</v>
      </c>
      <c r="M19" s="9">
        <v>0</v>
      </c>
    </row>
    <row r="20" spans="1:13" ht="37.950000000000003" customHeight="1" x14ac:dyDescent="0.25"/>
    <row r="21" spans="1:13" ht="244.95" customHeight="1" x14ac:dyDescent="0.25"/>
    <row r="22" spans="1:13" ht="244.95" customHeight="1" x14ac:dyDescent="0.25"/>
  </sheetData>
  <mergeCells count="20">
    <mergeCell ref="A1:M1"/>
    <mergeCell ref="A2:A4"/>
    <mergeCell ref="B2:B4"/>
    <mergeCell ref="C2:C4"/>
    <mergeCell ref="D2:D4"/>
    <mergeCell ref="E2:E4"/>
    <mergeCell ref="F2:K2"/>
    <mergeCell ref="L2:L4"/>
    <mergeCell ref="M2:M4"/>
    <mergeCell ref="K3:K4"/>
    <mergeCell ref="A16:A19"/>
    <mergeCell ref="B16:B19"/>
    <mergeCell ref="C16:C19"/>
    <mergeCell ref="A5:A7"/>
    <mergeCell ref="B5:B7"/>
    <mergeCell ref="C5:C7"/>
    <mergeCell ref="A8:A15"/>
    <mergeCell ref="B8:B15"/>
    <mergeCell ref="C8:C11"/>
    <mergeCell ref="C12:C15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22"/>
  <sheetViews>
    <sheetView workbookViewId="0">
      <selection activeCell="A5" sqref="A5:M19"/>
    </sheetView>
  </sheetViews>
  <sheetFormatPr defaultRowHeight="13.2" x14ac:dyDescent="0.25"/>
  <cols>
    <col min="1" max="1" width="5.5546875" customWidth="1"/>
    <col min="2" max="2" width="17.33203125" customWidth="1"/>
    <col min="3" max="3" width="23.33203125" customWidth="1"/>
    <col min="4" max="4" width="9.33203125" customWidth="1"/>
    <col min="5" max="5" width="11.5546875" customWidth="1"/>
    <col min="6" max="10" width="14" customWidth="1"/>
    <col min="11" max="13" width="11.77734375" customWidth="1"/>
  </cols>
  <sheetData>
    <row r="1" spans="1:13" ht="34.799999999999997" customHeight="1" x14ac:dyDescent="0.25">
      <c r="A1" s="69" t="s">
        <v>73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1"/>
    </row>
    <row r="2" spans="1:13" ht="18" customHeight="1" x14ac:dyDescent="0.25">
      <c r="A2" s="72" t="s">
        <v>1</v>
      </c>
      <c r="B2" s="72" t="s">
        <v>2</v>
      </c>
      <c r="C2" s="72" t="s">
        <v>3</v>
      </c>
      <c r="D2" s="75" t="s">
        <v>4</v>
      </c>
      <c r="E2" s="78" t="s">
        <v>5</v>
      </c>
      <c r="F2" s="81" t="s">
        <v>6</v>
      </c>
      <c r="G2" s="82"/>
      <c r="H2" s="82"/>
      <c r="I2" s="82"/>
      <c r="J2" s="82"/>
      <c r="K2" s="83"/>
      <c r="L2" s="75" t="s">
        <v>7</v>
      </c>
      <c r="M2" s="78" t="s">
        <v>8</v>
      </c>
    </row>
    <row r="3" spans="1:13" ht="37.950000000000003" customHeight="1" x14ac:dyDescent="0.25">
      <c r="A3" s="73"/>
      <c r="B3" s="73"/>
      <c r="C3" s="73"/>
      <c r="D3" s="76"/>
      <c r="E3" s="79"/>
      <c r="F3" s="1" t="s">
        <v>9</v>
      </c>
      <c r="G3" s="1" t="s">
        <v>10</v>
      </c>
      <c r="H3" s="1" t="s">
        <v>11</v>
      </c>
      <c r="I3" s="2" t="s">
        <v>12</v>
      </c>
      <c r="J3" s="1" t="s">
        <v>13</v>
      </c>
      <c r="K3" s="84" t="s">
        <v>14</v>
      </c>
      <c r="L3" s="76"/>
      <c r="M3" s="79"/>
    </row>
    <row r="4" spans="1:13" ht="28.2" customHeight="1" x14ac:dyDescent="0.25">
      <c r="A4" s="74"/>
      <c r="B4" s="74"/>
      <c r="C4" s="74"/>
      <c r="D4" s="77"/>
      <c r="E4" s="80"/>
      <c r="F4" s="3"/>
      <c r="G4" s="3"/>
      <c r="H4" s="3"/>
      <c r="I4" s="3"/>
      <c r="J4" s="3"/>
      <c r="K4" s="85"/>
      <c r="L4" s="77"/>
      <c r="M4" s="80"/>
    </row>
    <row r="5" spans="1:13" ht="17.25" customHeight="1" x14ac:dyDescent="0.25">
      <c r="A5" s="86">
        <v>24</v>
      </c>
      <c r="B5" s="99" t="s">
        <v>74</v>
      </c>
      <c r="C5" s="102" t="s">
        <v>75</v>
      </c>
      <c r="D5" s="15">
        <v>1</v>
      </c>
      <c r="E5" s="7">
        <v>318</v>
      </c>
      <c r="F5" s="7">
        <v>182</v>
      </c>
      <c r="G5" s="7">
        <v>3</v>
      </c>
      <c r="H5" s="7">
        <v>51</v>
      </c>
      <c r="I5" s="7">
        <v>10</v>
      </c>
      <c r="J5" s="7">
        <v>64</v>
      </c>
      <c r="K5" s="9">
        <v>310</v>
      </c>
      <c r="L5" s="18">
        <v>8</v>
      </c>
      <c r="M5" s="9">
        <v>0</v>
      </c>
    </row>
    <row r="6" spans="1:13" ht="17.25" customHeight="1" x14ac:dyDescent="0.25">
      <c r="A6" s="87"/>
      <c r="B6" s="100"/>
      <c r="C6" s="103"/>
      <c r="D6" s="15">
        <v>2</v>
      </c>
      <c r="E6" s="7">
        <v>377</v>
      </c>
      <c r="F6" s="7">
        <v>203</v>
      </c>
      <c r="G6" s="7">
        <v>1</v>
      </c>
      <c r="H6" s="7">
        <v>48</v>
      </c>
      <c r="I6" s="7">
        <v>4</v>
      </c>
      <c r="J6" s="7">
        <v>119</v>
      </c>
      <c r="K6" s="9">
        <v>375</v>
      </c>
      <c r="L6" s="18">
        <v>2</v>
      </c>
      <c r="M6" s="9">
        <v>0</v>
      </c>
    </row>
    <row r="7" spans="1:13" ht="17.25" customHeight="1" x14ac:dyDescent="0.25">
      <c r="A7" s="87"/>
      <c r="B7" s="100"/>
      <c r="C7" s="103"/>
      <c r="D7" s="15">
        <v>3</v>
      </c>
      <c r="E7" s="7">
        <v>555</v>
      </c>
      <c r="F7" s="7">
        <v>287</v>
      </c>
      <c r="G7" s="7">
        <v>1</v>
      </c>
      <c r="H7" s="7">
        <v>52</v>
      </c>
      <c r="I7" s="7">
        <v>11</v>
      </c>
      <c r="J7" s="7">
        <v>204</v>
      </c>
      <c r="K7" s="9">
        <v>555</v>
      </c>
      <c r="L7" s="18">
        <v>0</v>
      </c>
      <c r="M7" s="9">
        <v>0</v>
      </c>
    </row>
    <row r="8" spans="1:13" ht="17.25" customHeight="1" x14ac:dyDescent="0.25">
      <c r="A8" s="87"/>
      <c r="B8" s="100"/>
      <c r="C8" s="103"/>
      <c r="D8" s="15">
        <v>4</v>
      </c>
      <c r="E8" s="7">
        <v>510</v>
      </c>
      <c r="F8" s="7">
        <v>275</v>
      </c>
      <c r="G8" s="7">
        <v>3</v>
      </c>
      <c r="H8" s="7">
        <v>49</v>
      </c>
      <c r="I8" s="7">
        <v>5</v>
      </c>
      <c r="J8" s="7">
        <v>176</v>
      </c>
      <c r="K8" s="9">
        <v>508</v>
      </c>
      <c r="L8" s="18">
        <v>2</v>
      </c>
      <c r="M8" s="9">
        <v>0</v>
      </c>
    </row>
    <row r="9" spans="1:13" ht="17.25" customHeight="1" x14ac:dyDescent="0.25">
      <c r="A9" s="87"/>
      <c r="B9" s="100"/>
      <c r="C9" s="103"/>
      <c r="D9" s="15">
        <v>5</v>
      </c>
      <c r="E9" s="7">
        <v>514</v>
      </c>
      <c r="F9" s="7">
        <v>292</v>
      </c>
      <c r="G9" s="7">
        <v>1</v>
      </c>
      <c r="H9" s="7">
        <v>41</v>
      </c>
      <c r="I9" s="7">
        <v>9</v>
      </c>
      <c r="J9" s="7">
        <v>170</v>
      </c>
      <c r="K9" s="9">
        <v>513</v>
      </c>
      <c r="L9" s="18">
        <v>1</v>
      </c>
      <c r="M9" s="9">
        <v>0</v>
      </c>
    </row>
    <row r="10" spans="1:13" ht="17.25" customHeight="1" x14ac:dyDescent="0.25">
      <c r="A10" s="87"/>
      <c r="B10" s="100"/>
      <c r="C10" s="103"/>
      <c r="D10" s="15">
        <v>6</v>
      </c>
      <c r="E10" s="7">
        <v>565</v>
      </c>
      <c r="F10" s="7">
        <v>304</v>
      </c>
      <c r="G10" s="7">
        <v>4</v>
      </c>
      <c r="H10" s="7">
        <v>45</v>
      </c>
      <c r="I10" s="7">
        <v>5</v>
      </c>
      <c r="J10" s="7">
        <v>206</v>
      </c>
      <c r="K10" s="9">
        <v>564</v>
      </c>
      <c r="L10" s="18">
        <v>1</v>
      </c>
      <c r="M10" s="9">
        <v>0</v>
      </c>
    </row>
    <row r="11" spans="1:13" ht="17.25" customHeight="1" x14ac:dyDescent="0.25">
      <c r="A11" s="87"/>
      <c r="B11" s="100"/>
      <c r="C11" s="104"/>
      <c r="D11" s="15">
        <v>7</v>
      </c>
      <c r="E11" s="7">
        <v>565</v>
      </c>
      <c r="F11" s="7">
        <v>220</v>
      </c>
      <c r="G11" s="7">
        <v>1</v>
      </c>
      <c r="H11" s="7">
        <v>55</v>
      </c>
      <c r="I11" s="7">
        <v>8</v>
      </c>
      <c r="J11" s="7">
        <v>281</v>
      </c>
      <c r="K11" s="9">
        <v>565</v>
      </c>
      <c r="L11" s="18">
        <v>0</v>
      </c>
      <c r="M11" s="9">
        <v>0</v>
      </c>
    </row>
    <row r="12" spans="1:13" ht="17.25" customHeight="1" x14ac:dyDescent="0.25">
      <c r="A12" s="87"/>
      <c r="B12" s="100"/>
      <c r="C12" s="90" t="s">
        <v>76</v>
      </c>
      <c r="D12" s="15">
        <v>1</v>
      </c>
      <c r="E12" s="7">
        <v>351</v>
      </c>
      <c r="F12" s="7">
        <v>175</v>
      </c>
      <c r="G12" s="7">
        <v>0</v>
      </c>
      <c r="H12" s="7">
        <v>62</v>
      </c>
      <c r="I12" s="7">
        <v>13</v>
      </c>
      <c r="J12" s="7">
        <v>97</v>
      </c>
      <c r="K12" s="9">
        <v>347</v>
      </c>
      <c r="L12" s="18">
        <v>4</v>
      </c>
      <c r="M12" s="9">
        <v>0</v>
      </c>
    </row>
    <row r="13" spans="1:13" ht="17.25" customHeight="1" x14ac:dyDescent="0.25">
      <c r="A13" s="87"/>
      <c r="B13" s="100"/>
      <c r="C13" s="91"/>
      <c r="D13" s="15">
        <v>2</v>
      </c>
      <c r="E13" s="7">
        <v>375</v>
      </c>
      <c r="F13" s="7">
        <v>182</v>
      </c>
      <c r="G13" s="7">
        <v>0</v>
      </c>
      <c r="H13" s="7">
        <v>73</v>
      </c>
      <c r="I13" s="7">
        <v>6</v>
      </c>
      <c r="J13" s="7">
        <v>108</v>
      </c>
      <c r="K13" s="9">
        <v>369</v>
      </c>
      <c r="L13" s="18">
        <v>6</v>
      </c>
      <c r="M13" s="9">
        <v>0</v>
      </c>
    </row>
    <row r="14" spans="1:13" ht="17.25" customHeight="1" x14ac:dyDescent="0.25">
      <c r="A14" s="87"/>
      <c r="B14" s="100"/>
      <c r="C14" s="91"/>
      <c r="D14" s="15">
        <v>3</v>
      </c>
      <c r="E14" s="7">
        <v>557</v>
      </c>
      <c r="F14" s="7">
        <v>301</v>
      </c>
      <c r="G14" s="7">
        <v>3</v>
      </c>
      <c r="H14" s="7">
        <v>70</v>
      </c>
      <c r="I14" s="7">
        <v>5</v>
      </c>
      <c r="J14" s="7">
        <v>175</v>
      </c>
      <c r="K14" s="9">
        <v>554</v>
      </c>
      <c r="L14" s="18">
        <v>3</v>
      </c>
      <c r="M14" s="9">
        <v>0</v>
      </c>
    </row>
    <row r="15" spans="1:13" ht="17.25" customHeight="1" x14ac:dyDescent="0.25">
      <c r="A15" s="87"/>
      <c r="B15" s="100"/>
      <c r="C15" s="91"/>
      <c r="D15" s="15">
        <v>4</v>
      </c>
      <c r="E15" s="7">
        <v>557</v>
      </c>
      <c r="F15" s="7">
        <v>297</v>
      </c>
      <c r="G15" s="7">
        <v>1</v>
      </c>
      <c r="H15" s="7">
        <v>55</v>
      </c>
      <c r="I15" s="7">
        <v>14</v>
      </c>
      <c r="J15" s="7">
        <v>189</v>
      </c>
      <c r="K15" s="9">
        <v>556</v>
      </c>
      <c r="L15" s="18">
        <v>1</v>
      </c>
      <c r="M15" s="9">
        <v>0</v>
      </c>
    </row>
    <row r="16" spans="1:13" ht="17.25" customHeight="1" x14ac:dyDescent="0.25">
      <c r="A16" s="87"/>
      <c r="B16" s="100"/>
      <c r="C16" s="91"/>
      <c r="D16" s="15">
        <v>5</v>
      </c>
      <c r="E16" s="7">
        <v>520</v>
      </c>
      <c r="F16" s="7">
        <v>271</v>
      </c>
      <c r="G16" s="7">
        <v>1</v>
      </c>
      <c r="H16" s="7">
        <v>41</v>
      </c>
      <c r="I16" s="7">
        <v>9</v>
      </c>
      <c r="J16" s="7">
        <v>194</v>
      </c>
      <c r="K16" s="9">
        <v>516</v>
      </c>
      <c r="L16" s="18">
        <v>4</v>
      </c>
      <c r="M16" s="9">
        <v>0</v>
      </c>
    </row>
    <row r="17" spans="1:13" ht="17.25" customHeight="1" x14ac:dyDescent="0.25">
      <c r="A17" s="87"/>
      <c r="B17" s="100"/>
      <c r="C17" s="91"/>
      <c r="D17" s="15">
        <v>6</v>
      </c>
      <c r="E17" s="7">
        <v>553</v>
      </c>
      <c r="F17" s="7">
        <v>285</v>
      </c>
      <c r="G17" s="7">
        <v>1</v>
      </c>
      <c r="H17" s="7">
        <v>57</v>
      </c>
      <c r="I17" s="7">
        <v>5</v>
      </c>
      <c r="J17" s="7">
        <v>203</v>
      </c>
      <c r="K17" s="9">
        <v>551</v>
      </c>
      <c r="L17" s="18">
        <v>2</v>
      </c>
      <c r="M17" s="9">
        <v>0</v>
      </c>
    </row>
    <row r="18" spans="1:13" ht="17.25" customHeight="1" x14ac:dyDescent="0.25">
      <c r="A18" s="87"/>
      <c r="B18" s="100"/>
      <c r="C18" s="91"/>
      <c r="D18" s="15">
        <v>7</v>
      </c>
      <c r="E18" s="7">
        <v>582</v>
      </c>
      <c r="F18" s="7">
        <v>290</v>
      </c>
      <c r="G18" s="7">
        <v>1</v>
      </c>
      <c r="H18" s="7">
        <v>72</v>
      </c>
      <c r="I18" s="7">
        <v>5</v>
      </c>
      <c r="J18" s="7">
        <v>213</v>
      </c>
      <c r="K18" s="9">
        <v>581</v>
      </c>
      <c r="L18" s="18">
        <v>1</v>
      </c>
      <c r="M18" s="9">
        <v>0</v>
      </c>
    </row>
    <row r="19" spans="1:13" ht="17.25" customHeight="1" x14ac:dyDescent="0.25">
      <c r="A19" s="88"/>
      <c r="B19" s="101"/>
      <c r="C19" s="92"/>
      <c r="D19" s="15">
        <v>8</v>
      </c>
      <c r="E19" s="7">
        <v>594</v>
      </c>
      <c r="F19" s="7">
        <v>260</v>
      </c>
      <c r="G19" s="7">
        <v>4</v>
      </c>
      <c r="H19" s="7">
        <v>61</v>
      </c>
      <c r="I19" s="7">
        <v>7</v>
      </c>
      <c r="J19" s="7">
        <v>258</v>
      </c>
      <c r="K19" s="9">
        <v>590</v>
      </c>
      <c r="L19" s="18">
        <v>4</v>
      </c>
      <c r="M19" s="9">
        <v>0</v>
      </c>
    </row>
    <row r="20" spans="1:13" ht="37.950000000000003" customHeight="1" x14ac:dyDescent="0.25"/>
    <row r="21" spans="1:13" ht="244.95" customHeight="1" x14ac:dyDescent="0.25"/>
    <row r="22" spans="1:13" ht="244.95" customHeight="1" x14ac:dyDescent="0.25"/>
  </sheetData>
  <mergeCells count="14">
    <mergeCell ref="A5:A19"/>
    <mergeCell ref="B5:B19"/>
    <mergeCell ref="C5:C11"/>
    <mergeCell ref="C12:C19"/>
    <mergeCell ref="A1:M1"/>
    <mergeCell ref="A2:A4"/>
    <mergeCell ref="B2:B4"/>
    <mergeCell ref="C2:C4"/>
    <mergeCell ref="D2:D4"/>
    <mergeCell ref="E2:E4"/>
    <mergeCell ref="F2:K2"/>
    <mergeCell ref="L2:L4"/>
    <mergeCell ref="M2:M4"/>
    <mergeCell ref="K3:K4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21"/>
  <sheetViews>
    <sheetView workbookViewId="0">
      <selection activeCell="A5" sqref="A5:M18"/>
    </sheetView>
  </sheetViews>
  <sheetFormatPr defaultRowHeight="13.2" x14ac:dyDescent="0.25"/>
  <cols>
    <col min="1" max="1" width="5.5546875" customWidth="1"/>
    <col min="2" max="2" width="17.33203125" customWidth="1"/>
    <col min="3" max="3" width="23.33203125" customWidth="1"/>
    <col min="4" max="4" width="9.33203125" customWidth="1"/>
    <col min="5" max="5" width="11.5546875" customWidth="1"/>
    <col min="6" max="10" width="14" customWidth="1"/>
    <col min="11" max="13" width="11.77734375" customWidth="1"/>
  </cols>
  <sheetData>
    <row r="1" spans="1:13" ht="34.799999999999997" customHeight="1" x14ac:dyDescent="0.25">
      <c r="A1" s="69" t="s">
        <v>77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1"/>
    </row>
    <row r="2" spans="1:13" ht="18" customHeight="1" x14ac:dyDescent="0.25">
      <c r="A2" s="72" t="s">
        <v>1</v>
      </c>
      <c r="B2" s="72" t="s">
        <v>2</v>
      </c>
      <c r="C2" s="72" t="s">
        <v>3</v>
      </c>
      <c r="D2" s="75" t="s">
        <v>4</v>
      </c>
      <c r="E2" s="78" t="s">
        <v>5</v>
      </c>
      <c r="F2" s="81" t="s">
        <v>6</v>
      </c>
      <c r="G2" s="82"/>
      <c r="H2" s="82"/>
      <c r="I2" s="82"/>
      <c r="J2" s="82"/>
      <c r="K2" s="83"/>
      <c r="L2" s="75" t="s">
        <v>7</v>
      </c>
      <c r="M2" s="78" t="s">
        <v>8</v>
      </c>
    </row>
    <row r="3" spans="1:13" ht="37.950000000000003" customHeight="1" x14ac:dyDescent="0.25">
      <c r="A3" s="73"/>
      <c r="B3" s="73"/>
      <c r="C3" s="73"/>
      <c r="D3" s="76"/>
      <c r="E3" s="79"/>
      <c r="F3" s="1" t="s">
        <v>9</v>
      </c>
      <c r="G3" s="1" t="s">
        <v>10</v>
      </c>
      <c r="H3" s="1" t="s">
        <v>11</v>
      </c>
      <c r="I3" s="2" t="s">
        <v>12</v>
      </c>
      <c r="J3" s="1" t="s">
        <v>13</v>
      </c>
      <c r="K3" s="84" t="s">
        <v>14</v>
      </c>
      <c r="L3" s="76"/>
      <c r="M3" s="79"/>
    </row>
    <row r="4" spans="1:13" ht="28.2" customHeight="1" x14ac:dyDescent="0.25">
      <c r="A4" s="74"/>
      <c r="B4" s="74"/>
      <c r="C4" s="74"/>
      <c r="D4" s="77"/>
      <c r="E4" s="80"/>
      <c r="F4" s="3"/>
      <c r="G4" s="3"/>
      <c r="H4" s="3"/>
      <c r="I4" s="3"/>
      <c r="J4" s="3"/>
      <c r="K4" s="85"/>
      <c r="L4" s="77"/>
      <c r="M4" s="80"/>
    </row>
    <row r="5" spans="1:13" ht="17.25" customHeight="1" x14ac:dyDescent="0.25">
      <c r="A5" s="86">
        <v>24</v>
      </c>
      <c r="B5" s="99" t="s">
        <v>74</v>
      </c>
      <c r="C5" s="102" t="s">
        <v>78</v>
      </c>
      <c r="D5" s="15">
        <v>1</v>
      </c>
      <c r="E5" s="7">
        <v>363</v>
      </c>
      <c r="F5" s="7">
        <v>213</v>
      </c>
      <c r="G5" s="7">
        <v>0</v>
      </c>
      <c r="H5" s="7">
        <v>62</v>
      </c>
      <c r="I5" s="7">
        <v>6</v>
      </c>
      <c r="J5" s="7">
        <v>81</v>
      </c>
      <c r="K5" s="9">
        <v>362</v>
      </c>
      <c r="L5" s="17">
        <v>1</v>
      </c>
      <c r="M5" s="9">
        <v>0</v>
      </c>
    </row>
    <row r="6" spans="1:13" ht="17.25" customHeight="1" x14ac:dyDescent="0.25">
      <c r="A6" s="87"/>
      <c r="B6" s="100"/>
      <c r="C6" s="103"/>
      <c r="D6" s="15">
        <v>2</v>
      </c>
      <c r="E6" s="7">
        <v>567</v>
      </c>
      <c r="F6" s="7">
        <v>302</v>
      </c>
      <c r="G6" s="7">
        <v>1</v>
      </c>
      <c r="H6" s="7">
        <v>50</v>
      </c>
      <c r="I6" s="7">
        <v>12</v>
      </c>
      <c r="J6" s="7">
        <v>201</v>
      </c>
      <c r="K6" s="9">
        <v>566</v>
      </c>
      <c r="L6" s="17">
        <v>1</v>
      </c>
      <c r="M6" s="9">
        <v>0</v>
      </c>
    </row>
    <row r="7" spans="1:13" ht="17.25" customHeight="1" x14ac:dyDescent="0.25">
      <c r="A7" s="87"/>
      <c r="B7" s="100"/>
      <c r="C7" s="103"/>
      <c r="D7" s="15">
        <v>3</v>
      </c>
      <c r="E7" s="7">
        <v>509</v>
      </c>
      <c r="F7" s="7">
        <v>294</v>
      </c>
      <c r="G7" s="7">
        <v>5</v>
      </c>
      <c r="H7" s="7">
        <v>41</v>
      </c>
      <c r="I7" s="7">
        <v>3</v>
      </c>
      <c r="J7" s="7">
        <v>165</v>
      </c>
      <c r="K7" s="9">
        <v>508</v>
      </c>
      <c r="L7" s="17">
        <v>1</v>
      </c>
      <c r="M7" s="9">
        <v>0</v>
      </c>
    </row>
    <row r="8" spans="1:13" ht="17.25" customHeight="1" x14ac:dyDescent="0.25">
      <c r="A8" s="87"/>
      <c r="B8" s="100"/>
      <c r="C8" s="103"/>
      <c r="D8" s="15">
        <v>4</v>
      </c>
      <c r="E8" s="7">
        <v>495</v>
      </c>
      <c r="F8" s="7">
        <v>285</v>
      </c>
      <c r="G8" s="7">
        <v>1</v>
      </c>
      <c r="H8" s="7">
        <v>39</v>
      </c>
      <c r="I8" s="7">
        <v>8</v>
      </c>
      <c r="J8" s="7">
        <v>162</v>
      </c>
      <c r="K8" s="9">
        <v>495</v>
      </c>
      <c r="L8" s="17">
        <v>0</v>
      </c>
      <c r="M8" s="9">
        <v>0</v>
      </c>
    </row>
    <row r="9" spans="1:13" ht="17.25" customHeight="1" x14ac:dyDescent="0.25">
      <c r="A9" s="87"/>
      <c r="B9" s="100"/>
      <c r="C9" s="103"/>
      <c r="D9" s="15">
        <v>5</v>
      </c>
      <c r="E9" s="7">
        <v>514</v>
      </c>
      <c r="F9" s="7">
        <v>325</v>
      </c>
      <c r="G9" s="7">
        <v>1</v>
      </c>
      <c r="H9" s="7">
        <v>42</v>
      </c>
      <c r="I9" s="7">
        <v>6</v>
      </c>
      <c r="J9" s="7">
        <v>139</v>
      </c>
      <c r="K9" s="9">
        <v>513</v>
      </c>
      <c r="L9" s="17">
        <v>1</v>
      </c>
      <c r="M9" s="9">
        <v>0</v>
      </c>
    </row>
    <row r="10" spans="1:13" ht="17.25" customHeight="1" x14ac:dyDescent="0.25">
      <c r="A10" s="87"/>
      <c r="B10" s="100"/>
      <c r="C10" s="103"/>
      <c r="D10" s="15">
        <v>6</v>
      </c>
      <c r="E10" s="7">
        <v>561</v>
      </c>
      <c r="F10" s="7">
        <v>331</v>
      </c>
      <c r="G10" s="7">
        <v>4</v>
      </c>
      <c r="H10" s="7">
        <v>37</v>
      </c>
      <c r="I10" s="7">
        <v>4</v>
      </c>
      <c r="J10" s="7">
        <v>185</v>
      </c>
      <c r="K10" s="9">
        <v>561</v>
      </c>
      <c r="L10" s="17">
        <v>0</v>
      </c>
      <c r="M10" s="9">
        <v>0</v>
      </c>
    </row>
    <row r="11" spans="1:13" ht="17.25" customHeight="1" x14ac:dyDescent="0.25">
      <c r="A11" s="88"/>
      <c r="B11" s="101"/>
      <c r="C11" s="104"/>
      <c r="D11" s="15">
        <v>7</v>
      </c>
      <c r="E11" s="7">
        <v>570</v>
      </c>
      <c r="F11" s="7">
        <v>302</v>
      </c>
      <c r="G11" s="7">
        <v>2</v>
      </c>
      <c r="H11" s="7">
        <v>34</v>
      </c>
      <c r="I11" s="7">
        <v>3</v>
      </c>
      <c r="J11" s="7">
        <v>228</v>
      </c>
      <c r="K11" s="9">
        <v>569</v>
      </c>
      <c r="L11" s="17">
        <v>1</v>
      </c>
      <c r="M11" s="9">
        <v>0</v>
      </c>
    </row>
    <row r="12" spans="1:13" ht="17.25" customHeight="1" x14ac:dyDescent="0.25">
      <c r="A12" s="86">
        <v>25</v>
      </c>
      <c r="B12" s="64" t="s">
        <v>79</v>
      </c>
      <c r="C12" s="102" t="s">
        <v>80</v>
      </c>
      <c r="D12" s="15">
        <v>1</v>
      </c>
      <c r="E12" s="7">
        <v>310</v>
      </c>
      <c r="F12" s="7">
        <v>235</v>
      </c>
      <c r="G12" s="7">
        <v>1</v>
      </c>
      <c r="H12" s="7">
        <v>51</v>
      </c>
      <c r="I12" s="7">
        <v>1</v>
      </c>
      <c r="J12" s="7">
        <v>8</v>
      </c>
      <c r="K12" s="9">
        <v>296</v>
      </c>
      <c r="L12" s="15">
        <v>14</v>
      </c>
      <c r="M12" s="9">
        <v>0</v>
      </c>
    </row>
    <row r="13" spans="1:13" ht="17.25" customHeight="1" x14ac:dyDescent="0.25">
      <c r="A13" s="87"/>
      <c r="B13" s="89"/>
      <c r="C13" s="103"/>
      <c r="D13" s="15">
        <v>2</v>
      </c>
      <c r="E13" s="7">
        <v>367</v>
      </c>
      <c r="F13" s="7">
        <v>273</v>
      </c>
      <c r="G13" s="7">
        <v>0</v>
      </c>
      <c r="H13" s="7">
        <v>67</v>
      </c>
      <c r="I13" s="7">
        <v>4</v>
      </c>
      <c r="J13" s="7">
        <v>17</v>
      </c>
      <c r="K13" s="9">
        <v>361</v>
      </c>
      <c r="L13" s="17">
        <v>6</v>
      </c>
      <c r="M13" s="9">
        <v>0</v>
      </c>
    </row>
    <row r="14" spans="1:13" ht="17.25" customHeight="1" x14ac:dyDescent="0.25">
      <c r="A14" s="87"/>
      <c r="B14" s="89"/>
      <c r="C14" s="103"/>
      <c r="D14" s="15">
        <v>3</v>
      </c>
      <c r="E14" s="7">
        <v>489</v>
      </c>
      <c r="F14" s="7">
        <v>431</v>
      </c>
      <c r="G14" s="7">
        <v>2</v>
      </c>
      <c r="H14" s="7">
        <v>36</v>
      </c>
      <c r="I14" s="7">
        <v>1</v>
      </c>
      <c r="J14" s="7">
        <v>17</v>
      </c>
      <c r="K14" s="9">
        <v>487</v>
      </c>
      <c r="L14" s="17">
        <v>2</v>
      </c>
      <c r="M14" s="9">
        <v>0</v>
      </c>
    </row>
    <row r="15" spans="1:13" ht="17.25" customHeight="1" x14ac:dyDescent="0.25">
      <c r="A15" s="87"/>
      <c r="B15" s="89"/>
      <c r="C15" s="103"/>
      <c r="D15" s="15">
        <v>4</v>
      </c>
      <c r="E15" s="7">
        <v>478</v>
      </c>
      <c r="F15" s="7">
        <v>418</v>
      </c>
      <c r="G15" s="7">
        <v>0</v>
      </c>
      <c r="H15" s="7">
        <v>44</v>
      </c>
      <c r="I15" s="7">
        <v>0</v>
      </c>
      <c r="J15" s="7">
        <v>15</v>
      </c>
      <c r="K15" s="9">
        <v>477</v>
      </c>
      <c r="L15" s="17">
        <v>1</v>
      </c>
      <c r="M15" s="9">
        <v>0</v>
      </c>
    </row>
    <row r="16" spans="1:13" ht="17.25" customHeight="1" x14ac:dyDescent="0.25">
      <c r="A16" s="87"/>
      <c r="B16" s="89"/>
      <c r="C16" s="103"/>
      <c r="D16" s="15">
        <v>5</v>
      </c>
      <c r="E16" s="7">
        <v>469</v>
      </c>
      <c r="F16" s="7">
        <v>398</v>
      </c>
      <c r="G16" s="7">
        <v>1</v>
      </c>
      <c r="H16" s="7">
        <v>44</v>
      </c>
      <c r="I16" s="7">
        <v>2</v>
      </c>
      <c r="J16" s="7">
        <v>22</v>
      </c>
      <c r="K16" s="9">
        <v>467</v>
      </c>
      <c r="L16" s="17">
        <v>2</v>
      </c>
      <c r="M16" s="9">
        <v>0</v>
      </c>
    </row>
    <row r="17" spans="1:13" ht="17.25" customHeight="1" x14ac:dyDescent="0.25">
      <c r="A17" s="87"/>
      <c r="B17" s="89"/>
      <c r="C17" s="103"/>
      <c r="D17" s="15">
        <v>6</v>
      </c>
      <c r="E17" s="7">
        <v>453</v>
      </c>
      <c r="F17" s="7">
        <v>368</v>
      </c>
      <c r="G17" s="7">
        <v>0</v>
      </c>
      <c r="H17" s="7">
        <v>46</v>
      </c>
      <c r="I17" s="7">
        <v>0</v>
      </c>
      <c r="J17" s="7">
        <v>39</v>
      </c>
      <c r="K17" s="9">
        <v>453</v>
      </c>
      <c r="L17" s="17">
        <v>0</v>
      </c>
      <c r="M17" s="9">
        <v>0</v>
      </c>
    </row>
    <row r="18" spans="1:13" ht="17.25" customHeight="1" x14ac:dyDescent="0.25">
      <c r="A18" s="88"/>
      <c r="B18" s="65"/>
      <c r="C18" s="104"/>
      <c r="D18" s="15">
        <v>7</v>
      </c>
      <c r="E18" s="7">
        <v>483</v>
      </c>
      <c r="F18" s="7">
        <v>393</v>
      </c>
      <c r="G18" s="7">
        <v>0</v>
      </c>
      <c r="H18" s="7">
        <v>41</v>
      </c>
      <c r="I18" s="7">
        <v>0</v>
      </c>
      <c r="J18" s="7">
        <v>46</v>
      </c>
      <c r="K18" s="9">
        <v>480</v>
      </c>
      <c r="L18" s="17">
        <v>3</v>
      </c>
      <c r="M18" s="9">
        <v>0</v>
      </c>
    </row>
    <row r="19" spans="1:13" ht="37.950000000000003" customHeight="1" x14ac:dyDescent="0.25"/>
    <row r="20" spans="1:13" ht="228" customHeight="1" x14ac:dyDescent="0.25"/>
    <row r="21" spans="1:13" ht="228" customHeight="1" x14ac:dyDescent="0.25"/>
  </sheetData>
  <mergeCells count="16">
    <mergeCell ref="A1:M1"/>
    <mergeCell ref="A2:A4"/>
    <mergeCell ref="B2:B4"/>
    <mergeCell ref="C2:C4"/>
    <mergeCell ref="D2:D4"/>
    <mergeCell ref="E2:E4"/>
    <mergeCell ref="F2:K2"/>
    <mergeCell ref="L2:L4"/>
    <mergeCell ref="M2:M4"/>
    <mergeCell ref="K3:K4"/>
    <mergeCell ref="A5:A11"/>
    <mergeCell ref="B5:B11"/>
    <mergeCell ref="C5:C11"/>
    <mergeCell ref="A12:A18"/>
    <mergeCell ref="B12:B18"/>
    <mergeCell ref="C12:C18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28"/>
  <sheetViews>
    <sheetView topLeftCell="A5" workbookViewId="0">
      <selection activeCell="A5" sqref="A5:M25"/>
    </sheetView>
  </sheetViews>
  <sheetFormatPr defaultRowHeight="13.2" x14ac:dyDescent="0.25"/>
  <cols>
    <col min="1" max="1" width="5.5546875" customWidth="1"/>
    <col min="2" max="2" width="17.33203125" customWidth="1"/>
    <col min="3" max="3" width="23.33203125" customWidth="1"/>
    <col min="4" max="4" width="9.33203125" customWidth="1"/>
    <col min="5" max="5" width="11.5546875" customWidth="1"/>
    <col min="6" max="10" width="14" customWidth="1"/>
    <col min="11" max="13" width="11.77734375" customWidth="1"/>
  </cols>
  <sheetData>
    <row r="1" spans="1:13" ht="34.799999999999997" customHeight="1" x14ac:dyDescent="0.25">
      <c r="A1" s="69" t="s">
        <v>81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1"/>
    </row>
    <row r="2" spans="1:13" ht="18" customHeight="1" x14ac:dyDescent="0.25">
      <c r="A2" s="72" t="s">
        <v>1</v>
      </c>
      <c r="B2" s="72" t="s">
        <v>2</v>
      </c>
      <c r="C2" s="72" t="s">
        <v>3</v>
      </c>
      <c r="D2" s="75" t="s">
        <v>4</v>
      </c>
      <c r="E2" s="78" t="s">
        <v>5</v>
      </c>
      <c r="F2" s="81" t="s">
        <v>6</v>
      </c>
      <c r="G2" s="82"/>
      <c r="H2" s="82"/>
      <c r="I2" s="82"/>
      <c r="J2" s="82"/>
      <c r="K2" s="83"/>
      <c r="L2" s="75" t="s">
        <v>7</v>
      </c>
      <c r="M2" s="78" t="s">
        <v>8</v>
      </c>
    </row>
    <row r="3" spans="1:13" ht="37.950000000000003" customHeight="1" x14ac:dyDescent="0.25">
      <c r="A3" s="73"/>
      <c r="B3" s="73"/>
      <c r="C3" s="73"/>
      <c r="D3" s="76"/>
      <c r="E3" s="79"/>
      <c r="F3" s="1" t="s">
        <v>9</v>
      </c>
      <c r="G3" s="1" t="s">
        <v>10</v>
      </c>
      <c r="H3" s="1" t="s">
        <v>11</v>
      </c>
      <c r="I3" s="2" t="s">
        <v>12</v>
      </c>
      <c r="J3" s="1" t="s">
        <v>13</v>
      </c>
      <c r="K3" s="84" t="s">
        <v>14</v>
      </c>
      <c r="L3" s="76"/>
      <c r="M3" s="79"/>
    </row>
    <row r="4" spans="1:13" ht="28.2" customHeight="1" x14ac:dyDescent="0.25">
      <c r="A4" s="74"/>
      <c r="B4" s="74"/>
      <c r="C4" s="74"/>
      <c r="D4" s="77"/>
      <c r="E4" s="80"/>
      <c r="F4" s="3"/>
      <c r="G4" s="3"/>
      <c r="H4" s="3"/>
      <c r="I4" s="3"/>
      <c r="J4" s="3"/>
      <c r="K4" s="85"/>
      <c r="L4" s="77"/>
      <c r="M4" s="80"/>
    </row>
    <row r="5" spans="1:13" ht="17.25" customHeight="1" x14ac:dyDescent="0.25">
      <c r="A5" s="86">
        <v>26</v>
      </c>
      <c r="B5" s="56" t="s">
        <v>82</v>
      </c>
      <c r="C5" s="102" t="s">
        <v>83</v>
      </c>
      <c r="D5" s="15">
        <v>1</v>
      </c>
      <c r="E5" s="7">
        <v>248</v>
      </c>
      <c r="F5" s="7">
        <v>218</v>
      </c>
      <c r="G5" s="7">
        <v>0</v>
      </c>
      <c r="H5" s="7">
        <v>16</v>
      </c>
      <c r="I5" s="7">
        <v>3</v>
      </c>
      <c r="J5" s="7">
        <v>7</v>
      </c>
      <c r="K5" s="9">
        <v>244</v>
      </c>
      <c r="L5" s="17">
        <v>4</v>
      </c>
      <c r="M5" s="9">
        <v>0</v>
      </c>
    </row>
    <row r="6" spans="1:13" ht="17.25" customHeight="1" x14ac:dyDescent="0.25">
      <c r="A6" s="87"/>
      <c r="B6" s="57"/>
      <c r="C6" s="103"/>
      <c r="D6" s="15">
        <v>2</v>
      </c>
      <c r="E6" s="7">
        <v>346</v>
      </c>
      <c r="F6" s="7">
        <v>313</v>
      </c>
      <c r="G6" s="7">
        <v>0</v>
      </c>
      <c r="H6" s="7">
        <v>25</v>
      </c>
      <c r="I6" s="7">
        <v>1</v>
      </c>
      <c r="J6" s="7">
        <v>3</v>
      </c>
      <c r="K6" s="9">
        <v>342</v>
      </c>
      <c r="L6" s="17">
        <v>4</v>
      </c>
      <c r="M6" s="9">
        <v>0</v>
      </c>
    </row>
    <row r="7" spans="1:13" ht="17.25" customHeight="1" x14ac:dyDescent="0.25">
      <c r="A7" s="87"/>
      <c r="B7" s="57"/>
      <c r="C7" s="103"/>
      <c r="D7" s="15">
        <v>3</v>
      </c>
      <c r="E7" s="7">
        <v>366</v>
      </c>
      <c r="F7" s="7">
        <v>327</v>
      </c>
      <c r="G7" s="7">
        <v>0</v>
      </c>
      <c r="H7" s="7">
        <v>24</v>
      </c>
      <c r="I7" s="7">
        <v>1</v>
      </c>
      <c r="J7" s="7">
        <v>4</v>
      </c>
      <c r="K7" s="9">
        <v>356</v>
      </c>
      <c r="L7" s="15">
        <v>10</v>
      </c>
      <c r="M7" s="9">
        <v>0</v>
      </c>
    </row>
    <row r="8" spans="1:13" ht="17.25" customHeight="1" x14ac:dyDescent="0.25">
      <c r="A8" s="87"/>
      <c r="B8" s="57"/>
      <c r="C8" s="103"/>
      <c r="D8" s="15">
        <v>4</v>
      </c>
      <c r="E8" s="7">
        <v>482</v>
      </c>
      <c r="F8" s="7">
        <v>430</v>
      </c>
      <c r="G8" s="7">
        <v>2</v>
      </c>
      <c r="H8" s="7">
        <v>35</v>
      </c>
      <c r="I8" s="7">
        <v>1</v>
      </c>
      <c r="J8" s="7">
        <v>8</v>
      </c>
      <c r="K8" s="9">
        <v>476</v>
      </c>
      <c r="L8" s="17">
        <v>6</v>
      </c>
      <c r="M8" s="9">
        <v>0</v>
      </c>
    </row>
    <row r="9" spans="1:13" ht="17.25" customHeight="1" x14ac:dyDescent="0.25">
      <c r="A9" s="87"/>
      <c r="B9" s="57"/>
      <c r="C9" s="103"/>
      <c r="D9" s="15">
        <v>5</v>
      </c>
      <c r="E9" s="7">
        <v>450</v>
      </c>
      <c r="F9" s="7">
        <v>412</v>
      </c>
      <c r="G9" s="7">
        <v>0</v>
      </c>
      <c r="H9" s="7">
        <v>28</v>
      </c>
      <c r="I9" s="7">
        <v>1</v>
      </c>
      <c r="J9" s="7">
        <v>7</v>
      </c>
      <c r="K9" s="9">
        <v>448</v>
      </c>
      <c r="L9" s="17">
        <v>2</v>
      </c>
      <c r="M9" s="9">
        <v>0</v>
      </c>
    </row>
    <row r="10" spans="1:13" ht="17.25" customHeight="1" x14ac:dyDescent="0.25">
      <c r="A10" s="87"/>
      <c r="B10" s="57"/>
      <c r="C10" s="103"/>
      <c r="D10" s="15">
        <v>6</v>
      </c>
      <c r="E10" s="7">
        <v>438</v>
      </c>
      <c r="F10" s="7">
        <v>410</v>
      </c>
      <c r="G10" s="7">
        <v>1</v>
      </c>
      <c r="H10" s="7">
        <v>16</v>
      </c>
      <c r="I10" s="7">
        <v>0</v>
      </c>
      <c r="J10" s="7">
        <v>8</v>
      </c>
      <c r="K10" s="9">
        <v>435</v>
      </c>
      <c r="L10" s="17">
        <v>3</v>
      </c>
      <c r="M10" s="9">
        <v>0</v>
      </c>
    </row>
    <row r="11" spans="1:13" ht="17.25" customHeight="1" x14ac:dyDescent="0.25">
      <c r="A11" s="87"/>
      <c r="B11" s="57"/>
      <c r="C11" s="103"/>
      <c r="D11" s="15">
        <v>7</v>
      </c>
      <c r="E11" s="7">
        <v>400</v>
      </c>
      <c r="F11" s="7">
        <v>371</v>
      </c>
      <c r="G11" s="7">
        <v>0</v>
      </c>
      <c r="H11" s="7">
        <v>20</v>
      </c>
      <c r="I11" s="7">
        <v>0</v>
      </c>
      <c r="J11" s="7">
        <v>9</v>
      </c>
      <c r="K11" s="9">
        <v>400</v>
      </c>
      <c r="L11" s="17">
        <v>0</v>
      </c>
      <c r="M11" s="9">
        <v>0</v>
      </c>
    </row>
    <row r="12" spans="1:13" ht="17.25" customHeight="1" x14ac:dyDescent="0.25">
      <c r="A12" s="87"/>
      <c r="B12" s="57"/>
      <c r="C12" s="103"/>
      <c r="D12" s="15">
        <v>8</v>
      </c>
      <c r="E12" s="7">
        <v>384</v>
      </c>
      <c r="F12" s="7">
        <v>346</v>
      </c>
      <c r="G12" s="7">
        <v>0</v>
      </c>
      <c r="H12" s="7">
        <v>18</v>
      </c>
      <c r="I12" s="7">
        <v>0</v>
      </c>
      <c r="J12" s="7">
        <v>14</v>
      </c>
      <c r="K12" s="9">
        <v>378</v>
      </c>
      <c r="L12" s="17">
        <v>6</v>
      </c>
      <c r="M12" s="9">
        <v>0</v>
      </c>
    </row>
    <row r="13" spans="1:13" ht="17.25" customHeight="1" x14ac:dyDescent="0.25">
      <c r="A13" s="88"/>
      <c r="B13" s="58"/>
      <c r="C13" s="104"/>
      <c r="D13" s="15">
        <v>9</v>
      </c>
      <c r="E13" s="7">
        <v>462</v>
      </c>
      <c r="F13" s="7">
        <v>429</v>
      </c>
      <c r="G13" s="7">
        <v>1</v>
      </c>
      <c r="H13" s="7">
        <v>17</v>
      </c>
      <c r="I13" s="7">
        <v>0</v>
      </c>
      <c r="J13" s="7">
        <v>7</v>
      </c>
      <c r="K13" s="9">
        <v>454</v>
      </c>
      <c r="L13" s="17">
        <v>7</v>
      </c>
      <c r="M13" s="9">
        <v>1</v>
      </c>
    </row>
    <row r="14" spans="1:13" ht="17.25" customHeight="1" x14ac:dyDescent="0.25">
      <c r="A14" s="86">
        <v>27</v>
      </c>
      <c r="B14" s="93" t="s">
        <v>84</v>
      </c>
      <c r="C14" s="59" t="s">
        <v>85</v>
      </c>
      <c r="D14" s="15">
        <v>1</v>
      </c>
      <c r="E14" s="7">
        <v>244</v>
      </c>
      <c r="F14" s="7">
        <v>212</v>
      </c>
      <c r="G14" s="7">
        <v>0</v>
      </c>
      <c r="H14" s="7">
        <v>22</v>
      </c>
      <c r="I14" s="7">
        <v>2</v>
      </c>
      <c r="J14" s="7">
        <v>6</v>
      </c>
      <c r="K14" s="9">
        <v>242</v>
      </c>
      <c r="L14" s="17">
        <v>2</v>
      </c>
      <c r="M14" s="9">
        <v>0</v>
      </c>
    </row>
    <row r="15" spans="1:13" ht="17.25" customHeight="1" x14ac:dyDescent="0.25">
      <c r="A15" s="87"/>
      <c r="B15" s="94"/>
      <c r="C15" s="60"/>
      <c r="D15" s="15">
        <v>2</v>
      </c>
      <c r="E15" s="7">
        <v>345</v>
      </c>
      <c r="F15" s="7">
        <v>298</v>
      </c>
      <c r="G15" s="7">
        <v>3</v>
      </c>
      <c r="H15" s="7">
        <v>28</v>
      </c>
      <c r="I15" s="7">
        <v>4</v>
      </c>
      <c r="J15" s="7">
        <v>5</v>
      </c>
      <c r="K15" s="9">
        <v>338</v>
      </c>
      <c r="L15" s="17">
        <v>7</v>
      </c>
      <c r="M15" s="9">
        <v>0</v>
      </c>
    </row>
    <row r="16" spans="1:13" ht="17.25" customHeight="1" x14ac:dyDescent="0.25">
      <c r="A16" s="87"/>
      <c r="B16" s="94"/>
      <c r="C16" s="60"/>
      <c r="D16" s="15">
        <v>3</v>
      </c>
      <c r="E16" s="7">
        <v>352</v>
      </c>
      <c r="F16" s="7">
        <v>323</v>
      </c>
      <c r="G16" s="7">
        <v>0</v>
      </c>
      <c r="H16" s="7">
        <v>18</v>
      </c>
      <c r="I16" s="7">
        <v>0</v>
      </c>
      <c r="J16" s="7">
        <v>6</v>
      </c>
      <c r="K16" s="9">
        <v>347</v>
      </c>
      <c r="L16" s="17">
        <v>5</v>
      </c>
      <c r="M16" s="9">
        <v>0</v>
      </c>
    </row>
    <row r="17" spans="1:13" ht="17.25" customHeight="1" x14ac:dyDescent="0.25">
      <c r="A17" s="87"/>
      <c r="B17" s="94"/>
      <c r="C17" s="60"/>
      <c r="D17" s="15">
        <v>4</v>
      </c>
      <c r="E17" s="7">
        <v>450</v>
      </c>
      <c r="F17" s="7">
        <v>420</v>
      </c>
      <c r="G17" s="7">
        <v>0</v>
      </c>
      <c r="H17" s="7">
        <v>24</v>
      </c>
      <c r="I17" s="7">
        <v>0</v>
      </c>
      <c r="J17" s="7">
        <v>4</v>
      </c>
      <c r="K17" s="9">
        <v>448</v>
      </c>
      <c r="L17" s="17">
        <v>2</v>
      </c>
      <c r="M17" s="9">
        <v>0</v>
      </c>
    </row>
    <row r="18" spans="1:13" ht="17.25" customHeight="1" x14ac:dyDescent="0.25">
      <c r="A18" s="88"/>
      <c r="B18" s="95"/>
      <c r="C18" s="61"/>
      <c r="D18" s="15">
        <v>5</v>
      </c>
      <c r="E18" s="7">
        <v>438</v>
      </c>
      <c r="F18" s="7">
        <v>401</v>
      </c>
      <c r="G18" s="7">
        <v>0</v>
      </c>
      <c r="H18" s="7">
        <v>21</v>
      </c>
      <c r="I18" s="7">
        <v>0</v>
      </c>
      <c r="J18" s="7">
        <v>15</v>
      </c>
      <c r="K18" s="9">
        <v>437</v>
      </c>
      <c r="L18" s="17">
        <v>1</v>
      </c>
      <c r="M18" s="9">
        <v>0</v>
      </c>
    </row>
    <row r="19" spans="1:13" ht="17.25" customHeight="1" x14ac:dyDescent="0.25">
      <c r="A19" s="86">
        <v>28</v>
      </c>
      <c r="B19" s="64" t="s">
        <v>86</v>
      </c>
      <c r="C19" s="102" t="s">
        <v>87</v>
      </c>
      <c r="D19" s="15">
        <v>1</v>
      </c>
      <c r="E19" s="7">
        <v>270</v>
      </c>
      <c r="F19" s="7">
        <v>239</v>
      </c>
      <c r="G19" s="7">
        <v>2</v>
      </c>
      <c r="H19" s="7">
        <v>23</v>
      </c>
      <c r="I19" s="7">
        <v>1</v>
      </c>
      <c r="J19" s="7">
        <v>3</v>
      </c>
      <c r="K19" s="9">
        <v>268</v>
      </c>
      <c r="L19" s="17">
        <v>2</v>
      </c>
      <c r="M19" s="9">
        <v>0</v>
      </c>
    </row>
    <row r="20" spans="1:13" ht="17.25" customHeight="1" x14ac:dyDescent="0.25">
      <c r="A20" s="87"/>
      <c r="B20" s="89"/>
      <c r="C20" s="103"/>
      <c r="D20" s="15">
        <v>2</v>
      </c>
      <c r="E20" s="7">
        <v>344</v>
      </c>
      <c r="F20" s="7">
        <v>306</v>
      </c>
      <c r="G20" s="7">
        <v>2</v>
      </c>
      <c r="H20" s="7">
        <v>27</v>
      </c>
      <c r="I20" s="7">
        <v>0</v>
      </c>
      <c r="J20" s="7">
        <v>5</v>
      </c>
      <c r="K20" s="9">
        <v>340</v>
      </c>
      <c r="L20" s="17">
        <v>4</v>
      </c>
      <c r="M20" s="9">
        <v>0</v>
      </c>
    </row>
    <row r="21" spans="1:13" ht="17.25" customHeight="1" x14ac:dyDescent="0.25">
      <c r="A21" s="87"/>
      <c r="B21" s="89"/>
      <c r="C21" s="103"/>
      <c r="D21" s="15">
        <v>3</v>
      </c>
      <c r="E21" s="7">
        <v>351</v>
      </c>
      <c r="F21" s="7">
        <v>317</v>
      </c>
      <c r="G21" s="7">
        <v>1</v>
      </c>
      <c r="H21" s="7">
        <v>20</v>
      </c>
      <c r="I21" s="7">
        <v>2</v>
      </c>
      <c r="J21" s="7">
        <v>6</v>
      </c>
      <c r="K21" s="9">
        <v>346</v>
      </c>
      <c r="L21" s="17">
        <v>5</v>
      </c>
      <c r="M21" s="9">
        <v>0</v>
      </c>
    </row>
    <row r="22" spans="1:13" ht="17.25" customHeight="1" x14ac:dyDescent="0.25">
      <c r="A22" s="87"/>
      <c r="B22" s="89"/>
      <c r="C22" s="103"/>
      <c r="D22" s="15">
        <v>4</v>
      </c>
      <c r="E22" s="7">
        <v>544</v>
      </c>
      <c r="F22" s="7">
        <v>504</v>
      </c>
      <c r="G22" s="7">
        <v>0</v>
      </c>
      <c r="H22" s="7">
        <v>31</v>
      </c>
      <c r="I22" s="7">
        <v>2</v>
      </c>
      <c r="J22" s="7">
        <v>5</v>
      </c>
      <c r="K22" s="9">
        <v>542</v>
      </c>
      <c r="L22" s="17">
        <v>2</v>
      </c>
      <c r="M22" s="9">
        <v>0</v>
      </c>
    </row>
    <row r="23" spans="1:13" ht="17.25" customHeight="1" x14ac:dyDescent="0.25">
      <c r="A23" s="87"/>
      <c r="B23" s="89"/>
      <c r="C23" s="103"/>
      <c r="D23" s="15">
        <v>5</v>
      </c>
      <c r="E23" s="7">
        <v>536</v>
      </c>
      <c r="F23" s="7">
        <v>498</v>
      </c>
      <c r="G23" s="7">
        <v>0</v>
      </c>
      <c r="H23" s="7">
        <v>23</v>
      </c>
      <c r="I23" s="7">
        <v>0</v>
      </c>
      <c r="J23" s="7">
        <v>13</v>
      </c>
      <c r="K23" s="9">
        <v>534</v>
      </c>
      <c r="L23" s="17">
        <v>2</v>
      </c>
      <c r="M23" s="9">
        <v>0</v>
      </c>
    </row>
    <row r="24" spans="1:13" ht="17.25" customHeight="1" x14ac:dyDescent="0.25">
      <c r="A24" s="87"/>
      <c r="B24" s="89"/>
      <c r="C24" s="103"/>
      <c r="D24" s="15">
        <v>6</v>
      </c>
      <c r="E24" s="7">
        <v>506</v>
      </c>
      <c r="F24" s="7">
        <v>464</v>
      </c>
      <c r="G24" s="7">
        <v>0</v>
      </c>
      <c r="H24" s="7">
        <v>27</v>
      </c>
      <c r="I24" s="7">
        <v>0</v>
      </c>
      <c r="J24" s="7">
        <v>12</v>
      </c>
      <c r="K24" s="9">
        <v>503</v>
      </c>
      <c r="L24" s="17">
        <v>1</v>
      </c>
      <c r="M24" s="9">
        <v>2</v>
      </c>
    </row>
    <row r="25" spans="1:13" ht="17.25" customHeight="1" x14ac:dyDescent="0.25">
      <c r="A25" s="88"/>
      <c r="B25" s="65"/>
      <c r="C25" s="104"/>
      <c r="D25" s="15">
        <v>7</v>
      </c>
      <c r="E25" s="7">
        <v>519</v>
      </c>
      <c r="F25" s="7">
        <v>470</v>
      </c>
      <c r="G25" s="7">
        <v>2</v>
      </c>
      <c r="H25" s="7">
        <v>29</v>
      </c>
      <c r="I25" s="7">
        <v>0</v>
      </c>
      <c r="J25" s="7">
        <v>17</v>
      </c>
      <c r="K25" s="9">
        <v>518</v>
      </c>
      <c r="L25" s="17">
        <v>1</v>
      </c>
      <c r="M25" s="9">
        <v>0</v>
      </c>
    </row>
    <row r="26" spans="1:13" ht="37.950000000000003" customHeight="1" x14ac:dyDescent="0.25"/>
    <row r="27" spans="1:13" ht="342" customHeight="1" x14ac:dyDescent="0.25"/>
    <row r="28" spans="1:13" ht="342" customHeight="1" x14ac:dyDescent="0.25"/>
  </sheetData>
  <mergeCells count="19">
    <mergeCell ref="A1:M1"/>
    <mergeCell ref="A2:A4"/>
    <mergeCell ref="B2:B4"/>
    <mergeCell ref="C2:C4"/>
    <mergeCell ref="D2:D4"/>
    <mergeCell ref="E2:E4"/>
    <mergeCell ref="F2:K2"/>
    <mergeCell ref="L2:L4"/>
    <mergeCell ref="M2:M4"/>
    <mergeCell ref="K3:K4"/>
    <mergeCell ref="A19:A25"/>
    <mergeCell ref="B19:B25"/>
    <mergeCell ref="C19:C25"/>
    <mergeCell ref="A5:A13"/>
    <mergeCell ref="B5:B13"/>
    <mergeCell ref="C5:C13"/>
    <mergeCell ref="A14:A18"/>
    <mergeCell ref="B14:B18"/>
    <mergeCell ref="C14:C18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28"/>
  <sheetViews>
    <sheetView workbookViewId="0">
      <selection activeCell="A5" sqref="A5:M25"/>
    </sheetView>
  </sheetViews>
  <sheetFormatPr defaultRowHeight="13.2" x14ac:dyDescent="0.25"/>
  <cols>
    <col min="1" max="1" width="5.5546875" customWidth="1"/>
    <col min="2" max="2" width="17.33203125" customWidth="1"/>
    <col min="3" max="3" width="23.33203125" customWidth="1"/>
    <col min="4" max="4" width="9.33203125" customWidth="1"/>
    <col min="5" max="5" width="11.5546875" customWidth="1"/>
    <col min="6" max="10" width="14" customWidth="1"/>
    <col min="11" max="13" width="11.77734375" customWidth="1"/>
  </cols>
  <sheetData>
    <row r="1" spans="1:13" ht="34.799999999999997" customHeight="1" x14ac:dyDescent="0.25">
      <c r="A1" s="69" t="s">
        <v>88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1"/>
    </row>
    <row r="2" spans="1:13" ht="18" customHeight="1" x14ac:dyDescent="0.25">
      <c r="A2" s="72" t="s">
        <v>1</v>
      </c>
      <c r="B2" s="72" t="s">
        <v>2</v>
      </c>
      <c r="C2" s="72" t="s">
        <v>3</v>
      </c>
      <c r="D2" s="75" t="s">
        <v>4</v>
      </c>
      <c r="E2" s="78" t="s">
        <v>5</v>
      </c>
      <c r="F2" s="81" t="s">
        <v>6</v>
      </c>
      <c r="G2" s="82"/>
      <c r="H2" s="82"/>
      <c r="I2" s="82"/>
      <c r="J2" s="82"/>
      <c r="K2" s="83"/>
      <c r="L2" s="75" t="s">
        <v>7</v>
      </c>
      <c r="M2" s="78" t="s">
        <v>8</v>
      </c>
    </row>
    <row r="3" spans="1:13" ht="37.950000000000003" customHeight="1" x14ac:dyDescent="0.25">
      <c r="A3" s="73"/>
      <c r="B3" s="73"/>
      <c r="C3" s="73"/>
      <c r="D3" s="76"/>
      <c r="E3" s="79"/>
      <c r="F3" s="1" t="s">
        <v>9</v>
      </c>
      <c r="G3" s="1" t="s">
        <v>10</v>
      </c>
      <c r="H3" s="1" t="s">
        <v>11</v>
      </c>
      <c r="I3" s="2" t="s">
        <v>12</v>
      </c>
      <c r="J3" s="1" t="s">
        <v>13</v>
      </c>
      <c r="K3" s="84" t="s">
        <v>14</v>
      </c>
      <c r="L3" s="76"/>
      <c r="M3" s="79"/>
    </row>
    <row r="4" spans="1:13" ht="28.2" customHeight="1" x14ac:dyDescent="0.25">
      <c r="A4" s="74"/>
      <c r="B4" s="74"/>
      <c r="C4" s="74"/>
      <c r="D4" s="77"/>
      <c r="E4" s="80"/>
      <c r="F4" s="3"/>
      <c r="G4" s="3"/>
      <c r="H4" s="3"/>
      <c r="I4" s="3"/>
      <c r="J4" s="3"/>
      <c r="K4" s="85"/>
      <c r="L4" s="77"/>
      <c r="M4" s="80"/>
    </row>
    <row r="5" spans="1:13" ht="17.25" customHeight="1" x14ac:dyDescent="0.25">
      <c r="A5" s="86">
        <v>29</v>
      </c>
      <c r="B5" s="90" t="s">
        <v>89</v>
      </c>
      <c r="C5" s="102" t="s">
        <v>90</v>
      </c>
      <c r="D5" s="15">
        <v>1</v>
      </c>
      <c r="E5" s="7">
        <v>214</v>
      </c>
      <c r="F5" s="7">
        <v>178</v>
      </c>
      <c r="G5" s="7">
        <v>2</v>
      </c>
      <c r="H5" s="7">
        <v>22</v>
      </c>
      <c r="I5" s="7">
        <v>2</v>
      </c>
      <c r="J5" s="7">
        <v>6</v>
      </c>
      <c r="K5" s="9">
        <v>210</v>
      </c>
      <c r="L5" s="18">
        <v>4</v>
      </c>
      <c r="M5" s="9">
        <v>0</v>
      </c>
    </row>
    <row r="6" spans="1:13" ht="17.25" customHeight="1" x14ac:dyDescent="0.25">
      <c r="A6" s="87"/>
      <c r="B6" s="91"/>
      <c r="C6" s="103"/>
      <c r="D6" s="15">
        <v>2</v>
      </c>
      <c r="E6" s="7">
        <v>322</v>
      </c>
      <c r="F6" s="7">
        <v>288</v>
      </c>
      <c r="G6" s="7">
        <v>1</v>
      </c>
      <c r="H6" s="7">
        <v>22</v>
      </c>
      <c r="I6" s="7">
        <v>0</v>
      </c>
      <c r="J6" s="7">
        <v>3</v>
      </c>
      <c r="K6" s="9">
        <v>314</v>
      </c>
      <c r="L6" s="18">
        <v>8</v>
      </c>
      <c r="M6" s="9">
        <v>0</v>
      </c>
    </row>
    <row r="7" spans="1:13" ht="17.25" customHeight="1" x14ac:dyDescent="0.25">
      <c r="A7" s="87"/>
      <c r="B7" s="91"/>
      <c r="C7" s="103"/>
      <c r="D7" s="15">
        <v>3</v>
      </c>
      <c r="E7" s="7">
        <v>323</v>
      </c>
      <c r="F7" s="7">
        <v>300</v>
      </c>
      <c r="G7" s="7">
        <v>2</v>
      </c>
      <c r="H7" s="7">
        <v>16</v>
      </c>
      <c r="I7" s="7">
        <v>1</v>
      </c>
      <c r="J7" s="7">
        <v>2</v>
      </c>
      <c r="K7" s="9">
        <v>321</v>
      </c>
      <c r="L7" s="18">
        <v>2</v>
      </c>
      <c r="M7" s="9">
        <v>0</v>
      </c>
    </row>
    <row r="8" spans="1:13" ht="17.25" customHeight="1" x14ac:dyDescent="0.25">
      <c r="A8" s="87"/>
      <c r="B8" s="91"/>
      <c r="C8" s="103"/>
      <c r="D8" s="15">
        <v>4</v>
      </c>
      <c r="E8" s="7">
        <v>362</v>
      </c>
      <c r="F8" s="7">
        <v>333</v>
      </c>
      <c r="G8" s="7">
        <v>1</v>
      </c>
      <c r="H8" s="7">
        <v>23</v>
      </c>
      <c r="I8" s="7">
        <v>0</v>
      </c>
      <c r="J8" s="7">
        <v>5</v>
      </c>
      <c r="K8" s="9">
        <v>362</v>
      </c>
      <c r="L8" s="18">
        <v>0</v>
      </c>
      <c r="M8" s="9">
        <v>0</v>
      </c>
    </row>
    <row r="9" spans="1:13" ht="17.25" customHeight="1" x14ac:dyDescent="0.25">
      <c r="A9" s="87"/>
      <c r="B9" s="91"/>
      <c r="C9" s="103"/>
      <c r="D9" s="15">
        <v>5</v>
      </c>
      <c r="E9" s="7">
        <v>419</v>
      </c>
      <c r="F9" s="7">
        <v>385</v>
      </c>
      <c r="G9" s="7">
        <v>0</v>
      </c>
      <c r="H9" s="7">
        <v>26</v>
      </c>
      <c r="I9" s="7">
        <v>1</v>
      </c>
      <c r="J9" s="7">
        <v>4</v>
      </c>
      <c r="K9" s="9">
        <v>416</v>
      </c>
      <c r="L9" s="18">
        <v>3</v>
      </c>
      <c r="M9" s="9">
        <v>0</v>
      </c>
    </row>
    <row r="10" spans="1:13" ht="17.25" customHeight="1" x14ac:dyDescent="0.25">
      <c r="A10" s="87"/>
      <c r="B10" s="91"/>
      <c r="C10" s="103"/>
      <c r="D10" s="15">
        <v>6</v>
      </c>
      <c r="E10" s="7">
        <v>397</v>
      </c>
      <c r="F10" s="7">
        <v>371</v>
      </c>
      <c r="G10" s="7">
        <v>0</v>
      </c>
      <c r="H10" s="7">
        <v>19</v>
      </c>
      <c r="I10" s="7">
        <v>1</v>
      </c>
      <c r="J10" s="7">
        <v>4</v>
      </c>
      <c r="K10" s="9">
        <v>395</v>
      </c>
      <c r="L10" s="18">
        <v>2</v>
      </c>
      <c r="M10" s="9">
        <v>0</v>
      </c>
    </row>
    <row r="11" spans="1:13" ht="17.25" customHeight="1" x14ac:dyDescent="0.25">
      <c r="A11" s="87"/>
      <c r="B11" s="91"/>
      <c r="C11" s="103"/>
      <c r="D11" s="15">
        <v>7</v>
      </c>
      <c r="E11" s="7">
        <v>366</v>
      </c>
      <c r="F11" s="7">
        <v>347</v>
      </c>
      <c r="G11" s="7">
        <v>0</v>
      </c>
      <c r="H11" s="7">
        <v>12</v>
      </c>
      <c r="I11" s="7">
        <v>1</v>
      </c>
      <c r="J11" s="7">
        <v>6</v>
      </c>
      <c r="K11" s="9">
        <v>366</v>
      </c>
      <c r="L11" s="18">
        <v>0</v>
      </c>
      <c r="M11" s="9">
        <v>0</v>
      </c>
    </row>
    <row r="12" spans="1:13" ht="17.25" customHeight="1" x14ac:dyDescent="0.25">
      <c r="A12" s="88"/>
      <c r="B12" s="92"/>
      <c r="C12" s="104"/>
      <c r="D12" s="15">
        <v>8</v>
      </c>
      <c r="E12" s="7">
        <v>374</v>
      </c>
      <c r="F12" s="7">
        <v>339</v>
      </c>
      <c r="G12" s="7">
        <v>1</v>
      </c>
      <c r="H12" s="7">
        <v>17</v>
      </c>
      <c r="I12" s="7">
        <v>1</v>
      </c>
      <c r="J12" s="7">
        <v>16</v>
      </c>
      <c r="K12" s="9">
        <v>374</v>
      </c>
      <c r="L12" s="18">
        <v>0</v>
      </c>
      <c r="M12" s="9">
        <v>0</v>
      </c>
    </row>
    <row r="13" spans="1:13" ht="17.25" customHeight="1" x14ac:dyDescent="0.25">
      <c r="A13" s="86">
        <v>30</v>
      </c>
      <c r="B13" s="99" t="s">
        <v>91</v>
      </c>
      <c r="C13" s="56" t="s">
        <v>92</v>
      </c>
      <c r="D13" s="15">
        <v>1</v>
      </c>
      <c r="E13" s="7">
        <v>246</v>
      </c>
      <c r="F13" s="7">
        <v>215</v>
      </c>
      <c r="G13" s="7">
        <v>2</v>
      </c>
      <c r="H13" s="7">
        <v>16</v>
      </c>
      <c r="I13" s="7">
        <v>6</v>
      </c>
      <c r="J13" s="7">
        <v>4</v>
      </c>
      <c r="K13" s="9">
        <v>243</v>
      </c>
      <c r="L13" s="18">
        <v>3</v>
      </c>
      <c r="M13" s="9">
        <v>0</v>
      </c>
    </row>
    <row r="14" spans="1:13" ht="17.25" customHeight="1" x14ac:dyDescent="0.25">
      <c r="A14" s="87"/>
      <c r="B14" s="100"/>
      <c r="C14" s="57"/>
      <c r="D14" s="15">
        <v>2</v>
      </c>
      <c r="E14" s="7">
        <v>342</v>
      </c>
      <c r="F14" s="7">
        <v>321</v>
      </c>
      <c r="G14" s="7">
        <v>0</v>
      </c>
      <c r="H14" s="7">
        <v>18</v>
      </c>
      <c r="I14" s="7">
        <v>0</v>
      </c>
      <c r="J14" s="7">
        <v>2</v>
      </c>
      <c r="K14" s="9">
        <v>341</v>
      </c>
      <c r="L14" s="18">
        <v>1</v>
      </c>
      <c r="M14" s="9">
        <v>0</v>
      </c>
    </row>
    <row r="15" spans="1:13" ht="17.25" customHeight="1" x14ac:dyDescent="0.25">
      <c r="A15" s="87"/>
      <c r="B15" s="100"/>
      <c r="C15" s="57"/>
      <c r="D15" s="15">
        <v>3</v>
      </c>
      <c r="E15" s="7">
        <v>361</v>
      </c>
      <c r="F15" s="7">
        <v>328</v>
      </c>
      <c r="G15" s="7">
        <v>0</v>
      </c>
      <c r="H15" s="7">
        <v>19</v>
      </c>
      <c r="I15" s="7">
        <v>1</v>
      </c>
      <c r="J15" s="7">
        <v>9</v>
      </c>
      <c r="K15" s="9">
        <v>357</v>
      </c>
      <c r="L15" s="18">
        <v>4</v>
      </c>
      <c r="M15" s="9">
        <v>0</v>
      </c>
    </row>
    <row r="16" spans="1:13" ht="17.25" customHeight="1" x14ac:dyDescent="0.25">
      <c r="A16" s="87"/>
      <c r="B16" s="100"/>
      <c r="C16" s="57"/>
      <c r="D16" s="15">
        <v>4</v>
      </c>
      <c r="E16" s="7">
        <v>499</v>
      </c>
      <c r="F16" s="7">
        <v>454</v>
      </c>
      <c r="G16" s="7">
        <v>0</v>
      </c>
      <c r="H16" s="7">
        <v>32</v>
      </c>
      <c r="I16" s="7">
        <v>2</v>
      </c>
      <c r="J16" s="7">
        <v>9</v>
      </c>
      <c r="K16" s="9">
        <v>497</v>
      </c>
      <c r="L16" s="18">
        <v>2</v>
      </c>
      <c r="M16" s="9">
        <v>0</v>
      </c>
    </row>
    <row r="17" spans="1:13" ht="17.25" customHeight="1" x14ac:dyDescent="0.25">
      <c r="A17" s="87"/>
      <c r="B17" s="100"/>
      <c r="C17" s="57"/>
      <c r="D17" s="15">
        <v>5</v>
      </c>
      <c r="E17" s="7">
        <v>465</v>
      </c>
      <c r="F17" s="7">
        <v>432</v>
      </c>
      <c r="G17" s="7">
        <v>1</v>
      </c>
      <c r="H17" s="7">
        <v>18</v>
      </c>
      <c r="I17" s="7">
        <v>2</v>
      </c>
      <c r="J17" s="7">
        <v>11</v>
      </c>
      <c r="K17" s="9">
        <v>464</v>
      </c>
      <c r="L17" s="18">
        <v>1</v>
      </c>
      <c r="M17" s="9">
        <v>0</v>
      </c>
    </row>
    <row r="18" spans="1:13" ht="17.25" customHeight="1" x14ac:dyDescent="0.25">
      <c r="A18" s="87"/>
      <c r="B18" s="100"/>
      <c r="C18" s="57"/>
      <c r="D18" s="15">
        <v>6</v>
      </c>
      <c r="E18" s="7">
        <v>422</v>
      </c>
      <c r="F18" s="7">
        <v>390</v>
      </c>
      <c r="G18" s="7">
        <v>1</v>
      </c>
      <c r="H18" s="7">
        <v>24</v>
      </c>
      <c r="I18" s="7">
        <v>1</v>
      </c>
      <c r="J18" s="7">
        <v>5</v>
      </c>
      <c r="K18" s="9">
        <v>421</v>
      </c>
      <c r="L18" s="18">
        <v>1</v>
      </c>
      <c r="M18" s="9">
        <v>0</v>
      </c>
    </row>
    <row r="19" spans="1:13" ht="17.25" customHeight="1" x14ac:dyDescent="0.25">
      <c r="A19" s="88"/>
      <c r="B19" s="101"/>
      <c r="C19" s="58"/>
      <c r="D19" s="15">
        <v>7</v>
      </c>
      <c r="E19" s="7">
        <v>471</v>
      </c>
      <c r="F19" s="7">
        <v>439</v>
      </c>
      <c r="G19" s="7">
        <v>2</v>
      </c>
      <c r="H19" s="7">
        <v>12</v>
      </c>
      <c r="I19" s="7">
        <v>0</v>
      </c>
      <c r="J19" s="7">
        <v>17</v>
      </c>
      <c r="K19" s="9">
        <v>470</v>
      </c>
      <c r="L19" s="18">
        <v>1</v>
      </c>
      <c r="M19" s="9">
        <v>0</v>
      </c>
    </row>
    <row r="20" spans="1:13" ht="17.25" customHeight="1" x14ac:dyDescent="0.25">
      <c r="A20" s="86">
        <v>31</v>
      </c>
      <c r="B20" s="99" t="s">
        <v>93</v>
      </c>
      <c r="C20" s="102" t="s">
        <v>94</v>
      </c>
      <c r="D20" s="15">
        <v>1</v>
      </c>
      <c r="E20" s="7">
        <v>329</v>
      </c>
      <c r="F20" s="7">
        <v>173</v>
      </c>
      <c r="G20" s="7">
        <v>2</v>
      </c>
      <c r="H20" s="7">
        <v>97</v>
      </c>
      <c r="I20" s="7">
        <v>6</v>
      </c>
      <c r="J20" s="7">
        <v>47</v>
      </c>
      <c r="K20" s="9">
        <v>325</v>
      </c>
      <c r="L20" s="18">
        <v>4</v>
      </c>
      <c r="M20" s="9">
        <v>0</v>
      </c>
    </row>
    <row r="21" spans="1:13" ht="17.25" customHeight="1" x14ac:dyDescent="0.25">
      <c r="A21" s="87"/>
      <c r="B21" s="100"/>
      <c r="C21" s="103"/>
      <c r="D21" s="15">
        <v>2</v>
      </c>
      <c r="E21" s="7">
        <v>361</v>
      </c>
      <c r="F21" s="7">
        <v>164</v>
      </c>
      <c r="G21" s="7">
        <v>0</v>
      </c>
      <c r="H21" s="7">
        <v>108</v>
      </c>
      <c r="I21" s="7">
        <v>10</v>
      </c>
      <c r="J21" s="7">
        <v>75</v>
      </c>
      <c r="K21" s="9">
        <v>357</v>
      </c>
      <c r="L21" s="18">
        <v>4</v>
      </c>
      <c r="M21" s="9">
        <v>0</v>
      </c>
    </row>
    <row r="22" spans="1:13" ht="17.25" customHeight="1" x14ac:dyDescent="0.25">
      <c r="A22" s="87"/>
      <c r="B22" s="100"/>
      <c r="C22" s="103"/>
      <c r="D22" s="15">
        <v>3</v>
      </c>
      <c r="E22" s="7">
        <v>584</v>
      </c>
      <c r="F22" s="7">
        <v>303</v>
      </c>
      <c r="G22" s="7">
        <v>3</v>
      </c>
      <c r="H22" s="7">
        <v>120</v>
      </c>
      <c r="I22" s="7">
        <v>17</v>
      </c>
      <c r="J22" s="7">
        <v>136</v>
      </c>
      <c r="K22" s="9">
        <v>579</v>
      </c>
      <c r="L22" s="18">
        <v>5</v>
      </c>
      <c r="M22" s="9">
        <v>0</v>
      </c>
    </row>
    <row r="23" spans="1:13" ht="17.25" customHeight="1" x14ac:dyDescent="0.25">
      <c r="A23" s="87"/>
      <c r="B23" s="100"/>
      <c r="C23" s="103"/>
      <c r="D23" s="15">
        <v>4</v>
      </c>
      <c r="E23" s="7">
        <v>546</v>
      </c>
      <c r="F23" s="7">
        <v>223</v>
      </c>
      <c r="G23" s="7">
        <v>4</v>
      </c>
      <c r="H23" s="7">
        <v>121</v>
      </c>
      <c r="I23" s="7">
        <v>13</v>
      </c>
      <c r="J23" s="7">
        <v>183</v>
      </c>
      <c r="K23" s="9">
        <v>544</v>
      </c>
      <c r="L23" s="18">
        <v>2</v>
      </c>
      <c r="M23" s="9">
        <v>0</v>
      </c>
    </row>
    <row r="24" spans="1:13" ht="17.25" customHeight="1" x14ac:dyDescent="0.25">
      <c r="A24" s="87"/>
      <c r="B24" s="100"/>
      <c r="C24" s="103"/>
      <c r="D24" s="15">
        <v>5</v>
      </c>
      <c r="E24" s="7">
        <v>547</v>
      </c>
      <c r="F24" s="7">
        <v>244</v>
      </c>
      <c r="G24" s="7">
        <v>2</v>
      </c>
      <c r="H24" s="7">
        <v>97</v>
      </c>
      <c r="I24" s="7">
        <v>14</v>
      </c>
      <c r="J24" s="7">
        <v>190</v>
      </c>
      <c r="K24" s="9">
        <v>547</v>
      </c>
      <c r="L24" s="18">
        <v>0</v>
      </c>
      <c r="M24" s="9">
        <v>0</v>
      </c>
    </row>
    <row r="25" spans="1:13" ht="17.25" customHeight="1" x14ac:dyDescent="0.25">
      <c r="A25" s="88"/>
      <c r="B25" s="101"/>
      <c r="C25" s="104"/>
      <c r="D25" s="15">
        <v>6</v>
      </c>
      <c r="E25" s="7">
        <v>604</v>
      </c>
      <c r="F25" s="7">
        <v>299</v>
      </c>
      <c r="G25" s="7">
        <v>2</v>
      </c>
      <c r="H25" s="7">
        <v>98</v>
      </c>
      <c r="I25" s="7">
        <v>12</v>
      </c>
      <c r="J25" s="7">
        <v>193</v>
      </c>
      <c r="K25" s="9">
        <v>604</v>
      </c>
      <c r="L25" s="18">
        <v>0</v>
      </c>
      <c r="M25" s="9">
        <v>0</v>
      </c>
    </row>
    <row r="26" spans="1:13" ht="37.950000000000003" customHeight="1" x14ac:dyDescent="0.25"/>
    <row r="27" spans="1:13" ht="342" customHeight="1" x14ac:dyDescent="0.25"/>
    <row r="28" spans="1:13" ht="342" customHeight="1" x14ac:dyDescent="0.25"/>
  </sheetData>
  <mergeCells count="19">
    <mergeCell ref="A1:M1"/>
    <mergeCell ref="A2:A4"/>
    <mergeCell ref="B2:B4"/>
    <mergeCell ref="C2:C4"/>
    <mergeCell ref="D2:D4"/>
    <mergeCell ref="E2:E4"/>
    <mergeCell ref="F2:K2"/>
    <mergeCell ref="L2:L4"/>
    <mergeCell ref="M2:M4"/>
    <mergeCell ref="K3:K4"/>
    <mergeCell ref="A20:A25"/>
    <mergeCell ref="B20:B25"/>
    <mergeCell ref="C20:C25"/>
    <mergeCell ref="A5:A12"/>
    <mergeCell ref="B5:B12"/>
    <mergeCell ref="C5:C12"/>
    <mergeCell ref="A13:A19"/>
    <mergeCell ref="B13:B19"/>
    <mergeCell ref="C13:C19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23"/>
  <sheetViews>
    <sheetView topLeftCell="A5" workbookViewId="0">
      <selection activeCell="A5" sqref="A5:M20"/>
    </sheetView>
  </sheetViews>
  <sheetFormatPr defaultRowHeight="13.2" x14ac:dyDescent="0.25"/>
  <cols>
    <col min="1" max="1" width="5.5546875" customWidth="1"/>
    <col min="2" max="2" width="17.33203125" customWidth="1"/>
    <col min="3" max="3" width="23.33203125" customWidth="1"/>
    <col min="4" max="4" width="9.33203125" customWidth="1"/>
    <col min="5" max="5" width="11.5546875" customWidth="1"/>
    <col min="6" max="10" width="14" customWidth="1"/>
    <col min="11" max="13" width="11.77734375" customWidth="1"/>
  </cols>
  <sheetData>
    <row r="1" spans="1:13" ht="34.799999999999997" customHeight="1" x14ac:dyDescent="0.25">
      <c r="A1" s="69" t="s">
        <v>95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1"/>
    </row>
    <row r="2" spans="1:13" ht="18" customHeight="1" x14ac:dyDescent="0.25">
      <c r="A2" s="72" t="s">
        <v>1</v>
      </c>
      <c r="B2" s="72" t="s">
        <v>2</v>
      </c>
      <c r="C2" s="72" t="s">
        <v>3</v>
      </c>
      <c r="D2" s="75" t="s">
        <v>4</v>
      </c>
      <c r="E2" s="78" t="s">
        <v>5</v>
      </c>
      <c r="F2" s="81" t="s">
        <v>6</v>
      </c>
      <c r="G2" s="82"/>
      <c r="H2" s="82"/>
      <c r="I2" s="82"/>
      <c r="J2" s="82"/>
      <c r="K2" s="83"/>
      <c r="L2" s="75" t="s">
        <v>7</v>
      </c>
      <c r="M2" s="78" t="s">
        <v>8</v>
      </c>
    </row>
    <row r="3" spans="1:13" ht="37.950000000000003" customHeight="1" x14ac:dyDescent="0.25">
      <c r="A3" s="73"/>
      <c r="B3" s="73"/>
      <c r="C3" s="73"/>
      <c r="D3" s="76"/>
      <c r="E3" s="79"/>
      <c r="F3" s="1" t="s">
        <v>9</v>
      </c>
      <c r="G3" s="1" t="s">
        <v>10</v>
      </c>
      <c r="H3" s="1" t="s">
        <v>11</v>
      </c>
      <c r="I3" s="2" t="s">
        <v>12</v>
      </c>
      <c r="J3" s="1" t="s">
        <v>13</v>
      </c>
      <c r="K3" s="84" t="s">
        <v>14</v>
      </c>
      <c r="L3" s="76"/>
      <c r="M3" s="79"/>
    </row>
    <row r="4" spans="1:13" ht="28.2" customHeight="1" x14ac:dyDescent="0.25">
      <c r="A4" s="74"/>
      <c r="B4" s="74"/>
      <c r="C4" s="74"/>
      <c r="D4" s="77"/>
      <c r="E4" s="80"/>
      <c r="F4" s="3"/>
      <c r="G4" s="3"/>
      <c r="H4" s="3"/>
      <c r="I4" s="3"/>
      <c r="J4" s="3"/>
      <c r="K4" s="85"/>
      <c r="L4" s="77"/>
      <c r="M4" s="80"/>
    </row>
    <row r="5" spans="1:13" ht="17.25" customHeight="1" x14ac:dyDescent="0.25">
      <c r="A5" s="86">
        <v>32</v>
      </c>
      <c r="B5" s="64" t="s">
        <v>96</v>
      </c>
      <c r="C5" s="102" t="s">
        <v>97</v>
      </c>
      <c r="D5" s="15">
        <v>1</v>
      </c>
      <c r="E5" s="7">
        <v>225</v>
      </c>
      <c r="F5" s="7">
        <v>164</v>
      </c>
      <c r="G5" s="7">
        <v>1</v>
      </c>
      <c r="H5" s="7">
        <v>43</v>
      </c>
      <c r="I5" s="7">
        <v>2</v>
      </c>
      <c r="J5" s="7">
        <v>7</v>
      </c>
      <c r="K5" s="9">
        <v>217</v>
      </c>
      <c r="L5" s="18">
        <v>8</v>
      </c>
      <c r="M5" s="9">
        <v>0</v>
      </c>
    </row>
    <row r="6" spans="1:13" ht="17.25" customHeight="1" x14ac:dyDescent="0.25">
      <c r="A6" s="87"/>
      <c r="B6" s="89"/>
      <c r="C6" s="103"/>
      <c r="D6" s="15">
        <v>2</v>
      </c>
      <c r="E6" s="7">
        <v>347</v>
      </c>
      <c r="F6" s="7">
        <v>273</v>
      </c>
      <c r="G6" s="7">
        <v>2</v>
      </c>
      <c r="H6" s="7">
        <v>55</v>
      </c>
      <c r="I6" s="7">
        <v>0</v>
      </c>
      <c r="J6" s="7">
        <v>11</v>
      </c>
      <c r="K6" s="9">
        <v>341</v>
      </c>
      <c r="L6" s="18">
        <v>6</v>
      </c>
      <c r="M6" s="9">
        <v>0</v>
      </c>
    </row>
    <row r="7" spans="1:13" ht="17.25" customHeight="1" x14ac:dyDescent="0.25">
      <c r="A7" s="87"/>
      <c r="B7" s="89"/>
      <c r="C7" s="103"/>
      <c r="D7" s="15">
        <v>3</v>
      </c>
      <c r="E7" s="7">
        <v>432</v>
      </c>
      <c r="F7" s="7">
        <v>344</v>
      </c>
      <c r="G7" s="7">
        <v>3</v>
      </c>
      <c r="H7" s="7">
        <v>58</v>
      </c>
      <c r="I7" s="7">
        <v>5</v>
      </c>
      <c r="J7" s="7">
        <v>20</v>
      </c>
      <c r="K7" s="9">
        <v>430</v>
      </c>
      <c r="L7" s="18">
        <v>2</v>
      </c>
      <c r="M7" s="9">
        <v>0</v>
      </c>
    </row>
    <row r="8" spans="1:13" ht="17.25" customHeight="1" x14ac:dyDescent="0.25">
      <c r="A8" s="87"/>
      <c r="B8" s="89"/>
      <c r="C8" s="103"/>
      <c r="D8" s="15">
        <v>4</v>
      </c>
      <c r="E8" s="7">
        <v>438</v>
      </c>
      <c r="F8" s="7">
        <v>344</v>
      </c>
      <c r="G8" s="7">
        <v>0</v>
      </c>
      <c r="H8" s="7">
        <v>60</v>
      </c>
      <c r="I8" s="7">
        <v>1</v>
      </c>
      <c r="J8" s="7">
        <v>32</v>
      </c>
      <c r="K8" s="9">
        <v>437</v>
      </c>
      <c r="L8" s="18">
        <v>1</v>
      </c>
      <c r="M8" s="9">
        <v>0</v>
      </c>
    </row>
    <row r="9" spans="1:13" ht="17.25" customHeight="1" x14ac:dyDescent="0.25">
      <c r="A9" s="87"/>
      <c r="B9" s="89"/>
      <c r="C9" s="103"/>
      <c r="D9" s="15">
        <v>5</v>
      </c>
      <c r="E9" s="7">
        <v>428</v>
      </c>
      <c r="F9" s="7">
        <v>315</v>
      </c>
      <c r="G9" s="7">
        <v>1</v>
      </c>
      <c r="H9" s="7">
        <v>62</v>
      </c>
      <c r="I9" s="7">
        <v>1</v>
      </c>
      <c r="J9" s="7">
        <v>48</v>
      </c>
      <c r="K9" s="9">
        <v>427</v>
      </c>
      <c r="L9" s="18">
        <v>1</v>
      </c>
      <c r="M9" s="9">
        <v>0</v>
      </c>
    </row>
    <row r="10" spans="1:13" ht="17.25" customHeight="1" x14ac:dyDescent="0.25">
      <c r="A10" s="87"/>
      <c r="B10" s="89"/>
      <c r="C10" s="103"/>
      <c r="D10" s="15">
        <v>6</v>
      </c>
      <c r="E10" s="7">
        <v>402</v>
      </c>
      <c r="F10" s="7">
        <v>267</v>
      </c>
      <c r="G10" s="7">
        <v>0</v>
      </c>
      <c r="H10" s="7">
        <v>69</v>
      </c>
      <c r="I10" s="7">
        <v>1</v>
      </c>
      <c r="J10" s="7">
        <v>64</v>
      </c>
      <c r="K10" s="9">
        <v>401</v>
      </c>
      <c r="L10" s="18">
        <v>1</v>
      </c>
      <c r="M10" s="9">
        <v>0</v>
      </c>
    </row>
    <row r="11" spans="1:13" ht="17.25" customHeight="1" x14ac:dyDescent="0.25">
      <c r="A11" s="87"/>
      <c r="B11" s="89"/>
      <c r="C11" s="103"/>
      <c r="D11" s="15">
        <v>7</v>
      </c>
      <c r="E11" s="7">
        <v>406</v>
      </c>
      <c r="F11" s="7">
        <v>260</v>
      </c>
      <c r="G11" s="7">
        <v>0</v>
      </c>
      <c r="H11" s="7">
        <v>51</v>
      </c>
      <c r="I11" s="7">
        <v>5</v>
      </c>
      <c r="J11" s="7">
        <v>89</v>
      </c>
      <c r="K11" s="9">
        <v>405</v>
      </c>
      <c r="L11" s="18">
        <v>1</v>
      </c>
      <c r="M11" s="9">
        <v>0</v>
      </c>
    </row>
    <row r="12" spans="1:13" ht="17.25" customHeight="1" x14ac:dyDescent="0.25">
      <c r="A12" s="88"/>
      <c r="B12" s="65"/>
      <c r="C12" s="104"/>
      <c r="D12" s="15">
        <v>8</v>
      </c>
      <c r="E12" s="7">
        <v>452</v>
      </c>
      <c r="F12" s="7">
        <v>300</v>
      </c>
      <c r="G12" s="7">
        <v>1</v>
      </c>
      <c r="H12" s="7">
        <v>45</v>
      </c>
      <c r="I12" s="7">
        <v>1</v>
      </c>
      <c r="J12" s="7">
        <v>105</v>
      </c>
      <c r="K12" s="9">
        <v>452</v>
      </c>
      <c r="L12" s="18">
        <v>0</v>
      </c>
      <c r="M12" s="9">
        <v>0</v>
      </c>
    </row>
    <row r="13" spans="1:13" ht="17.25" customHeight="1" x14ac:dyDescent="0.25">
      <c r="A13" s="86">
        <v>33</v>
      </c>
      <c r="B13" s="64" t="s">
        <v>98</v>
      </c>
      <c r="C13" s="90" t="s">
        <v>99</v>
      </c>
      <c r="D13" s="15">
        <v>1</v>
      </c>
      <c r="E13" s="7">
        <v>285</v>
      </c>
      <c r="F13" s="7">
        <v>256</v>
      </c>
      <c r="G13" s="7">
        <v>0</v>
      </c>
      <c r="H13" s="7">
        <v>20</v>
      </c>
      <c r="I13" s="7">
        <v>1</v>
      </c>
      <c r="J13" s="7">
        <v>4</v>
      </c>
      <c r="K13" s="9">
        <v>281</v>
      </c>
      <c r="L13" s="18">
        <v>4</v>
      </c>
      <c r="M13" s="9">
        <v>0</v>
      </c>
    </row>
    <row r="14" spans="1:13" ht="17.25" customHeight="1" x14ac:dyDescent="0.25">
      <c r="A14" s="87"/>
      <c r="B14" s="89"/>
      <c r="C14" s="91"/>
      <c r="D14" s="15">
        <v>2</v>
      </c>
      <c r="E14" s="7">
        <v>359</v>
      </c>
      <c r="F14" s="7">
        <v>326</v>
      </c>
      <c r="G14" s="7">
        <v>0</v>
      </c>
      <c r="H14" s="7">
        <v>24</v>
      </c>
      <c r="I14" s="7">
        <v>1</v>
      </c>
      <c r="J14" s="7">
        <v>0</v>
      </c>
      <c r="K14" s="9">
        <v>351</v>
      </c>
      <c r="L14" s="18">
        <v>8</v>
      </c>
      <c r="M14" s="9">
        <v>0</v>
      </c>
    </row>
    <row r="15" spans="1:13" ht="17.25" customHeight="1" x14ac:dyDescent="0.25">
      <c r="A15" s="88"/>
      <c r="B15" s="65"/>
      <c r="C15" s="92"/>
      <c r="D15" s="15">
        <v>3</v>
      </c>
      <c r="E15" s="7">
        <v>516</v>
      </c>
      <c r="F15" s="7">
        <v>463</v>
      </c>
      <c r="G15" s="7">
        <v>0</v>
      </c>
      <c r="H15" s="7">
        <v>39</v>
      </c>
      <c r="I15" s="7">
        <v>1</v>
      </c>
      <c r="J15" s="7">
        <v>10</v>
      </c>
      <c r="K15" s="9">
        <v>513</v>
      </c>
      <c r="L15" s="18">
        <v>3</v>
      </c>
      <c r="M15" s="9">
        <v>0</v>
      </c>
    </row>
    <row r="16" spans="1:13" ht="17.25" customHeight="1" x14ac:dyDescent="0.25">
      <c r="A16" s="86">
        <v>34</v>
      </c>
      <c r="B16" s="59" t="s">
        <v>100</v>
      </c>
      <c r="C16" s="105" t="s">
        <v>101</v>
      </c>
      <c r="D16" s="15">
        <v>1</v>
      </c>
      <c r="E16" s="7">
        <v>251</v>
      </c>
      <c r="F16" s="7">
        <v>139</v>
      </c>
      <c r="G16" s="7">
        <v>0</v>
      </c>
      <c r="H16" s="7">
        <v>76</v>
      </c>
      <c r="I16" s="7">
        <v>3</v>
      </c>
      <c r="J16" s="7">
        <v>30</v>
      </c>
      <c r="K16" s="9">
        <v>248</v>
      </c>
      <c r="L16" s="18">
        <v>3</v>
      </c>
      <c r="M16" s="9">
        <v>0</v>
      </c>
    </row>
    <row r="17" spans="1:13" ht="17.25" customHeight="1" x14ac:dyDescent="0.25">
      <c r="A17" s="88"/>
      <c r="B17" s="61"/>
      <c r="C17" s="106"/>
      <c r="D17" s="15">
        <v>2</v>
      </c>
      <c r="E17" s="7">
        <v>409</v>
      </c>
      <c r="F17" s="7">
        <v>218</v>
      </c>
      <c r="G17" s="7">
        <v>0</v>
      </c>
      <c r="H17" s="7">
        <v>96</v>
      </c>
      <c r="I17" s="7">
        <v>4</v>
      </c>
      <c r="J17" s="7">
        <v>90</v>
      </c>
      <c r="K17" s="9">
        <v>408</v>
      </c>
      <c r="L17" s="18">
        <v>1</v>
      </c>
      <c r="M17" s="9">
        <v>0</v>
      </c>
    </row>
    <row r="18" spans="1:13" ht="17.25" customHeight="1" x14ac:dyDescent="0.25">
      <c r="A18" s="86">
        <v>35</v>
      </c>
      <c r="B18" s="59" t="s">
        <v>102</v>
      </c>
      <c r="C18" s="90" t="s">
        <v>103</v>
      </c>
      <c r="D18" s="15">
        <v>1</v>
      </c>
      <c r="E18" s="7">
        <v>263</v>
      </c>
      <c r="F18" s="7">
        <v>218</v>
      </c>
      <c r="G18" s="7">
        <v>2</v>
      </c>
      <c r="H18" s="7">
        <v>23</v>
      </c>
      <c r="I18" s="7">
        <v>1</v>
      </c>
      <c r="J18" s="7">
        <v>13</v>
      </c>
      <c r="K18" s="9">
        <v>257</v>
      </c>
      <c r="L18" s="18">
        <v>6</v>
      </c>
      <c r="M18" s="9">
        <v>0</v>
      </c>
    </row>
    <row r="19" spans="1:13" ht="17.25" customHeight="1" x14ac:dyDescent="0.25">
      <c r="A19" s="87"/>
      <c r="B19" s="60"/>
      <c r="C19" s="91"/>
      <c r="D19" s="15">
        <v>2</v>
      </c>
      <c r="E19" s="7">
        <v>333</v>
      </c>
      <c r="F19" s="7">
        <v>277</v>
      </c>
      <c r="G19" s="7">
        <v>0</v>
      </c>
      <c r="H19" s="7">
        <v>31</v>
      </c>
      <c r="I19" s="7">
        <v>2</v>
      </c>
      <c r="J19" s="7">
        <v>23</v>
      </c>
      <c r="K19" s="9">
        <v>333</v>
      </c>
      <c r="L19" s="18">
        <v>0</v>
      </c>
      <c r="M19" s="9">
        <v>0</v>
      </c>
    </row>
    <row r="20" spans="1:13" ht="17.25" customHeight="1" x14ac:dyDescent="0.25">
      <c r="A20" s="88"/>
      <c r="B20" s="61"/>
      <c r="C20" s="92"/>
      <c r="D20" s="15">
        <v>3</v>
      </c>
      <c r="E20" s="7">
        <v>297</v>
      </c>
      <c r="F20" s="7">
        <v>188</v>
      </c>
      <c r="G20" s="7">
        <v>0</v>
      </c>
      <c r="H20" s="7">
        <v>40</v>
      </c>
      <c r="I20" s="7">
        <v>0</v>
      </c>
      <c r="J20" s="7">
        <v>68</v>
      </c>
      <c r="K20" s="9">
        <v>296</v>
      </c>
      <c r="L20" s="18">
        <v>1</v>
      </c>
      <c r="M20" s="9">
        <v>0</v>
      </c>
    </row>
    <row r="21" spans="1:13" ht="37.950000000000003" customHeight="1" x14ac:dyDescent="0.25"/>
    <row r="22" spans="1:13" ht="261" customHeight="1" x14ac:dyDescent="0.25"/>
    <row r="23" spans="1:13" ht="261" customHeight="1" x14ac:dyDescent="0.25"/>
  </sheetData>
  <mergeCells count="22">
    <mergeCell ref="A1:M1"/>
    <mergeCell ref="A2:A4"/>
    <mergeCell ref="B2:B4"/>
    <mergeCell ref="C2:C4"/>
    <mergeCell ref="D2:D4"/>
    <mergeCell ref="E2:E4"/>
    <mergeCell ref="F2:K2"/>
    <mergeCell ref="L2:L4"/>
    <mergeCell ref="M2:M4"/>
    <mergeCell ref="K3:K4"/>
    <mergeCell ref="A5:A12"/>
    <mergeCell ref="B5:B12"/>
    <mergeCell ref="C5:C12"/>
    <mergeCell ref="A13:A15"/>
    <mergeCell ref="B13:B15"/>
    <mergeCell ref="C13:C15"/>
    <mergeCell ref="A16:A17"/>
    <mergeCell ref="B16:B17"/>
    <mergeCell ref="C16:C17"/>
    <mergeCell ref="A18:A20"/>
    <mergeCell ref="B18:B20"/>
    <mergeCell ref="C18:C20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24"/>
  <sheetViews>
    <sheetView workbookViewId="0">
      <selection activeCell="A5" sqref="A5:M21"/>
    </sheetView>
  </sheetViews>
  <sheetFormatPr defaultRowHeight="13.2" x14ac:dyDescent="0.25"/>
  <cols>
    <col min="1" max="1" width="5.5546875" customWidth="1"/>
    <col min="2" max="2" width="17.33203125" customWidth="1"/>
    <col min="3" max="3" width="23.33203125" customWidth="1"/>
    <col min="4" max="4" width="9.33203125" customWidth="1"/>
    <col min="5" max="5" width="11.5546875" customWidth="1"/>
    <col min="6" max="10" width="14" customWidth="1"/>
    <col min="11" max="13" width="11.77734375" customWidth="1"/>
  </cols>
  <sheetData>
    <row r="1" spans="1:13" ht="34.799999999999997" customHeight="1" x14ac:dyDescent="0.25">
      <c r="A1" s="69" t="s">
        <v>104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1"/>
    </row>
    <row r="2" spans="1:13" ht="18" customHeight="1" x14ac:dyDescent="0.25">
      <c r="A2" s="72" t="s">
        <v>1</v>
      </c>
      <c r="B2" s="72" t="s">
        <v>2</v>
      </c>
      <c r="C2" s="72" t="s">
        <v>3</v>
      </c>
      <c r="D2" s="75" t="s">
        <v>4</v>
      </c>
      <c r="E2" s="78" t="s">
        <v>5</v>
      </c>
      <c r="F2" s="81" t="s">
        <v>6</v>
      </c>
      <c r="G2" s="82"/>
      <c r="H2" s="82"/>
      <c r="I2" s="82"/>
      <c r="J2" s="82"/>
      <c r="K2" s="83"/>
      <c r="L2" s="75" t="s">
        <v>7</v>
      </c>
      <c r="M2" s="78" t="s">
        <v>8</v>
      </c>
    </row>
    <row r="3" spans="1:13" ht="37.950000000000003" customHeight="1" x14ac:dyDescent="0.25">
      <c r="A3" s="73"/>
      <c r="B3" s="73"/>
      <c r="C3" s="73"/>
      <c r="D3" s="76"/>
      <c r="E3" s="79"/>
      <c r="F3" s="1" t="s">
        <v>9</v>
      </c>
      <c r="G3" s="1" t="s">
        <v>10</v>
      </c>
      <c r="H3" s="1" t="s">
        <v>11</v>
      </c>
      <c r="I3" s="2" t="s">
        <v>12</v>
      </c>
      <c r="J3" s="1" t="s">
        <v>13</v>
      </c>
      <c r="K3" s="84" t="s">
        <v>14</v>
      </c>
      <c r="L3" s="76"/>
      <c r="M3" s="79"/>
    </row>
    <row r="4" spans="1:13" ht="28.2" customHeight="1" x14ac:dyDescent="0.25">
      <c r="A4" s="74"/>
      <c r="B4" s="74"/>
      <c r="C4" s="74"/>
      <c r="D4" s="77"/>
      <c r="E4" s="80"/>
      <c r="F4" s="3"/>
      <c r="G4" s="3"/>
      <c r="H4" s="3"/>
      <c r="I4" s="3"/>
      <c r="J4" s="3"/>
      <c r="K4" s="85"/>
      <c r="L4" s="77"/>
      <c r="M4" s="80"/>
    </row>
    <row r="5" spans="1:13" ht="17.25" customHeight="1" x14ac:dyDescent="0.25">
      <c r="A5" s="86">
        <v>36</v>
      </c>
      <c r="B5" s="102" t="s">
        <v>105</v>
      </c>
      <c r="C5" s="90" t="s">
        <v>106</v>
      </c>
      <c r="D5" s="15">
        <v>1</v>
      </c>
      <c r="E5" s="7">
        <v>316</v>
      </c>
      <c r="F5" s="7">
        <v>80</v>
      </c>
      <c r="G5" s="7">
        <v>1</v>
      </c>
      <c r="H5" s="7">
        <v>151</v>
      </c>
      <c r="I5" s="7">
        <v>4</v>
      </c>
      <c r="J5" s="7">
        <v>75</v>
      </c>
      <c r="K5" s="9">
        <v>311</v>
      </c>
      <c r="L5" s="18">
        <v>5</v>
      </c>
      <c r="M5" s="9">
        <v>0</v>
      </c>
    </row>
    <row r="6" spans="1:13" ht="17.25" customHeight="1" x14ac:dyDescent="0.25">
      <c r="A6" s="87"/>
      <c r="B6" s="103"/>
      <c r="C6" s="91"/>
      <c r="D6" s="15">
        <v>2</v>
      </c>
      <c r="E6" s="7">
        <v>389</v>
      </c>
      <c r="F6" s="7">
        <v>97</v>
      </c>
      <c r="G6" s="7">
        <v>0</v>
      </c>
      <c r="H6" s="7">
        <v>171</v>
      </c>
      <c r="I6" s="7">
        <v>4</v>
      </c>
      <c r="J6" s="7">
        <v>116</v>
      </c>
      <c r="K6" s="9">
        <v>388</v>
      </c>
      <c r="L6" s="18">
        <v>1</v>
      </c>
      <c r="M6" s="9">
        <v>0</v>
      </c>
    </row>
    <row r="7" spans="1:13" ht="17.25" customHeight="1" x14ac:dyDescent="0.25">
      <c r="A7" s="87"/>
      <c r="B7" s="103"/>
      <c r="C7" s="91"/>
      <c r="D7" s="15">
        <v>3</v>
      </c>
      <c r="E7" s="7">
        <v>376</v>
      </c>
      <c r="F7" s="7">
        <v>121</v>
      </c>
      <c r="G7" s="7">
        <v>1</v>
      </c>
      <c r="H7" s="7">
        <v>123</v>
      </c>
      <c r="I7" s="7">
        <v>9</v>
      </c>
      <c r="J7" s="7">
        <v>119</v>
      </c>
      <c r="K7" s="9">
        <v>373</v>
      </c>
      <c r="L7" s="18">
        <v>3</v>
      </c>
      <c r="M7" s="9">
        <v>0</v>
      </c>
    </row>
    <row r="8" spans="1:13" ht="17.25" customHeight="1" x14ac:dyDescent="0.25">
      <c r="A8" s="87"/>
      <c r="B8" s="103"/>
      <c r="C8" s="91"/>
      <c r="D8" s="15">
        <v>4</v>
      </c>
      <c r="E8" s="7">
        <v>534</v>
      </c>
      <c r="F8" s="7">
        <v>140</v>
      </c>
      <c r="G8" s="7">
        <v>2</v>
      </c>
      <c r="H8" s="7">
        <v>134</v>
      </c>
      <c r="I8" s="7">
        <v>16</v>
      </c>
      <c r="J8" s="7">
        <v>239</v>
      </c>
      <c r="K8" s="9">
        <v>531</v>
      </c>
      <c r="L8" s="18">
        <v>3</v>
      </c>
      <c r="M8" s="9">
        <v>0</v>
      </c>
    </row>
    <row r="9" spans="1:13" ht="17.25" customHeight="1" x14ac:dyDescent="0.25">
      <c r="A9" s="87"/>
      <c r="B9" s="103"/>
      <c r="C9" s="91"/>
      <c r="D9" s="15">
        <v>5</v>
      </c>
      <c r="E9" s="7">
        <v>514</v>
      </c>
      <c r="F9" s="7">
        <v>137</v>
      </c>
      <c r="G9" s="7">
        <v>3</v>
      </c>
      <c r="H9" s="7">
        <v>123</v>
      </c>
      <c r="I9" s="7">
        <v>18</v>
      </c>
      <c r="J9" s="7">
        <v>232</v>
      </c>
      <c r="K9" s="9">
        <v>513</v>
      </c>
      <c r="L9" s="18">
        <v>1</v>
      </c>
      <c r="M9" s="9">
        <v>0</v>
      </c>
    </row>
    <row r="10" spans="1:13" ht="17.25" customHeight="1" x14ac:dyDescent="0.25">
      <c r="A10" s="87"/>
      <c r="B10" s="103"/>
      <c r="C10" s="91"/>
      <c r="D10" s="15">
        <v>6</v>
      </c>
      <c r="E10" s="7">
        <v>498</v>
      </c>
      <c r="F10" s="7">
        <v>125</v>
      </c>
      <c r="G10" s="7">
        <v>2</v>
      </c>
      <c r="H10" s="7">
        <v>144</v>
      </c>
      <c r="I10" s="7">
        <v>13</v>
      </c>
      <c r="J10" s="7">
        <v>208</v>
      </c>
      <c r="K10" s="9">
        <v>492</v>
      </c>
      <c r="L10" s="18">
        <v>6</v>
      </c>
      <c r="M10" s="9">
        <v>0</v>
      </c>
    </row>
    <row r="11" spans="1:13" ht="17.25" customHeight="1" x14ac:dyDescent="0.25">
      <c r="A11" s="87"/>
      <c r="B11" s="103"/>
      <c r="C11" s="91"/>
      <c r="D11" s="15">
        <v>7</v>
      </c>
      <c r="E11" s="7">
        <v>514</v>
      </c>
      <c r="F11" s="7">
        <v>178</v>
      </c>
      <c r="G11" s="7">
        <v>2</v>
      </c>
      <c r="H11" s="7">
        <v>122</v>
      </c>
      <c r="I11" s="7">
        <v>8</v>
      </c>
      <c r="J11" s="7">
        <v>203</v>
      </c>
      <c r="K11" s="9">
        <v>513</v>
      </c>
      <c r="L11" s="18">
        <v>1</v>
      </c>
      <c r="M11" s="9">
        <v>0</v>
      </c>
    </row>
    <row r="12" spans="1:13" ht="17.25" customHeight="1" x14ac:dyDescent="0.25">
      <c r="A12" s="87"/>
      <c r="B12" s="103"/>
      <c r="C12" s="92"/>
      <c r="D12" s="15">
        <v>8</v>
      </c>
      <c r="E12" s="7">
        <v>544</v>
      </c>
      <c r="F12" s="7">
        <v>182</v>
      </c>
      <c r="G12" s="7">
        <v>1</v>
      </c>
      <c r="H12" s="7">
        <v>128</v>
      </c>
      <c r="I12" s="7">
        <v>6</v>
      </c>
      <c r="J12" s="7">
        <v>224</v>
      </c>
      <c r="K12" s="9">
        <v>541</v>
      </c>
      <c r="L12" s="18">
        <v>3</v>
      </c>
      <c r="M12" s="9">
        <v>0</v>
      </c>
    </row>
    <row r="13" spans="1:13" ht="17.25" customHeight="1" x14ac:dyDescent="0.25">
      <c r="A13" s="87"/>
      <c r="B13" s="103"/>
      <c r="C13" s="64" t="s">
        <v>107</v>
      </c>
      <c r="D13" s="15">
        <v>1</v>
      </c>
      <c r="E13" s="7">
        <v>374</v>
      </c>
      <c r="F13" s="7">
        <v>81</v>
      </c>
      <c r="G13" s="7">
        <v>1</v>
      </c>
      <c r="H13" s="7">
        <v>127</v>
      </c>
      <c r="I13" s="7">
        <v>12</v>
      </c>
      <c r="J13" s="7">
        <v>150</v>
      </c>
      <c r="K13" s="9">
        <v>371</v>
      </c>
      <c r="L13" s="18">
        <v>3</v>
      </c>
      <c r="M13" s="9">
        <v>0</v>
      </c>
    </row>
    <row r="14" spans="1:13" ht="17.25" customHeight="1" x14ac:dyDescent="0.25">
      <c r="A14" s="87"/>
      <c r="B14" s="103"/>
      <c r="C14" s="89"/>
      <c r="D14" s="15">
        <v>2</v>
      </c>
      <c r="E14" s="7">
        <v>357</v>
      </c>
      <c r="F14" s="7">
        <v>75</v>
      </c>
      <c r="G14" s="7">
        <v>1</v>
      </c>
      <c r="H14" s="7">
        <v>87</v>
      </c>
      <c r="I14" s="7">
        <v>10</v>
      </c>
      <c r="J14" s="7">
        <v>182</v>
      </c>
      <c r="K14" s="9">
        <v>355</v>
      </c>
      <c r="L14" s="18">
        <v>2</v>
      </c>
      <c r="M14" s="9">
        <v>0</v>
      </c>
    </row>
    <row r="15" spans="1:13" ht="17.25" customHeight="1" x14ac:dyDescent="0.25">
      <c r="A15" s="87"/>
      <c r="B15" s="103"/>
      <c r="C15" s="89"/>
      <c r="D15" s="15">
        <v>3</v>
      </c>
      <c r="E15" s="7">
        <v>370</v>
      </c>
      <c r="F15" s="7">
        <v>115</v>
      </c>
      <c r="G15" s="7">
        <v>2</v>
      </c>
      <c r="H15" s="7">
        <v>68</v>
      </c>
      <c r="I15" s="7">
        <v>6</v>
      </c>
      <c r="J15" s="7">
        <v>179</v>
      </c>
      <c r="K15" s="9">
        <v>370</v>
      </c>
      <c r="L15" s="18">
        <v>0</v>
      </c>
      <c r="M15" s="9">
        <v>0</v>
      </c>
    </row>
    <row r="16" spans="1:13" ht="17.25" customHeight="1" x14ac:dyDescent="0.25">
      <c r="A16" s="88"/>
      <c r="B16" s="104"/>
      <c r="C16" s="65"/>
      <c r="D16" s="15">
        <v>4</v>
      </c>
      <c r="E16" s="7">
        <v>391</v>
      </c>
      <c r="F16" s="7">
        <v>113</v>
      </c>
      <c r="G16" s="7">
        <v>1</v>
      </c>
      <c r="H16" s="7">
        <v>95</v>
      </c>
      <c r="I16" s="7">
        <v>5</v>
      </c>
      <c r="J16" s="7">
        <v>176</v>
      </c>
      <c r="K16" s="9">
        <v>390</v>
      </c>
      <c r="L16" s="18">
        <v>1</v>
      </c>
      <c r="M16" s="9">
        <v>0</v>
      </c>
    </row>
    <row r="17" spans="1:13" ht="17.25" customHeight="1" x14ac:dyDescent="0.25">
      <c r="A17" s="86">
        <v>37</v>
      </c>
      <c r="B17" s="64" t="s">
        <v>108</v>
      </c>
      <c r="C17" s="59" t="s">
        <v>109</v>
      </c>
      <c r="D17" s="15">
        <v>1</v>
      </c>
      <c r="E17" s="7">
        <v>327</v>
      </c>
      <c r="F17" s="7">
        <v>219</v>
      </c>
      <c r="G17" s="7">
        <v>4</v>
      </c>
      <c r="H17" s="7">
        <v>73</v>
      </c>
      <c r="I17" s="7">
        <v>4</v>
      </c>
      <c r="J17" s="7">
        <v>22</v>
      </c>
      <c r="K17" s="9">
        <v>322</v>
      </c>
      <c r="L17" s="18">
        <v>5</v>
      </c>
      <c r="M17" s="9">
        <v>0</v>
      </c>
    </row>
    <row r="18" spans="1:13" ht="17.25" customHeight="1" x14ac:dyDescent="0.25">
      <c r="A18" s="87"/>
      <c r="B18" s="89"/>
      <c r="C18" s="60"/>
      <c r="D18" s="15">
        <v>2</v>
      </c>
      <c r="E18" s="7">
        <v>377</v>
      </c>
      <c r="F18" s="7">
        <v>269</v>
      </c>
      <c r="G18" s="7">
        <v>1</v>
      </c>
      <c r="H18" s="7">
        <v>70</v>
      </c>
      <c r="I18" s="7">
        <v>8</v>
      </c>
      <c r="J18" s="7">
        <v>23</v>
      </c>
      <c r="K18" s="9">
        <v>371</v>
      </c>
      <c r="L18" s="18">
        <v>6</v>
      </c>
      <c r="M18" s="9">
        <v>0</v>
      </c>
    </row>
    <row r="19" spans="1:13" ht="17.25" customHeight="1" x14ac:dyDescent="0.25">
      <c r="A19" s="87"/>
      <c r="B19" s="89"/>
      <c r="C19" s="60"/>
      <c r="D19" s="15">
        <v>3</v>
      </c>
      <c r="E19" s="7">
        <v>508</v>
      </c>
      <c r="F19" s="7">
        <v>402</v>
      </c>
      <c r="G19" s="7">
        <v>0</v>
      </c>
      <c r="H19" s="7">
        <v>46</v>
      </c>
      <c r="I19" s="7">
        <v>4</v>
      </c>
      <c r="J19" s="7">
        <v>54</v>
      </c>
      <c r="K19" s="9">
        <v>506</v>
      </c>
      <c r="L19" s="18">
        <v>2</v>
      </c>
      <c r="M19" s="9">
        <v>0</v>
      </c>
    </row>
    <row r="20" spans="1:13" ht="17.25" customHeight="1" x14ac:dyDescent="0.25">
      <c r="A20" s="87"/>
      <c r="B20" s="89"/>
      <c r="C20" s="60"/>
      <c r="D20" s="15">
        <v>4</v>
      </c>
      <c r="E20" s="7">
        <v>487</v>
      </c>
      <c r="F20" s="7">
        <v>346</v>
      </c>
      <c r="G20" s="7">
        <v>0</v>
      </c>
      <c r="H20" s="7">
        <v>57</v>
      </c>
      <c r="I20" s="7">
        <v>2</v>
      </c>
      <c r="J20" s="7">
        <v>78</v>
      </c>
      <c r="K20" s="9">
        <v>483</v>
      </c>
      <c r="L20" s="18">
        <v>4</v>
      </c>
      <c r="M20" s="9">
        <v>0</v>
      </c>
    </row>
    <row r="21" spans="1:13" ht="17.25" customHeight="1" x14ac:dyDescent="0.25">
      <c r="A21" s="88"/>
      <c r="B21" s="65"/>
      <c r="C21" s="61"/>
      <c r="D21" s="15">
        <v>5</v>
      </c>
      <c r="E21" s="7">
        <v>472</v>
      </c>
      <c r="F21" s="7">
        <v>258</v>
      </c>
      <c r="G21" s="7">
        <v>1</v>
      </c>
      <c r="H21" s="7">
        <v>87</v>
      </c>
      <c r="I21" s="7">
        <v>1</v>
      </c>
      <c r="J21" s="7">
        <v>124</v>
      </c>
      <c r="K21" s="9">
        <v>471</v>
      </c>
      <c r="L21" s="18">
        <v>1</v>
      </c>
      <c r="M21" s="9">
        <v>0</v>
      </c>
    </row>
    <row r="22" spans="1:13" ht="37.950000000000003" customHeight="1" x14ac:dyDescent="0.25"/>
    <row r="23" spans="1:13" ht="277.05" customHeight="1" x14ac:dyDescent="0.25"/>
    <row r="24" spans="1:13" ht="277.05" customHeight="1" x14ac:dyDescent="0.25"/>
  </sheetData>
  <mergeCells count="17">
    <mergeCell ref="A1:M1"/>
    <mergeCell ref="A2:A4"/>
    <mergeCell ref="B2:B4"/>
    <mergeCell ref="C2:C4"/>
    <mergeCell ref="D2:D4"/>
    <mergeCell ref="E2:E4"/>
    <mergeCell ref="F2:K2"/>
    <mergeCell ref="L2:L4"/>
    <mergeCell ref="M2:M4"/>
    <mergeCell ref="K3:K4"/>
    <mergeCell ref="A5:A16"/>
    <mergeCell ref="B5:B16"/>
    <mergeCell ref="C5:C12"/>
    <mergeCell ref="C13:C16"/>
    <mergeCell ref="A17:A21"/>
    <mergeCell ref="B17:B21"/>
    <mergeCell ref="C17:C21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23"/>
  <sheetViews>
    <sheetView topLeftCell="A5" workbookViewId="0">
      <selection activeCell="A5" sqref="A5:M20"/>
    </sheetView>
  </sheetViews>
  <sheetFormatPr defaultRowHeight="13.2" x14ac:dyDescent="0.25"/>
  <cols>
    <col min="1" max="1" width="5.5546875" customWidth="1"/>
    <col min="2" max="2" width="17.33203125" customWidth="1"/>
    <col min="3" max="3" width="23.33203125" customWidth="1"/>
    <col min="4" max="4" width="9.33203125" customWidth="1"/>
    <col min="5" max="5" width="11.5546875" customWidth="1"/>
    <col min="6" max="10" width="14" customWidth="1"/>
    <col min="11" max="13" width="11.77734375" customWidth="1"/>
  </cols>
  <sheetData>
    <row r="1" spans="1:13" ht="34.799999999999997" customHeight="1" x14ac:dyDescent="0.25">
      <c r="A1" s="69" t="s">
        <v>110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1"/>
    </row>
    <row r="2" spans="1:13" ht="18" customHeight="1" x14ac:dyDescent="0.25">
      <c r="A2" s="72" t="s">
        <v>1</v>
      </c>
      <c r="B2" s="72" t="s">
        <v>2</v>
      </c>
      <c r="C2" s="72" t="s">
        <v>3</v>
      </c>
      <c r="D2" s="75" t="s">
        <v>4</v>
      </c>
      <c r="E2" s="78" t="s">
        <v>5</v>
      </c>
      <c r="F2" s="81" t="s">
        <v>6</v>
      </c>
      <c r="G2" s="82"/>
      <c r="H2" s="82"/>
      <c r="I2" s="82"/>
      <c r="J2" s="82"/>
      <c r="K2" s="83"/>
      <c r="L2" s="75" t="s">
        <v>7</v>
      </c>
      <c r="M2" s="78" t="s">
        <v>8</v>
      </c>
    </row>
    <row r="3" spans="1:13" ht="37.950000000000003" customHeight="1" x14ac:dyDescent="0.25">
      <c r="A3" s="73"/>
      <c r="B3" s="73"/>
      <c r="C3" s="73"/>
      <c r="D3" s="76"/>
      <c r="E3" s="79"/>
      <c r="F3" s="1" t="s">
        <v>9</v>
      </c>
      <c r="G3" s="1" t="s">
        <v>10</v>
      </c>
      <c r="H3" s="1" t="s">
        <v>11</v>
      </c>
      <c r="I3" s="2" t="s">
        <v>12</v>
      </c>
      <c r="J3" s="1" t="s">
        <v>13</v>
      </c>
      <c r="K3" s="84" t="s">
        <v>14</v>
      </c>
      <c r="L3" s="76"/>
      <c r="M3" s="79"/>
    </row>
    <row r="4" spans="1:13" ht="28.2" customHeight="1" x14ac:dyDescent="0.25">
      <c r="A4" s="74"/>
      <c r="B4" s="74"/>
      <c r="C4" s="74"/>
      <c r="D4" s="77"/>
      <c r="E4" s="80"/>
      <c r="F4" s="3"/>
      <c r="G4" s="3"/>
      <c r="H4" s="3"/>
      <c r="I4" s="3"/>
      <c r="J4" s="3"/>
      <c r="K4" s="85"/>
      <c r="L4" s="77"/>
      <c r="M4" s="80"/>
    </row>
    <row r="5" spans="1:13" ht="17.25" customHeight="1" x14ac:dyDescent="0.25">
      <c r="A5" s="86">
        <v>37</v>
      </c>
      <c r="B5" s="64" t="s">
        <v>108</v>
      </c>
      <c r="C5" s="102" t="s">
        <v>111</v>
      </c>
      <c r="D5" s="15">
        <v>1</v>
      </c>
      <c r="E5" s="7">
        <v>367</v>
      </c>
      <c r="F5" s="7">
        <v>122</v>
      </c>
      <c r="G5" s="7">
        <v>3</v>
      </c>
      <c r="H5" s="7">
        <v>128</v>
      </c>
      <c r="I5" s="7">
        <v>4</v>
      </c>
      <c r="J5" s="7">
        <v>105</v>
      </c>
      <c r="K5" s="9">
        <v>362</v>
      </c>
      <c r="L5" s="17">
        <v>5</v>
      </c>
      <c r="M5" s="9">
        <v>0</v>
      </c>
    </row>
    <row r="6" spans="1:13" ht="17.25" customHeight="1" x14ac:dyDescent="0.25">
      <c r="A6" s="87"/>
      <c r="B6" s="89"/>
      <c r="C6" s="103"/>
      <c r="D6" s="15">
        <v>2</v>
      </c>
      <c r="E6" s="7">
        <v>397</v>
      </c>
      <c r="F6" s="7">
        <v>114</v>
      </c>
      <c r="G6" s="7">
        <v>2</v>
      </c>
      <c r="H6" s="7">
        <v>99</v>
      </c>
      <c r="I6" s="7">
        <v>10</v>
      </c>
      <c r="J6" s="7">
        <v>170</v>
      </c>
      <c r="K6" s="9">
        <v>395</v>
      </c>
      <c r="L6" s="17">
        <v>2</v>
      </c>
      <c r="M6" s="9">
        <v>0</v>
      </c>
    </row>
    <row r="7" spans="1:13" ht="17.25" customHeight="1" x14ac:dyDescent="0.25">
      <c r="A7" s="87"/>
      <c r="B7" s="89"/>
      <c r="C7" s="103"/>
      <c r="D7" s="15">
        <v>3</v>
      </c>
      <c r="E7" s="7">
        <v>511</v>
      </c>
      <c r="F7" s="7">
        <v>169</v>
      </c>
      <c r="G7" s="7">
        <v>3</v>
      </c>
      <c r="H7" s="7">
        <v>87</v>
      </c>
      <c r="I7" s="7">
        <v>4</v>
      </c>
      <c r="J7" s="7">
        <v>247</v>
      </c>
      <c r="K7" s="9">
        <v>510</v>
      </c>
      <c r="L7" s="17">
        <v>1</v>
      </c>
      <c r="M7" s="9">
        <v>0</v>
      </c>
    </row>
    <row r="8" spans="1:13" ht="17.25" customHeight="1" x14ac:dyDescent="0.25">
      <c r="A8" s="87"/>
      <c r="B8" s="89"/>
      <c r="C8" s="103"/>
      <c r="D8" s="15">
        <v>4</v>
      </c>
      <c r="E8" s="7">
        <v>482</v>
      </c>
      <c r="F8" s="7">
        <v>147</v>
      </c>
      <c r="G8" s="7">
        <v>2</v>
      </c>
      <c r="H8" s="7">
        <v>86</v>
      </c>
      <c r="I8" s="7">
        <v>4</v>
      </c>
      <c r="J8" s="7">
        <v>240</v>
      </c>
      <c r="K8" s="9">
        <v>479</v>
      </c>
      <c r="L8" s="17">
        <v>3</v>
      </c>
      <c r="M8" s="9">
        <v>0</v>
      </c>
    </row>
    <row r="9" spans="1:13" ht="17.25" customHeight="1" x14ac:dyDescent="0.25">
      <c r="A9" s="87"/>
      <c r="B9" s="89"/>
      <c r="C9" s="103"/>
      <c r="D9" s="15">
        <v>5</v>
      </c>
      <c r="E9" s="7">
        <v>510</v>
      </c>
      <c r="F9" s="7">
        <v>201</v>
      </c>
      <c r="G9" s="7">
        <v>1</v>
      </c>
      <c r="H9" s="7">
        <v>98</v>
      </c>
      <c r="I9" s="7">
        <v>7</v>
      </c>
      <c r="J9" s="7">
        <v>202</v>
      </c>
      <c r="K9" s="9">
        <v>509</v>
      </c>
      <c r="L9" s="17">
        <v>1</v>
      </c>
      <c r="M9" s="9">
        <v>0</v>
      </c>
    </row>
    <row r="10" spans="1:13" ht="17.25" customHeight="1" x14ac:dyDescent="0.25">
      <c r="A10" s="87"/>
      <c r="B10" s="89"/>
      <c r="C10" s="103"/>
      <c r="D10" s="15">
        <v>6</v>
      </c>
      <c r="E10" s="7">
        <v>527</v>
      </c>
      <c r="F10" s="7">
        <v>220</v>
      </c>
      <c r="G10" s="7">
        <v>3</v>
      </c>
      <c r="H10" s="7">
        <v>85</v>
      </c>
      <c r="I10" s="7">
        <v>9</v>
      </c>
      <c r="J10" s="7">
        <v>209</v>
      </c>
      <c r="K10" s="9">
        <v>526</v>
      </c>
      <c r="L10" s="17">
        <v>1</v>
      </c>
      <c r="M10" s="9">
        <v>0</v>
      </c>
    </row>
    <row r="11" spans="1:13" ht="17.25" customHeight="1" x14ac:dyDescent="0.25">
      <c r="A11" s="88"/>
      <c r="B11" s="65"/>
      <c r="C11" s="104"/>
      <c r="D11" s="15">
        <v>7</v>
      </c>
      <c r="E11" s="7">
        <v>552</v>
      </c>
      <c r="F11" s="7">
        <v>181</v>
      </c>
      <c r="G11" s="7">
        <v>2</v>
      </c>
      <c r="H11" s="7">
        <v>70</v>
      </c>
      <c r="I11" s="7">
        <v>9</v>
      </c>
      <c r="J11" s="7">
        <v>288</v>
      </c>
      <c r="K11" s="9">
        <v>550</v>
      </c>
      <c r="L11" s="17">
        <v>2</v>
      </c>
      <c r="M11" s="9">
        <v>0</v>
      </c>
    </row>
    <row r="12" spans="1:13" ht="17.25" customHeight="1" x14ac:dyDescent="0.25">
      <c r="A12" s="86">
        <v>38</v>
      </c>
      <c r="B12" s="56" t="s">
        <v>112</v>
      </c>
      <c r="C12" s="90" t="s">
        <v>113</v>
      </c>
      <c r="D12" s="15">
        <v>1</v>
      </c>
      <c r="E12" s="7">
        <v>328</v>
      </c>
      <c r="F12" s="7">
        <v>205</v>
      </c>
      <c r="G12" s="7">
        <v>2</v>
      </c>
      <c r="H12" s="7">
        <v>65</v>
      </c>
      <c r="I12" s="7">
        <v>5</v>
      </c>
      <c r="J12" s="7">
        <v>36</v>
      </c>
      <c r="K12" s="9">
        <v>313</v>
      </c>
      <c r="L12" s="15">
        <v>15</v>
      </c>
      <c r="M12" s="9">
        <v>0</v>
      </c>
    </row>
    <row r="13" spans="1:13" ht="17.25" customHeight="1" x14ac:dyDescent="0.25">
      <c r="A13" s="87"/>
      <c r="B13" s="57"/>
      <c r="C13" s="91"/>
      <c r="D13" s="15">
        <v>2</v>
      </c>
      <c r="E13" s="7">
        <v>384</v>
      </c>
      <c r="F13" s="7">
        <v>190</v>
      </c>
      <c r="G13" s="7">
        <v>2</v>
      </c>
      <c r="H13" s="7">
        <v>122</v>
      </c>
      <c r="I13" s="7">
        <v>7</v>
      </c>
      <c r="J13" s="7">
        <v>61</v>
      </c>
      <c r="K13" s="9">
        <v>382</v>
      </c>
      <c r="L13" s="17">
        <v>2</v>
      </c>
      <c r="M13" s="9">
        <v>0</v>
      </c>
    </row>
    <row r="14" spans="1:13" ht="17.25" customHeight="1" x14ac:dyDescent="0.25">
      <c r="A14" s="87"/>
      <c r="B14" s="57"/>
      <c r="C14" s="91"/>
      <c r="D14" s="15">
        <v>3</v>
      </c>
      <c r="E14" s="7">
        <v>551</v>
      </c>
      <c r="F14" s="7">
        <v>290</v>
      </c>
      <c r="G14" s="7">
        <v>0</v>
      </c>
      <c r="H14" s="7">
        <v>116</v>
      </c>
      <c r="I14" s="7">
        <v>4</v>
      </c>
      <c r="J14" s="7">
        <v>134</v>
      </c>
      <c r="K14" s="9">
        <v>544</v>
      </c>
      <c r="L14" s="17">
        <v>7</v>
      </c>
      <c r="M14" s="9">
        <v>0</v>
      </c>
    </row>
    <row r="15" spans="1:13" ht="17.25" customHeight="1" x14ac:dyDescent="0.25">
      <c r="A15" s="87"/>
      <c r="B15" s="57"/>
      <c r="C15" s="91"/>
      <c r="D15" s="15">
        <v>4</v>
      </c>
      <c r="E15" s="7">
        <v>522</v>
      </c>
      <c r="F15" s="7">
        <v>300</v>
      </c>
      <c r="G15" s="7">
        <v>1</v>
      </c>
      <c r="H15" s="7">
        <v>92</v>
      </c>
      <c r="I15" s="7">
        <v>6</v>
      </c>
      <c r="J15" s="7">
        <v>120</v>
      </c>
      <c r="K15" s="9">
        <v>519</v>
      </c>
      <c r="L15" s="17">
        <v>3</v>
      </c>
      <c r="M15" s="9">
        <v>0</v>
      </c>
    </row>
    <row r="16" spans="1:13" ht="17.25" customHeight="1" x14ac:dyDescent="0.25">
      <c r="A16" s="87"/>
      <c r="B16" s="57"/>
      <c r="C16" s="91"/>
      <c r="D16" s="15">
        <v>5</v>
      </c>
      <c r="E16" s="7">
        <v>482</v>
      </c>
      <c r="F16" s="7">
        <v>253</v>
      </c>
      <c r="G16" s="7">
        <v>3</v>
      </c>
      <c r="H16" s="7">
        <v>82</v>
      </c>
      <c r="I16" s="7">
        <v>4</v>
      </c>
      <c r="J16" s="7">
        <v>138</v>
      </c>
      <c r="K16" s="9">
        <v>480</v>
      </c>
      <c r="L16" s="17">
        <v>2</v>
      </c>
      <c r="M16" s="9">
        <v>0</v>
      </c>
    </row>
    <row r="17" spans="1:13" ht="17.25" customHeight="1" x14ac:dyDescent="0.25">
      <c r="A17" s="87"/>
      <c r="B17" s="57"/>
      <c r="C17" s="91"/>
      <c r="D17" s="15">
        <v>6</v>
      </c>
      <c r="E17" s="7">
        <v>499</v>
      </c>
      <c r="F17" s="7">
        <v>243</v>
      </c>
      <c r="G17" s="7">
        <v>0</v>
      </c>
      <c r="H17" s="7">
        <v>81</v>
      </c>
      <c r="I17" s="7">
        <v>4</v>
      </c>
      <c r="J17" s="7">
        <v>171</v>
      </c>
      <c r="K17" s="9">
        <v>499</v>
      </c>
      <c r="L17" s="17">
        <v>0</v>
      </c>
      <c r="M17" s="9">
        <v>0</v>
      </c>
    </row>
    <row r="18" spans="1:13" ht="17.25" customHeight="1" x14ac:dyDescent="0.25">
      <c r="A18" s="87"/>
      <c r="B18" s="57"/>
      <c r="C18" s="91"/>
      <c r="D18" s="15">
        <v>7</v>
      </c>
      <c r="E18" s="7">
        <v>501</v>
      </c>
      <c r="F18" s="7">
        <v>227</v>
      </c>
      <c r="G18" s="7">
        <v>1</v>
      </c>
      <c r="H18" s="7">
        <v>89</v>
      </c>
      <c r="I18" s="7">
        <v>6</v>
      </c>
      <c r="J18" s="7">
        <v>177</v>
      </c>
      <c r="K18" s="9">
        <v>500</v>
      </c>
      <c r="L18" s="17">
        <v>1</v>
      </c>
      <c r="M18" s="9">
        <v>0</v>
      </c>
    </row>
    <row r="19" spans="1:13" ht="17.25" customHeight="1" x14ac:dyDescent="0.25">
      <c r="A19" s="87"/>
      <c r="B19" s="57"/>
      <c r="C19" s="91"/>
      <c r="D19" s="15">
        <v>8</v>
      </c>
      <c r="E19" s="7">
        <v>527</v>
      </c>
      <c r="F19" s="7">
        <v>257</v>
      </c>
      <c r="G19" s="7">
        <v>0</v>
      </c>
      <c r="H19" s="7">
        <v>70</v>
      </c>
      <c r="I19" s="7">
        <v>1</v>
      </c>
      <c r="J19" s="7">
        <v>199</v>
      </c>
      <c r="K19" s="9">
        <v>527</v>
      </c>
      <c r="L19" s="17">
        <v>0</v>
      </c>
      <c r="M19" s="9">
        <v>0</v>
      </c>
    </row>
    <row r="20" spans="1:13" ht="17.25" customHeight="1" x14ac:dyDescent="0.25">
      <c r="A20" s="88"/>
      <c r="B20" s="58"/>
      <c r="C20" s="92"/>
      <c r="D20" s="15">
        <v>9</v>
      </c>
      <c r="E20" s="7">
        <v>545</v>
      </c>
      <c r="F20" s="7">
        <v>201</v>
      </c>
      <c r="G20" s="7">
        <v>1</v>
      </c>
      <c r="H20" s="7">
        <v>98</v>
      </c>
      <c r="I20" s="7">
        <v>1</v>
      </c>
      <c r="J20" s="7">
        <v>241</v>
      </c>
      <c r="K20" s="9">
        <v>542</v>
      </c>
      <c r="L20" s="17">
        <v>3</v>
      </c>
      <c r="M20" s="9">
        <v>0</v>
      </c>
    </row>
    <row r="21" spans="1:13" ht="37.950000000000003" customHeight="1" x14ac:dyDescent="0.25"/>
    <row r="22" spans="1:13" ht="261" customHeight="1" x14ac:dyDescent="0.25"/>
    <row r="23" spans="1:13" ht="261" customHeight="1" x14ac:dyDescent="0.25"/>
  </sheetData>
  <mergeCells count="16">
    <mergeCell ref="A1:M1"/>
    <mergeCell ref="A2:A4"/>
    <mergeCell ref="B2:B4"/>
    <mergeCell ref="C2:C4"/>
    <mergeCell ref="D2:D4"/>
    <mergeCell ref="E2:E4"/>
    <mergeCell ref="F2:K2"/>
    <mergeCell ref="L2:L4"/>
    <mergeCell ref="M2:M4"/>
    <mergeCell ref="K3:K4"/>
    <mergeCell ref="A5:A11"/>
    <mergeCell ref="B5:B11"/>
    <mergeCell ref="C5:C11"/>
    <mergeCell ref="A12:A20"/>
    <mergeCell ref="B12:B20"/>
    <mergeCell ref="C12:C20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M25"/>
  <sheetViews>
    <sheetView topLeftCell="A5" workbookViewId="0">
      <selection activeCell="A5" sqref="A5:M22"/>
    </sheetView>
  </sheetViews>
  <sheetFormatPr defaultRowHeight="13.2" x14ac:dyDescent="0.25"/>
  <cols>
    <col min="1" max="1" width="5.5546875" customWidth="1"/>
    <col min="2" max="2" width="17.33203125" customWidth="1"/>
    <col min="3" max="3" width="23.33203125" customWidth="1"/>
    <col min="4" max="4" width="9.33203125" customWidth="1"/>
    <col min="5" max="5" width="11.5546875" customWidth="1"/>
    <col min="6" max="10" width="14" customWidth="1"/>
    <col min="11" max="13" width="11.77734375" customWidth="1"/>
  </cols>
  <sheetData>
    <row r="1" spans="1:13" ht="34.799999999999997" customHeight="1" x14ac:dyDescent="0.25">
      <c r="A1" s="69" t="s">
        <v>114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1"/>
    </row>
    <row r="2" spans="1:13" ht="18" customHeight="1" x14ac:dyDescent="0.25">
      <c r="A2" s="72" t="s">
        <v>1</v>
      </c>
      <c r="B2" s="72" t="s">
        <v>2</v>
      </c>
      <c r="C2" s="72" t="s">
        <v>3</v>
      </c>
      <c r="D2" s="75" t="s">
        <v>4</v>
      </c>
      <c r="E2" s="78" t="s">
        <v>5</v>
      </c>
      <c r="F2" s="81" t="s">
        <v>6</v>
      </c>
      <c r="G2" s="82"/>
      <c r="H2" s="82"/>
      <c r="I2" s="82"/>
      <c r="J2" s="82"/>
      <c r="K2" s="83"/>
      <c r="L2" s="75" t="s">
        <v>7</v>
      </c>
      <c r="M2" s="78" t="s">
        <v>8</v>
      </c>
    </row>
    <row r="3" spans="1:13" ht="37.950000000000003" customHeight="1" x14ac:dyDescent="0.25">
      <c r="A3" s="73"/>
      <c r="B3" s="73"/>
      <c r="C3" s="73"/>
      <c r="D3" s="76"/>
      <c r="E3" s="79"/>
      <c r="F3" s="1" t="s">
        <v>9</v>
      </c>
      <c r="G3" s="1" t="s">
        <v>10</v>
      </c>
      <c r="H3" s="1" t="s">
        <v>11</v>
      </c>
      <c r="I3" s="2" t="s">
        <v>12</v>
      </c>
      <c r="J3" s="1" t="s">
        <v>13</v>
      </c>
      <c r="K3" s="84" t="s">
        <v>14</v>
      </c>
      <c r="L3" s="76"/>
      <c r="M3" s="79"/>
    </row>
    <row r="4" spans="1:13" ht="28.2" customHeight="1" x14ac:dyDescent="0.25">
      <c r="A4" s="74"/>
      <c r="B4" s="74"/>
      <c r="C4" s="74"/>
      <c r="D4" s="77"/>
      <c r="E4" s="80"/>
      <c r="F4" s="3"/>
      <c r="G4" s="3"/>
      <c r="H4" s="3"/>
      <c r="I4" s="3"/>
      <c r="J4" s="3"/>
      <c r="K4" s="85"/>
      <c r="L4" s="77"/>
      <c r="M4" s="80"/>
    </row>
    <row r="5" spans="1:13" ht="17.25" customHeight="1" x14ac:dyDescent="0.25">
      <c r="A5" s="86">
        <v>39</v>
      </c>
      <c r="B5" s="56" t="s">
        <v>115</v>
      </c>
      <c r="C5" s="102" t="s">
        <v>116</v>
      </c>
      <c r="D5" s="15">
        <v>1</v>
      </c>
      <c r="E5" s="7">
        <v>303</v>
      </c>
      <c r="F5" s="7">
        <v>135</v>
      </c>
      <c r="G5" s="7">
        <v>2</v>
      </c>
      <c r="H5" s="7">
        <v>110</v>
      </c>
      <c r="I5" s="7">
        <v>5</v>
      </c>
      <c r="J5" s="7">
        <v>41</v>
      </c>
      <c r="K5" s="9">
        <v>293</v>
      </c>
      <c r="L5" s="15">
        <v>10</v>
      </c>
      <c r="M5" s="9">
        <v>0</v>
      </c>
    </row>
    <row r="6" spans="1:13" ht="17.25" customHeight="1" x14ac:dyDescent="0.25">
      <c r="A6" s="87"/>
      <c r="B6" s="57"/>
      <c r="C6" s="103"/>
      <c r="D6" s="15">
        <v>2</v>
      </c>
      <c r="E6" s="7">
        <v>356</v>
      </c>
      <c r="F6" s="7">
        <v>160</v>
      </c>
      <c r="G6" s="7">
        <v>0</v>
      </c>
      <c r="H6" s="7">
        <v>133</v>
      </c>
      <c r="I6" s="7">
        <v>3</v>
      </c>
      <c r="J6" s="7">
        <v>51</v>
      </c>
      <c r="K6" s="9">
        <v>347</v>
      </c>
      <c r="L6" s="17">
        <v>9</v>
      </c>
      <c r="M6" s="9">
        <v>0</v>
      </c>
    </row>
    <row r="7" spans="1:13" ht="17.25" customHeight="1" x14ac:dyDescent="0.25">
      <c r="A7" s="87"/>
      <c r="B7" s="57"/>
      <c r="C7" s="103"/>
      <c r="D7" s="15">
        <v>3</v>
      </c>
      <c r="E7" s="7">
        <v>390</v>
      </c>
      <c r="F7" s="7">
        <v>171</v>
      </c>
      <c r="G7" s="7">
        <v>1</v>
      </c>
      <c r="H7" s="7">
        <v>109</v>
      </c>
      <c r="I7" s="7">
        <v>12</v>
      </c>
      <c r="J7" s="7">
        <v>93</v>
      </c>
      <c r="K7" s="9">
        <v>386</v>
      </c>
      <c r="L7" s="17">
        <v>4</v>
      </c>
      <c r="M7" s="9">
        <v>0</v>
      </c>
    </row>
    <row r="8" spans="1:13" ht="17.25" customHeight="1" x14ac:dyDescent="0.25">
      <c r="A8" s="87"/>
      <c r="B8" s="57"/>
      <c r="C8" s="103"/>
      <c r="D8" s="15">
        <v>4</v>
      </c>
      <c r="E8" s="7">
        <v>356</v>
      </c>
      <c r="F8" s="7">
        <v>141</v>
      </c>
      <c r="G8" s="7">
        <v>1</v>
      </c>
      <c r="H8" s="7">
        <v>89</v>
      </c>
      <c r="I8" s="7">
        <v>4</v>
      </c>
      <c r="J8" s="7">
        <v>119</v>
      </c>
      <c r="K8" s="9">
        <v>354</v>
      </c>
      <c r="L8" s="17">
        <v>2</v>
      </c>
      <c r="M8" s="9">
        <v>0</v>
      </c>
    </row>
    <row r="9" spans="1:13" ht="17.25" customHeight="1" x14ac:dyDescent="0.25">
      <c r="A9" s="87"/>
      <c r="B9" s="57"/>
      <c r="C9" s="103"/>
      <c r="D9" s="15">
        <v>5</v>
      </c>
      <c r="E9" s="7">
        <v>363</v>
      </c>
      <c r="F9" s="7">
        <v>133</v>
      </c>
      <c r="G9" s="7">
        <v>0</v>
      </c>
      <c r="H9" s="7">
        <v>83</v>
      </c>
      <c r="I9" s="7">
        <v>3</v>
      </c>
      <c r="J9" s="7">
        <v>142</v>
      </c>
      <c r="K9" s="9">
        <v>361</v>
      </c>
      <c r="L9" s="17">
        <v>2</v>
      </c>
      <c r="M9" s="9">
        <v>0</v>
      </c>
    </row>
    <row r="10" spans="1:13" ht="17.25" customHeight="1" x14ac:dyDescent="0.25">
      <c r="A10" s="88"/>
      <c r="B10" s="58"/>
      <c r="C10" s="104"/>
      <c r="D10" s="15">
        <v>6</v>
      </c>
      <c r="E10" s="7">
        <v>365</v>
      </c>
      <c r="F10" s="7">
        <v>135</v>
      </c>
      <c r="G10" s="7">
        <v>1</v>
      </c>
      <c r="H10" s="7">
        <v>88</v>
      </c>
      <c r="I10" s="7">
        <v>4</v>
      </c>
      <c r="J10" s="7">
        <v>137</v>
      </c>
      <c r="K10" s="9">
        <v>365</v>
      </c>
      <c r="L10" s="17">
        <v>0</v>
      </c>
      <c r="M10" s="9">
        <v>0</v>
      </c>
    </row>
    <row r="11" spans="1:13" ht="17.25" customHeight="1" x14ac:dyDescent="0.25">
      <c r="A11" s="86">
        <v>40</v>
      </c>
      <c r="B11" s="90" t="s">
        <v>117</v>
      </c>
      <c r="C11" s="102" t="s">
        <v>118</v>
      </c>
      <c r="D11" s="15">
        <v>1</v>
      </c>
      <c r="E11" s="7">
        <v>343</v>
      </c>
      <c r="F11" s="7">
        <v>63</v>
      </c>
      <c r="G11" s="7">
        <v>0</v>
      </c>
      <c r="H11" s="7">
        <v>180</v>
      </c>
      <c r="I11" s="7">
        <v>6</v>
      </c>
      <c r="J11" s="7">
        <v>90</v>
      </c>
      <c r="K11" s="9">
        <v>339</v>
      </c>
      <c r="L11" s="17">
        <v>4</v>
      </c>
      <c r="M11" s="9">
        <v>0</v>
      </c>
    </row>
    <row r="12" spans="1:13" ht="17.25" customHeight="1" x14ac:dyDescent="0.25">
      <c r="A12" s="87"/>
      <c r="B12" s="91"/>
      <c r="C12" s="103"/>
      <c r="D12" s="15">
        <v>2</v>
      </c>
      <c r="E12" s="7">
        <v>383</v>
      </c>
      <c r="F12" s="7">
        <v>77</v>
      </c>
      <c r="G12" s="7">
        <v>1</v>
      </c>
      <c r="H12" s="7">
        <v>179</v>
      </c>
      <c r="I12" s="7">
        <v>5</v>
      </c>
      <c r="J12" s="7">
        <v>118</v>
      </c>
      <c r="K12" s="9">
        <v>380</v>
      </c>
      <c r="L12" s="17">
        <v>3</v>
      </c>
      <c r="M12" s="9">
        <v>0</v>
      </c>
    </row>
    <row r="13" spans="1:13" ht="17.25" customHeight="1" x14ac:dyDescent="0.25">
      <c r="A13" s="87"/>
      <c r="B13" s="91"/>
      <c r="C13" s="103"/>
      <c r="D13" s="15">
        <v>3</v>
      </c>
      <c r="E13" s="7">
        <v>525</v>
      </c>
      <c r="F13" s="7">
        <v>141</v>
      </c>
      <c r="G13" s="7">
        <v>1</v>
      </c>
      <c r="H13" s="7">
        <v>155</v>
      </c>
      <c r="I13" s="7">
        <v>7</v>
      </c>
      <c r="J13" s="7">
        <v>220</v>
      </c>
      <c r="K13" s="9">
        <v>524</v>
      </c>
      <c r="L13" s="17">
        <v>1</v>
      </c>
      <c r="M13" s="9">
        <v>0</v>
      </c>
    </row>
    <row r="14" spans="1:13" ht="17.25" customHeight="1" x14ac:dyDescent="0.25">
      <c r="A14" s="87"/>
      <c r="B14" s="91"/>
      <c r="C14" s="103"/>
      <c r="D14" s="15">
        <v>4</v>
      </c>
      <c r="E14" s="7">
        <v>503</v>
      </c>
      <c r="F14" s="7">
        <v>105</v>
      </c>
      <c r="G14" s="7">
        <v>1</v>
      </c>
      <c r="H14" s="7">
        <v>131</v>
      </c>
      <c r="I14" s="7">
        <v>5</v>
      </c>
      <c r="J14" s="7">
        <v>256</v>
      </c>
      <c r="K14" s="9">
        <v>498</v>
      </c>
      <c r="L14" s="17">
        <v>5</v>
      </c>
      <c r="M14" s="9">
        <v>0</v>
      </c>
    </row>
    <row r="15" spans="1:13" ht="17.25" customHeight="1" x14ac:dyDescent="0.25">
      <c r="A15" s="87"/>
      <c r="B15" s="91"/>
      <c r="C15" s="103"/>
      <c r="D15" s="15">
        <v>5</v>
      </c>
      <c r="E15" s="7">
        <v>477</v>
      </c>
      <c r="F15" s="7">
        <v>85</v>
      </c>
      <c r="G15" s="7">
        <v>0</v>
      </c>
      <c r="H15" s="7">
        <v>128</v>
      </c>
      <c r="I15" s="7">
        <v>7</v>
      </c>
      <c r="J15" s="7">
        <v>254</v>
      </c>
      <c r="K15" s="9">
        <v>474</v>
      </c>
      <c r="L15" s="17">
        <v>3</v>
      </c>
      <c r="M15" s="9">
        <v>0</v>
      </c>
    </row>
    <row r="16" spans="1:13" ht="17.25" customHeight="1" x14ac:dyDescent="0.25">
      <c r="A16" s="87"/>
      <c r="B16" s="91"/>
      <c r="C16" s="103"/>
      <c r="D16" s="15">
        <v>6</v>
      </c>
      <c r="E16" s="7">
        <v>489</v>
      </c>
      <c r="F16" s="7">
        <v>103</v>
      </c>
      <c r="G16" s="7">
        <v>2</v>
      </c>
      <c r="H16" s="7">
        <v>131</v>
      </c>
      <c r="I16" s="7">
        <v>2</v>
      </c>
      <c r="J16" s="7">
        <v>249</v>
      </c>
      <c r="K16" s="9">
        <v>487</v>
      </c>
      <c r="L16" s="17">
        <v>2</v>
      </c>
      <c r="M16" s="9">
        <v>0</v>
      </c>
    </row>
    <row r="17" spans="1:13" ht="17.25" customHeight="1" x14ac:dyDescent="0.25">
      <c r="A17" s="87"/>
      <c r="B17" s="91"/>
      <c r="C17" s="104"/>
      <c r="D17" s="15">
        <v>7</v>
      </c>
      <c r="E17" s="7">
        <v>514</v>
      </c>
      <c r="F17" s="7">
        <v>113</v>
      </c>
      <c r="G17" s="7">
        <v>0</v>
      </c>
      <c r="H17" s="7">
        <v>121</v>
      </c>
      <c r="I17" s="7">
        <v>4</v>
      </c>
      <c r="J17" s="7">
        <v>275</v>
      </c>
      <c r="K17" s="9">
        <v>513</v>
      </c>
      <c r="L17" s="17">
        <v>1</v>
      </c>
      <c r="M17" s="9">
        <v>0</v>
      </c>
    </row>
    <row r="18" spans="1:13" ht="17.25" customHeight="1" x14ac:dyDescent="0.25">
      <c r="A18" s="87"/>
      <c r="B18" s="91"/>
      <c r="C18" s="90" t="s">
        <v>119</v>
      </c>
      <c r="D18" s="15">
        <v>1</v>
      </c>
      <c r="E18" s="7">
        <v>360</v>
      </c>
      <c r="F18" s="7">
        <v>152</v>
      </c>
      <c r="G18" s="7">
        <v>1</v>
      </c>
      <c r="H18" s="7">
        <v>99</v>
      </c>
      <c r="I18" s="7">
        <v>7</v>
      </c>
      <c r="J18" s="7">
        <v>99</v>
      </c>
      <c r="K18" s="9">
        <v>358</v>
      </c>
      <c r="L18" s="17">
        <v>2</v>
      </c>
      <c r="M18" s="9">
        <v>0</v>
      </c>
    </row>
    <row r="19" spans="1:13" ht="17.25" customHeight="1" x14ac:dyDescent="0.25">
      <c r="A19" s="87"/>
      <c r="B19" s="91"/>
      <c r="C19" s="91"/>
      <c r="D19" s="15">
        <v>2</v>
      </c>
      <c r="E19" s="7">
        <v>620</v>
      </c>
      <c r="F19" s="7">
        <v>273</v>
      </c>
      <c r="G19" s="7">
        <v>0</v>
      </c>
      <c r="H19" s="7">
        <v>114</v>
      </c>
      <c r="I19" s="7">
        <v>8</v>
      </c>
      <c r="J19" s="7">
        <v>222</v>
      </c>
      <c r="K19" s="9">
        <v>617</v>
      </c>
      <c r="L19" s="17">
        <v>3</v>
      </c>
      <c r="M19" s="9">
        <v>0</v>
      </c>
    </row>
    <row r="20" spans="1:13" ht="17.25" customHeight="1" x14ac:dyDescent="0.25">
      <c r="A20" s="87"/>
      <c r="B20" s="91"/>
      <c r="C20" s="91"/>
      <c r="D20" s="15">
        <v>3</v>
      </c>
      <c r="E20" s="7">
        <v>532</v>
      </c>
      <c r="F20" s="7">
        <v>270</v>
      </c>
      <c r="G20" s="7">
        <v>2</v>
      </c>
      <c r="H20" s="7">
        <v>67</v>
      </c>
      <c r="I20" s="7">
        <v>4</v>
      </c>
      <c r="J20" s="7">
        <v>189</v>
      </c>
      <c r="K20" s="9">
        <v>532</v>
      </c>
      <c r="L20" s="17">
        <v>0</v>
      </c>
      <c r="M20" s="9">
        <v>0</v>
      </c>
    </row>
    <row r="21" spans="1:13" ht="17.25" customHeight="1" x14ac:dyDescent="0.25">
      <c r="A21" s="87"/>
      <c r="B21" s="91"/>
      <c r="C21" s="91"/>
      <c r="D21" s="15">
        <v>4</v>
      </c>
      <c r="E21" s="7">
        <v>600</v>
      </c>
      <c r="F21" s="7">
        <v>300</v>
      </c>
      <c r="G21" s="7">
        <v>1</v>
      </c>
      <c r="H21" s="7">
        <v>81</v>
      </c>
      <c r="I21" s="7">
        <v>7</v>
      </c>
      <c r="J21" s="7">
        <v>211</v>
      </c>
      <c r="K21" s="9">
        <v>600</v>
      </c>
      <c r="L21" s="17">
        <v>0</v>
      </c>
      <c r="M21" s="9">
        <v>0</v>
      </c>
    </row>
    <row r="22" spans="1:13" ht="17.25" customHeight="1" x14ac:dyDescent="0.25">
      <c r="A22" s="88"/>
      <c r="B22" s="92"/>
      <c r="C22" s="92"/>
      <c r="D22" s="15">
        <v>5</v>
      </c>
      <c r="E22" s="7">
        <v>644</v>
      </c>
      <c r="F22" s="7">
        <v>289</v>
      </c>
      <c r="G22" s="7">
        <v>2</v>
      </c>
      <c r="H22" s="7">
        <v>92</v>
      </c>
      <c r="I22" s="7">
        <v>8</v>
      </c>
      <c r="J22" s="7">
        <v>252</v>
      </c>
      <c r="K22" s="9">
        <v>643</v>
      </c>
      <c r="L22" s="17">
        <v>1</v>
      </c>
      <c r="M22" s="9">
        <v>0</v>
      </c>
    </row>
    <row r="23" spans="1:13" ht="37.950000000000003" customHeight="1" x14ac:dyDescent="0.25"/>
    <row r="24" spans="1:13" ht="294" customHeight="1" x14ac:dyDescent="0.25"/>
    <row r="25" spans="1:13" ht="294" customHeight="1" x14ac:dyDescent="0.25"/>
  </sheetData>
  <mergeCells count="17">
    <mergeCell ref="A1:M1"/>
    <mergeCell ref="A2:A4"/>
    <mergeCell ref="B2:B4"/>
    <mergeCell ref="C2:C4"/>
    <mergeCell ref="D2:D4"/>
    <mergeCell ref="E2:E4"/>
    <mergeCell ref="F2:K2"/>
    <mergeCell ref="L2:L4"/>
    <mergeCell ref="M2:M4"/>
    <mergeCell ref="K3:K4"/>
    <mergeCell ref="A5:A10"/>
    <mergeCell ref="B5:B10"/>
    <mergeCell ref="C5:C10"/>
    <mergeCell ref="A11:A22"/>
    <mergeCell ref="B11:B22"/>
    <mergeCell ref="C11:C17"/>
    <mergeCell ref="C18:C22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M26"/>
  <sheetViews>
    <sheetView topLeftCell="A5" workbookViewId="0">
      <selection activeCell="A5" sqref="A5:M23"/>
    </sheetView>
  </sheetViews>
  <sheetFormatPr defaultRowHeight="13.2" x14ac:dyDescent="0.25"/>
  <cols>
    <col min="1" max="1" width="5.5546875" customWidth="1"/>
    <col min="2" max="2" width="17.33203125" customWidth="1"/>
    <col min="3" max="3" width="23.33203125" customWidth="1"/>
    <col min="4" max="4" width="9.33203125" customWidth="1"/>
    <col min="5" max="5" width="11.5546875" customWidth="1"/>
    <col min="6" max="10" width="14" customWidth="1"/>
    <col min="11" max="13" width="11.77734375" customWidth="1"/>
  </cols>
  <sheetData>
    <row r="1" spans="1:13" ht="34.799999999999997" customHeight="1" x14ac:dyDescent="0.25">
      <c r="A1" s="69" t="s">
        <v>120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1"/>
    </row>
    <row r="2" spans="1:13" ht="18" customHeight="1" x14ac:dyDescent="0.25">
      <c r="A2" s="72" t="s">
        <v>1</v>
      </c>
      <c r="B2" s="72" t="s">
        <v>2</v>
      </c>
      <c r="C2" s="72" t="s">
        <v>3</v>
      </c>
      <c r="D2" s="75" t="s">
        <v>4</v>
      </c>
      <c r="E2" s="78" t="s">
        <v>5</v>
      </c>
      <c r="F2" s="81" t="s">
        <v>6</v>
      </c>
      <c r="G2" s="82"/>
      <c r="H2" s="82"/>
      <c r="I2" s="82"/>
      <c r="J2" s="82"/>
      <c r="K2" s="83"/>
      <c r="L2" s="75" t="s">
        <v>7</v>
      </c>
      <c r="M2" s="78" t="s">
        <v>8</v>
      </c>
    </row>
    <row r="3" spans="1:13" ht="37.950000000000003" customHeight="1" x14ac:dyDescent="0.25">
      <c r="A3" s="73"/>
      <c r="B3" s="73"/>
      <c r="C3" s="73"/>
      <c r="D3" s="76"/>
      <c r="E3" s="79"/>
      <c r="F3" s="1" t="s">
        <v>9</v>
      </c>
      <c r="G3" s="1" t="s">
        <v>10</v>
      </c>
      <c r="H3" s="1" t="s">
        <v>11</v>
      </c>
      <c r="I3" s="2" t="s">
        <v>12</v>
      </c>
      <c r="J3" s="1" t="s">
        <v>13</v>
      </c>
      <c r="K3" s="84" t="s">
        <v>14</v>
      </c>
      <c r="L3" s="76"/>
      <c r="M3" s="79"/>
    </row>
    <row r="4" spans="1:13" ht="28.2" customHeight="1" x14ac:dyDescent="0.25">
      <c r="A4" s="74"/>
      <c r="B4" s="74"/>
      <c r="C4" s="74"/>
      <c r="D4" s="77"/>
      <c r="E4" s="80"/>
      <c r="F4" s="3"/>
      <c r="G4" s="3"/>
      <c r="H4" s="3"/>
      <c r="I4" s="3"/>
      <c r="J4" s="3"/>
      <c r="K4" s="85"/>
      <c r="L4" s="77"/>
      <c r="M4" s="80"/>
    </row>
    <row r="5" spans="1:13" ht="17.25" customHeight="1" x14ac:dyDescent="0.25">
      <c r="A5" s="86">
        <v>40</v>
      </c>
      <c r="B5" s="90" t="s">
        <v>117</v>
      </c>
      <c r="C5" s="59" t="s">
        <v>121</v>
      </c>
      <c r="D5" s="15">
        <v>1</v>
      </c>
      <c r="E5" s="7">
        <v>354</v>
      </c>
      <c r="F5" s="7">
        <v>196</v>
      </c>
      <c r="G5" s="7">
        <v>1</v>
      </c>
      <c r="H5" s="7">
        <v>88</v>
      </c>
      <c r="I5" s="7">
        <v>7</v>
      </c>
      <c r="J5" s="7">
        <v>57</v>
      </c>
      <c r="K5" s="9">
        <v>349</v>
      </c>
      <c r="L5" s="17">
        <v>5</v>
      </c>
      <c r="M5" s="9">
        <v>0</v>
      </c>
    </row>
    <row r="6" spans="1:13" ht="17.25" customHeight="1" x14ac:dyDescent="0.25">
      <c r="A6" s="87"/>
      <c r="B6" s="91"/>
      <c r="C6" s="60"/>
      <c r="D6" s="15">
        <v>2</v>
      </c>
      <c r="E6" s="7">
        <v>505</v>
      </c>
      <c r="F6" s="7">
        <v>301</v>
      </c>
      <c r="G6" s="7">
        <v>5</v>
      </c>
      <c r="H6" s="7">
        <v>82</v>
      </c>
      <c r="I6" s="7">
        <v>4</v>
      </c>
      <c r="J6" s="7">
        <v>113</v>
      </c>
      <c r="K6" s="9">
        <v>505</v>
      </c>
      <c r="L6" s="17">
        <v>0</v>
      </c>
      <c r="M6" s="9">
        <v>0</v>
      </c>
    </row>
    <row r="7" spans="1:13" ht="17.25" customHeight="1" x14ac:dyDescent="0.25">
      <c r="A7" s="87"/>
      <c r="B7" s="91"/>
      <c r="C7" s="60"/>
      <c r="D7" s="15">
        <v>3</v>
      </c>
      <c r="E7" s="7">
        <v>504</v>
      </c>
      <c r="F7" s="7">
        <v>278</v>
      </c>
      <c r="G7" s="7">
        <v>3</v>
      </c>
      <c r="H7" s="7">
        <v>66</v>
      </c>
      <c r="I7" s="7">
        <v>5</v>
      </c>
      <c r="J7" s="7">
        <v>150</v>
      </c>
      <c r="K7" s="9">
        <v>502</v>
      </c>
      <c r="L7" s="17">
        <v>0</v>
      </c>
      <c r="M7" s="9">
        <v>2</v>
      </c>
    </row>
    <row r="8" spans="1:13" ht="17.25" customHeight="1" x14ac:dyDescent="0.25">
      <c r="A8" s="88"/>
      <c r="B8" s="92"/>
      <c r="C8" s="61"/>
      <c r="D8" s="15">
        <v>4</v>
      </c>
      <c r="E8" s="7">
        <v>535</v>
      </c>
      <c r="F8" s="7">
        <v>236</v>
      </c>
      <c r="G8" s="7">
        <v>3</v>
      </c>
      <c r="H8" s="7">
        <v>72</v>
      </c>
      <c r="I8" s="7">
        <v>3</v>
      </c>
      <c r="J8" s="7">
        <v>209</v>
      </c>
      <c r="K8" s="9">
        <v>523</v>
      </c>
      <c r="L8" s="15">
        <v>12</v>
      </c>
      <c r="M8" s="9">
        <v>0</v>
      </c>
    </row>
    <row r="9" spans="1:13" ht="17.25" customHeight="1" x14ac:dyDescent="0.25">
      <c r="A9" s="86">
        <v>41</v>
      </c>
      <c r="B9" s="90" t="s">
        <v>122</v>
      </c>
      <c r="C9" s="90" t="s">
        <v>123</v>
      </c>
      <c r="D9" s="15">
        <v>1</v>
      </c>
      <c r="E9" s="7">
        <v>231</v>
      </c>
      <c r="F9" s="7">
        <v>186</v>
      </c>
      <c r="G9" s="7">
        <v>1</v>
      </c>
      <c r="H9" s="7">
        <v>21</v>
      </c>
      <c r="I9" s="7">
        <v>2</v>
      </c>
      <c r="J9" s="7">
        <v>16</v>
      </c>
      <c r="K9" s="9">
        <v>226</v>
      </c>
      <c r="L9" s="17">
        <v>5</v>
      </c>
      <c r="M9" s="9">
        <v>0</v>
      </c>
    </row>
    <row r="10" spans="1:13" ht="17.25" customHeight="1" x14ac:dyDescent="0.25">
      <c r="A10" s="87"/>
      <c r="B10" s="91"/>
      <c r="C10" s="91"/>
      <c r="D10" s="15">
        <v>2</v>
      </c>
      <c r="E10" s="7">
        <v>323</v>
      </c>
      <c r="F10" s="7">
        <v>246</v>
      </c>
      <c r="G10" s="7">
        <v>1</v>
      </c>
      <c r="H10" s="7">
        <v>28</v>
      </c>
      <c r="I10" s="7">
        <v>5</v>
      </c>
      <c r="J10" s="7">
        <v>40</v>
      </c>
      <c r="K10" s="9">
        <v>320</v>
      </c>
      <c r="L10" s="17">
        <v>3</v>
      </c>
      <c r="M10" s="9">
        <v>0</v>
      </c>
    </row>
    <row r="11" spans="1:13" ht="17.25" customHeight="1" x14ac:dyDescent="0.25">
      <c r="A11" s="87"/>
      <c r="B11" s="91"/>
      <c r="C11" s="91"/>
      <c r="D11" s="15">
        <v>3</v>
      </c>
      <c r="E11" s="7">
        <v>316</v>
      </c>
      <c r="F11" s="7">
        <v>234</v>
      </c>
      <c r="G11" s="7">
        <v>1</v>
      </c>
      <c r="H11" s="7">
        <v>23</v>
      </c>
      <c r="I11" s="7">
        <v>1</v>
      </c>
      <c r="J11" s="7">
        <v>57</v>
      </c>
      <c r="K11" s="9">
        <v>316</v>
      </c>
      <c r="L11" s="17">
        <v>0</v>
      </c>
      <c r="M11" s="9">
        <v>0</v>
      </c>
    </row>
    <row r="12" spans="1:13" ht="17.25" customHeight="1" x14ac:dyDescent="0.25">
      <c r="A12" s="88"/>
      <c r="B12" s="92"/>
      <c r="C12" s="92"/>
      <c r="D12" s="15">
        <v>4</v>
      </c>
      <c r="E12" s="7">
        <v>323</v>
      </c>
      <c r="F12" s="7">
        <v>247</v>
      </c>
      <c r="G12" s="7">
        <v>0</v>
      </c>
      <c r="H12" s="7">
        <v>28</v>
      </c>
      <c r="I12" s="7">
        <v>2</v>
      </c>
      <c r="J12" s="7">
        <v>46</v>
      </c>
      <c r="K12" s="9">
        <v>323</v>
      </c>
      <c r="L12" s="17">
        <v>0</v>
      </c>
      <c r="M12" s="9">
        <v>0</v>
      </c>
    </row>
    <row r="13" spans="1:13" ht="17.25" customHeight="1" x14ac:dyDescent="0.25">
      <c r="A13" s="86">
        <v>42</v>
      </c>
      <c r="B13" s="64" t="s">
        <v>124</v>
      </c>
      <c r="C13" s="59" t="s">
        <v>125</v>
      </c>
      <c r="D13" s="15">
        <v>1</v>
      </c>
      <c r="E13" s="7">
        <v>306</v>
      </c>
      <c r="F13" s="7">
        <v>90</v>
      </c>
      <c r="G13" s="7">
        <v>0</v>
      </c>
      <c r="H13" s="7">
        <v>149</v>
      </c>
      <c r="I13" s="7">
        <v>6</v>
      </c>
      <c r="J13" s="7">
        <v>61</v>
      </c>
      <c r="K13" s="9">
        <v>306</v>
      </c>
      <c r="L13" s="17">
        <v>0</v>
      </c>
      <c r="M13" s="9">
        <v>0</v>
      </c>
    </row>
    <row r="14" spans="1:13" ht="17.25" customHeight="1" x14ac:dyDescent="0.25">
      <c r="A14" s="87"/>
      <c r="B14" s="89"/>
      <c r="C14" s="60"/>
      <c r="D14" s="15">
        <v>2</v>
      </c>
      <c r="E14" s="7">
        <v>379</v>
      </c>
      <c r="F14" s="7">
        <v>99</v>
      </c>
      <c r="G14" s="7">
        <v>3</v>
      </c>
      <c r="H14" s="7">
        <v>145</v>
      </c>
      <c r="I14" s="7">
        <v>13</v>
      </c>
      <c r="J14" s="7">
        <v>114</v>
      </c>
      <c r="K14" s="9">
        <v>374</v>
      </c>
      <c r="L14" s="17">
        <v>5</v>
      </c>
      <c r="M14" s="9">
        <v>0</v>
      </c>
    </row>
    <row r="15" spans="1:13" ht="17.25" customHeight="1" x14ac:dyDescent="0.25">
      <c r="A15" s="87"/>
      <c r="B15" s="89"/>
      <c r="C15" s="60"/>
      <c r="D15" s="15">
        <v>3</v>
      </c>
      <c r="E15" s="7">
        <v>485</v>
      </c>
      <c r="F15" s="7">
        <v>110</v>
      </c>
      <c r="G15" s="7">
        <v>0</v>
      </c>
      <c r="H15" s="7">
        <v>144</v>
      </c>
      <c r="I15" s="7">
        <v>13</v>
      </c>
      <c r="J15" s="7">
        <v>215</v>
      </c>
      <c r="K15" s="9">
        <v>482</v>
      </c>
      <c r="L15" s="17">
        <v>3</v>
      </c>
      <c r="M15" s="9">
        <v>0</v>
      </c>
    </row>
    <row r="16" spans="1:13" ht="17.25" customHeight="1" x14ac:dyDescent="0.25">
      <c r="A16" s="88"/>
      <c r="B16" s="65"/>
      <c r="C16" s="61"/>
      <c r="D16" s="15">
        <v>4</v>
      </c>
      <c r="E16" s="7">
        <v>474</v>
      </c>
      <c r="F16" s="7">
        <v>148</v>
      </c>
      <c r="G16" s="7">
        <v>1</v>
      </c>
      <c r="H16" s="7">
        <v>107</v>
      </c>
      <c r="I16" s="7">
        <v>4</v>
      </c>
      <c r="J16" s="7">
        <v>212</v>
      </c>
      <c r="K16" s="9">
        <v>472</v>
      </c>
      <c r="L16" s="17">
        <v>2</v>
      </c>
      <c r="M16" s="9">
        <v>0</v>
      </c>
    </row>
    <row r="17" spans="1:13" ht="17.25" customHeight="1" x14ac:dyDescent="0.25">
      <c r="A17" s="86">
        <v>43</v>
      </c>
      <c r="B17" s="102" t="s">
        <v>126</v>
      </c>
      <c r="C17" s="56" t="s">
        <v>127</v>
      </c>
      <c r="D17" s="15">
        <v>1</v>
      </c>
      <c r="E17" s="7">
        <v>309</v>
      </c>
      <c r="F17" s="7">
        <v>72</v>
      </c>
      <c r="G17" s="7">
        <v>2</v>
      </c>
      <c r="H17" s="7">
        <v>136</v>
      </c>
      <c r="I17" s="7">
        <v>9</v>
      </c>
      <c r="J17" s="7">
        <v>87</v>
      </c>
      <c r="K17" s="9">
        <v>306</v>
      </c>
      <c r="L17" s="17">
        <v>3</v>
      </c>
      <c r="M17" s="9">
        <v>0</v>
      </c>
    </row>
    <row r="18" spans="1:13" ht="17.25" customHeight="1" x14ac:dyDescent="0.25">
      <c r="A18" s="87"/>
      <c r="B18" s="103"/>
      <c r="C18" s="57"/>
      <c r="D18" s="15">
        <v>2</v>
      </c>
      <c r="E18" s="7">
        <v>383</v>
      </c>
      <c r="F18" s="7">
        <v>102</v>
      </c>
      <c r="G18" s="7">
        <v>2</v>
      </c>
      <c r="H18" s="7">
        <v>138</v>
      </c>
      <c r="I18" s="7">
        <v>10</v>
      </c>
      <c r="J18" s="7">
        <v>128</v>
      </c>
      <c r="K18" s="9">
        <v>380</v>
      </c>
      <c r="L18" s="17">
        <v>3</v>
      </c>
      <c r="M18" s="9">
        <v>0</v>
      </c>
    </row>
    <row r="19" spans="1:13" ht="17.25" customHeight="1" x14ac:dyDescent="0.25">
      <c r="A19" s="87"/>
      <c r="B19" s="103"/>
      <c r="C19" s="57"/>
      <c r="D19" s="15">
        <v>3</v>
      </c>
      <c r="E19" s="7">
        <v>561</v>
      </c>
      <c r="F19" s="7">
        <v>131</v>
      </c>
      <c r="G19" s="7">
        <v>3</v>
      </c>
      <c r="H19" s="7">
        <v>162</v>
      </c>
      <c r="I19" s="7">
        <v>15</v>
      </c>
      <c r="J19" s="7">
        <v>249</v>
      </c>
      <c r="K19" s="9">
        <v>560</v>
      </c>
      <c r="L19" s="17">
        <v>1</v>
      </c>
      <c r="M19" s="9">
        <v>0</v>
      </c>
    </row>
    <row r="20" spans="1:13" ht="17.25" customHeight="1" x14ac:dyDescent="0.25">
      <c r="A20" s="87"/>
      <c r="B20" s="103"/>
      <c r="C20" s="57"/>
      <c r="D20" s="15">
        <v>4</v>
      </c>
      <c r="E20" s="7">
        <v>530</v>
      </c>
      <c r="F20" s="7">
        <v>138</v>
      </c>
      <c r="G20" s="7">
        <v>2</v>
      </c>
      <c r="H20" s="7">
        <v>124</v>
      </c>
      <c r="I20" s="7">
        <v>11</v>
      </c>
      <c r="J20" s="7">
        <v>253</v>
      </c>
      <c r="K20" s="9">
        <v>528</v>
      </c>
      <c r="L20" s="17">
        <v>2</v>
      </c>
      <c r="M20" s="9">
        <v>0</v>
      </c>
    </row>
    <row r="21" spans="1:13" ht="17.25" customHeight="1" x14ac:dyDescent="0.25">
      <c r="A21" s="87"/>
      <c r="B21" s="103"/>
      <c r="C21" s="57"/>
      <c r="D21" s="15">
        <v>5</v>
      </c>
      <c r="E21" s="7">
        <v>543</v>
      </c>
      <c r="F21" s="7">
        <v>149</v>
      </c>
      <c r="G21" s="7">
        <v>2</v>
      </c>
      <c r="H21" s="7">
        <v>119</v>
      </c>
      <c r="I21" s="7">
        <v>12</v>
      </c>
      <c r="J21" s="7">
        <v>259</v>
      </c>
      <c r="K21" s="9">
        <v>541</v>
      </c>
      <c r="L21" s="17">
        <v>2</v>
      </c>
      <c r="M21" s="9">
        <v>0</v>
      </c>
    </row>
    <row r="22" spans="1:13" ht="17.25" customHeight="1" x14ac:dyDescent="0.25">
      <c r="A22" s="87"/>
      <c r="B22" s="103"/>
      <c r="C22" s="57"/>
      <c r="D22" s="15">
        <v>6</v>
      </c>
      <c r="E22" s="7">
        <v>544</v>
      </c>
      <c r="F22" s="7">
        <v>213</v>
      </c>
      <c r="G22" s="7">
        <v>4</v>
      </c>
      <c r="H22" s="7">
        <v>98</v>
      </c>
      <c r="I22" s="7">
        <v>8</v>
      </c>
      <c r="J22" s="7">
        <v>221</v>
      </c>
      <c r="K22" s="9">
        <v>544</v>
      </c>
      <c r="L22" s="17">
        <v>0</v>
      </c>
      <c r="M22" s="9">
        <v>0</v>
      </c>
    </row>
    <row r="23" spans="1:13" ht="17.25" customHeight="1" x14ac:dyDescent="0.25">
      <c r="A23" s="88"/>
      <c r="B23" s="104"/>
      <c r="C23" s="58"/>
      <c r="D23" s="15">
        <v>7</v>
      </c>
      <c r="E23" s="7">
        <v>577</v>
      </c>
      <c r="F23" s="7">
        <v>191</v>
      </c>
      <c r="G23" s="7">
        <v>1</v>
      </c>
      <c r="H23" s="7">
        <v>101</v>
      </c>
      <c r="I23" s="7">
        <v>11</v>
      </c>
      <c r="J23" s="7">
        <v>271</v>
      </c>
      <c r="K23" s="9">
        <v>575</v>
      </c>
      <c r="L23" s="17">
        <v>2</v>
      </c>
      <c r="M23" s="9">
        <v>0</v>
      </c>
    </row>
    <row r="24" spans="1:13" ht="37.950000000000003" customHeight="1" x14ac:dyDescent="0.25"/>
    <row r="25" spans="1:13" ht="310.05" customHeight="1" x14ac:dyDescent="0.25"/>
    <row r="26" spans="1:13" ht="310.05" customHeight="1" x14ac:dyDescent="0.25"/>
  </sheetData>
  <mergeCells count="22">
    <mergeCell ref="A1:M1"/>
    <mergeCell ref="A2:A4"/>
    <mergeCell ref="B2:B4"/>
    <mergeCell ref="C2:C4"/>
    <mergeCell ref="D2:D4"/>
    <mergeCell ref="E2:E4"/>
    <mergeCell ref="F2:K2"/>
    <mergeCell ref="L2:L4"/>
    <mergeCell ref="M2:M4"/>
    <mergeCell ref="K3:K4"/>
    <mergeCell ref="A5:A8"/>
    <mergeCell ref="B5:B8"/>
    <mergeCell ref="C5:C8"/>
    <mergeCell ref="A9:A12"/>
    <mergeCell ref="B9:B12"/>
    <mergeCell ref="C9:C12"/>
    <mergeCell ref="A13:A16"/>
    <mergeCell ref="B13:B16"/>
    <mergeCell ref="C13:C16"/>
    <mergeCell ref="A17:A23"/>
    <mergeCell ref="B17:B23"/>
    <mergeCell ref="C17:C23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M24"/>
  <sheetViews>
    <sheetView topLeftCell="A5" workbookViewId="0">
      <selection activeCell="A5" sqref="A5:M21"/>
    </sheetView>
  </sheetViews>
  <sheetFormatPr defaultRowHeight="13.2" x14ac:dyDescent="0.25"/>
  <cols>
    <col min="1" max="1" width="5.5546875" customWidth="1"/>
    <col min="2" max="2" width="17.33203125" customWidth="1"/>
    <col min="3" max="3" width="23.33203125" customWidth="1"/>
    <col min="4" max="4" width="9.33203125" customWidth="1"/>
    <col min="5" max="5" width="11.5546875" customWidth="1"/>
    <col min="6" max="10" width="14" customWidth="1"/>
    <col min="11" max="13" width="11.77734375" customWidth="1"/>
  </cols>
  <sheetData>
    <row r="1" spans="1:13" ht="34.799999999999997" customHeight="1" x14ac:dyDescent="0.25">
      <c r="A1" s="69" t="s">
        <v>128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1"/>
    </row>
    <row r="2" spans="1:13" ht="18" customHeight="1" x14ac:dyDescent="0.25">
      <c r="A2" s="72" t="s">
        <v>1</v>
      </c>
      <c r="B2" s="72" t="s">
        <v>2</v>
      </c>
      <c r="C2" s="72" t="s">
        <v>3</v>
      </c>
      <c r="D2" s="75" t="s">
        <v>4</v>
      </c>
      <c r="E2" s="78" t="s">
        <v>5</v>
      </c>
      <c r="F2" s="81" t="s">
        <v>6</v>
      </c>
      <c r="G2" s="82"/>
      <c r="H2" s="82"/>
      <c r="I2" s="82"/>
      <c r="J2" s="82"/>
      <c r="K2" s="83"/>
      <c r="L2" s="75" t="s">
        <v>7</v>
      </c>
      <c r="M2" s="78" t="s">
        <v>8</v>
      </c>
    </row>
    <row r="3" spans="1:13" ht="37.950000000000003" customHeight="1" x14ac:dyDescent="0.25">
      <c r="A3" s="73"/>
      <c r="B3" s="73"/>
      <c r="C3" s="73"/>
      <c r="D3" s="76"/>
      <c r="E3" s="79"/>
      <c r="F3" s="1" t="s">
        <v>9</v>
      </c>
      <c r="G3" s="1" t="s">
        <v>10</v>
      </c>
      <c r="H3" s="1" t="s">
        <v>11</v>
      </c>
      <c r="I3" s="2" t="s">
        <v>12</v>
      </c>
      <c r="J3" s="1" t="s">
        <v>13</v>
      </c>
      <c r="K3" s="84" t="s">
        <v>14</v>
      </c>
      <c r="L3" s="76"/>
      <c r="M3" s="79"/>
    </row>
    <row r="4" spans="1:13" ht="28.2" customHeight="1" x14ac:dyDescent="0.25">
      <c r="A4" s="74"/>
      <c r="B4" s="74"/>
      <c r="C4" s="74"/>
      <c r="D4" s="77"/>
      <c r="E4" s="80"/>
      <c r="F4" s="3"/>
      <c r="G4" s="3"/>
      <c r="H4" s="3"/>
      <c r="I4" s="3"/>
      <c r="J4" s="3"/>
      <c r="K4" s="85"/>
      <c r="L4" s="77"/>
      <c r="M4" s="80"/>
    </row>
    <row r="5" spans="1:13" ht="17.25" customHeight="1" x14ac:dyDescent="0.25">
      <c r="A5" s="86">
        <v>44</v>
      </c>
      <c r="B5" s="102" t="s">
        <v>129</v>
      </c>
      <c r="C5" s="90" t="s">
        <v>130</v>
      </c>
      <c r="D5" s="15">
        <v>1</v>
      </c>
      <c r="E5" s="7">
        <v>346</v>
      </c>
      <c r="F5" s="7">
        <v>75</v>
      </c>
      <c r="G5" s="7">
        <v>0</v>
      </c>
      <c r="H5" s="7">
        <v>142</v>
      </c>
      <c r="I5" s="7">
        <v>12</v>
      </c>
      <c r="J5" s="7">
        <v>114</v>
      </c>
      <c r="K5" s="9">
        <v>343</v>
      </c>
      <c r="L5" s="17">
        <v>3</v>
      </c>
      <c r="M5" s="9">
        <v>0</v>
      </c>
    </row>
    <row r="6" spans="1:13" ht="17.25" customHeight="1" x14ac:dyDescent="0.25">
      <c r="A6" s="87"/>
      <c r="B6" s="103"/>
      <c r="C6" s="91"/>
      <c r="D6" s="15">
        <v>2</v>
      </c>
      <c r="E6" s="7">
        <v>439</v>
      </c>
      <c r="F6" s="7">
        <v>105</v>
      </c>
      <c r="G6" s="7">
        <v>1</v>
      </c>
      <c r="H6" s="7">
        <v>141</v>
      </c>
      <c r="I6" s="7">
        <v>11</v>
      </c>
      <c r="J6" s="7">
        <v>181</v>
      </c>
      <c r="K6" s="9">
        <v>439</v>
      </c>
      <c r="L6" s="17">
        <v>0</v>
      </c>
      <c r="M6" s="9">
        <v>0</v>
      </c>
    </row>
    <row r="7" spans="1:13" ht="17.25" customHeight="1" x14ac:dyDescent="0.25">
      <c r="A7" s="87"/>
      <c r="B7" s="103"/>
      <c r="C7" s="91"/>
      <c r="D7" s="15">
        <v>3</v>
      </c>
      <c r="E7" s="7">
        <v>428</v>
      </c>
      <c r="F7" s="7">
        <v>134</v>
      </c>
      <c r="G7" s="7">
        <v>3</v>
      </c>
      <c r="H7" s="7">
        <v>98</v>
      </c>
      <c r="I7" s="7">
        <v>6</v>
      </c>
      <c r="J7" s="7">
        <v>186</v>
      </c>
      <c r="K7" s="9">
        <v>427</v>
      </c>
      <c r="L7" s="17">
        <v>1</v>
      </c>
      <c r="M7" s="9">
        <v>0</v>
      </c>
    </row>
    <row r="8" spans="1:13" ht="17.25" customHeight="1" x14ac:dyDescent="0.25">
      <c r="A8" s="87"/>
      <c r="B8" s="103"/>
      <c r="C8" s="92"/>
      <c r="D8" s="15">
        <v>4</v>
      </c>
      <c r="E8" s="7">
        <v>438</v>
      </c>
      <c r="F8" s="7">
        <v>142</v>
      </c>
      <c r="G8" s="7">
        <v>2</v>
      </c>
      <c r="H8" s="7">
        <v>97</v>
      </c>
      <c r="I8" s="7">
        <v>6</v>
      </c>
      <c r="J8" s="7">
        <v>191</v>
      </c>
      <c r="K8" s="9">
        <v>438</v>
      </c>
      <c r="L8" s="17">
        <v>0</v>
      </c>
      <c r="M8" s="9">
        <v>0</v>
      </c>
    </row>
    <row r="9" spans="1:13" ht="17.25" customHeight="1" x14ac:dyDescent="0.25">
      <c r="A9" s="87"/>
      <c r="B9" s="103"/>
      <c r="C9" s="90" t="s">
        <v>131</v>
      </c>
      <c r="D9" s="15">
        <v>1</v>
      </c>
      <c r="E9" s="7">
        <v>321</v>
      </c>
      <c r="F9" s="7">
        <v>139</v>
      </c>
      <c r="G9" s="7">
        <v>3</v>
      </c>
      <c r="H9" s="7">
        <v>103</v>
      </c>
      <c r="I9" s="7">
        <v>2</v>
      </c>
      <c r="J9" s="7">
        <v>67</v>
      </c>
      <c r="K9" s="9">
        <v>314</v>
      </c>
      <c r="L9" s="17">
        <v>7</v>
      </c>
      <c r="M9" s="9">
        <v>0</v>
      </c>
    </row>
    <row r="10" spans="1:13" ht="17.25" customHeight="1" x14ac:dyDescent="0.25">
      <c r="A10" s="87"/>
      <c r="B10" s="103"/>
      <c r="C10" s="91"/>
      <c r="D10" s="15">
        <v>2</v>
      </c>
      <c r="E10" s="7">
        <v>372</v>
      </c>
      <c r="F10" s="7">
        <v>206</v>
      </c>
      <c r="G10" s="7">
        <v>0</v>
      </c>
      <c r="H10" s="7">
        <v>94</v>
      </c>
      <c r="I10" s="7">
        <v>5</v>
      </c>
      <c r="J10" s="7">
        <v>63</v>
      </c>
      <c r="K10" s="9">
        <v>368</v>
      </c>
      <c r="L10" s="17">
        <v>3</v>
      </c>
      <c r="M10" s="9">
        <v>1</v>
      </c>
    </row>
    <row r="11" spans="1:13" ht="17.25" customHeight="1" x14ac:dyDescent="0.25">
      <c r="A11" s="87"/>
      <c r="B11" s="103"/>
      <c r="C11" s="91"/>
      <c r="D11" s="15">
        <v>3</v>
      </c>
      <c r="E11" s="7">
        <v>390</v>
      </c>
      <c r="F11" s="7">
        <v>258</v>
      </c>
      <c r="G11" s="7">
        <v>0</v>
      </c>
      <c r="H11" s="7">
        <v>65</v>
      </c>
      <c r="I11" s="7">
        <v>2</v>
      </c>
      <c r="J11" s="7">
        <v>64</v>
      </c>
      <c r="K11" s="9">
        <v>389</v>
      </c>
      <c r="L11" s="17">
        <v>1</v>
      </c>
      <c r="M11" s="9">
        <v>0</v>
      </c>
    </row>
    <row r="12" spans="1:13" ht="17.25" customHeight="1" x14ac:dyDescent="0.25">
      <c r="A12" s="87"/>
      <c r="B12" s="103"/>
      <c r="C12" s="91"/>
      <c r="D12" s="15">
        <v>4</v>
      </c>
      <c r="E12" s="7">
        <v>378</v>
      </c>
      <c r="F12" s="7">
        <v>235</v>
      </c>
      <c r="G12" s="7">
        <v>0</v>
      </c>
      <c r="H12" s="7">
        <v>54</v>
      </c>
      <c r="I12" s="7">
        <v>0</v>
      </c>
      <c r="J12" s="7">
        <v>84</v>
      </c>
      <c r="K12" s="9">
        <v>373</v>
      </c>
      <c r="L12" s="17">
        <v>5</v>
      </c>
      <c r="M12" s="9">
        <v>0</v>
      </c>
    </row>
    <row r="13" spans="1:13" ht="17.25" customHeight="1" x14ac:dyDescent="0.25">
      <c r="A13" s="87"/>
      <c r="B13" s="103"/>
      <c r="C13" s="91"/>
      <c r="D13" s="15">
        <v>5</v>
      </c>
      <c r="E13" s="7">
        <v>370</v>
      </c>
      <c r="F13" s="7">
        <v>213</v>
      </c>
      <c r="G13" s="7">
        <v>0</v>
      </c>
      <c r="H13" s="7">
        <v>62</v>
      </c>
      <c r="I13" s="7">
        <v>4</v>
      </c>
      <c r="J13" s="7">
        <v>90</v>
      </c>
      <c r="K13" s="9">
        <v>369</v>
      </c>
      <c r="L13" s="17">
        <v>1</v>
      </c>
      <c r="M13" s="9">
        <v>0</v>
      </c>
    </row>
    <row r="14" spans="1:13" ht="17.25" customHeight="1" x14ac:dyDescent="0.25">
      <c r="A14" s="88"/>
      <c r="B14" s="104"/>
      <c r="C14" s="92"/>
      <c r="D14" s="15">
        <v>6</v>
      </c>
      <c r="E14" s="7">
        <v>384</v>
      </c>
      <c r="F14" s="7">
        <v>210</v>
      </c>
      <c r="G14" s="7">
        <v>0</v>
      </c>
      <c r="H14" s="7">
        <v>68</v>
      </c>
      <c r="I14" s="7">
        <v>0</v>
      </c>
      <c r="J14" s="7">
        <v>104</v>
      </c>
      <c r="K14" s="9">
        <v>382</v>
      </c>
      <c r="L14" s="17">
        <v>2</v>
      </c>
      <c r="M14" s="9">
        <v>0</v>
      </c>
    </row>
    <row r="15" spans="1:13" ht="17.25" customHeight="1" x14ac:dyDescent="0.25">
      <c r="A15" s="86">
        <v>45</v>
      </c>
      <c r="B15" s="56" t="s">
        <v>132</v>
      </c>
      <c r="C15" s="90" t="s">
        <v>133</v>
      </c>
      <c r="D15" s="15">
        <v>1</v>
      </c>
      <c r="E15" s="7">
        <v>295</v>
      </c>
      <c r="F15" s="7">
        <v>176</v>
      </c>
      <c r="G15" s="7">
        <v>0</v>
      </c>
      <c r="H15" s="7">
        <v>75</v>
      </c>
      <c r="I15" s="7">
        <v>5</v>
      </c>
      <c r="J15" s="7">
        <v>27</v>
      </c>
      <c r="K15" s="9">
        <v>283</v>
      </c>
      <c r="L15" s="15">
        <v>12</v>
      </c>
      <c r="M15" s="9">
        <v>0</v>
      </c>
    </row>
    <row r="16" spans="1:13" ht="17.25" customHeight="1" x14ac:dyDescent="0.25">
      <c r="A16" s="87"/>
      <c r="B16" s="57"/>
      <c r="C16" s="91"/>
      <c r="D16" s="15">
        <v>2</v>
      </c>
      <c r="E16" s="7">
        <v>370</v>
      </c>
      <c r="F16" s="7">
        <v>222</v>
      </c>
      <c r="G16" s="7">
        <v>0</v>
      </c>
      <c r="H16" s="7">
        <v>91</v>
      </c>
      <c r="I16" s="7">
        <v>5</v>
      </c>
      <c r="J16" s="7">
        <v>44</v>
      </c>
      <c r="K16" s="9">
        <v>362</v>
      </c>
      <c r="L16" s="17">
        <v>8</v>
      </c>
      <c r="M16" s="9">
        <v>0</v>
      </c>
    </row>
    <row r="17" spans="1:13" ht="17.25" customHeight="1" x14ac:dyDescent="0.25">
      <c r="A17" s="87"/>
      <c r="B17" s="57"/>
      <c r="C17" s="91"/>
      <c r="D17" s="15">
        <v>3</v>
      </c>
      <c r="E17" s="7">
        <v>369</v>
      </c>
      <c r="F17" s="7">
        <v>197</v>
      </c>
      <c r="G17" s="7">
        <v>0</v>
      </c>
      <c r="H17" s="7">
        <v>99</v>
      </c>
      <c r="I17" s="7">
        <v>4</v>
      </c>
      <c r="J17" s="7">
        <v>66</v>
      </c>
      <c r="K17" s="9">
        <v>366</v>
      </c>
      <c r="L17" s="17">
        <v>3</v>
      </c>
      <c r="M17" s="9">
        <v>0</v>
      </c>
    </row>
    <row r="18" spans="1:13" ht="17.25" customHeight="1" x14ac:dyDescent="0.25">
      <c r="A18" s="87"/>
      <c r="B18" s="57"/>
      <c r="C18" s="91"/>
      <c r="D18" s="15">
        <v>4</v>
      </c>
      <c r="E18" s="7">
        <v>450</v>
      </c>
      <c r="F18" s="7">
        <v>235</v>
      </c>
      <c r="G18" s="7">
        <v>0</v>
      </c>
      <c r="H18" s="7">
        <v>81</v>
      </c>
      <c r="I18" s="7">
        <v>8</v>
      </c>
      <c r="J18" s="7">
        <v>125</v>
      </c>
      <c r="K18" s="9">
        <v>449</v>
      </c>
      <c r="L18" s="17">
        <v>1</v>
      </c>
      <c r="M18" s="9">
        <v>0</v>
      </c>
    </row>
    <row r="19" spans="1:13" ht="17.25" customHeight="1" x14ac:dyDescent="0.25">
      <c r="A19" s="87"/>
      <c r="B19" s="57"/>
      <c r="C19" s="91"/>
      <c r="D19" s="15">
        <v>5</v>
      </c>
      <c r="E19" s="7">
        <v>440</v>
      </c>
      <c r="F19" s="7">
        <v>203</v>
      </c>
      <c r="G19" s="7">
        <v>1</v>
      </c>
      <c r="H19" s="7">
        <v>89</v>
      </c>
      <c r="I19" s="7">
        <v>3</v>
      </c>
      <c r="J19" s="7">
        <v>144</v>
      </c>
      <c r="K19" s="9">
        <v>440</v>
      </c>
      <c r="L19" s="17">
        <v>0</v>
      </c>
      <c r="M19" s="9">
        <v>0</v>
      </c>
    </row>
    <row r="20" spans="1:13" ht="17.25" customHeight="1" x14ac:dyDescent="0.25">
      <c r="A20" s="87"/>
      <c r="B20" s="57"/>
      <c r="C20" s="91"/>
      <c r="D20" s="15">
        <v>6</v>
      </c>
      <c r="E20" s="7">
        <v>426</v>
      </c>
      <c r="F20" s="7">
        <v>197</v>
      </c>
      <c r="G20" s="7">
        <v>1</v>
      </c>
      <c r="H20" s="7">
        <v>81</v>
      </c>
      <c r="I20" s="7">
        <v>3</v>
      </c>
      <c r="J20" s="7">
        <v>143</v>
      </c>
      <c r="K20" s="9">
        <v>425</v>
      </c>
      <c r="L20" s="17">
        <v>1</v>
      </c>
      <c r="M20" s="9">
        <v>0</v>
      </c>
    </row>
    <row r="21" spans="1:13" ht="17.25" customHeight="1" x14ac:dyDescent="0.25">
      <c r="A21" s="88"/>
      <c r="B21" s="58"/>
      <c r="C21" s="92"/>
      <c r="D21" s="15">
        <v>7</v>
      </c>
      <c r="E21" s="7">
        <v>466</v>
      </c>
      <c r="F21" s="7">
        <v>203</v>
      </c>
      <c r="G21" s="7">
        <v>1</v>
      </c>
      <c r="H21" s="7">
        <v>89</v>
      </c>
      <c r="I21" s="7">
        <v>1</v>
      </c>
      <c r="J21" s="7">
        <v>172</v>
      </c>
      <c r="K21" s="9">
        <v>466</v>
      </c>
      <c r="L21" s="17">
        <v>0</v>
      </c>
      <c r="M21" s="9">
        <v>0</v>
      </c>
    </row>
    <row r="22" spans="1:13" ht="37.950000000000003" customHeight="1" x14ac:dyDescent="0.25"/>
    <row r="23" spans="1:13" ht="277.05" customHeight="1" x14ac:dyDescent="0.25"/>
    <row r="24" spans="1:13" ht="277.05" customHeight="1" x14ac:dyDescent="0.25"/>
  </sheetData>
  <mergeCells count="17">
    <mergeCell ref="A1:M1"/>
    <mergeCell ref="A2:A4"/>
    <mergeCell ref="B2:B4"/>
    <mergeCell ref="C2:C4"/>
    <mergeCell ref="D2:D4"/>
    <mergeCell ref="E2:E4"/>
    <mergeCell ref="F2:K2"/>
    <mergeCell ref="L2:L4"/>
    <mergeCell ref="M2:M4"/>
    <mergeCell ref="K3:K4"/>
    <mergeCell ref="A5:A14"/>
    <mergeCell ref="B5:B14"/>
    <mergeCell ref="C5:C8"/>
    <mergeCell ref="C9:C14"/>
    <mergeCell ref="A15:A21"/>
    <mergeCell ref="B15:B21"/>
    <mergeCell ref="C15:C21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M15"/>
  <sheetViews>
    <sheetView workbookViewId="0">
      <selection activeCell="A5" sqref="A5:M12"/>
    </sheetView>
  </sheetViews>
  <sheetFormatPr defaultRowHeight="13.2" x14ac:dyDescent="0.25"/>
  <cols>
    <col min="1" max="1" width="5.5546875" customWidth="1"/>
    <col min="2" max="2" width="17.33203125" customWidth="1"/>
    <col min="3" max="3" width="23.33203125" customWidth="1"/>
    <col min="4" max="4" width="9.33203125" customWidth="1"/>
    <col min="5" max="5" width="11.5546875" customWidth="1"/>
    <col min="6" max="10" width="14" customWidth="1"/>
    <col min="11" max="13" width="11.77734375" customWidth="1"/>
  </cols>
  <sheetData>
    <row r="1" spans="1:13" ht="34.799999999999997" customHeight="1" x14ac:dyDescent="0.25">
      <c r="A1" s="69" t="s">
        <v>134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1"/>
    </row>
    <row r="2" spans="1:13" ht="18" customHeight="1" x14ac:dyDescent="0.25">
      <c r="A2" s="72" t="s">
        <v>1</v>
      </c>
      <c r="B2" s="72" t="s">
        <v>2</v>
      </c>
      <c r="C2" s="72" t="s">
        <v>3</v>
      </c>
      <c r="D2" s="75" t="s">
        <v>4</v>
      </c>
      <c r="E2" s="78" t="s">
        <v>5</v>
      </c>
      <c r="F2" s="81" t="s">
        <v>6</v>
      </c>
      <c r="G2" s="82"/>
      <c r="H2" s="82"/>
      <c r="I2" s="82"/>
      <c r="J2" s="82"/>
      <c r="K2" s="83"/>
      <c r="L2" s="75" t="s">
        <v>7</v>
      </c>
      <c r="M2" s="78" t="s">
        <v>8</v>
      </c>
    </row>
    <row r="3" spans="1:13" ht="37.950000000000003" customHeight="1" x14ac:dyDescent="0.25">
      <c r="A3" s="73"/>
      <c r="B3" s="73"/>
      <c r="C3" s="73"/>
      <c r="D3" s="76"/>
      <c r="E3" s="79"/>
      <c r="F3" s="1" t="s">
        <v>9</v>
      </c>
      <c r="G3" s="1" t="s">
        <v>10</v>
      </c>
      <c r="H3" s="1" t="s">
        <v>11</v>
      </c>
      <c r="I3" s="2" t="s">
        <v>12</v>
      </c>
      <c r="J3" s="1" t="s">
        <v>13</v>
      </c>
      <c r="K3" s="84" t="s">
        <v>14</v>
      </c>
      <c r="L3" s="76"/>
      <c r="M3" s="79"/>
    </row>
    <row r="4" spans="1:13" ht="28.2" customHeight="1" x14ac:dyDescent="0.25">
      <c r="A4" s="74"/>
      <c r="B4" s="74"/>
      <c r="C4" s="74"/>
      <c r="D4" s="77"/>
      <c r="E4" s="80"/>
      <c r="F4" s="3"/>
      <c r="G4" s="3"/>
      <c r="H4" s="3"/>
      <c r="I4" s="3"/>
      <c r="J4" s="3"/>
      <c r="K4" s="85"/>
      <c r="L4" s="77"/>
      <c r="M4" s="80"/>
    </row>
    <row r="5" spans="1:13" ht="17.25" customHeight="1" x14ac:dyDescent="0.25">
      <c r="A5" s="86">
        <v>46</v>
      </c>
      <c r="B5" s="90" t="s">
        <v>135</v>
      </c>
      <c r="C5" s="59" t="s">
        <v>136</v>
      </c>
      <c r="D5" s="7">
        <v>1</v>
      </c>
      <c r="E5" s="7">
        <v>329</v>
      </c>
      <c r="F5" s="7">
        <v>89</v>
      </c>
      <c r="G5" s="7">
        <v>1</v>
      </c>
      <c r="H5" s="7">
        <v>146</v>
      </c>
      <c r="I5" s="7">
        <v>8</v>
      </c>
      <c r="J5" s="7">
        <v>80</v>
      </c>
      <c r="K5" s="9">
        <v>324</v>
      </c>
      <c r="L5" s="7">
        <v>5</v>
      </c>
      <c r="M5" s="9">
        <v>0</v>
      </c>
    </row>
    <row r="6" spans="1:13" ht="17.25" customHeight="1" x14ac:dyDescent="0.25">
      <c r="A6" s="87"/>
      <c r="B6" s="91"/>
      <c r="C6" s="60"/>
      <c r="D6" s="7">
        <v>2</v>
      </c>
      <c r="E6" s="7">
        <v>378</v>
      </c>
      <c r="F6" s="7">
        <v>92</v>
      </c>
      <c r="G6" s="7">
        <v>0</v>
      </c>
      <c r="H6" s="7">
        <v>141</v>
      </c>
      <c r="I6" s="7">
        <v>13</v>
      </c>
      <c r="J6" s="7">
        <v>129</v>
      </c>
      <c r="K6" s="9">
        <v>375</v>
      </c>
      <c r="L6" s="7">
        <v>3</v>
      </c>
      <c r="M6" s="9">
        <v>0</v>
      </c>
    </row>
    <row r="7" spans="1:13" ht="17.25" customHeight="1" x14ac:dyDescent="0.25">
      <c r="A7" s="87"/>
      <c r="B7" s="91"/>
      <c r="C7" s="60"/>
      <c r="D7" s="7">
        <v>3</v>
      </c>
      <c r="E7" s="7">
        <v>573</v>
      </c>
      <c r="F7" s="7">
        <v>121</v>
      </c>
      <c r="G7" s="7">
        <v>1</v>
      </c>
      <c r="H7" s="7">
        <v>166</v>
      </c>
      <c r="I7" s="7">
        <v>12</v>
      </c>
      <c r="J7" s="7">
        <v>266</v>
      </c>
      <c r="K7" s="9">
        <v>566</v>
      </c>
      <c r="L7" s="7">
        <v>7</v>
      </c>
      <c r="M7" s="9">
        <v>0</v>
      </c>
    </row>
    <row r="8" spans="1:13" ht="17.25" customHeight="1" x14ac:dyDescent="0.25">
      <c r="A8" s="87"/>
      <c r="B8" s="91"/>
      <c r="C8" s="60"/>
      <c r="D8" s="7">
        <v>4</v>
      </c>
      <c r="E8" s="7">
        <v>555</v>
      </c>
      <c r="F8" s="7">
        <v>96</v>
      </c>
      <c r="G8" s="7">
        <v>2</v>
      </c>
      <c r="H8" s="7">
        <v>146</v>
      </c>
      <c r="I8" s="7">
        <v>10</v>
      </c>
      <c r="J8" s="7">
        <v>299</v>
      </c>
      <c r="K8" s="9">
        <v>553</v>
      </c>
      <c r="L8" s="7">
        <v>2</v>
      </c>
      <c r="M8" s="9">
        <v>0</v>
      </c>
    </row>
    <row r="9" spans="1:13" ht="17.25" customHeight="1" x14ac:dyDescent="0.25">
      <c r="A9" s="87"/>
      <c r="B9" s="91"/>
      <c r="C9" s="61"/>
      <c r="D9" s="7">
        <v>5</v>
      </c>
      <c r="E9" s="7">
        <v>600</v>
      </c>
      <c r="F9" s="7">
        <v>169</v>
      </c>
      <c r="G9" s="7">
        <v>0</v>
      </c>
      <c r="H9" s="7">
        <v>114</v>
      </c>
      <c r="I9" s="7">
        <v>7</v>
      </c>
      <c r="J9" s="7">
        <v>305</v>
      </c>
      <c r="K9" s="9">
        <v>595</v>
      </c>
      <c r="L9" s="7">
        <v>5</v>
      </c>
      <c r="M9" s="9">
        <v>0</v>
      </c>
    </row>
    <row r="10" spans="1:13" ht="17.25" customHeight="1" x14ac:dyDescent="0.25">
      <c r="A10" s="87"/>
      <c r="B10" s="91"/>
      <c r="C10" s="59" t="s">
        <v>137</v>
      </c>
      <c r="D10" s="7">
        <v>1</v>
      </c>
      <c r="E10" s="7">
        <v>364</v>
      </c>
      <c r="F10" s="7">
        <v>54</v>
      </c>
      <c r="G10" s="7">
        <v>1</v>
      </c>
      <c r="H10" s="7">
        <v>160</v>
      </c>
      <c r="I10" s="7">
        <v>8</v>
      </c>
      <c r="J10" s="7">
        <v>128</v>
      </c>
      <c r="K10" s="9">
        <v>351</v>
      </c>
      <c r="L10" s="7">
        <v>12</v>
      </c>
      <c r="M10" s="9">
        <v>1</v>
      </c>
    </row>
    <row r="11" spans="1:13" ht="25.5" customHeight="1" x14ac:dyDescent="0.25">
      <c r="A11" s="88"/>
      <c r="B11" s="92"/>
      <c r="C11" s="61"/>
      <c r="D11" s="7">
        <v>2</v>
      </c>
      <c r="E11" s="7">
        <v>461</v>
      </c>
      <c r="F11" s="7">
        <v>93</v>
      </c>
      <c r="G11" s="7">
        <v>1</v>
      </c>
      <c r="H11" s="7">
        <v>146</v>
      </c>
      <c r="I11" s="7">
        <v>8</v>
      </c>
      <c r="J11" s="7">
        <v>210</v>
      </c>
      <c r="K11" s="9">
        <v>458</v>
      </c>
      <c r="L11" s="7">
        <v>3</v>
      </c>
      <c r="M11" s="9">
        <v>0</v>
      </c>
    </row>
    <row r="12" spans="1:13" ht="19.5" customHeight="1" x14ac:dyDescent="0.25">
      <c r="A12" s="107" t="s">
        <v>138</v>
      </c>
      <c r="B12" s="108"/>
      <c r="C12" s="109"/>
      <c r="D12" s="20">
        <v>287</v>
      </c>
      <c r="E12" s="21">
        <v>124729</v>
      </c>
      <c r="F12" s="21">
        <v>63920</v>
      </c>
      <c r="G12" s="20">
        <v>373</v>
      </c>
      <c r="H12" s="21">
        <v>24584</v>
      </c>
      <c r="I12" s="21">
        <v>1336</v>
      </c>
      <c r="J12" s="21">
        <v>33076</v>
      </c>
      <c r="K12" s="21">
        <v>123289</v>
      </c>
      <c r="L12" s="21">
        <v>1109</v>
      </c>
      <c r="M12" s="20">
        <v>331</v>
      </c>
    </row>
    <row r="13" spans="1:13" ht="37.950000000000003" customHeight="1" x14ac:dyDescent="0.25"/>
    <row r="14" spans="1:13" ht="123" customHeight="1" x14ac:dyDescent="0.25"/>
    <row r="15" spans="1:13" ht="123" customHeight="1" x14ac:dyDescent="0.25"/>
  </sheetData>
  <mergeCells count="15">
    <mergeCell ref="A1:M1"/>
    <mergeCell ref="A2:A4"/>
    <mergeCell ref="B2:B4"/>
    <mergeCell ref="C2:C4"/>
    <mergeCell ref="D2:D4"/>
    <mergeCell ref="E2:E4"/>
    <mergeCell ref="F2:K2"/>
    <mergeCell ref="L2:L4"/>
    <mergeCell ref="M2:M4"/>
    <mergeCell ref="K3:K4"/>
    <mergeCell ref="A5:A11"/>
    <mergeCell ref="B5:B11"/>
    <mergeCell ref="C5:C9"/>
    <mergeCell ref="C10:C11"/>
    <mergeCell ref="A12:C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RaceWorksheet</vt:lpstr>
      <vt:lpstr>P128Seremban</vt:lpstr>
      <vt:lpstr>N10Nilai</vt:lpstr>
      <vt:lpstr>N11Lobak</vt:lpstr>
      <vt:lpstr>N12Temiang</vt:lpstr>
      <vt:lpstr>Race&amp;Age</vt:lpstr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  <vt:lpstr>Table 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Kian Ming Ong</cp:lastModifiedBy>
  <dcterms:created xsi:type="dcterms:W3CDTF">2023-01-24T06:47:00Z</dcterms:created>
  <dcterms:modified xsi:type="dcterms:W3CDTF">2023-11-29T21:36:54Z</dcterms:modified>
</cp:coreProperties>
</file>