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KM\Malaysian Elections\GE15 (National)\GE15 Results\SCORE SHEET PRU 15 (2022)\11. NEGERI SEMBILAN\"/>
    </mc:Choice>
  </mc:AlternateContent>
  <xr:revisionPtr revIDLastSave="0" documentId="13_ncr:1_{3C0CFFB7-1EF7-4171-A460-64CDDDBA6C3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aceWorksheet" sheetId="13" r:id="rId1"/>
    <sheet name="P127Jempol" sheetId="11" r:id="rId2"/>
    <sheet name="N8Bahau" sheetId="14" r:id="rId3"/>
    <sheet name="Race&amp;Age" sheetId="12" r:id="rId4"/>
    <sheet name="Table 1" sheetId="1" r:id="rId5"/>
    <sheet name="Table 2" sheetId="2" r:id="rId6"/>
    <sheet name="Table 3" sheetId="3" r:id="rId7"/>
    <sheet name="Table 4" sheetId="4" r:id="rId8"/>
    <sheet name="Table 5" sheetId="5" r:id="rId9"/>
    <sheet name="Table 6" sheetId="6" r:id="rId10"/>
    <sheet name="Table 7" sheetId="7" r:id="rId11"/>
    <sheet name="Table 8" sheetId="8" r:id="rId12"/>
    <sheet name="Table 9" sheetId="9" r:id="rId13"/>
    <sheet name="Table 10" sheetId="10" r:id="rId14"/>
  </sheets>
  <definedNames>
    <definedName name="_xlnm._FilterDatabase" localSheetId="1" hidden="1">P127Jempol!$A$1:$AB$179</definedName>
    <definedName name="_xlnm._FilterDatabase" localSheetId="3" hidden="1">'Race&amp;Age'!$A$1:$Y$175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6" i="14" l="1"/>
  <c r="AB7" i="14"/>
  <c r="S46" i="14"/>
  <c r="S25" i="14"/>
  <c r="S7" i="14"/>
  <c r="AB186" i="11"/>
  <c r="Z186" i="11"/>
  <c r="Y186" i="11"/>
  <c r="X186" i="11"/>
  <c r="W186" i="11"/>
  <c r="AB185" i="11"/>
  <c r="Z185" i="11"/>
  <c r="Y185" i="11"/>
  <c r="X185" i="11"/>
  <c r="W185" i="11"/>
  <c r="AB184" i="11"/>
  <c r="Z184" i="11"/>
  <c r="Y184" i="11"/>
  <c r="X184" i="11"/>
  <c r="W184" i="11"/>
  <c r="AB183" i="11"/>
  <c r="Z183" i="11"/>
  <c r="Y183" i="11"/>
  <c r="X183" i="11"/>
  <c r="W183" i="11"/>
  <c r="Q186" i="11"/>
  <c r="P186" i="11"/>
  <c r="O186" i="11"/>
  <c r="N186" i="11"/>
  <c r="Q185" i="11"/>
  <c r="P185" i="11"/>
  <c r="O185" i="11"/>
  <c r="N185" i="11"/>
  <c r="Q184" i="11"/>
  <c r="P184" i="11"/>
  <c r="O184" i="11"/>
  <c r="N184" i="11"/>
  <c r="Q183" i="11"/>
  <c r="P183" i="11"/>
  <c r="O183" i="11"/>
  <c r="N183" i="11"/>
  <c r="V186" i="11"/>
  <c r="U186" i="11"/>
  <c r="T186" i="11"/>
  <c r="S186" i="11"/>
  <c r="R186" i="11"/>
  <c r="V185" i="11"/>
  <c r="U185" i="11"/>
  <c r="T185" i="11"/>
  <c r="S185" i="11"/>
  <c r="R185" i="11"/>
  <c r="V184" i="11"/>
  <c r="U184" i="11"/>
  <c r="T184" i="11"/>
  <c r="S184" i="11"/>
  <c r="R184" i="11"/>
  <c r="V183" i="11"/>
  <c r="U183" i="11"/>
  <c r="T183" i="11"/>
  <c r="S183" i="11"/>
  <c r="R183" i="11"/>
  <c r="M186" i="11"/>
  <c r="L186" i="11"/>
  <c r="K186" i="11"/>
  <c r="J186" i="11"/>
  <c r="I186" i="11"/>
  <c r="H186" i="11"/>
  <c r="G186" i="11"/>
  <c r="F186" i="11"/>
  <c r="M185" i="11"/>
  <c r="L185" i="11"/>
  <c r="K185" i="11"/>
  <c r="J185" i="11"/>
  <c r="I185" i="11"/>
  <c r="H185" i="11"/>
  <c r="G185" i="11"/>
  <c r="F185" i="11"/>
  <c r="M184" i="11"/>
  <c r="L184" i="11"/>
  <c r="K184" i="11"/>
  <c r="J184" i="11"/>
  <c r="I184" i="11"/>
  <c r="H184" i="11"/>
  <c r="G184" i="11"/>
  <c r="F184" i="11"/>
  <c r="M183" i="11"/>
  <c r="L183" i="11"/>
  <c r="K183" i="11"/>
  <c r="J183" i="11"/>
  <c r="I183" i="11"/>
  <c r="H183" i="11"/>
  <c r="G183" i="11"/>
  <c r="F183" i="11"/>
  <c r="E186" i="11"/>
  <c r="E185" i="11"/>
  <c r="E184" i="11"/>
  <c r="E183" i="11"/>
  <c r="AA181" i="11"/>
  <c r="V181" i="11"/>
  <c r="U181" i="11"/>
  <c r="Z181" i="11" s="1"/>
  <c r="T181" i="11"/>
  <c r="Y181" i="11" s="1"/>
  <c r="S181" i="11"/>
  <c r="X181" i="11" s="1"/>
  <c r="R181" i="11"/>
  <c r="W181" i="11" s="1"/>
  <c r="M181" i="11"/>
  <c r="K181" i="11"/>
  <c r="J181" i="11"/>
  <c r="I181" i="11"/>
  <c r="H181" i="11"/>
  <c r="G181" i="11"/>
  <c r="F181" i="11"/>
  <c r="E181" i="11"/>
  <c r="AB131" i="11"/>
  <c r="AB59" i="11"/>
  <c r="AP48" i="13"/>
  <c r="AP7" i="13"/>
  <c r="AG48" i="13"/>
  <c r="AG7" i="13"/>
  <c r="X48" i="13"/>
  <c r="X27" i="13"/>
  <c r="X7" i="13"/>
  <c r="R188" i="12"/>
  <c r="W188" i="12" s="1"/>
  <c r="N188" i="12"/>
  <c r="Y188" i="12" s="1"/>
  <c r="M188" i="12"/>
  <c r="L188" i="12"/>
  <c r="K188" i="12"/>
  <c r="P188" i="12" s="1"/>
  <c r="U188" i="12" s="1"/>
  <c r="J188" i="12"/>
  <c r="I188" i="12"/>
  <c r="H188" i="12"/>
  <c r="Q188" i="12" s="1"/>
  <c r="V188" i="12" s="1"/>
  <c r="G188" i="12"/>
  <c r="F188" i="12"/>
  <c r="E188" i="12"/>
  <c r="D188" i="12"/>
  <c r="C188" i="12"/>
  <c r="D184" i="12"/>
  <c r="C184" i="12"/>
  <c r="N184" i="12"/>
  <c r="Y184" i="12" s="1"/>
  <c r="M184" i="12"/>
  <c r="L184" i="12"/>
  <c r="K184" i="12"/>
  <c r="P184" i="12" s="1"/>
  <c r="J184" i="12"/>
  <c r="I184" i="12"/>
  <c r="R184" i="12" s="1"/>
  <c r="H184" i="12"/>
  <c r="Q184" i="12" s="1"/>
  <c r="G184" i="12"/>
  <c r="F184" i="12"/>
  <c r="E184" i="12"/>
  <c r="N180" i="12"/>
  <c r="Y180" i="12" s="1"/>
  <c r="M180" i="12"/>
  <c r="L180" i="12"/>
  <c r="K180" i="12"/>
  <c r="P180" i="12" s="1"/>
  <c r="J180" i="12"/>
  <c r="I180" i="12"/>
  <c r="R180" i="12" s="1"/>
  <c r="H180" i="12"/>
  <c r="Q180" i="12" s="1"/>
  <c r="G180" i="12"/>
  <c r="F180" i="12"/>
  <c r="E180" i="12"/>
  <c r="Y174" i="12"/>
  <c r="R174" i="12"/>
  <c r="W174" i="12" s="1"/>
  <c r="Q174" i="12"/>
  <c r="V174" i="12" s="1"/>
  <c r="P174" i="12"/>
  <c r="U174" i="12" s="1"/>
  <c r="Y173" i="12"/>
  <c r="R173" i="12"/>
  <c r="W173" i="12" s="1"/>
  <c r="Q173" i="12"/>
  <c r="V173" i="12" s="1"/>
  <c r="P173" i="12"/>
  <c r="U173" i="12" s="1"/>
  <c r="Y172" i="12"/>
  <c r="R172" i="12"/>
  <c r="W172" i="12" s="1"/>
  <c r="Q172" i="12"/>
  <c r="V172" i="12" s="1"/>
  <c r="P172" i="12"/>
  <c r="U172" i="12" s="1"/>
  <c r="Y171" i="12"/>
  <c r="R171" i="12"/>
  <c r="W171" i="12" s="1"/>
  <c r="Q171" i="12"/>
  <c r="V171" i="12" s="1"/>
  <c r="P171" i="12"/>
  <c r="U171" i="12" s="1"/>
  <c r="Y170" i="12"/>
  <c r="R170" i="12"/>
  <c r="W170" i="12" s="1"/>
  <c r="Q170" i="12"/>
  <c r="V170" i="12" s="1"/>
  <c r="P170" i="12"/>
  <c r="U170" i="12" s="1"/>
  <c r="Y169" i="12"/>
  <c r="R169" i="12"/>
  <c r="W169" i="12" s="1"/>
  <c r="Q169" i="12"/>
  <c r="V169" i="12" s="1"/>
  <c r="P169" i="12"/>
  <c r="U169" i="12" s="1"/>
  <c r="Y168" i="12"/>
  <c r="R168" i="12"/>
  <c r="W168" i="12" s="1"/>
  <c r="Q168" i="12"/>
  <c r="V168" i="12" s="1"/>
  <c r="P168" i="12"/>
  <c r="U168" i="12" s="1"/>
  <c r="Y167" i="12"/>
  <c r="R167" i="12"/>
  <c r="W167" i="12" s="1"/>
  <c r="Q167" i="12"/>
  <c r="V167" i="12" s="1"/>
  <c r="P167" i="12"/>
  <c r="U167" i="12" s="1"/>
  <c r="Y166" i="12"/>
  <c r="R166" i="12"/>
  <c r="W166" i="12" s="1"/>
  <c r="Q166" i="12"/>
  <c r="V166" i="12" s="1"/>
  <c r="P166" i="12"/>
  <c r="U166" i="12" s="1"/>
  <c r="Y165" i="12"/>
  <c r="R165" i="12"/>
  <c r="W165" i="12" s="1"/>
  <c r="Q165" i="12"/>
  <c r="V165" i="12" s="1"/>
  <c r="P165" i="12"/>
  <c r="U165" i="12" s="1"/>
  <c r="Y164" i="12"/>
  <c r="R164" i="12"/>
  <c r="W164" i="12" s="1"/>
  <c r="Q164" i="12"/>
  <c r="V164" i="12" s="1"/>
  <c r="P164" i="12"/>
  <c r="U164" i="12" s="1"/>
  <c r="Y163" i="12"/>
  <c r="R163" i="12"/>
  <c r="W163" i="12" s="1"/>
  <c r="Q163" i="12"/>
  <c r="V163" i="12" s="1"/>
  <c r="P163" i="12"/>
  <c r="U163" i="12" s="1"/>
  <c r="Y162" i="12"/>
  <c r="R162" i="12"/>
  <c r="W162" i="12" s="1"/>
  <c r="Q162" i="12"/>
  <c r="V162" i="12" s="1"/>
  <c r="P162" i="12"/>
  <c r="U162" i="12" s="1"/>
  <c r="Y161" i="12"/>
  <c r="R161" i="12"/>
  <c r="W161" i="12" s="1"/>
  <c r="Q161" i="12"/>
  <c r="V161" i="12" s="1"/>
  <c r="P161" i="12"/>
  <c r="U161" i="12" s="1"/>
  <c r="Y160" i="12"/>
  <c r="R160" i="12"/>
  <c r="W160" i="12" s="1"/>
  <c r="Q160" i="12"/>
  <c r="V160" i="12" s="1"/>
  <c r="P160" i="12"/>
  <c r="U160" i="12" s="1"/>
  <c r="Y159" i="12"/>
  <c r="R159" i="12"/>
  <c r="W159" i="12" s="1"/>
  <c r="Q159" i="12"/>
  <c r="V159" i="12" s="1"/>
  <c r="P159" i="12"/>
  <c r="U159" i="12" s="1"/>
  <c r="Y158" i="12"/>
  <c r="R158" i="12"/>
  <c r="Q158" i="12"/>
  <c r="V158" i="12" s="1"/>
  <c r="P158" i="12"/>
  <c r="U158" i="12" s="1"/>
  <c r="Y157" i="12"/>
  <c r="R157" i="12"/>
  <c r="W157" i="12" s="1"/>
  <c r="Q157" i="12"/>
  <c r="V157" i="12" s="1"/>
  <c r="P157" i="12"/>
  <c r="Y156" i="12"/>
  <c r="R156" i="12"/>
  <c r="W156" i="12" s="1"/>
  <c r="Q156" i="12"/>
  <c r="V156" i="12" s="1"/>
  <c r="P156" i="12"/>
  <c r="U156" i="12" s="1"/>
  <c r="Y155" i="12"/>
  <c r="R155" i="12"/>
  <c r="W155" i="12" s="1"/>
  <c r="Q155" i="12"/>
  <c r="V155" i="12" s="1"/>
  <c r="P155" i="12"/>
  <c r="U155" i="12" s="1"/>
  <c r="Y154" i="12"/>
  <c r="R154" i="12"/>
  <c r="W154" i="12" s="1"/>
  <c r="Q154" i="12"/>
  <c r="V154" i="12" s="1"/>
  <c r="P154" i="12"/>
  <c r="U154" i="12" s="1"/>
  <c r="Y187" i="12"/>
  <c r="R187" i="12"/>
  <c r="W187" i="12" s="1"/>
  <c r="Q187" i="12"/>
  <c r="V187" i="12" s="1"/>
  <c r="P187" i="12"/>
  <c r="Y153" i="12"/>
  <c r="R153" i="12"/>
  <c r="Q153" i="12"/>
  <c r="V153" i="12" s="1"/>
  <c r="P153" i="12"/>
  <c r="U153" i="12" s="1"/>
  <c r="Y152" i="12"/>
  <c r="R152" i="12"/>
  <c r="W152" i="12" s="1"/>
  <c r="Q152" i="12"/>
  <c r="V152" i="12" s="1"/>
  <c r="P152" i="12"/>
  <c r="Y151" i="12"/>
  <c r="R151" i="12"/>
  <c r="W151" i="12" s="1"/>
  <c r="Q151" i="12"/>
  <c r="V151" i="12" s="1"/>
  <c r="P151" i="12"/>
  <c r="U151" i="12" s="1"/>
  <c r="Y150" i="12"/>
  <c r="R150" i="12"/>
  <c r="W150" i="12" s="1"/>
  <c r="Q150" i="12"/>
  <c r="V150" i="12" s="1"/>
  <c r="P150" i="12"/>
  <c r="U150" i="12" s="1"/>
  <c r="Y149" i="12"/>
  <c r="R149" i="12"/>
  <c r="Q149" i="12"/>
  <c r="V149" i="12" s="1"/>
  <c r="P149" i="12"/>
  <c r="U149" i="12" s="1"/>
  <c r="Y148" i="12"/>
  <c r="R148" i="12"/>
  <c r="W148" i="12" s="1"/>
  <c r="Q148" i="12"/>
  <c r="V148" i="12" s="1"/>
  <c r="P148" i="12"/>
  <c r="Y147" i="12"/>
  <c r="R147" i="12"/>
  <c r="Q147" i="12"/>
  <c r="V147" i="12" s="1"/>
  <c r="P147" i="12"/>
  <c r="U147" i="12" s="1"/>
  <c r="Y146" i="12"/>
  <c r="R146" i="12"/>
  <c r="W146" i="12" s="1"/>
  <c r="Q146" i="12"/>
  <c r="V146" i="12" s="1"/>
  <c r="P146" i="12"/>
  <c r="Y145" i="12"/>
  <c r="R145" i="12"/>
  <c r="W145" i="12" s="1"/>
  <c r="Q145" i="12"/>
  <c r="V145" i="12" s="1"/>
  <c r="P145" i="12"/>
  <c r="U145" i="12" s="1"/>
  <c r="Y144" i="12"/>
  <c r="R144" i="12"/>
  <c r="W144" i="12" s="1"/>
  <c r="Q144" i="12"/>
  <c r="V144" i="12" s="1"/>
  <c r="P144" i="12"/>
  <c r="U144" i="12" s="1"/>
  <c r="Y143" i="12"/>
  <c r="R143" i="12"/>
  <c r="Q143" i="12"/>
  <c r="V143" i="12" s="1"/>
  <c r="P143" i="12"/>
  <c r="U143" i="12" s="1"/>
  <c r="Y142" i="12"/>
  <c r="R142" i="12"/>
  <c r="W142" i="12" s="1"/>
  <c r="Q142" i="12"/>
  <c r="V142" i="12" s="1"/>
  <c r="P142" i="12"/>
  <c r="Y141" i="12"/>
  <c r="R141" i="12"/>
  <c r="Q141" i="12"/>
  <c r="V141" i="12" s="1"/>
  <c r="P141" i="12"/>
  <c r="U141" i="12" s="1"/>
  <c r="Y140" i="12"/>
  <c r="R140" i="12"/>
  <c r="W140" i="12" s="1"/>
  <c r="Q140" i="12"/>
  <c r="V140" i="12" s="1"/>
  <c r="P140" i="12"/>
  <c r="Y139" i="12"/>
  <c r="R139" i="12"/>
  <c r="W139" i="12" s="1"/>
  <c r="Q139" i="12"/>
  <c r="V139" i="12" s="1"/>
  <c r="P139" i="12"/>
  <c r="U139" i="12" s="1"/>
  <c r="Y138" i="12"/>
  <c r="R138" i="12"/>
  <c r="W138" i="12" s="1"/>
  <c r="Q138" i="12"/>
  <c r="V138" i="12" s="1"/>
  <c r="P138" i="12"/>
  <c r="U138" i="12" s="1"/>
  <c r="Y137" i="12"/>
  <c r="R137" i="12"/>
  <c r="Q137" i="12"/>
  <c r="V137" i="12" s="1"/>
  <c r="P137" i="12"/>
  <c r="Y136" i="12"/>
  <c r="R136" i="12"/>
  <c r="W136" i="12" s="1"/>
  <c r="Q136" i="12"/>
  <c r="V136" i="12" s="1"/>
  <c r="P136" i="12"/>
  <c r="Y135" i="12"/>
  <c r="R135" i="12"/>
  <c r="Q135" i="12"/>
  <c r="V135" i="12" s="1"/>
  <c r="P135" i="12"/>
  <c r="U135" i="12" s="1"/>
  <c r="Y134" i="12"/>
  <c r="R134" i="12"/>
  <c r="W134" i="12" s="1"/>
  <c r="Q134" i="12"/>
  <c r="V134" i="12" s="1"/>
  <c r="P134" i="12"/>
  <c r="Y133" i="12"/>
  <c r="R133" i="12"/>
  <c r="W133" i="12" s="1"/>
  <c r="Q133" i="12"/>
  <c r="V133" i="12" s="1"/>
  <c r="P133" i="12"/>
  <c r="U133" i="12" s="1"/>
  <c r="Y132" i="12"/>
  <c r="R132" i="12"/>
  <c r="W132" i="12" s="1"/>
  <c r="Q132" i="12"/>
  <c r="V132" i="12" s="1"/>
  <c r="P132" i="12"/>
  <c r="U132" i="12" s="1"/>
  <c r="Y131" i="12"/>
  <c r="R131" i="12"/>
  <c r="W131" i="12" s="1"/>
  <c r="Q131" i="12"/>
  <c r="V131" i="12" s="1"/>
  <c r="P131" i="12"/>
  <c r="Y186" i="12"/>
  <c r="R186" i="12"/>
  <c r="W186" i="12" s="1"/>
  <c r="Q186" i="12"/>
  <c r="V186" i="12" s="1"/>
  <c r="P186" i="12"/>
  <c r="Y130" i="12"/>
  <c r="R130" i="12"/>
  <c r="Q130" i="12"/>
  <c r="V130" i="12" s="1"/>
  <c r="P130" i="12"/>
  <c r="U130" i="12" s="1"/>
  <c r="Y129" i="12"/>
  <c r="R129" i="12"/>
  <c r="W129" i="12" s="1"/>
  <c r="Q129" i="12"/>
  <c r="V129" i="12" s="1"/>
  <c r="P129" i="12"/>
  <c r="Y128" i="12"/>
  <c r="R128" i="12"/>
  <c r="W128" i="12" s="1"/>
  <c r="Q128" i="12"/>
  <c r="V128" i="12" s="1"/>
  <c r="P128" i="12"/>
  <c r="U128" i="12" s="1"/>
  <c r="Y127" i="12"/>
  <c r="R127" i="12"/>
  <c r="W127" i="12" s="1"/>
  <c r="Q127" i="12"/>
  <c r="V127" i="12" s="1"/>
  <c r="P127" i="12"/>
  <c r="U127" i="12" s="1"/>
  <c r="Y126" i="12"/>
  <c r="R126" i="12"/>
  <c r="W126" i="12" s="1"/>
  <c r="Q126" i="12"/>
  <c r="V126" i="12" s="1"/>
  <c r="P126" i="12"/>
  <c r="U126" i="12" s="1"/>
  <c r="Y179" i="12"/>
  <c r="R179" i="12"/>
  <c r="W179" i="12" s="1"/>
  <c r="Q179" i="12"/>
  <c r="V179" i="12" s="1"/>
  <c r="P179" i="12"/>
  <c r="Y125" i="12"/>
  <c r="R125" i="12"/>
  <c r="Q125" i="12"/>
  <c r="V125" i="12" s="1"/>
  <c r="P125" i="12"/>
  <c r="U125" i="12" s="1"/>
  <c r="Y124" i="12"/>
  <c r="R124" i="12"/>
  <c r="W124" i="12" s="1"/>
  <c r="Q124" i="12"/>
  <c r="V124" i="12" s="1"/>
  <c r="P124" i="12"/>
  <c r="Y123" i="12"/>
  <c r="R123" i="12"/>
  <c r="W123" i="12" s="1"/>
  <c r="Q123" i="12"/>
  <c r="V123" i="12" s="1"/>
  <c r="P123" i="12"/>
  <c r="U123" i="12" s="1"/>
  <c r="Y122" i="12"/>
  <c r="R122" i="12"/>
  <c r="W122" i="12" s="1"/>
  <c r="Q122" i="12"/>
  <c r="V122" i="12" s="1"/>
  <c r="P122" i="12"/>
  <c r="U122" i="12" s="1"/>
  <c r="Y121" i="12"/>
  <c r="R121" i="12"/>
  <c r="W121" i="12" s="1"/>
  <c r="Q121" i="12"/>
  <c r="V121" i="12" s="1"/>
  <c r="P121" i="12"/>
  <c r="U121" i="12" s="1"/>
  <c r="Y120" i="12"/>
  <c r="R120" i="12"/>
  <c r="W120" i="12" s="1"/>
  <c r="Q120" i="12"/>
  <c r="V120" i="12" s="1"/>
  <c r="P120" i="12"/>
  <c r="Y119" i="12"/>
  <c r="R119" i="12"/>
  <c r="Q119" i="12"/>
  <c r="V119" i="12" s="1"/>
  <c r="P119" i="12"/>
  <c r="U119" i="12" s="1"/>
  <c r="Y118" i="12"/>
  <c r="R118" i="12"/>
  <c r="W118" i="12" s="1"/>
  <c r="Q118" i="12"/>
  <c r="V118" i="12" s="1"/>
  <c r="P118" i="12"/>
  <c r="Y117" i="12"/>
  <c r="R117" i="12"/>
  <c r="W117" i="12" s="1"/>
  <c r="Q117" i="12"/>
  <c r="V117" i="12" s="1"/>
  <c r="P117" i="12"/>
  <c r="U117" i="12" s="1"/>
  <c r="Y116" i="12"/>
  <c r="R116" i="12"/>
  <c r="W116" i="12" s="1"/>
  <c r="Q116" i="12"/>
  <c r="V116" i="12" s="1"/>
  <c r="P116" i="12"/>
  <c r="U116" i="12" s="1"/>
  <c r="Y185" i="12"/>
  <c r="R185" i="12"/>
  <c r="W185" i="12" s="1"/>
  <c r="Q185" i="12"/>
  <c r="V185" i="12" s="1"/>
  <c r="P185" i="12"/>
  <c r="U185" i="12" s="1"/>
  <c r="Y115" i="12"/>
  <c r="R115" i="12"/>
  <c r="W115" i="12" s="1"/>
  <c r="Q115" i="12"/>
  <c r="V115" i="12" s="1"/>
  <c r="P115" i="12"/>
  <c r="Y114" i="12"/>
  <c r="R114" i="12"/>
  <c r="Q114" i="12"/>
  <c r="V114" i="12" s="1"/>
  <c r="P114" i="12"/>
  <c r="U114" i="12" s="1"/>
  <c r="Y113" i="12"/>
  <c r="R113" i="12"/>
  <c r="W113" i="12" s="1"/>
  <c r="Q113" i="12"/>
  <c r="V113" i="12" s="1"/>
  <c r="P113" i="12"/>
  <c r="Y112" i="12"/>
  <c r="R112" i="12"/>
  <c r="W112" i="12" s="1"/>
  <c r="Q112" i="12"/>
  <c r="V112" i="12" s="1"/>
  <c r="P112" i="12"/>
  <c r="U112" i="12" s="1"/>
  <c r="Y111" i="12"/>
  <c r="R111" i="12"/>
  <c r="W111" i="12" s="1"/>
  <c r="Q111" i="12"/>
  <c r="V111" i="12" s="1"/>
  <c r="P111" i="12"/>
  <c r="U111" i="12" s="1"/>
  <c r="Y110" i="12"/>
  <c r="R110" i="12"/>
  <c r="W110" i="12" s="1"/>
  <c r="Q110" i="12"/>
  <c r="V110" i="12" s="1"/>
  <c r="P110" i="12"/>
  <c r="U110" i="12" s="1"/>
  <c r="Y109" i="12"/>
  <c r="R109" i="12"/>
  <c r="W109" i="12" s="1"/>
  <c r="Q109" i="12"/>
  <c r="V109" i="12" s="1"/>
  <c r="P109" i="12"/>
  <c r="Y108" i="12"/>
  <c r="R108" i="12"/>
  <c r="Q108" i="12"/>
  <c r="V108" i="12" s="1"/>
  <c r="P108" i="12"/>
  <c r="U108" i="12" s="1"/>
  <c r="Y107" i="12"/>
  <c r="R107" i="12"/>
  <c r="W107" i="12" s="1"/>
  <c r="Q107" i="12"/>
  <c r="V107" i="12" s="1"/>
  <c r="P107" i="12"/>
  <c r="Y106" i="12"/>
  <c r="R106" i="12"/>
  <c r="W106" i="12" s="1"/>
  <c r="Q106" i="12"/>
  <c r="V106" i="12" s="1"/>
  <c r="P106" i="12"/>
  <c r="U106" i="12" s="1"/>
  <c r="Y105" i="12"/>
  <c r="R105" i="12"/>
  <c r="W105" i="12" s="1"/>
  <c r="Q105" i="12"/>
  <c r="V105" i="12" s="1"/>
  <c r="P105" i="12"/>
  <c r="U105" i="12" s="1"/>
  <c r="Y104" i="12"/>
  <c r="R104" i="12"/>
  <c r="W104" i="12" s="1"/>
  <c r="Q104" i="12"/>
  <c r="V104" i="12" s="1"/>
  <c r="P104" i="12"/>
  <c r="U104" i="12" s="1"/>
  <c r="Y103" i="12"/>
  <c r="R103" i="12"/>
  <c r="W103" i="12" s="1"/>
  <c r="Q103" i="12"/>
  <c r="V103" i="12" s="1"/>
  <c r="P103" i="12"/>
  <c r="Y102" i="12"/>
  <c r="R102" i="12"/>
  <c r="Q102" i="12"/>
  <c r="V102" i="12" s="1"/>
  <c r="P102" i="12"/>
  <c r="U102" i="12" s="1"/>
  <c r="Y101" i="12"/>
  <c r="R101" i="12"/>
  <c r="W101" i="12" s="1"/>
  <c r="Q101" i="12"/>
  <c r="V101" i="12" s="1"/>
  <c r="P101" i="12"/>
  <c r="Y100" i="12"/>
  <c r="R100" i="12"/>
  <c r="W100" i="12" s="1"/>
  <c r="Q100" i="12"/>
  <c r="V100" i="12" s="1"/>
  <c r="P100" i="12"/>
  <c r="U100" i="12" s="1"/>
  <c r="Y99" i="12"/>
  <c r="R99" i="12"/>
  <c r="W99" i="12" s="1"/>
  <c r="Q99" i="12"/>
  <c r="V99" i="12" s="1"/>
  <c r="P99" i="12"/>
  <c r="U99" i="12" s="1"/>
  <c r="Y98" i="12"/>
  <c r="R98" i="12"/>
  <c r="W98" i="12" s="1"/>
  <c r="Q98" i="12"/>
  <c r="V98" i="12" s="1"/>
  <c r="P98" i="12"/>
  <c r="U98" i="12" s="1"/>
  <c r="Y97" i="12"/>
  <c r="R97" i="12"/>
  <c r="W97" i="12" s="1"/>
  <c r="Q97" i="12"/>
  <c r="V97" i="12" s="1"/>
  <c r="P97" i="12"/>
  <c r="Y96" i="12"/>
  <c r="R96" i="12"/>
  <c r="Q96" i="12"/>
  <c r="V96" i="12" s="1"/>
  <c r="P96" i="12"/>
  <c r="U96" i="12" s="1"/>
  <c r="Y95" i="12"/>
  <c r="R95" i="12"/>
  <c r="W95" i="12" s="1"/>
  <c r="Q95" i="12"/>
  <c r="V95" i="12" s="1"/>
  <c r="P95" i="12"/>
  <c r="Y94" i="12"/>
  <c r="R94" i="12"/>
  <c r="W94" i="12" s="1"/>
  <c r="Q94" i="12"/>
  <c r="V94" i="12" s="1"/>
  <c r="P94" i="12"/>
  <c r="U94" i="12" s="1"/>
  <c r="Y93" i="12"/>
  <c r="R93" i="12"/>
  <c r="W93" i="12" s="1"/>
  <c r="Q93" i="12"/>
  <c r="V93" i="12" s="1"/>
  <c r="P93" i="12"/>
  <c r="Y92" i="12"/>
  <c r="R92" i="12"/>
  <c r="Q92" i="12"/>
  <c r="V92" i="12" s="1"/>
  <c r="P92" i="12"/>
  <c r="Y91" i="12"/>
  <c r="R91" i="12"/>
  <c r="W91" i="12" s="1"/>
  <c r="Q91" i="12"/>
  <c r="V91" i="12" s="1"/>
  <c r="P91" i="12"/>
  <c r="Y90" i="12"/>
  <c r="R90" i="12"/>
  <c r="Q90" i="12"/>
  <c r="V90" i="12" s="1"/>
  <c r="P90" i="12"/>
  <c r="U90" i="12" s="1"/>
  <c r="Y89" i="12"/>
  <c r="R89" i="12"/>
  <c r="W89" i="12" s="1"/>
  <c r="Q89" i="12"/>
  <c r="V89" i="12" s="1"/>
  <c r="P89" i="12"/>
  <c r="Y88" i="12"/>
  <c r="R88" i="12"/>
  <c r="W88" i="12" s="1"/>
  <c r="Q88" i="12"/>
  <c r="V88" i="12" s="1"/>
  <c r="P88" i="12"/>
  <c r="U88" i="12" s="1"/>
  <c r="Y87" i="12"/>
  <c r="R87" i="12"/>
  <c r="W87" i="12" s="1"/>
  <c r="Q87" i="12"/>
  <c r="V87" i="12" s="1"/>
  <c r="P87" i="12"/>
  <c r="Y86" i="12"/>
  <c r="R86" i="12"/>
  <c r="Q86" i="12"/>
  <c r="V86" i="12" s="1"/>
  <c r="P86" i="12"/>
  <c r="U86" i="12" s="1"/>
  <c r="Y85" i="12"/>
  <c r="R85" i="12"/>
  <c r="W85" i="12" s="1"/>
  <c r="Q85" i="12"/>
  <c r="V85" i="12" s="1"/>
  <c r="P85" i="12"/>
  <c r="Y84" i="12"/>
  <c r="R84" i="12"/>
  <c r="W84" i="12" s="1"/>
  <c r="Q84" i="12"/>
  <c r="V84" i="12" s="1"/>
  <c r="P84" i="12"/>
  <c r="Y83" i="12"/>
  <c r="R83" i="12"/>
  <c r="W83" i="12" s="1"/>
  <c r="Q83" i="12"/>
  <c r="V83" i="12" s="1"/>
  <c r="P83" i="12"/>
  <c r="Y82" i="12"/>
  <c r="R82" i="12"/>
  <c r="W82" i="12" s="1"/>
  <c r="Q82" i="12"/>
  <c r="V82" i="12" s="1"/>
  <c r="P82" i="12"/>
  <c r="Y81" i="12"/>
  <c r="R81" i="12"/>
  <c r="W81" i="12" s="1"/>
  <c r="Q81" i="12"/>
  <c r="V81" i="12" s="1"/>
  <c r="P81" i="12"/>
  <c r="Y178" i="12"/>
  <c r="R178" i="12"/>
  <c r="Q178" i="12"/>
  <c r="V178" i="12" s="1"/>
  <c r="P178" i="12"/>
  <c r="U178" i="12" s="1"/>
  <c r="Y77" i="12"/>
  <c r="R77" i="12"/>
  <c r="W77" i="12" s="1"/>
  <c r="Q77" i="12"/>
  <c r="V77" i="12" s="1"/>
  <c r="P77" i="12"/>
  <c r="Y76" i="12"/>
  <c r="R76" i="12"/>
  <c r="W76" i="12" s="1"/>
  <c r="Q76" i="12"/>
  <c r="V76" i="12" s="1"/>
  <c r="P76" i="12"/>
  <c r="U76" i="12" s="1"/>
  <c r="Y75" i="12"/>
  <c r="R75" i="12"/>
  <c r="W75" i="12" s="1"/>
  <c r="Q75" i="12"/>
  <c r="V75" i="12" s="1"/>
  <c r="P75" i="12"/>
  <c r="Y74" i="12"/>
  <c r="R74" i="12"/>
  <c r="W74" i="12" s="1"/>
  <c r="Q74" i="12"/>
  <c r="V74" i="12" s="1"/>
  <c r="P74" i="12"/>
  <c r="Y80" i="12"/>
  <c r="R80" i="12"/>
  <c r="W80" i="12" s="1"/>
  <c r="Q80" i="12"/>
  <c r="V80" i="12" s="1"/>
  <c r="P80" i="12"/>
  <c r="U80" i="12" s="1"/>
  <c r="Y79" i="12"/>
  <c r="R79" i="12"/>
  <c r="Q79" i="12"/>
  <c r="V79" i="12" s="1"/>
  <c r="P79" i="12"/>
  <c r="U79" i="12" s="1"/>
  <c r="Y78" i="12"/>
  <c r="R78" i="12"/>
  <c r="W78" i="12" s="1"/>
  <c r="Q78" i="12"/>
  <c r="V78" i="12" s="1"/>
  <c r="P78" i="12"/>
  <c r="Y73" i="12"/>
  <c r="R73" i="12"/>
  <c r="W73" i="12" s="1"/>
  <c r="Q73" i="12"/>
  <c r="V73" i="12" s="1"/>
  <c r="P73" i="12"/>
  <c r="U73" i="12" s="1"/>
  <c r="Y72" i="12"/>
  <c r="R72" i="12"/>
  <c r="W72" i="12" s="1"/>
  <c r="Q72" i="12"/>
  <c r="V72" i="12" s="1"/>
  <c r="P72" i="12"/>
  <c r="Y71" i="12"/>
  <c r="R71" i="12"/>
  <c r="W71" i="12" s="1"/>
  <c r="Q71" i="12"/>
  <c r="V71" i="12" s="1"/>
  <c r="P71" i="12"/>
  <c r="Y70" i="12"/>
  <c r="R70" i="12"/>
  <c r="W70" i="12" s="1"/>
  <c r="Q70" i="12"/>
  <c r="V70" i="12" s="1"/>
  <c r="P70" i="12"/>
  <c r="Y69" i="12"/>
  <c r="R69" i="12"/>
  <c r="W69" i="12" s="1"/>
  <c r="Q69" i="12"/>
  <c r="V69" i="12" s="1"/>
  <c r="P69" i="12"/>
  <c r="U69" i="12" s="1"/>
  <c r="Y68" i="12"/>
  <c r="R68" i="12"/>
  <c r="W68" i="12" s="1"/>
  <c r="Q68" i="12"/>
  <c r="V68" i="12" s="1"/>
  <c r="P68" i="12"/>
  <c r="Y67" i="12"/>
  <c r="R67" i="12"/>
  <c r="W67" i="12" s="1"/>
  <c r="Q67" i="12"/>
  <c r="V67" i="12" s="1"/>
  <c r="P67" i="12"/>
  <c r="U67" i="12" s="1"/>
  <c r="Y66" i="12"/>
  <c r="R66" i="12"/>
  <c r="W66" i="12" s="1"/>
  <c r="Q66" i="12"/>
  <c r="V66" i="12" s="1"/>
  <c r="P66" i="12"/>
  <c r="Y65" i="12"/>
  <c r="R65" i="12"/>
  <c r="W65" i="12" s="1"/>
  <c r="Q65" i="12"/>
  <c r="V65" i="12" s="1"/>
  <c r="P65" i="12"/>
  <c r="Y64" i="12"/>
  <c r="R64" i="12"/>
  <c r="W64" i="12" s="1"/>
  <c r="Q64" i="12"/>
  <c r="V64" i="12" s="1"/>
  <c r="P64" i="12"/>
  <c r="Y63" i="12"/>
  <c r="R63" i="12"/>
  <c r="W63" i="12" s="1"/>
  <c r="Q63" i="12"/>
  <c r="V63" i="12" s="1"/>
  <c r="P63" i="12"/>
  <c r="U63" i="12" s="1"/>
  <c r="Y62" i="12"/>
  <c r="R62" i="12"/>
  <c r="W62" i="12" s="1"/>
  <c r="Q62" i="12"/>
  <c r="V62" i="12" s="1"/>
  <c r="P62" i="12"/>
  <c r="Y61" i="12"/>
  <c r="R61" i="12"/>
  <c r="W61" i="12" s="1"/>
  <c r="Q61" i="12"/>
  <c r="V61" i="12" s="1"/>
  <c r="P61" i="12"/>
  <c r="U61" i="12" s="1"/>
  <c r="Y60" i="12"/>
  <c r="R60" i="12"/>
  <c r="W60" i="12" s="1"/>
  <c r="Q60" i="12"/>
  <c r="V60" i="12" s="1"/>
  <c r="P60" i="12"/>
  <c r="Y59" i="12"/>
  <c r="R59" i="12"/>
  <c r="W59" i="12" s="1"/>
  <c r="Q59" i="12"/>
  <c r="V59" i="12" s="1"/>
  <c r="P59" i="12"/>
  <c r="Y58" i="12"/>
  <c r="R58" i="12"/>
  <c r="W58" i="12" s="1"/>
  <c r="Q58" i="12"/>
  <c r="V58" i="12" s="1"/>
  <c r="P58" i="12"/>
  <c r="Y57" i="12"/>
  <c r="R57" i="12"/>
  <c r="W57" i="12" s="1"/>
  <c r="Q57" i="12"/>
  <c r="V57" i="12" s="1"/>
  <c r="P57" i="12"/>
  <c r="U57" i="12" s="1"/>
  <c r="Y56" i="12"/>
  <c r="R56" i="12"/>
  <c r="W56" i="12" s="1"/>
  <c r="Q56" i="12"/>
  <c r="V56" i="12" s="1"/>
  <c r="P56" i="12"/>
  <c r="Y55" i="12"/>
  <c r="R55" i="12"/>
  <c r="W55" i="12" s="1"/>
  <c r="Q55" i="12"/>
  <c r="V55" i="12" s="1"/>
  <c r="P55" i="12"/>
  <c r="U55" i="12" s="1"/>
  <c r="Y54" i="12"/>
  <c r="R54" i="12"/>
  <c r="W54" i="12" s="1"/>
  <c r="Q54" i="12"/>
  <c r="V54" i="12" s="1"/>
  <c r="P54" i="12"/>
  <c r="Y53" i="12"/>
  <c r="R53" i="12"/>
  <c r="W53" i="12" s="1"/>
  <c r="Q53" i="12"/>
  <c r="V53" i="12" s="1"/>
  <c r="P53" i="12"/>
  <c r="Y52" i="12"/>
  <c r="R52" i="12"/>
  <c r="W52" i="12" s="1"/>
  <c r="Q52" i="12"/>
  <c r="V52" i="12" s="1"/>
  <c r="P52" i="12"/>
  <c r="Y51" i="12"/>
  <c r="R51" i="12"/>
  <c r="W51" i="12" s="1"/>
  <c r="Q51" i="12"/>
  <c r="V51" i="12" s="1"/>
  <c r="P51" i="12"/>
  <c r="U51" i="12" s="1"/>
  <c r="Y50" i="12"/>
  <c r="R50" i="12"/>
  <c r="W50" i="12" s="1"/>
  <c r="Q50" i="12"/>
  <c r="V50" i="12" s="1"/>
  <c r="P50" i="12"/>
  <c r="U50" i="12" s="1"/>
  <c r="Y49" i="12"/>
  <c r="R49" i="12"/>
  <c r="W49" i="12" s="1"/>
  <c r="Q49" i="12"/>
  <c r="V49" i="12" s="1"/>
  <c r="P49" i="12"/>
  <c r="U49" i="12" s="1"/>
  <c r="Y48" i="12"/>
  <c r="R48" i="12"/>
  <c r="W48" i="12" s="1"/>
  <c r="Q48" i="12"/>
  <c r="V48" i="12" s="1"/>
  <c r="P48" i="12"/>
  <c r="Y47" i="12"/>
  <c r="R47" i="12"/>
  <c r="W47" i="12" s="1"/>
  <c r="Q47" i="12"/>
  <c r="V47" i="12" s="1"/>
  <c r="P47" i="12"/>
  <c r="Y183" i="12"/>
  <c r="R183" i="12"/>
  <c r="W183" i="12" s="1"/>
  <c r="Q183" i="12"/>
  <c r="V183" i="12" s="1"/>
  <c r="P183" i="12"/>
  <c r="Y46" i="12"/>
  <c r="R46" i="12"/>
  <c r="W46" i="12" s="1"/>
  <c r="Q46" i="12"/>
  <c r="V46" i="12" s="1"/>
  <c r="P46" i="12"/>
  <c r="U46" i="12" s="1"/>
  <c r="Y45" i="12"/>
  <c r="R45" i="12"/>
  <c r="W45" i="12" s="1"/>
  <c r="Q45" i="12"/>
  <c r="V45" i="12" s="1"/>
  <c r="P45" i="12"/>
  <c r="Y44" i="12"/>
  <c r="R44" i="12"/>
  <c r="W44" i="12" s="1"/>
  <c r="Q44" i="12"/>
  <c r="V44" i="12" s="1"/>
  <c r="P44" i="12"/>
  <c r="U44" i="12" s="1"/>
  <c r="Y43" i="12"/>
  <c r="R43" i="12"/>
  <c r="W43" i="12" s="1"/>
  <c r="Q43" i="12"/>
  <c r="V43" i="12" s="1"/>
  <c r="P43" i="12"/>
  <c r="Y182" i="12"/>
  <c r="R182" i="12"/>
  <c r="W182" i="12" s="1"/>
  <c r="Q182" i="12"/>
  <c r="V182" i="12" s="1"/>
  <c r="P182" i="12"/>
  <c r="Y42" i="12"/>
  <c r="R42" i="12"/>
  <c r="W42" i="12" s="1"/>
  <c r="Q42" i="12"/>
  <c r="V42" i="12" s="1"/>
  <c r="P42" i="12"/>
  <c r="U42" i="12" s="1"/>
  <c r="Y41" i="12"/>
  <c r="R41" i="12"/>
  <c r="W41" i="12" s="1"/>
  <c r="Q41" i="12"/>
  <c r="V41" i="12" s="1"/>
  <c r="P41" i="12"/>
  <c r="Y40" i="12"/>
  <c r="R40" i="12"/>
  <c r="W40" i="12" s="1"/>
  <c r="Q40" i="12"/>
  <c r="V40" i="12" s="1"/>
  <c r="P40" i="12"/>
  <c r="Y39" i="12"/>
  <c r="R39" i="12"/>
  <c r="W39" i="12" s="1"/>
  <c r="Q39" i="12"/>
  <c r="V39" i="12" s="1"/>
  <c r="P39" i="12"/>
  <c r="U39" i="12" s="1"/>
  <c r="Y38" i="12"/>
  <c r="R38" i="12"/>
  <c r="W38" i="12" s="1"/>
  <c r="Q38" i="12"/>
  <c r="V38" i="12" s="1"/>
  <c r="P38" i="12"/>
  <c r="Y37" i="12"/>
  <c r="R37" i="12"/>
  <c r="W37" i="12" s="1"/>
  <c r="Q37" i="12"/>
  <c r="V37" i="12" s="1"/>
  <c r="P37" i="12"/>
  <c r="U37" i="12" s="1"/>
  <c r="Y36" i="12"/>
  <c r="R36" i="12"/>
  <c r="W36" i="12" s="1"/>
  <c r="Q36" i="12"/>
  <c r="P36" i="12"/>
  <c r="U36" i="12" s="1"/>
  <c r="Y35" i="12"/>
  <c r="R35" i="12"/>
  <c r="W35" i="12" s="1"/>
  <c r="Q35" i="12"/>
  <c r="V35" i="12" s="1"/>
  <c r="P35" i="12"/>
  <c r="Y34" i="12"/>
  <c r="R34" i="12"/>
  <c r="W34" i="12" s="1"/>
  <c r="Q34" i="12"/>
  <c r="V34" i="12" s="1"/>
  <c r="P34" i="12"/>
  <c r="U34" i="12" s="1"/>
  <c r="Y33" i="12"/>
  <c r="R33" i="12"/>
  <c r="W33" i="12" s="1"/>
  <c r="Q33" i="12"/>
  <c r="V33" i="12" s="1"/>
  <c r="P33" i="12"/>
  <c r="U33" i="12" s="1"/>
  <c r="Y32" i="12"/>
  <c r="R32" i="12"/>
  <c r="W32" i="12" s="1"/>
  <c r="Q32" i="12"/>
  <c r="V32" i="12" s="1"/>
  <c r="P32" i="12"/>
  <c r="Y31" i="12"/>
  <c r="R31" i="12"/>
  <c r="W31" i="12" s="1"/>
  <c r="Q31" i="12"/>
  <c r="V31" i="12" s="1"/>
  <c r="P31" i="12"/>
  <c r="U31" i="12" s="1"/>
  <c r="Y30" i="12"/>
  <c r="R30" i="12"/>
  <c r="W30" i="12" s="1"/>
  <c r="Q30" i="12"/>
  <c r="V30" i="12" s="1"/>
  <c r="P30" i="12"/>
  <c r="Y22" i="12"/>
  <c r="R22" i="12"/>
  <c r="W22" i="12" s="1"/>
  <c r="Q22" i="12"/>
  <c r="V22" i="12" s="1"/>
  <c r="P22" i="12"/>
  <c r="Y21" i="12"/>
  <c r="R21" i="12"/>
  <c r="W21" i="12" s="1"/>
  <c r="Q21" i="12"/>
  <c r="V21" i="12" s="1"/>
  <c r="P21" i="12"/>
  <c r="Y20" i="12"/>
  <c r="R20" i="12"/>
  <c r="W20" i="12" s="1"/>
  <c r="Q20" i="12"/>
  <c r="V20" i="12" s="1"/>
  <c r="P20" i="12"/>
  <c r="U20" i="12" s="1"/>
  <c r="Y19" i="12"/>
  <c r="R19" i="12"/>
  <c r="W19" i="12" s="1"/>
  <c r="Q19" i="12"/>
  <c r="V19" i="12" s="1"/>
  <c r="P19" i="12"/>
  <c r="Y26" i="12"/>
  <c r="R26" i="12"/>
  <c r="W26" i="12" s="1"/>
  <c r="Q26" i="12"/>
  <c r="V26" i="12" s="1"/>
  <c r="P26" i="12"/>
  <c r="U26" i="12" s="1"/>
  <c r="Y25" i="12"/>
  <c r="R25" i="12"/>
  <c r="W25" i="12" s="1"/>
  <c r="Q25" i="12"/>
  <c r="V25" i="12" s="1"/>
  <c r="P25" i="12"/>
  <c r="U25" i="12" s="1"/>
  <c r="Y24" i="12"/>
  <c r="R24" i="12"/>
  <c r="W24" i="12" s="1"/>
  <c r="Q24" i="12"/>
  <c r="V24" i="12" s="1"/>
  <c r="P24" i="12"/>
  <c r="Y23" i="12"/>
  <c r="R23" i="12"/>
  <c r="W23" i="12" s="1"/>
  <c r="Q23" i="12"/>
  <c r="V23" i="12" s="1"/>
  <c r="P23" i="12"/>
  <c r="Y29" i="12"/>
  <c r="R29" i="12"/>
  <c r="Q29" i="12"/>
  <c r="V29" i="12" s="1"/>
  <c r="P29" i="12"/>
  <c r="U29" i="12" s="1"/>
  <c r="Y28" i="12"/>
  <c r="R28" i="12"/>
  <c r="W28" i="12" s="1"/>
  <c r="Q28" i="12"/>
  <c r="V28" i="12" s="1"/>
  <c r="P28" i="12"/>
  <c r="U28" i="12" s="1"/>
  <c r="Y27" i="12"/>
  <c r="R27" i="12"/>
  <c r="W27" i="12" s="1"/>
  <c r="Q27" i="12"/>
  <c r="V27" i="12" s="1"/>
  <c r="P27" i="12"/>
  <c r="U27" i="12" s="1"/>
  <c r="Y18" i="12"/>
  <c r="R18" i="12"/>
  <c r="W18" i="12" s="1"/>
  <c r="Q18" i="12"/>
  <c r="P18" i="12"/>
  <c r="U18" i="12" s="1"/>
  <c r="Y17" i="12"/>
  <c r="R17" i="12"/>
  <c r="W17" i="12" s="1"/>
  <c r="Q17" i="12"/>
  <c r="V17" i="12" s="1"/>
  <c r="P17" i="12"/>
  <c r="Y16" i="12"/>
  <c r="R16" i="12"/>
  <c r="W16" i="12" s="1"/>
  <c r="Q16" i="12"/>
  <c r="V16" i="12" s="1"/>
  <c r="P16" i="12"/>
  <c r="U16" i="12" s="1"/>
  <c r="Y15" i="12"/>
  <c r="R15" i="12"/>
  <c r="W15" i="12" s="1"/>
  <c r="Q15" i="12"/>
  <c r="V15" i="12" s="1"/>
  <c r="P15" i="12"/>
  <c r="Y14" i="12"/>
  <c r="R14" i="12"/>
  <c r="W14" i="12" s="1"/>
  <c r="Q14" i="12"/>
  <c r="V14" i="12" s="1"/>
  <c r="P14" i="12"/>
  <c r="Y13" i="12"/>
  <c r="R13" i="12"/>
  <c r="W13" i="12" s="1"/>
  <c r="Q13" i="12"/>
  <c r="V13" i="12" s="1"/>
  <c r="P13" i="12"/>
  <c r="U13" i="12" s="1"/>
  <c r="Y12" i="12"/>
  <c r="R12" i="12"/>
  <c r="W12" i="12" s="1"/>
  <c r="Q12" i="12"/>
  <c r="V12" i="12" s="1"/>
  <c r="P12" i="12"/>
  <c r="U12" i="12" s="1"/>
  <c r="Y11" i="12"/>
  <c r="R11" i="12"/>
  <c r="W11" i="12" s="1"/>
  <c r="Q11" i="12"/>
  <c r="V11" i="12" s="1"/>
  <c r="P11" i="12"/>
  <c r="Y10" i="12"/>
  <c r="R10" i="12"/>
  <c r="W10" i="12" s="1"/>
  <c r="Q10" i="12"/>
  <c r="V10" i="12" s="1"/>
  <c r="P10" i="12"/>
  <c r="U10" i="12" s="1"/>
  <c r="Y9" i="12"/>
  <c r="R9" i="12"/>
  <c r="W9" i="12" s="1"/>
  <c r="Q9" i="12"/>
  <c r="V9" i="12" s="1"/>
  <c r="P9" i="12"/>
  <c r="U9" i="12" s="1"/>
  <c r="Y8" i="12"/>
  <c r="R8" i="12"/>
  <c r="W8" i="12" s="1"/>
  <c r="Q8" i="12"/>
  <c r="V8" i="12" s="1"/>
  <c r="P8" i="12"/>
  <c r="U8" i="12" s="1"/>
  <c r="Y7" i="12"/>
  <c r="R7" i="12"/>
  <c r="W7" i="12" s="1"/>
  <c r="Q7" i="12"/>
  <c r="V7" i="12" s="1"/>
  <c r="P7" i="12"/>
  <c r="U7" i="12" s="1"/>
  <c r="Y177" i="12"/>
  <c r="R177" i="12"/>
  <c r="W177" i="12" s="1"/>
  <c r="Q177" i="12"/>
  <c r="V177" i="12" s="1"/>
  <c r="P177" i="12"/>
  <c r="U177" i="12" s="1"/>
  <c r="Y6" i="12"/>
  <c r="R6" i="12"/>
  <c r="W6" i="12" s="1"/>
  <c r="Q6" i="12"/>
  <c r="V6" i="12" s="1"/>
  <c r="P6" i="12"/>
  <c r="Y5" i="12"/>
  <c r="R5" i="12"/>
  <c r="Q5" i="12"/>
  <c r="V5" i="12" s="1"/>
  <c r="P5" i="12"/>
  <c r="U5" i="12" s="1"/>
  <c r="Y4" i="12"/>
  <c r="R4" i="12"/>
  <c r="W4" i="12" s="1"/>
  <c r="Q4" i="12"/>
  <c r="V4" i="12" s="1"/>
  <c r="P4" i="12"/>
  <c r="U4" i="12" s="1"/>
  <c r="Y3" i="12"/>
  <c r="R3" i="12"/>
  <c r="W3" i="12" s="1"/>
  <c r="Q3" i="12"/>
  <c r="V3" i="12" s="1"/>
  <c r="P3" i="12"/>
  <c r="U3" i="12" s="1"/>
  <c r="Y2" i="12"/>
  <c r="R2" i="12"/>
  <c r="W2" i="12" s="1"/>
  <c r="Q2" i="12"/>
  <c r="V2" i="12" s="1"/>
  <c r="P2" i="12"/>
  <c r="U2" i="12" s="1"/>
  <c r="N177" i="11"/>
  <c r="Q164" i="11"/>
  <c r="O152" i="11"/>
  <c r="N138" i="11"/>
  <c r="O113" i="11"/>
  <c r="Q98" i="11"/>
  <c r="O86" i="11"/>
  <c r="N72" i="11"/>
  <c r="Q59" i="11"/>
  <c r="O47" i="11"/>
  <c r="N33" i="11"/>
  <c r="Q20" i="11"/>
  <c r="N18" i="11"/>
  <c r="O8" i="11"/>
  <c r="L179" i="11"/>
  <c r="N179" i="11" s="1"/>
  <c r="L178" i="11"/>
  <c r="AB178" i="11" s="1"/>
  <c r="L177" i="11"/>
  <c r="AB177" i="11" s="1"/>
  <c r="L176" i="11"/>
  <c r="N176" i="11" s="1"/>
  <c r="L175" i="11"/>
  <c r="Q175" i="11" s="1"/>
  <c r="L174" i="11"/>
  <c r="AB174" i="11" s="1"/>
  <c r="L173" i="11"/>
  <c r="N173" i="11" s="1"/>
  <c r="L172" i="11"/>
  <c r="Q172" i="11" s="1"/>
  <c r="L171" i="11"/>
  <c r="Q171" i="11" s="1"/>
  <c r="L170" i="11"/>
  <c r="N170" i="11" s="1"/>
  <c r="L169" i="11"/>
  <c r="Q169" i="11" s="1"/>
  <c r="L168" i="11"/>
  <c r="Q168" i="11" s="1"/>
  <c r="L167" i="11"/>
  <c r="N167" i="11" s="1"/>
  <c r="L166" i="11"/>
  <c r="AB166" i="11" s="1"/>
  <c r="L165" i="11"/>
  <c r="AB165" i="11" s="1"/>
  <c r="L164" i="11"/>
  <c r="N164" i="11" s="1"/>
  <c r="L163" i="11"/>
  <c r="Q163" i="11" s="1"/>
  <c r="L162" i="11"/>
  <c r="AB162" i="11" s="1"/>
  <c r="L161" i="11"/>
  <c r="N161" i="11" s="1"/>
  <c r="L160" i="11"/>
  <c r="Q160" i="11" s="1"/>
  <c r="L159" i="11"/>
  <c r="Q159" i="11" s="1"/>
  <c r="L158" i="11"/>
  <c r="N158" i="11" s="1"/>
  <c r="L157" i="11"/>
  <c r="AB157" i="11" s="1"/>
  <c r="L156" i="11"/>
  <c r="Q156" i="11" s="1"/>
  <c r="L155" i="11"/>
  <c r="N155" i="11" s="1"/>
  <c r="L154" i="11"/>
  <c r="AB154" i="11" s="1"/>
  <c r="L153" i="11"/>
  <c r="AB153" i="11" s="1"/>
  <c r="L152" i="11"/>
  <c r="N152" i="11" s="1"/>
  <c r="L151" i="11"/>
  <c r="Q151" i="11" s="1"/>
  <c r="L150" i="11"/>
  <c r="AB150" i="11" s="1"/>
  <c r="L149" i="11"/>
  <c r="N149" i="11" s="1"/>
  <c r="L148" i="11"/>
  <c r="Q148" i="11" s="1"/>
  <c r="L147" i="11"/>
  <c r="N147" i="11" s="1"/>
  <c r="L146" i="11"/>
  <c r="N146" i="11" s="1"/>
  <c r="L145" i="11"/>
  <c r="Q145" i="11" s="1"/>
  <c r="L144" i="11"/>
  <c r="Q144" i="11" s="1"/>
  <c r="L143" i="11"/>
  <c r="N143" i="11" s="1"/>
  <c r="L142" i="11"/>
  <c r="AB142" i="11" s="1"/>
  <c r="L141" i="11"/>
  <c r="AB141" i="11" s="1"/>
  <c r="L140" i="11"/>
  <c r="N140" i="11" s="1"/>
  <c r="L139" i="11"/>
  <c r="Q139" i="11" s="1"/>
  <c r="L138" i="11"/>
  <c r="AB138" i="11" s="1"/>
  <c r="L137" i="11"/>
  <c r="N137" i="11" s="1"/>
  <c r="L136" i="11"/>
  <c r="Q136" i="11" s="1"/>
  <c r="L135" i="11"/>
  <c r="N135" i="11" s="1"/>
  <c r="L134" i="11"/>
  <c r="N134" i="11" s="1"/>
  <c r="L133" i="11"/>
  <c r="Q133" i="11" s="1"/>
  <c r="L132" i="11"/>
  <c r="Q132" i="11" s="1"/>
  <c r="L131" i="11"/>
  <c r="N131" i="11" s="1"/>
  <c r="L130" i="11"/>
  <c r="AB130" i="11" s="1"/>
  <c r="L129" i="11"/>
  <c r="AB129" i="11" s="1"/>
  <c r="L128" i="11"/>
  <c r="N128" i="11" s="1"/>
  <c r="L127" i="11"/>
  <c r="Q127" i="11" s="1"/>
  <c r="L126" i="11"/>
  <c r="AB126" i="11" s="1"/>
  <c r="L125" i="11"/>
  <c r="N125" i="11" s="1"/>
  <c r="L124" i="11"/>
  <c r="Q124" i="11" s="1"/>
  <c r="L123" i="11"/>
  <c r="N123" i="11" s="1"/>
  <c r="L122" i="11"/>
  <c r="N122" i="11" s="1"/>
  <c r="L121" i="11"/>
  <c r="Q121" i="11" s="1"/>
  <c r="L120" i="11"/>
  <c r="Q120" i="11" s="1"/>
  <c r="L119" i="11"/>
  <c r="N119" i="11" s="1"/>
  <c r="L118" i="11"/>
  <c r="AB118" i="11" s="1"/>
  <c r="L117" i="11"/>
  <c r="AB117" i="11" s="1"/>
  <c r="L116" i="11"/>
  <c r="N116" i="11" s="1"/>
  <c r="L115" i="11"/>
  <c r="Q115" i="11" s="1"/>
  <c r="L114" i="11"/>
  <c r="AB114" i="11" s="1"/>
  <c r="L113" i="11"/>
  <c r="N113" i="11" s="1"/>
  <c r="L112" i="11"/>
  <c r="Q112" i="11" s="1"/>
  <c r="L111" i="11"/>
  <c r="Q111" i="11" s="1"/>
  <c r="L110" i="11"/>
  <c r="N110" i="11" s="1"/>
  <c r="L109" i="11"/>
  <c r="Q109" i="11" s="1"/>
  <c r="L108" i="11"/>
  <c r="Q108" i="11" s="1"/>
  <c r="L107" i="11"/>
  <c r="N107" i="11" s="1"/>
  <c r="L106" i="11"/>
  <c r="AB106" i="11" s="1"/>
  <c r="L105" i="11"/>
  <c r="AB105" i="11" s="1"/>
  <c r="L104" i="11"/>
  <c r="N104" i="11" s="1"/>
  <c r="L103" i="11"/>
  <c r="Q103" i="11" s="1"/>
  <c r="L102" i="11"/>
  <c r="AB102" i="11" s="1"/>
  <c r="L101" i="11"/>
  <c r="N101" i="11" s="1"/>
  <c r="L100" i="11"/>
  <c r="Q100" i="11" s="1"/>
  <c r="L99" i="11"/>
  <c r="N99" i="11" s="1"/>
  <c r="L98" i="11"/>
  <c r="N98" i="11" s="1"/>
  <c r="L97" i="11"/>
  <c r="Q97" i="11" s="1"/>
  <c r="L96" i="11"/>
  <c r="Q96" i="11" s="1"/>
  <c r="L95" i="11"/>
  <c r="N95" i="11" s="1"/>
  <c r="L94" i="11"/>
  <c r="AB94" i="11" s="1"/>
  <c r="L93" i="11"/>
  <c r="AB93" i="11" s="1"/>
  <c r="L92" i="11"/>
  <c r="N92" i="11" s="1"/>
  <c r="L91" i="11"/>
  <c r="Q91" i="11" s="1"/>
  <c r="L90" i="11"/>
  <c r="AB90" i="11" s="1"/>
  <c r="L89" i="11"/>
  <c r="N89" i="11" s="1"/>
  <c r="L88" i="11"/>
  <c r="Q88" i="11" s="1"/>
  <c r="L87" i="11"/>
  <c r="Q87" i="11" s="1"/>
  <c r="L86" i="11"/>
  <c r="N86" i="11" s="1"/>
  <c r="L85" i="11"/>
  <c r="Q85" i="11" s="1"/>
  <c r="L84" i="11"/>
  <c r="Q84" i="11" s="1"/>
  <c r="L83" i="11"/>
  <c r="N83" i="11" s="1"/>
  <c r="L82" i="11"/>
  <c r="AB82" i="11" s="1"/>
  <c r="L81" i="11"/>
  <c r="AB81" i="11" s="1"/>
  <c r="L80" i="11"/>
  <c r="N80" i="11" s="1"/>
  <c r="L79" i="11"/>
  <c r="Q79" i="11" s="1"/>
  <c r="L78" i="11"/>
  <c r="AB78" i="11" s="1"/>
  <c r="L77" i="11"/>
  <c r="N77" i="11" s="1"/>
  <c r="L76" i="11"/>
  <c r="Q76" i="11" s="1"/>
  <c r="L75" i="11"/>
  <c r="N75" i="11" s="1"/>
  <c r="L74" i="11"/>
  <c r="N74" i="11" s="1"/>
  <c r="L73" i="11"/>
  <c r="AB73" i="11" s="1"/>
  <c r="L72" i="11"/>
  <c r="Q72" i="11" s="1"/>
  <c r="L71" i="11"/>
  <c r="N71" i="11" s="1"/>
  <c r="L70" i="11"/>
  <c r="AB70" i="11" s="1"/>
  <c r="L69" i="11"/>
  <c r="AB69" i="11" s="1"/>
  <c r="L68" i="11"/>
  <c r="N68" i="11" s="1"/>
  <c r="L67" i="11"/>
  <c r="Q67" i="11" s="1"/>
  <c r="L66" i="11"/>
  <c r="AB66" i="11" s="1"/>
  <c r="L65" i="11"/>
  <c r="N65" i="11" s="1"/>
  <c r="L64" i="11"/>
  <c r="Q64" i="11" s="1"/>
  <c r="L63" i="11"/>
  <c r="N63" i="11" s="1"/>
  <c r="L62" i="11"/>
  <c r="N62" i="11" s="1"/>
  <c r="L61" i="11"/>
  <c r="Q61" i="11" s="1"/>
  <c r="L60" i="11"/>
  <c r="Q60" i="11" s="1"/>
  <c r="L59" i="11"/>
  <c r="N59" i="11" s="1"/>
  <c r="L58" i="11"/>
  <c r="AB58" i="11" s="1"/>
  <c r="L57" i="11"/>
  <c r="AB57" i="11" s="1"/>
  <c r="L56" i="11"/>
  <c r="N56" i="11" s="1"/>
  <c r="L55" i="11"/>
  <c r="Q55" i="11" s="1"/>
  <c r="L54" i="11"/>
  <c r="AB54" i="11" s="1"/>
  <c r="L53" i="11"/>
  <c r="N53" i="11" s="1"/>
  <c r="L52" i="11"/>
  <c r="Q52" i="11" s="1"/>
  <c r="L51" i="11"/>
  <c r="Q51" i="11" s="1"/>
  <c r="L50" i="11"/>
  <c r="N50" i="11" s="1"/>
  <c r="L49" i="11"/>
  <c r="AB49" i="11" s="1"/>
  <c r="L48" i="11"/>
  <c r="Q48" i="11" s="1"/>
  <c r="L47" i="11"/>
  <c r="N47" i="11" s="1"/>
  <c r="L46" i="11"/>
  <c r="AB46" i="11" s="1"/>
  <c r="L45" i="11"/>
  <c r="AB45" i="11" s="1"/>
  <c r="L44" i="11"/>
  <c r="N44" i="11" s="1"/>
  <c r="L43" i="11"/>
  <c r="Q43" i="11" s="1"/>
  <c r="L42" i="11"/>
  <c r="AB42" i="11" s="1"/>
  <c r="L41" i="11"/>
  <c r="N41" i="11" s="1"/>
  <c r="L40" i="11"/>
  <c r="Q40" i="11" s="1"/>
  <c r="L39" i="11"/>
  <c r="N39" i="11" s="1"/>
  <c r="L38" i="11"/>
  <c r="N38" i="11" s="1"/>
  <c r="L37" i="11"/>
  <c r="Q37" i="11" s="1"/>
  <c r="L36" i="11"/>
  <c r="Q36" i="11" s="1"/>
  <c r="L35" i="11"/>
  <c r="N35" i="11" s="1"/>
  <c r="L34" i="11"/>
  <c r="AB34" i="11" s="1"/>
  <c r="L33" i="11"/>
  <c r="AB33" i="11" s="1"/>
  <c r="L32" i="11"/>
  <c r="N32" i="11" s="1"/>
  <c r="L31" i="11"/>
  <c r="Q31" i="11" s="1"/>
  <c r="L30" i="11"/>
  <c r="AB30" i="11" s="1"/>
  <c r="L29" i="11"/>
  <c r="N29" i="11" s="1"/>
  <c r="L28" i="11"/>
  <c r="Q28" i="11" s="1"/>
  <c r="L27" i="11"/>
  <c r="N27" i="11" s="1"/>
  <c r="L26" i="11"/>
  <c r="N26" i="11" s="1"/>
  <c r="L25" i="11"/>
  <c r="Q25" i="11" s="1"/>
  <c r="L24" i="11"/>
  <c r="Q24" i="11" s="1"/>
  <c r="L23" i="11"/>
  <c r="N23" i="11" s="1"/>
  <c r="L22" i="11"/>
  <c r="AB22" i="11" s="1"/>
  <c r="L21" i="11"/>
  <c r="AB21" i="11" s="1"/>
  <c r="L20" i="11"/>
  <c r="N20" i="11" s="1"/>
  <c r="L19" i="11"/>
  <c r="Q19" i="11" s="1"/>
  <c r="L18" i="11"/>
  <c r="AB18" i="11" s="1"/>
  <c r="L17" i="11"/>
  <c r="N17" i="11" s="1"/>
  <c r="L16" i="11"/>
  <c r="Q16" i="11" s="1"/>
  <c r="L15" i="11"/>
  <c r="N15" i="11" s="1"/>
  <c r="L14" i="11"/>
  <c r="N14" i="11" s="1"/>
  <c r="L13" i="11"/>
  <c r="AB13" i="11" s="1"/>
  <c r="L12" i="11"/>
  <c r="Q12" i="11" s="1"/>
  <c r="L11" i="11"/>
  <c r="N11" i="11" s="1"/>
  <c r="L10" i="11"/>
  <c r="AB10" i="11" s="1"/>
  <c r="L9" i="11"/>
  <c r="AB9" i="11" s="1"/>
  <c r="L8" i="11"/>
  <c r="N8" i="11" s="1"/>
  <c r="L7" i="11"/>
  <c r="Q7" i="11" s="1"/>
  <c r="L6" i="11"/>
  <c r="AB6" i="11" s="1"/>
  <c r="L5" i="11"/>
  <c r="N5" i="11" s="1"/>
  <c r="L4" i="11"/>
  <c r="Q4" i="11" s="1"/>
  <c r="L3" i="11"/>
  <c r="L2" i="11"/>
  <c r="N2" i="11" s="1"/>
  <c r="W184" i="12" l="1"/>
  <c r="U184" i="12"/>
  <c r="V184" i="12"/>
  <c r="S188" i="12"/>
  <c r="X188" i="12" s="1"/>
  <c r="L181" i="11"/>
  <c r="Q5" i="11"/>
  <c r="N6" i="11"/>
  <c r="O20" i="11"/>
  <c r="Q32" i="11"/>
  <c r="N45" i="11"/>
  <c r="O59" i="11"/>
  <c r="Q71" i="11"/>
  <c r="N84" i="11"/>
  <c r="O98" i="11"/>
  <c r="Q110" i="11"/>
  <c r="O125" i="11"/>
  <c r="Q137" i="11"/>
  <c r="N150" i="11"/>
  <c r="O164" i="11"/>
  <c r="Q176" i="11"/>
  <c r="AB50" i="11"/>
  <c r="AB122" i="11"/>
  <c r="Q181" i="11"/>
  <c r="Q8" i="11"/>
  <c r="N21" i="11"/>
  <c r="O35" i="11"/>
  <c r="Q47" i="11"/>
  <c r="N60" i="11"/>
  <c r="O74" i="11"/>
  <c r="Q86" i="11"/>
  <c r="O101" i="11"/>
  <c r="Q113" i="11"/>
  <c r="N126" i="11"/>
  <c r="O140" i="11"/>
  <c r="Q152" i="11"/>
  <c r="N165" i="11"/>
  <c r="O179" i="11"/>
  <c r="AB62" i="11"/>
  <c r="AB134" i="11"/>
  <c r="N9" i="11"/>
  <c r="O23" i="11"/>
  <c r="Q35" i="11"/>
  <c r="N48" i="11"/>
  <c r="O62" i="11"/>
  <c r="Q74" i="11"/>
  <c r="O89" i="11"/>
  <c r="Q101" i="11"/>
  <c r="N114" i="11"/>
  <c r="O128" i="11"/>
  <c r="Q140" i="11"/>
  <c r="N153" i="11"/>
  <c r="O167" i="11"/>
  <c r="Q179" i="11"/>
  <c r="AB71" i="11"/>
  <c r="AB143" i="11"/>
  <c r="Q125" i="11"/>
  <c r="O11" i="11"/>
  <c r="Q23" i="11"/>
  <c r="N36" i="11"/>
  <c r="O50" i="11"/>
  <c r="Q62" i="11"/>
  <c r="O77" i="11"/>
  <c r="Q89" i="11"/>
  <c r="N102" i="11"/>
  <c r="O116" i="11"/>
  <c r="Q128" i="11"/>
  <c r="N141" i="11"/>
  <c r="O155" i="11"/>
  <c r="Q167" i="11"/>
  <c r="AB2" i="11"/>
  <c r="AB74" i="11"/>
  <c r="AB146" i="11"/>
  <c r="P181" i="11"/>
  <c r="Q11" i="11"/>
  <c r="N24" i="11"/>
  <c r="O38" i="11"/>
  <c r="Q50" i="11"/>
  <c r="O65" i="11"/>
  <c r="Q77" i="11"/>
  <c r="N90" i="11"/>
  <c r="O104" i="11"/>
  <c r="Q116" i="11"/>
  <c r="N129" i="11"/>
  <c r="O143" i="11"/>
  <c r="Q155" i="11"/>
  <c r="N168" i="11"/>
  <c r="AB11" i="11"/>
  <c r="AB83" i="11"/>
  <c r="AB155" i="11"/>
  <c r="N12" i="11"/>
  <c r="O26" i="11"/>
  <c r="Q38" i="11"/>
  <c r="O53" i="11"/>
  <c r="Q65" i="11"/>
  <c r="N78" i="11"/>
  <c r="O92" i="11"/>
  <c r="Q104" i="11"/>
  <c r="N117" i="11"/>
  <c r="O131" i="11"/>
  <c r="Q143" i="11"/>
  <c r="N156" i="11"/>
  <c r="O170" i="11"/>
  <c r="AB14" i="11"/>
  <c r="AB86" i="11"/>
  <c r="AB158" i="11"/>
  <c r="O14" i="11"/>
  <c r="Q26" i="11"/>
  <c r="O41" i="11"/>
  <c r="Q53" i="11"/>
  <c r="N66" i="11"/>
  <c r="O80" i="11"/>
  <c r="Q92" i="11"/>
  <c r="N105" i="11"/>
  <c r="O119" i="11"/>
  <c r="Q131" i="11"/>
  <c r="N144" i="11"/>
  <c r="O158" i="11"/>
  <c r="Q170" i="11"/>
  <c r="AB23" i="11"/>
  <c r="AB95" i="11"/>
  <c r="AB167" i="11"/>
  <c r="O2" i="11"/>
  <c r="Q14" i="11"/>
  <c r="O29" i="11"/>
  <c r="Q41" i="11"/>
  <c r="N54" i="11"/>
  <c r="O68" i="11"/>
  <c r="Q80" i="11"/>
  <c r="N93" i="11"/>
  <c r="O107" i="11"/>
  <c r="Q119" i="11"/>
  <c r="N132" i="11"/>
  <c r="O146" i="11"/>
  <c r="Q158" i="11"/>
  <c r="O173" i="11"/>
  <c r="AB26" i="11"/>
  <c r="AB98" i="11"/>
  <c r="AB170" i="11"/>
  <c r="Q2" i="11"/>
  <c r="O17" i="11"/>
  <c r="Q29" i="11"/>
  <c r="N42" i="11"/>
  <c r="O56" i="11"/>
  <c r="Q68" i="11"/>
  <c r="N81" i="11"/>
  <c r="O95" i="11"/>
  <c r="Q107" i="11"/>
  <c r="N120" i="11"/>
  <c r="O134" i="11"/>
  <c r="Q146" i="11"/>
  <c r="O161" i="11"/>
  <c r="Q173" i="11"/>
  <c r="AB35" i="11"/>
  <c r="AB107" i="11"/>
  <c r="AB179" i="11"/>
  <c r="O5" i="11"/>
  <c r="Q17" i="11"/>
  <c r="N30" i="11"/>
  <c r="O44" i="11"/>
  <c r="Q56" i="11"/>
  <c r="N69" i="11"/>
  <c r="O83" i="11"/>
  <c r="Q95" i="11"/>
  <c r="N108" i="11"/>
  <c r="O122" i="11"/>
  <c r="Q134" i="11"/>
  <c r="O149" i="11"/>
  <c r="Q161" i="11"/>
  <c r="N174" i="11"/>
  <c r="AB38" i="11"/>
  <c r="AB110" i="11"/>
  <c r="O32" i="11"/>
  <c r="Q44" i="11"/>
  <c r="N57" i="11"/>
  <c r="O71" i="11"/>
  <c r="Q83" i="11"/>
  <c r="N96" i="11"/>
  <c r="O110" i="11"/>
  <c r="Q122" i="11"/>
  <c r="O137" i="11"/>
  <c r="Q149" i="11"/>
  <c r="N162" i="11"/>
  <c r="O176" i="11"/>
  <c r="AB47" i="11"/>
  <c r="AB119" i="11"/>
  <c r="AB181" i="11"/>
  <c r="N181" i="11"/>
  <c r="O181" i="11"/>
  <c r="P2" i="11"/>
  <c r="P5" i="11"/>
  <c r="P8" i="11"/>
  <c r="P11" i="11"/>
  <c r="P14" i="11"/>
  <c r="P17" i="11"/>
  <c r="P20" i="11"/>
  <c r="P23" i="11"/>
  <c r="P26" i="11"/>
  <c r="P29" i="11"/>
  <c r="P32" i="11"/>
  <c r="P35" i="11"/>
  <c r="P38" i="11"/>
  <c r="P41" i="11"/>
  <c r="P44" i="11"/>
  <c r="P47" i="11"/>
  <c r="P50" i="11"/>
  <c r="P53" i="11"/>
  <c r="P56" i="11"/>
  <c r="P59" i="11"/>
  <c r="P62" i="11"/>
  <c r="P65" i="11"/>
  <c r="P68" i="11"/>
  <c r="P71" i="11"/>
  <c r="P74" i="11"/>
  <c r="P77" i="11"/>
  <c r="P80" i="11"/>
  <c r="P83" i="11"/>
  <c r="P86" i="11"/>
  <c r="P89" i="11"/>
  <c r="P92" i="11"/>
  <c r="P95" i="11"/>
  <c r="P98" i="11"/>
  <c r="P101" i="11"/>
  <c r="P104" i="11"/>
  <c r="P107" i="11"/>
  <c r="P110" i="11"/>
  <c r="P113" i="11"/>
  <c r="P116" i="11"/>
  <c r="P119" i="11"/>
  <c r="P122" i="11"/>
  <c r="P125" i="11"/>
  <c r="P128" i="11"/>
  <c r="P131" i="11"/>
  <c r="P134" i="11"/>
  <c r="P137" i="11"/>
  <c r="P140" i="11"/>
  <c r="P143" i="11"/>
  <c r="P146" i="11"/>
  <c r="P149" i="11"/>
  <c r="P152" i="11"/>
  <c r="P155" i="11"/>
  <c r="P158" i="11"/>
  <c r="P161" i="11"/>
  <c r="P164" i="11"/>
  <c r="P167" i="11"/>
  <c r="P170" i="11"/>
  <c r="P173" i="11"/>
  <c r="P176" i="11"/>
  <c r="P179" i="11"/>
  <c r="AB12" i="11"/>
  <c r="AB24" i="11"/>
  <c r="AB36" i="11"/>
  <c r="AB48" i="11"/>
  <c r="AB60" i="11"/>
  <c r="AB72" i="11"/>
  <c r="AB84" i="11"/>
  <c r="AB96" i="11"/>
  <c r="AB108" i="11"/>
  <c r="AB120" i="11"/>
  <c r="AB132" i="11"/>
  <c r="AB144" i="11"/>
  <c r="AB156" i="11"/>
  <c r="AB168" i="11"/>
  <c r="AB121" i="11"/>
  <c r="N51" i="11"/>
  <c r="O3" i="11"/>
  <c r="O6" i="11"/>
  <c r="O9" i="11"/>
  <c r="O12" i="11"/>
  <c r="O15" i="11"/>
  <c r="O18" i="11"/>
  <c r="O21" i="11"/>
  <c r="O24" i="11"/>
  <c r="O27" i="11"/>
  <c r="O30" i="11"/>
  <c r="O33" i="11"/>
  <c r="O36" i="11"/>
  <c r="O39" i="11"/>
  <c r="O42" i="11"/>
  <c r="O45" i="11"/>
  <c r="O48" i="11"/>
  <c r="O51" i="11"/>
  <c r="O54" i="11"/>
  <c r="O57" i="11"/>
  <c r="O60" i="11"/>
  <c r="O63" i="11"/>
  <c r="O66" i="11"/>
  <c r="O69" i="11"/>
  <c r="O72" i="11"/>
  <c r="O75" i="11"/>
  <c r="O78" i="11"/>
  <c r="O81" i="11"/>
  <c r="O84" i="11"/>
  <c r="O87" i="11"/>
  <c r="O90" i="11"/>
  <c r="O93" i="11"/>
  <c r="O96" i="11"/>
  <c r="O99" i="11"/>
  <c r="O102" i="11"/>
  <c r="O105" i="11"/>
  <c r="O108" i="11"/>
  <c r="O111" i="11"/>
  <c r="O114" i="11"/>
  <c r="O117" i="11"/>
  <c r="O120" i="11"/>
  <c r="O123" i="11"/>
  <c r="O126" i="11"/>
  <c r="O129" i="11"/>
  <c r="O132" i="11"/>
  <c r="O135" i="11"/>
  <c r="O138" i="11"/>
  <c r="O141" i="11"/>
  <c r="O144" i="11"/>
  <c r="O147" i="11"/>
  <c r="O150" i="11"/>
  <c r="O153" i="11"/>
  <c r="O156" i="11"/>
  <c r="O159" i="11"/>
  <c r="O162" i="11"/>
  <c r="O165" i="11"/>
  <c r="O168" i="11"/>
  <c r="O171" i="11"/>
  <c r="O174" i="11"/>
  <c r="O177" i="11"/>
  <c r="AB3" i="11"/>
  <c r="AB15" i="11"/>
  <c r="AB27" i="11"/>
  <c r="AB39" i="11"/>
  <c r="AB51" i="11"/>
  <c r="AB63" i="11"/>
  <c r="AB75" i="11"/>
  <c r="AB87" i="11"/>
  <c r="AB99" i="11"/>
  <c r="AB111" i="11"/>
  <c r="AB123" i="11"/>
  <c r="AB135" i="11"/>
  <c r="AB147" i="11"/>
  <c r="AB159" i="11"/>
  <c r="AB171" i="11"/>
  <c r="AB109" i="11"/>
  <c r="N87" i="11"/>
  <c r="N171" i="11"/>
  <c r="P3" i="11"/>
  <c r="P6" i="11"/>
  <c r="P9" i="11"/>
  <c r="P12" i="11"/>
  <c r="P15" i="11"/>
  <c r="P18" i="11"/>
  <c r="P21" i="11"/>
  <c r="P24" i="11"/>
  <c r="P27" i="11"/>
  <c r="P30" i="11"/>
  <c r="P33" i="11"/>
  <c r="P36" i="11"/>
  <c r="P39" i="11"/>
  <c r="P42" i="11"/>
  <c r="P45" i="11"/>
  <c r="P48" i="11"/>
  <c r="P51" i="11"/>
  <c r="P54" i="11"/>
  <c r="P57" i="11"/>
  <c r="P60" i="11"/>
  <c r="P63" i="11"/>
  <c r="P66" i="11"/>
  <c r="P69" i="11"/>
  <c r="P72" i="11"/>
  <c r="P75" i="11"/>
  <c r="P78" i="11"/>
  <c r="P81" i="11"/>
  <c r="P84" i="11"/>
  <c r="P87" i="11"/>
  <c r="P90" i="11"/>
  <c r="P93" i="11"/>
  <c r="P96" i="11"/>
  <c r="P99" i="11"/>
  <c r="P102" i="11"/>
  <c r="P105" i="11"/>
  <c r="P108" i="11"/>
  <c r="P111" i="11"/>
  <c r="P114" i="11"/>
  <c r="P117" i="11"/>
  <c r="P120" i="11"/>
  <c r="P123" i="11"/>
  <c r="P126" i="11"/>
  <c r="P129" i="11"/>
  <c r="P132" i="11"/>
  <c r="P135" i="11"/>
  <c r="P138" i="11"/>
  <c r="P141" i="11"/>
  <c r="P144" i="11"/>
  <c r="P147" i="11"/>
  <c r="P150" i="11"/>
  <c r="P153" i="11"/>
  <c r="P156" i="11"/>
  <c r="P159" i="11"/>
  <c r="P162" i="11"/>
  <c r="P165" i="11"/>
  <c r="P168" i="11"/>
  <c r="P171" i="11"/>
  <c r="P174" i="11"/>
  <c r="P177" i="11"/>
  <c r="AB4" i="11"/>
  <c r="AB16" i="11"/>
  <c r="AB28" i="11"/>
  <c r="AB40" i="11"/>
  <c r="AB52" i="11"/>
  <c r="AB64" i="11"/>
  <c r="AB76" i="11"/>
  <c r="AB88" i="11"/>
  <c r="AB100" i="11"/>
  <c r="AB112" i="11"/>
  <c r="AB124" i="11"/>
  <c r="AB136" i="11"/>
  <c r="AB148" i="11"/>
  <c r="AB160" i="11"/>
  <c r="AB172" i="11"/>
  <c r="AB145" i="11"/>
  <c r="N3" i="11"/>
  <c r="N111" i="11"/>
  <c r="N159" i="11"/>
  <c r="Q3" i="11"/>
  <c r="Q6" i="11"/>
  <c r="Q9" i="11"/>
  <c r="Q15" i="11"/>
  <c r="Q18" i="11"/>
  <c r="Q21" i="11"/>
  <c r="Q27" i="11"/>
  <c r="Q30" i="11"/>
  <c r="Q33" i="11"/>
  <c r="Q39" i="11"/>
  <c r="Q42" i="11"/>
  <c r="Q45" i="11"/>
  <c r="Q54" i="11"/>
  <c r="Q57" i="11"/>
  <c r="Q63" i="11"/>
  <c r="Q66" i="11"/>
  <c r="Q69" i="11"/>
  <c r="Q75" i="11"/>
  <c r="Q78" i="11"/>
  <c r="Q81" i="11"/>
  <c r="Q90" i="11"/>
  <c r="Q93" i="11"/>
  <c r="Q99" i="11"/>
  <c r="Q102" i="11"/>
  <c r="Q105" i="11"/>
  <c r="Q114" i="11"/>
  <c r="Q117" i="11"/>
  <c r="Q123" i="11"/>
  <c r="Q126" i="11"/>
  <c r="Q129" i="11"/>
  <c r="Q135" i="11"/>
  <c r="Q138" i="11"/>
  <c r="Q141" i="11"/>
  <c r="Q147" i="11"/>
  <c r="Q150" i="11"/>
  <c r="Q153" i="11"/>
  <c r="Q162" i="11"/>
  <c r="Q165" i="11"/>
  <c r="Q174" i="11"/>
  <c r="Q177" i="11"/>
  <c r="AB5" i="11"/>
  <c r="AB17" i="11"/>
  <c r="AB29" i="11"/>
  <c r="AB41" i="11"/>
  <c r="AB53" i="11"/>
  <c r="AB65" i="11"/>
  <c r="AB77" i="11"/>
  <c r="AB89" i="11"/>
  <c r="AB101" i="11"/>
  <c r="AB113" i="11"/>
  <c r="AB125" i="11"/>
  <c r="AB137" i="11"/>
  <c r="AB149" i="11"/>
  <c r="AB161" i="11"/>
  <c r="AB173" i="11"/>
  <c r="AB37" i="11"/>
  <c r="AB97" i="11"/>
  <c r="N4" i="11"/>
  <c r="N7" i="11"/>
  <c r="N10" i="11"/>
  <c r="N13" i="11"/>
  <c r="N16" i="11"/>
  <c r="N19" i="11"/>
  <c r="N22" i="11"/>
  <c r="N25" i="11"/>
  <c r="N28" i="11"/>
  <c r="N31" i="11"/>
  <c r="N34" i="11"/>
  <c r="N37" i="11"/>
  <c r="N40" i="11"/>
  <c r="N43" i="11"/>
  <c r="N46" i="11"/>
  <c r="N49" i="11"/>
  <c r="N52" i="11"/>
  <c r="N55" i="11"/>
  <c r="N58" i="11"/>
  <c r="N61" i="11"/>
  <c r="N64" i="11"/>
  <c r="N67" i="11"/>
  <c r="N70" i="11"/>
  <c r="N73" i="11"/>
  <c r="N76" i="11"/>
  <c r="N79" i="11"/>
  <c r="N82" i="11"/>
  <c r="N85" i="11"/>
  <c r="N88" i="11"/>
  <c r="N91" i="11"/>
  <c r="N94" i="11"/>
  <c r="N97" i="11"/>
  <c r="N100" i="11"/>
  <c r="N103" i="11"/>
  <c r="N106" i="11"/>
  <c r="N109" i="11"/>
  <c r="N112" i="11"/>
  <c r="N115" i="11"/>
  <c r="N118" i="11"/>
  <c r="N121" i="11"/>
  <c r="N124" i="11"/>
  <c r="N127" i="11"/>
  <c r="N130" i="11"/>
  <c r="N133" i="11"/>
  <c r="N136" i="11"/>
  <c r="N139" i="11"/>
  <c r="N142" i="11"/>
  <c r="N145" i="11"/>
  <c r="N148" i="11"/>
  <c r="N151" i="11"/>
  <c r="N154" i="11"/>
  <c r="N157" i="11"/>
  <c r="N160" i="11"/>
  <c r="N163" i="11"/>
  <c r="N166" i="11"/>
  <c r="N169" i="11"/>
  <c r="N172" i="11"/>
  <c r="N175" i="11"/>
  <c r="N178" i="11"/>
  <c r="AB169" i="11"/>
  <c r="O4" i="11"/>
  <c r="O7" i="11"/>
  <c r="O10" i="11"/>
  <c r="O13" i="11"/>
  <c r="O16" i="11"/>
  <c r="O19" i="11"/>
  <c r="O22" i="11"/>
  <c r="O25" i="11"/>
  <c r="O28" i="11"/>
  <c r="O31" i="11"/>
  <c r="O34" i="11"/>
  <c r="O37" i="11"/>
  <c r="O40" i="11"/>
  <c r="O43" i="11"/>
  <c r="O46" i="11"/>
  <c r="O49" i="11"/>
  <c r="O52" i="11"/>
  <c r="O55" i="11"/>
  <c r="O58" i="11"/>
  <c r="O61" i="11"/>
  <c r="O64" i="11"/>
  <c r="O67" i="11"/>
  <c r="O70" i="11"/>
  <c r="O73" i="11"/>
  <c r="O76" i="11"/>
  <c r="O79" i="11"/>
  <c r="O82" i="11"/>
  <c r="O85" i="11"/>
  <c r="O88" i="11"/>
  <c r="O91" i="11"/>
  <c r="O94" i="11"/>
  <c r="O97" i="11"/>
  <c r="O100" i="11"/>
  <c r="O103" i="11"/>
  <c r="O106" i="11"/>
  <c r="O109" i="11"/>
  <c r="O112" i="11"/>
  <c r="O115" i="11"/>
  <c r="O118" i="11"/>
  <c r="O121" i="11"/>
  <c r="O124" i="11"/>
  <c r="O127" i="11"/>
  <c r="O130" i="11"/>
  <c r="O133" i="11"/>
  <c r="O136" i="11"/>
  <c r="O139" i="11"/>
  <c r="O142" i="11"/>
  <c r="O145" i="11"/>
  <c r="O148" i="11"/>
  <c r="O151" i="11"/>
  <c r="O154" i="11"/>
  <c r="O157" i="11"/>
  <c r="O160" i="11"/>
  <c r="O163" i="11"/>
  <c r="O166" i="11"/>
  <c r="O169" i="11"/>
  <c r="O172" i="11"/>
  <c r="O175" i="11"/>
  <c r="O178" i="11"/>
  <c r="AB7" i="11"/>
  <c r="AB19" i="11"/>
  <c r="AB31" i="11"/>
  <c r="AB43" i="11"/>
  <c r="AB55" i="11"/>
  <c r="AB67" i="11"/>
  <c r="AB79" i="11"/>
  <c r="AB91" i="11"/>
  <c r="AB103" i="11"/>
  <c r="AB115" i="11"/>
  <c r="AB127" i="11"/>
  <c r="AB139" i="11"/>
  <c r="AB151" i="11"/>
  <c r="AB163" i="11"/>
  <c r="AB175" i="11"/>
  <c r="AB133" i="11"/>
  <c r="P4" i="11"/>
  <c r="P7" i="11"/>
  <c r="P10" i="11"/>
  <c r="P13" i="11"/>
  <c r="P16" i="11"/>
  <c r="P19" i="11"/>
  <c r="P22" i="11"/>
  <c r="P25" i="11"/>
  <c r="P28" i="11"/>
  <c r="P31" i="11"/>
  <c r="P34" i="11"/>
  <c r="P37" i="11"/>
  <c r="P40" i="11"/>
  <c r="P43" i="11"/>
  <c r="P46" i="11"/>
  <c r="P49" i="11"/>
  <c r="P52" i="11"/>
  <c r="P55" i="11"/>
  <c r="P58" i="11"/>
  <c r="P61" i="11"/>
  <c r="P64" i="11"/>
  <c r="P67" i="11"/>
  <c r="P70" i="11"/>
  <c r="P73" i="11"/>
  <c r="P76" i="11"/>
  <c r="P79" i="11"/>
  <c r="P82" i="11"/>
  <c r="P85" i="11"/>
  <c r="P88" i="11"/>
  <c r="P91" i="11"/>
  <c r="P94" i="11"/>
  <c r="P97" i="11"/>
  <c r="P100" i="11"/>
  <c r="P103" i="11"/>
  <c r="P106" i="11"/>
  <c r="P109" i="11"/>
  <c r="P112" i="11"/>
  <c r="P115" i="11"/>
  <c r="P118" i="11"/>
  <c r="P121" i="11"/>
  <c r="P124" i="11"/>
  <c r="P127" i="11"/>
  <c r="P130" i="11"/>
  <c r="P133" i="11"/>
  <c r="P136" i="11"/>
  <c r="P139" i="11"/>
  <c r="P142" i="11"/>
  <c r="P145" i="11"/>
  <c r="P148" i="11"/>
  <c r="P151" i="11"/>
  <c r="P154" i="11"/>
  <c r="P157" i="11"/>
  <c r="P160" i="11"/>
  <c r="P163" i="11"/>
  <c r="P166" i="11"/>
  <c r="P169" i="11"/>
  <c r="P172" i="11"/>
  <c r="P175" i="11"/>
  <c r="P178" i="11"/>
  <c r="AB8" i="11"/>
  <c r="AB20" i="11"/>
  <c r="AB32" i="11"/>
  <c r="AB44" i="11"/>
  <c r="AB56" i="11"/>
  <c r="AB68" i="11"/>
  <c r="AB80" i="11"/>
  <c r="AB92" i="11"/>
  <c r="AB104" i="11"/>
  <c r="AB116" i="11"/>
  <c r="AB128" i="11"/>
  <c r="AB140" i="11"/>
  <c r="AB152" i="11"/>
  <c r="AB164" i="11"/>
  <c r="AB176" i="11"/>
  <c r="AB25" i="11"/>
  <c r="AB61" i="11"/>
  <c r="AB85" i="11"/>
  <c r="Q10" i="11"/>
  <c r="Q13" i="11"/>
  <c r="Q22" i="11"/>
  <c r="Q34" i="11"/>
  <c r="Q46" i="11"/>
  <c r="Q49" i="11"/>
  <c r="Q58" i="11"/>
  <c r="Q70" i="11"/>
  <c r="Q73" i="11"/>
  <c r="Q82" i="11"/>
  <c r="Q94" i="11"/>
  <c r="Q106" i="11"/>
  <c r="Q118" i="11"/>
  <c r="Q130" i="11"/>
  <c r="Q142" i="11"/>
  <c r="Q154" i="11"/>
  <c r="Q157" i="11"/>
  <c r="Q166" i="11"/>
  <c r="Q178" i="11"/>
  <c r="T188" i="12"/>
  <c r="S54" i="12"/>
  <c r="X54" i="12" s="1"/>
  <c r="S89" i="12"/>
  <c r="X89" i="12" s="1"/>
  <c r="S95" i="12"/>
  <c r="X95" i="12" s="1"/>
  <c r="V180" i="12"/>
  <c r="W180" i="12"/>
  <c r="U180" i="12"/>
  <c r="S184" i="12"/>
  <c r="X184" i="12" s="1"/>
  <c r="S79" i="12"/>
  <c r="X79" i="12" s="1"/>
  <c r="S137" i="12"/>
  <c r="X137" i="12" s="1"/>
  <c r="S149" i="12"/>
  <c r="X149" i="12" s="1"/>
  <c r="S21" i="12"/>
  <c r="X21" i="12" s="1"/>
  <c r="S180" i="12"/>
  <c r="X180" i="12" s="1"/>
  <c r="S66" i="12"/>
  <c r="X66" i="12" s="1"/>
  <c r="S131" i="12"/>
  <c r="X131" i="12" s="1"/>
  <c r="S93" i="12"/>
  <c r="X93" i="12" s="1"/>
  <c r="S114" i="12"/>
  <c r="X114" i="12" s="1"/>
  <c r="S85" i="12"/>
  <c r="X85" i="12" s="1"/>
  <c r="S97" i="12"/>
  <c r="X97" i="12" s="1"/>
  <c r="S109" i="12"/>
  <c r="X109" i="12" s="1"/>
  <c r="S11" i="12"/>
  <c r="T11" i="12" s="1"/>
  <c r="S70" i="12"/>
  <c r="X70" i="12" s="1"/>
  <c r="S31" i="12"/>
  <c r="T31" i="12" s="1"/>
  <c r="S81" i="12"/>
  <c r="X81" i="12" s="1"/>
  <c r="S84" i="12"/>
  <c r="X84" i="12" s="1"/>
  <c r="S164" i="12"/>
  <c r="X164" i="12" s="1"/>
  <c r="S159" i="12"/>
  <c r="X159" i="12" s="1"/>
  <c r="S6" i="12"/>
  <c r="S37" i="12"/>
  <c r="X37" i="12" s="1"/>
  <c r="S113" i="12"/>
  <c r="X113" i="12" s="1"/>
  <c r="S56" i="12"/>
  <c r="X56" i="12" s="1"/>
  <c r="S68" i="12"/>
  <c r="X68" i="12" s="1"/>
  <c r="S92" i="12"/>
  <c r="X92" i="12" s="1"/>
  <c r="S148" i="12"/>
  <c r="X148" i="12" s="1"/>
  <c r="S5" i="12"/>
  <c r="X5" i="12" s="1"/>
  <c r="S186" i="12"/>
  <c r="X186" i="12" s="1"/>
  <c r="S30" i="12"/>
  <c r="X30" i="12" s="1"/>
  <c r="W79" i="12"/>
  <c r="S75" i="12"/>
  <c r="X75" i="12" s="1"/>
  <c r="S91" i="12"/>
  <c r="X91" i="12" s="1"/>
  <c r="S136" i="12"/>
  <c r="X136" i="12" s="1"/>
  <c r="S141" i="12"/>
  <c r="X141" i="12" s="1"/>
  <c r="S178" i="12"/>
  <c r="X178" i="12" s="1"/>
  <c r="S142" i="12"/>
  <c r="X142" i="12" s="1"/>
  <c r="U6" i="12"/>
  <c r="S14" i="12"/>
  <c r="X14" i="12" s="1"/>
  <c r="S103" i="12"/>
  <c r="X103" i="12" s="1"/>
  <c r="S87" i="12"/>
  <c r="X87" i="12" s="1"/>
  <c r="U97" i="12"/>
  <c r="S42" i="12"/>
  <c r="X42" i="12" s="1"/>
  <c r="S77" i="12"/>
  <c r="X77" i="12" s="1"/>
  <c r="U84" i="12"/>
  <c r="S115" i="12"/>
  <c r="X115" i="12" s="1"/>
  <c r="S120" i="12"/>
  <c r="X120" i="12" s="1"/>
  <c r="S183" i="12"/>
  <c r="X183" i="12" s="1"/>
  <c r="S52" i="12"/>
  <c r="X52" i="12" s="1"/>
  <c r="S58" i="12"/>
  <c r="X58" i="12" s="1"/>
  <c r="S64" i="12"/>
  <c r="X64" i="12" s="1"/>
  <c r="U87" i="12"/>
  <c r="S179" i="12"/>
  <c r="X179" i="12" s="1"/>
  <c r="U11" i="12"/>
  <c r="S18" i="12"/>
  <c r="X18" i="12" s="1"/>
  <c r="U30" i="12"/>
  <c r="S45" i="12"/>
  <c r="X45" i="12" s="1"/>
  <c r="S62" i="12"/>
  <c r="X62" i="12" s="1"/>
  <c r="S78" i="12"/>
  <c r="X78" i="12" s="1"/>
  <c r="U93" i="12"/>
  <c r="U186" i="12"/>
  <c r="S187" i="12"/>
  <c r="X187" i="12" s="1"/>
  <c r="S40" i="12"/>
  <c r="X40" i="12" s="1"/>
  <c r="S86" i="12"/>
  <c r="X86" i="12" s="1"/>
  <c r="S108" i="12"/>
  <c r="X108" i="12" s="1"/>
  <c r="U179" i="12"/>
  <c r="S143" i="12"/>
  <c r="X143" i="12" s="1"/>
  <c r="W149" i="12"/>
  <c r="S157" i="12"/>
  <c r="X157" i="12" s="1"/>
  <c r="S165" i="12"/>
  <c r="X165" i="12" s="1"/>
  <c r="U45" i="12"/>
  <c r="S80" i="12"/>
  <c r="X80" i="12" s="1"/>
  <c r="W178" i="12"/>
  <c r="S135" i="12"/>
  <c r="X135" i="12" s="1"/>
  <c r="U187" i="12"/>
  <c r="S171" i="12"/>
  <c r="X171" i="12" s="1"/>
  <c r="V18" i="12"/>
  <c r="S26" i="12"/>
  <c r="X26" i="12" s="1"/>
  <c r="U183" i="12"/>
  <c r="U52" i="12"/>
  <c r="U56" i="12"/>
  <c r="U62" i="12"/>
  <c r="U68" i="12"/>
  <c r="U78" i="12"/>
  <c r="U120" i="12"/>
  <c r="S15" i="12"/>
  <c r="T15" i="12" s="1"/>
  <c r="U58" i="12"/>
  <c r="U64" i="12"/>
  <c r="U70" i="12"/>
  <c r="W86" i="12"/>
  <c r="U92" i="12"/>
  <c r="S96" i="12"/>
  <c r="X96" i="12" s="1"/>
  <c r="S130" i="12"/>
  <c r="X130" i="12" s="1"/>
  <c r="W143" i="12"/>
  <c r="U148" i="12"/>
  <c r="S29" i="12"/>
  <c r="X29" i="12" s="1"/>
  <c r="U40" i="12"/>
  <c r="U77" i="12"/>
  <c r="U137" i="12"/>
  <c r="S49" i="12"/>
  <c r="X49" i="12" s="1"/>
  <c r="W92" i="12"/>
  <c r="U115" i="12"/>
  <c r="U131" i="12"/>
  <c r="U15" i="12"/>
  <c r="S55" i="12"/>
  <c r="X55" i="12" s="1"/>
  <c r="S61" i="12"/>
  <c r="X61" i="12" s="1"/>
  <c r="S67" i="12"/>
  <c r="X67" i="12" s="1"/>
  <c r="S73" i="12"/>
  <c r="X73" i="12" s="1"/>
  <c r="U85" i="12"/>
  <c r="W137" i="12"/>
  <c r="U142" i="12"/>
  <c r="S153" i="12"/>
  <c r="X153" i="12" s="1"/>
  <c r="S170" i="12"/>
  <c r="X170" i="12" s="1"/>
  <c r="U81" i="12"/>
  <c r="U109" i="12"/>
  <c r="S13" i="12"/>
  <c r="X13" i="12" s="1"/>
  <c r="U91" i="12"/>
  <c r="U21" i="12"/>
  <c r="S50" i="12"/>
  <c r="X50" i="12" s="1"/>
  <c r="U103" i="12"/>
  <c r="U136" i="12"/>
  <c r="T6" i="12"/>
  <c r="X6" i="12"/>
  <c r="U43" i="12"/>
  <c r="U107" i="12"/>
  <c r="W135" i="12"/>
  <c r="S10" i="12"/>
  <c r="X10" i="12" s="1"/>
  <c r="S60" i="12"/>
  <c r="X60" i="12" s="1"/>
  <c r="U53" i="12"/>
  <c r="S53" i="12"/>
  <c r="X53" i="12" s="1"/>
  <c r="U83" i="12"/>
  <c r="W90" i="12"/>
  <c r="S101" i="12"/>
  <c r="X101" i="12" s="1"/>
  <c r="U118" i="12"/>
  <c r="W147" i="12"/>
  <c r="S163" i="12"/>
  <c r="X163" i="12" s="1"/>
  <c r="W141" i="12"/>
  <c r="S4" i="12"/>
  <c r="X4" i="12" s="1"/>
  <c r="S9" i="12"/>
  <c r="X9" i="12" s="1"/>
  <c r="U24" i="12"/>
  <c r="S24" i="12"/>
  <c r="S20" i="12"/>
  <c r="X20" i="12" s="1"/>
  <c r="S36" i="12"/>
  <c r="X36" i="12" s="1"/>
  <c r="S39" i="12"/>
  <c r="X39" i="12" s="1"/>
  <c r="S43" i="12"/>
  <c r="X43" i="12" s="1"/>
  <c r="S90" i="12"/>
  <c r="X90" i="12" s="1"/>
  <c r="S107" i="12"/>
  <c r="X107" i="12" s="1"/>
  <c r="U124" i="12"/>
  <c r="S147" i="12"/>
  <c r="X147" i="12" s="1"/>
  <c r="W153" i="12"/>
  <c r="U14" i="12"/>
  <c r="W29" i="12"/>
  <c r="U48" i="12"/>
  <c r="U72" i="12"/>
  <c r="U74" i="12"/>
  <c r="S74" i="12"/>
  <c r="X74" i="12" s="1"/>
  <c r="U129" i="12"/>
  <c r="W158" i="12"/>
  <c r="U17" i="12"/>
  <c r="S17" i="12"/>
  <c r="X17" i="12" s="1"/>
  <c r="S3" i="12"/>
  <c r="W5" i="12"/>
  <c r="S8" i="12"/>
  <c r="S16" i="12"/>
  <c r="X16" i="12" s="1"/>
  <c r="S28" i="12"/>
  <c r="X28" i="12" s="1"/>
  <c r="U22" i="12"/>
  <c r="S22" i="12"/>
  <c r="S33" i="12"/>
  <c r="U41" i="12"/>
  <c r="S41" i="12"/>
  <c r="X41" i="12" s="1"/>
  <c r="T45" i="12"/>
  <c r="U59" i="12"/>
  <c r="S59" i="12"/>
  <c r="X59" i="12" s="1"/>
  <c r="S76" i="12"/>
  <c r="X76" i="12" s="1"/>
  <c r="S83" i="12"/>
  <c r="X83" i="12" s="1"/>
  <c r="W96" i="12"/>
  <c r="S118" i="12"/>
  <c r="X118" i="12" s="1"/>
  <c r="U134" i="12"/>
  <c r="S158" i="12"/>
  <c r="X158" i="12" s="1"/>
  <c r="U38" i="12"/>
  <c r="U182" i="12"/>
  <c r="S182" i="12"/>
  <c r="X182" i="12" s="1"/>
  <c r="W102" i="12"/>
  <c r="S124" i="12"/>
  <c r="X124" i="12" s="1"/>
  <c r="U140" i="12"/>
  <c r="U113" i="12"/>
  <c r="S7" i="12"/>
  <c r="X7" i="12" s="1"/>
  <c r="S23" i="12"/>
  <c r="X23" i="12" s="1"/>
  <c r="S19" i="12"/>
  <c r="X19" i="12" s="1"/>
  <c r="U35" i="12"/>
  <c r="S35" i="12"/>
  <c r="V36" i="12"/>
  <c r="S48" i="12"/>
  <c r="X48" i="12" s="1"/>
  <c r="U54" i="12"/>
  <c r="S72" i="12"/>
  <c r="X72" i="12" s="1"/>
  <c r="U89" i="12"/>
  <c r="S102" i="12"/>
  <c r="X102" i="12" s="1"/>
  <c r="W108" i="12"/>
  <c r="S129" i="12"/>
  <c r="X129" i="12" s="1"/>
  <c r="U146" i="12"/>
  <c r="S27" i="12"/>
  <c r="X27" i="12" s="1"/>
  <c r="U19" i="12"/>
  <c r="U65" i="12"/>
  <c r="S65" i="12"/>
  <c r="X65" i="12" s="1"/>
  <c r="W114" i="12"/>
  <c r="S134" i="12"/>
  <c r="X134" i="12" s="1"/>
  <c r="U152" i="12"/>
  <c r="U66" i="12"/>
  <c r="S177" i="12"/>
  <c r="X177" i="12" s="1"/>
  <c r="S12" i="12"/>
  <c r="X12" i="12" s="1"/>
  <c r="S32" i="12"/>
  <c r="X32" i="12" s="1"/>
  <c r="S38" i="12"/>
  <c r="X38" i="12" s="1"/>
  <c r="S44" i="12"/>
  <c r="U75" i="12"/>
  <c r="U82" i="12"/>
  <c r="S82" i="12"/>
  <c r="X82" i="12" s="1"/>
  <c r="W119" i="12"/>
  <c r="S140" i="12"/>
  <c r="X140" i="12" s="1"/>
  <c r="U157" i="12"/>
  <c r="U32" i="12"/>
  <c r="U60" i="12"/>
  <c r="U95" i="12"/>
  <c r="T95" i="12"/>
  <c r="S119" i="12"/>
  <c r="X119" i="12" s="1"/>
  <c r="W125" i="12"/>
  <c r="S146" i="12"/>
  <c r="X146" i="12" s="1"/>
  <c r="U23" i="12"/>
  <c r="S25" i="12"/>
  <c r="X25" i="12" s="1"/>
  <c r="S34" i="12"/>
  <c r="X34" i="12" s="1"/>
  <c r="U47" i="12"/>
  <c r="S47" i="12"/>
  <c r="X47" i="12" s="1"/>
  <c r="U71" i="12"/>
  <c r="S71" i="12"/>
  <c r="X71" i="12" s="1"/>
  <c r="U101" i="12"/>
  <c r="S125" i="12"/>
  <c r="X125" i="12" s="1"/>
  <c r="W130" i="12"/>
  <c r="S152" i="12"/>
  <c r="X152" i="12" s="1"/>
  <c r="S169" i="12"/>
  <c r="X169" i="12" s="1"/>
  <c r="S88" i="12"/>
  <c r="X88" i="12" s="1"/>
  <c r="S94" i="12"/>
  <c r="X94" i="12" s="1"/>
  <c r="S100" i="12"/>
  <c r="X100" i="12" s="1"/>
  <c r="S106" i="12"/>
  <c r="X106" i="12" s="1"/>
  <c r="S112" i="12"/>
  <c r="X112" i="12" s="1"/>
  <c r="S117" i="12"/>
  <c r="X117" i="12" s="1"/>
  <c r="S123" i="12"/>
  <c r="X123" i="12" s="1"/>
  <c r="S128" i="12"/>
  <c r="X128" i="12" s="1"/>
  <c r="S133" i="12"/>
  <c r="X133" i="12" s="1"/>
  <c r="S139" i="12"/>
  <c r="X139" i="12" s="1"/>
  <c r="S145" i="12"/>
  <c r="X145" i="12" s="1"/>
  <c r="S151" i="12"/>
  <c r="X151" i="12" s="1"/>
  <c r="S156" i="12"/>
  <c r="X156" i="12" s="1"/>
  <c r="S162" i="12"/>
  <c r="X162" i="12" s="1"/>
  <c r="S168" i="12"/>
  <c r="X168" i="12" s="1"/>
  <c r="S174" i="12"/>
  <c r="X174" i="12" s="1"/>
  <c r="S99" i="12"/>
  <c r="X99" i="12" s="1"/>
  <c r="S105" i="12"/>
  <c r="X105" i="12" s="1"/>
  <c r="S111" i="12"/>
  <c r="X111" i="12" s="1"/>
  <c r="S116" i="12"/>
  <c r="X116" i="12" s="1"/>
  <c r="S122" i="12"/>
  <c r="X122" i="12" s="1"/>
  <c r="S127" i="12"/>
  <c r="S132" i="12"/>
  <c r="S138" i="12"/>
  <c r="S144" i="12"/>
  <c r="S150" i="12"/>
  <c r="S155" i="12"/>
  <c r="X155" i="12" s="1"/>
  <c r="S161" i="12"/>
  <c r="X161" i="12" s="1"/>
  <c r="S167" i="12"/>
  <c r="X167" i="12" s="1"/>
  <c r="S173" i="12"/>
  <c r="X173" i="12" s="1"/>
  <c r="T93" i="12"/>
  <c r="S46" i="12"/>
  <c r="X46" i="12" s="1"/>
  <c r="S51" i="12"/>
  <c r="X51" i="12" s="1"/>
  <c r="S57" i="12"/>
  <c r="X57" i="12" s="1"/>
  <c r="S63" i="12"/>
  <c r="X63" i="12" s="1"/>
  <c r="S69" i="12"/>
  <c r="X69" i="12" s="1"/>
  <c r="S98" i="12"/>
  <c r="X98" i="12" s="1"/>
  <c r="S104" i="12"/>
  <c r="X104" i="12" s="1"/>
  <c r="S110" i="12"/>
  <c r="X110" i="12" s="1"/>
  <c r="S185" i="12"/>
  <c r="X185" i="12" s="1"/>
  <c r="S121" i="12"/>
  <c r="X121" i="12" s="1"/>
  <c r="S126" i="12"/>
  <c r="X126" i="12" s="1"/>
  <c r="S154" i="12"/>
  <c r="X154" i="12" s="1"/>
  <c r="S160" i="12"/>
  <c r="X160" i="12" s="1"/>
  <c r="S166" i="12"/>
  <c r="X166" i="12" s="1"/>
  <c r="S172" i="12"/>
  <c r="X172" i="12" s="1"/>
  <c r="S2" i="12"/>
  <c r="X2" i="12" s="1"/>
  <c r="T54" i="12" l="1"/>
  <c r="T143" i="12"/>
  <c r="T91" i="12"/>
  <c r="T184" i="12"/>
  <c r="T21" i="12"/>
  <c r="T137" i="12"/>
  <c r="T42" i="12"/>
  <c r="T66" i="12"/>
  <c r="T89" i="12"/>
  <c r="T79" i="12"/>
  <c r="T100" i="12"/>
  <c r="T149" i="12"/>
  <c r="X11" i="12"/>
  <c r="T187" i="12"/>
  <c r="T85" i="12"/>
  <c r="T77" i="12"/>
  <c r="T75" i="12"/>
  <c r="T141" i="12"/>
  <c r="T120" i="12"/>
  <c r="T113" i="12"/>
  <c r="T16" i="12"/>
  <c r="T131" i="12"/>
  <c r="T56" i="12"/>
  <c r="T80" i="12"/>
  <c r="T180" i="12"/>
  <c r="T70" i="12"/>
  <c r="T163" i="12"/>
  <c r="T64" i="12"/>
  <c r="X31" i="12"/>
  <c r="T61" i="12"/>
  <c r="T68" i="12"/>
  <c r="T14" i="12"/>
  <c r="T88" i="12"/>
  <c r="T5" i="12"/>
  <c r="T109" i="12"/>
  <c r="T60" i="12"/>
  <c r="T114" i="12"/>
  <c r="T136" i="12"/>
  <c r="T97" i="12"/>
  <c r="T37" i="12"/>
  <c r="T170" i="12"/>
  <c r="T115" i="12"/>
  <c r="T13" i="12"/>
  <c r="T108" i="12"/>
  <c r="T73" i="12"/>
  <c r="T103" i="12"/>
  <c r="T86" i="12"/>
  <c r="X15" i="12"/>
  <c r="T87" i="12"/>
  <c r="T84" i="12"/>
  <c r="T29" i="12"/>
  <c r="T81" i="12"/>
  <c r="T10" i="12"/>
  <c r="T30" i="12"/>
  <c r="T159" i="12"/>
  <c r="T164" i="12"/>
  <c r="T186" i="12"/>
  <c r="T135" i="12"/>
  <c r="T179" i="12"/>
  <c r="T4" i="12"/>
  <c r="T133" i="12"/>
  <c r="T63" i="12"/>
  <c r="T94" i="12"/>
  <c r="T161" i="12"/>
  <c r="T139" i="12"/>
  <c r="T96" i="12"/>
  <c r="T169" i="12"/>
  <c r="T130" i="12"/>
  <c r="T148" i="12"/>
  <c r="T151" i="12"/>
  <c r="T92" i="12"/>
  <c r="T58" i="12"/>
  <c r="T99" i="12"/>
  <c r="T145" i="12"/>
  <c r="T182" i="12"/>
  <c r="T52" i="12"/>
  <c r="T153" i="12"/>
  <c r="T26" i="12"/>
  <c r="T157" i="12"/>
  <c r="T178" i="12"/>
  <c r="T128" i="12"/>
  <c r="T101" i="12"/>
  <c r="T142" i="12"/>
  <c r="T162" i="12"/>
  <c r="T76" i="12"/>
  <c r="T116" i="12"/>
  <c r="T105" i="12"/>
  <c r="T62" i="12"/>
  <c r="T18" i="12"/>
  <c r="T183" i="12"/>
  <c r="T9" i="12"/>
  <c r="T122" i="12"/>
  <c r="T69" i="12"/>
  <c r="T134" i="12"/>
  <c r="T40" i="12"/>
  <c r="T165" i="12"/>
  <c r="T57" i="12"/>
  <c r="T168" i="12"/>
  <c r="T171" i="12"/>
  <c r="T49" i="12"/>
  <c r="T7" i="12"/>
  <c r="T74" i="12"/>
  <c r="T90" i="12"/>
  <c r="T67" i="12"/>
  <c r="T111" i="12"/>
  <c r="T146" i="12"/>
  <c r="T107" i="12"/>
  <c r="T55" i="12"/>
  <c r="T173" i="12"/>
  <c r="T125" i="12"/>
  <c r="T72" i="12"/>
  <c r="T167" i="12"/>
  <c r="T78" i="12"/>
  <c r="T50" i="12"/>
  <c r="T166" i="12"/>
  <c r="T140" i="12"/>
  <c r="X3" i="12"/>
  <c r="T3" i="12"/>
  <c r="T144" i="12"/>
  <c r="X144" i="12"/>
  <c r="T156" i="12"/>
  <c r="T121" i="12"/>
  <c r="T48" i="12"/>
  <c r="T34" i="12"/>
  <c r="T43" i="12"/>
  <c r="T138" i="12"/>
  <c r="X138" i="12"/>
  <c r="T47" i="12"/>
  <c r="T110" i="12"/>
  <c r="T102" i="12"/>
  <c r="T41" i="12"/>
  <c r="T158" i="12"/>
  <c r="T118" i="12"/>
  <c r="T25" i="12"/>
  <c r="X44" i="12"/>
  <c r="T44" i="12"/>
  <c r="T132" i="12"/>
  <c r="X132" i="12"/>
  <c r="T126" i="12"/>
  <c r="T35" i="12"/>
  <c r="X35" i="12"/>
  <c r="T39" i="12"/>
  <c r="X24" i="12"/>
  <c r="T24" i="12"/>
  <c r="T23" i="12"/>
  <c r="T155" i="12"/>
  <c r="T127" i="12"/>
  <c r="X127" i="12"/>
  <c r="T119" i="12"/>
  <c r="T27" i="12"/>
  <c r="T65" i="12"/>
  <c r="T98" i="12"/>
  <c r="X33" i="12"/>
  <c r="T33" i="12"/>
  <c r="T154" i="12"/>
  <c r="T36" i="12"/>
  <c r="T28" i="12"/>
  <c r="T104" i="12"/>
  <c r="X22" i="12"/>
  <c r="T22" i="12"/>
  <c r="T129" i="12"/>
  <c r="T185" i="12"/>
  <c r="T124" i="12"/>
  <c r="T17" i="12"/>
  <c r="T150" i="12"/>
  <c r="X150" i="12"/>
  <c r="T123" i="12"/>
  <c r="T20" i="12"/>
  <c r="T83" i="12"/>
  <c r="T117" i="12"/>
  <c r="T12" i="12"/>
  <c r="T82" i="12"/>
  <c r="T38" i="12"/>
  <c r="T19" i="12"/>
  <c r="T46" i="12"/>
  <c r="T112" i="12"/>
  <c r="T177" i="12"/>
  <c r="T152" i="12"/>
  <c r="X8" i="12"/>
  <c r="T8" i="12"/>
  <c r="T51" i="12"/>
  <c r="T174" i="12"/>
  <c r="T106" i="12"/>
  <c r="T71" i="12"/>
  <c r="T172" i="12"/>
  <c r="T160" i="12"/>
  <c r="T32" i="12"/>
  <c r="T59" i="12"/>
  <c r="T147" i="12"/>
  <c r="T53" i="12"/>
  <c r="T2" i="12"/>
</calcChain>
</file>

<file path=xl/sharedStrings.xml><?xml version="1.0" encoding="utf-8"?>
<sst xmlns="http://schemas.openxmlformats.org/spreadsheetml/2006/main" count="1161" uniqueCount="362">
  <si>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P.127 JEMPOL
</t>
    </r>
    <r>
      <rPr>
        <b/>
        <sz val="10"/>
        <rFont val="Arial"/>
        <family val="2"/>
      </rPr>
      <t>JUMLAH PEMILIH: 95,813                                                                                                                                                                                               MUKASURAT: 1/10</t>
    </r>
  </si>
  <si>
    <r>
      <rPr>
        <b/>
        <sz val="7"/>
        <rFont val="Arial"/>
        <family val="2"/>
      </rPr>
      <t>Bil</t>
    </r>
  </si>
  <si>
    <r>
      <rPr>
        <b/>
        <sz val="7"/>
        <rFont val="Arial"/>
        <family val="2"/>
      </rPr>
      <t>No. Kod Daerah Mengundi</t>
    </r>
  </si>
  <si>
    <r>
      <rPr>
        <b/>
        <sz val="7"/>
        <rFont val="Arial"/>
        <family val="2"/>
      </rPr>
      <t>Nama Pusat Mengundi</t>
    </r>
  </si>
  <si>
    <r>
      <rPr>
        <b/>
        <sz val="7"/>
        <rFont val="Arial"/>
        <family val="2"/>
      </rPr>
      <t>Nombor Tempat Mengundi (saluran)</t>
    </r>
  </si>
  <si>
    <r>
      <rPr>
        <b/>
        <sz val="7"/>
        <rFont val="Arial"/>
        <family val="2"/>
      </rPr>
      <t>Jumlah kertas undi yang patut berada di dalam peti undi (A)</t>
    </r>
  </si>
  <si>
    <r>
      <rPr>
        <b/>
        <sz val="7"/>
        <rFont val="Arial"/>
        <family val="2"/>
      </rPr>
      <t xml:space="preserve">Bilangan undian oleh pemilih bagi setiap orang calon yang bertanding
</t>
    </r>
    <r>
      <rPr>
        <b/>
        <sz val="7"/>
        <rFont val="Arial"/>
        <family val="2"/>
      </rPr>
      <t>(B)</t>
    </r>
  </si>
  <si>
    <r>
      <rPr>
        <b/>
        <sz val="7"/>
        <rFont val="Arial"/>
        <family val="2"/>
      </rPr>
      <t xml:space="preserve">Bilangan kertas undi yang ditolak
</t>
    </r>
    <r>
      <rPr>
        <b/>
        <sz val="7"/>
        <rFont val="Arial"/>
        <family val="2"/>
      </rPr>
      <t>(C)</t>
    </r>
  </si>
  <si>
    <r>
      <rPr>
        <b/>
        <sz val="7"/>
        <rFont val="Arial"/>
        <family val="2"/>
      </rPr>
      <t xml:space="preserve">Jumlah kertas undi yang dikeluarkan kepada pengundi tetapi tidak dimasukkan ke dalam peti undi
</t>
    </r>
    <r>
      <rPr>
        <b/>
        <sz val="7"/>
        <rFont val="Arial"/>
        <family val="2"/>
      </rPr>
      <t>(D)</t>
    </r>
  </si>
  <si>
    <r>
      <rPr>
        <sz val="6"/>
        <rFont val="Arial"/>
        <family val="2"/>
      </rPr>
      <t>AFFENDY SALLEH</t>
    </r>
  </si>
  <si>
    <r>
      <rPr>
        <sz val="6"/>
        <rFont val="Arial"/>
        <family val="2"/>
      </rPr>
      <t>TAN SRI KHALID YUNUS</t>
    </r>
  </si>
  <si>
    <r>
      <rPr>
        <sz val="6"/>
        <rFont val="Arial"/>
        <family val="2"/>
      </rPr>
      <t>DATO' HAJI SHAMSHULKAHAR BIN HAJI MOHD DELI</t>
    </r>
  </si>
  <si>
    <r>
      <rPr>
        <sz val="6"/>
        <rFont val="Arial"/>
        <family val="2"/>
      </rPr>
      <t>NORWANI AHMAT</t>
    </r>
  </si>
  <si>
    <r>
      <rPr>
        <b/>
        <sz val="7"/>
        <rFont val="Arial"/>
        <family val="2"/>
      </rPr>
      <t>Jumlah undian oleh pemilih</t>
    </r>
  </si>
  <si>
    <r>
      <rPr>
        <sz val="8"/>
        <rFont val="Arial"/>
        <family val="2"/>
      </rPr>
      <t>UNDI POS</t>
    </r>
  </si>
  <si>
    <r>
      <rPr>
        <sz val="12"/>
        <rFont val="Arial"/>
        <family val="2"/>
      </rPr>
      <t>UNDI AWAL</t>
    </r>
  </si>
  <si>
    <r>
      <rPr>
        <sz val="8"/>
        <rFont val="Arial"/>
        <family val="2"/>
      </rPr>
      <t>UNDI AWAL 127/05/00</t>
    </r>
  </si>
  <si>
    <r>
      <rPr>
        <sz val="8"/>
        <rFont val="Arial"/>
        <family val="2"/>
      </rPr>
      <t>RUANG  A DEWAN SERBAGUNA IPD JEMPOL (DUN SERTING)</t>
    </r>
  </si>
  <si>
    <r>
      <rPr>
        <sz val="8"/>
        <rFont val="Arial"/>
        <family val="2"/>
      </rPr>
      <t>UNDI AWAL 127/07/00</t>
    </r>
  </si>
  <si>
    <r>
      <rPr>
        <sz val="8"/>
        <rFont val="Arial"/>
        <family val="2"/>
      </rPr>
      <t>RUANG B DEWAN SERBAGUNA IPD JEMPOL (DUN JERAM PADANG)</t>
    </r>
  </si>
  <si>
    <r>
      <rPr>
        <sz val="8"/>
        <rFont val="Arial"/>
        <family val="2"/>
      </rPr>
      <t>UNDI AWAL 127/08/00</t>
    </r>
  </si>
  <si>
    <r>
      <rPr>
        <sz val="8"/>
        <rFont val="Arial"/>
        <family val="2"/>
      </rPr>
      <t>RUANG C DEWAN SERBAGUNA IPD JEMPOL (DUN BAHAU)</t>
    </r>
  </si>
  <si>
    <r>
      <rPr>
        <sz val="12"/>
        <rFont val="Arial"/>
        <family val="2"/>
      </rPr>
      <t>UNDI BIASA</t>
    </r>
  </si>
  <si>
    <r>
      <rPr>
        <sz val="8"/>
        <rFont val="Arial"/>
        <family val="2"/>
      </rPr>
      <t>SERTING ULU 127/05/01</t>
    </r>
  </si>
  <si>
    <r>
      <rPr>
        <sz val="8"/>
        <rFont val="Arial"/>
        <family val="2"/>
      </rPr>
      <t>SEKOLAH KEBANGSAAN SERTING ULU</t>
    </r>
  </si>
  <si>
    <r>
      <rPr>
        <sz val="8"/>
        <rFont val="Arial"/>
        <family val="2"/>
      </rPr>
      <t>KAMPONG SERTING TENGAH 127/05/02</t>
    </r>
  </si>
  <si>
    <r>
      <rPr>
        <sz val="8"/>
        <rFont val="Arial"/>
        <family val="2"/>
      </rPr>
      <t>SEKOLAH MENENGAH AGAMA DATO' HAJI MUSTAFA</t>
    </r>
  </si>
  <si>
    <r>
      <rPr>
        <sz val="8"/>
        <rFont val="Arial"/>
        <family val="2"/>
      </rPr>
      <t xml:space="preserve">KAMPUNG SERTING ILIR
</t>
    </r>
    <r>
      <rPr>
        <sz val="8"/>
        <rFont val="Arial"/>
        <family val="2"/>
      </rPr>
      <t>127/05/03</t>
    </r>
  </si>
  <si>
    <r>
      <rPr>
        <sz val="8"/>
        <rFont val="Arial"/>
        <family val="2"/>
      </rPr>
      <t>SEKOLAH KEBANGSAAN SERTING ILIR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</si>
  <si>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P.127 JEMPOL
</t>
    </r>
    <r>
      <rPr>
        <b/>
        <sz val="10"/>
        <rFont val="Arial"/>
        <family val="2"/>
      </rPr>
      <t>JUMLAH PEMILIH: 95,813                                                                                                                                                                                               MUKASURAT: 2/10</t>
    </r>
  </si>
  <si>
    <r>
      <rPr>
        <sz val="8"/>
        <rFont val="Arial"/>
        <family val="2"/>
      </rPr>
      <t>LUBOK GADONG 127/05/04</t>
    </r>
  </si>
  <si>
    <r>
      <rPr>
        <sz val="8"/>
        <rFont val="Arial"/>
        <family val="2"/>
      </rPr>
      <t>SEKOLAH KEBANGSAAN TUNKU MUDA SERTING</t>
    </r>
  </si>
  <si>
    <r>
      <rPr>
        <sz val="8"/>
        <rFont val="Arial"/>
        <family val="2"/>
      </rPr>
      <t>MAHSAN JAYA 127/05/05</t>
    </r>
  </si>
  <si>
    <r>
      <rPr>
        <sz val="8"/>
        <rFont val="Arial"/>
        <family val="2"/>
      </rPr>
      <t>SEKOLAH JENIS KEBANGSAAN (CINA) KG. MAHSAN</t>
    </r>
  </si>
  <si>
    <r>
      <rPr>
        <sz val="8"/>
        <rFont val="Arial"/>
        <family val="2"/>
      </rPr>
      <t>FELDA RAJA ALIAS 127/05/06</t>
    </r>
  </si>
  <si>
    <r>
      <rPr>
        <sz val="8"/>
        <rFont val="Arial"/>
        <family val="2"/>
      </rPr>
      <t>SEKOLAH MENENGAH KEBANGSAAN SERI JEMPOL</t>
    </r>
  </si>
  <si>
    <r>
      <rPr>
        <sz val="8"/>
        <rFont val="Arial"/>
        <family val="2"/>
      </rPr>
      <t>SEKOLAH KEBANGSAAN SERTING (FELDA)</t>
    </r>
  </si>
  <si>
    <r>
      <rPr>
        <sz val="8"/>
        <rFont val="Arial"/>
        <family val="2"/>
      </rPr>
      <t>SEKOLAH KEBANGSAAN FELDA RAJA ALIAS 3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</si>
  <si>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P.127 JEMPOL
</t>
    </r>
    <r>
      <rPr>
        <b/>
        <sz val="10"/>
        <rFont val="Arial"/>
        <family val="2"/>
      </rPr>
      <t>JUMLAH PEMILIH: 95,813                                                                                                                                                                                               MUKASURAT: 3/10</t>
    </r>
  </si>
  <si>
    <r>
      <rPr>
        <sz val="8"/>
        <rFont val="Arial"/>
        <family val="2"/>
      </rPr>
      <t>BANDAR BARU SERTING ILIR 127/05/07</t>
    </r>
  </si>
  <si>
    <r>
      <rPr>
        <sz val="8"/>
        <rFont val="Arial"/>
        <family val="2"/>
      </rPr>
      <t>SEKOLAH KEBANGSAAN SERTING HILIR 2 (FELDA)</t>
    </r>
  </si>
  <si>
    <r>
      <rPr>
        <sz val="8"/>
        <rFont val="Arial"/>
        <family val="2"/>
      </rPr>
      <t>SEKOLAH KEBANGSAAN SERTING HILIR KOMPLEKS</t>
    </r>
  </si>
  <si>
    <r>
      <rPr>
        <sz val="8"/>
        <rFont val="Arial"/>
        <family val="2"/>
      </rPr>
      <t>KAMPONG GEDDES 127/05/08</t>
    </r>
  </si>
  <si>
    <r>
      <rPr>
        <sz val="8"/>
        <rFont val="Arial"/>
        <family val="2"/>
      </rPr>
      <t>SEKOLAH JENIS KEBANGSAAN (TAMIL &amp; TELUGU) LADANG GEDDES</t>
    </r>
  </si>
  <si>
    <r>
      <rPr>
        <sz val="8"/>
        <rFont val="Arial"/>
        <family val="2"/>
      </rPr>
      <t>KAMPONG GEDDES TENGAH 127/05/09</t>
    </r>
  </si>
  <si>
    <r>
      <rPr>
        <sz val="8"/>
        <rFont val="Arial"/>
        <family val="2"/>
      </rPr>
      <t>SEKOLAH JENIS KEBANGSAAN (CINA) CHUNG HUA</t>
    </r>
  </si>
  <si>
    <r>
      <rPr>
        <sz val="8"/>
        <rFont val="Arial"/>
        <family val="2"/>
      </rPr>
      <t>LADANG SUNGAI SEBALING 127/05/10</t>
    </r>
  </si>
  <si>
    <r>
      <rPr>
        <sz val="8"/>
        <rFont val="Arial"/>
        <family val="2"/>
      </rPr>
      <t>SEKOLAH JENIS KEBANGSAAN (TAMIL) LADANG SG. SEBALING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</si>
  <si>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P.127 JEMPOL
</t>
    </r>
    <r>
      <rPr>
        <b/>
        <sz val="10"/>
        <rFont val="Arial"/>
        <family val="2"/>
      </rPr>
      <t>JUMLAH PEMILIH: 95,813                                                                                                                                                                                               MUKASURAT: 4/10</t>
    </r>
  </si>
  <si>
    <r>
      <rPr>
        <sz val="8"/>
        <rFont val="Arial"/>
        <family val="2"/>
      </rPr>
      <t>BANDAR SERI JEMPOL 127/05/11</t>
    </r>
  </si>
  <si>
    <r>
      <rPr>
        <sz val="8"/>
        <rFont val="Arial"/>
        <family val="2"/>
      </rPr>
      <t>SEKOLAH KEBANGSAAN (FELDA) BANDAR BARU SERTING</t>
    </r>
  </si>
  <si>
    <r>
      <rPr>
        <sz val="8"/>
        <rFont val="Arial"/>
        <family val="2"/>
      </rPr>
      <t>SEKOLAH MENENGAH KEBANGSAAN BANDAR BARU SERTING</t>
    </r>
  </si>
  <si>
    <r>
      <rPr>
        <sz val="8"/>
        <rFont val="Arial"/>
        <family val="2"/>
      </rPr>
      <t>PALONG 14, 15 &amp; 16 127/06/01</t>
    </r>
  </si>
  <si>
    <r>
      <rPr>
        <sz val="8"/>
        <rFont val="Arial"/>
        <family val="2"/>
      </rPr>
      <t>SEKOLAH KEBANGSAAN PALONG 14</t>
    </r>
  </si>
  <si>
    <r>
      <rPr>
        <sz val="8"/>
        <rFont val="Arial"/>
        <family val="2"/>
      </rPr>
      <t>PALONG 8 127/06/02</t>
    </r>
  </si>
  <si>
    <r>
      <rPr>
        <sz val="8"/>
        <rFont val="Arial"/>
        <family val="2"/>
      </rPr>
      <t>SEKOLAH KEBANGSAAN PALONG 8 (FELDA)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</si>
  <si>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P.127 JEMPOL
</t>
    </r>
    <r>
      <rPr>
        <b/>
        <sz val="10"/>
        <rFont val="Arial"/>
        <family val="2"/>
      </rPr>
      <t>JUMLAH PEMILIH: 95,813                                                                                                                                                                                               MUKASURAT: 5/10</t>
    </r>
  </si>
  <si>
    <r>
      <rPr>
        <sz val="8"/>
        <rFont val="Arial"/>
        <family val="2"/>
      </rPr>
      <t>PALONG 12 &amp; 13 127/06/03</t>
    </r>
  </si>
  <si>
    <r>
      <rPr>
        <sz val="8"/>
        <rFont val="Arial"/>
        <family val="2"/>
      </rPr>
      <t>SEKOLAH KEBANGSAAN (FELDA) PALONG 12</t>
    </r>
  </si>
  <si>
    <r>
      <rPr>
        <sz val="8"/>
        <rFont val="Arial"/>
        <family val="2"/>
      </rPr>
      <t>PALONG 7 127/06/04</t>
    </r>
  </si>
  <si>
    <r>
      <rPr>
        <sz val="8"/>
        <rFont val="Arial"/>
        <family val="2"/>
      </rPr>
      <t>SEKOLAH KEBANGSAAN (FELDA) PALONG 7</t>
    </r>
  </si>
  <si>
    <r>
      <rPr>
        <sz val="8"/>
        <rFont val="Arial"/>
        <family val="2"/>
      </rPr>
      <t>PALONG 9, 10 &amp; 11 127/06/05</t>
    </r>
  </si>
  <si>
    <r>
      <rPr>
        <sz val="8"/>
        <rFont val="Arial"/>
        <family val="2"/>
      </rPr>
      <t>SEKOLAH MENENGAH PALONG 11</t>
    </r>
  </si>
  <si>
    <r>
      <rPr>
        <sz val="8"/>
        <rFont val="Arial"/>
        <family val="2"/>
      </rPr>
      <t>SEKOLAH KEBANGSAAN PALONG 9 (FELDA)</t>
    </r>
  </si>
  <si>
    <r>
      <rPr>
        <sz val="8"/>
        <rFont val="Arial"/>
        <family val="2"/>
      </rPr>
      <t>PALONG 6 127/06/06</t>
    </r>
  </si>
  <si>
    <r>
      <rPr>
        <sz val="8"/>
        <rFont val="Arial"/>
        <family val="2"/>
      </rPr>
      <t>SEKOLAH MENENGAH KEBANGSAAN SERI PERPATIH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</si>
  <si>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P.127 JEMPOL
</t>
    </r>
    <r>
      <rPr>
        <b/>
        <sz val="10"/>
        <rFont val="Arial"/>
        <family val="2"/>
      </rPr>
      <t>JUMLAH PEMILIH: 95,813                                                                                                                                                                                               MUKASURAT: 6/10</t>
    </r>
  </si>
  <si>
    <r>
      <rPr>
        <sz val="8"/>
        <rFont val="Arial"/>
        <family val="2"/>
      </rPr>
      <t>PALONG 5 127/06/07</t>
    </r>
  </si>
  <si>
    <r>
      <rPr>
        <sz val="8"/>
        <rFont val="Arial"/>
        <family val="2"/>
      </rPr>
      <t>SEKOLAH KEBANGSAAN (FELDA) PALONG 5</t>
    </r>
  </si>
  <si>
    <r>
      <rPr>
        <sz val="8"/>
        <rFont val="Arial"/>
        <family val="2"/>
      </rPr>
      <t>PALONG 4 127/06/08</t>
    </r>
  </si>
  <si>
    <r>
      <rPr>
        <sz val="8"/>
        <rFont val="Arial"/>
        <family val="2"/>
      </rPr>
      <t>SEKOLAH KEBANGSAAN (FELDA) PALONG 4</t>
    </r>
  </si>
  <si>
    <r>
      <rPr>
        <sz val="8"/>
        <rFont val="Arial"/>
        <family val="2"/>
      </rPr>
      <t>PALONG 3 127/06/09</t>
    </r>
  </si>
  <si>
    <r>
      <rPr>
        <sz val="8"/>
        <rFont val="Arial"/>
        <family val="2"/>
      </rPr>
      <t>SEKOLAH KEBANGSAAN (FELDA) PALONG 3</t>
    </r>
  </si>
  <si>
    <r>
      <rPr>
        <sz val="8"/>
        <rFont val="Arial"/>
        <family val="2"/>
      </rPr>
      <t>LADANG BAHAU 127/07/01</t>
    </r>
  </si>
  <si>
    <r>
      <rPr>
        <sz val="8"/>
        <rFont val="Arial"/>
        <family val="2"/>
      </rPr>
      <t>SEKOLAH JENIS KEBANGSAAN (TAMIL) LDG BAHAU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</si>
  <si>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P.127 JEMPOL
</t>
    </r>
    <r>
      <rPr>
        <b/>
        <sz val="10"/>
        <rFont val="Arial"/>
        <family val="2"/>
      </rPr>
      <t>JUMLAH PEMILIH: 95,813                                                                                                                                                                                               MUKASURAT: 7/10</t>
    </r>
  </si>
  <si>
    <r>
      <rPr>
        <sz val="8"/>
        <rFont val="Arial"/>
        <family val="2"/>
      </rPr>
      <t>TAMAN JAYA 127/07/02</t>
    </r>
  </si>
  <si>
    <r>
      <rPr>
        <sz val="8"/>
        <rFont val="Arial"/>
        <family val="2"/>
      </rPr>
      <t>SEKOLAH JENIS KEBANGSAAN (TAMIL) LADANG ST HELIER</t>
    </r>
  </si>
  <si>
    <r>
      <rPr>
        <sz val="8"/>
        <rFont val="Arial"/>
        <family val="2"/>
      </rPr>
      <t>BUKIT ROKAN BARAT 127/07/03</t>
    </r>
  </si>
  <si>
    <r>
      <rPr>
        <sz val="8"/>
        <rFont val="Arial"/>
        <family val="2"/>
      </rPr>
      <t>SEKOLAH KEBANGSAAN BUKIT ROKAN BARAT</t>
    </r>
  </si>
  <si>
    <r>
      <rPr>
        <sz val="8"/>
        <rFont val="Arial"/>
        <family val="2"/>
      </rPr>
      <t>JERAM PADANG 127/07/04</t>
    </r>
  </si>
  <si>
    <r>
      <rPr>
        <sz val="8"/>
        <rFont val="Arial"/>
        <family val="2"/>
      </rPr>
      <t>SEKOLAH JENIS KEBANGSAAN (TAMIL) LDG SIALANG</t>
    </r>
  </si>
  <si>
    <r>
      <rPr>
        <sz val="8"/>
        <rFont val="Arial"/>
        <family val="2"/>
      </rPr>
      <t>LADANG MIDDLETON 127/07/05</t>
    </r>
  </si>
  <si>
    <r>
      <rPr>
        <sz val="8"/>
        <rFont val="Arial"/>
        <family val="2"/>
      </rPr>
      <t>SEKOLAH JENIS KEBANGSAAN (TAMIL) LDG MIDDLETON</t>
    </r>
  </si>
  <si>
    <r>
      <rPr>
        <sz val="8"/>
        <rFont val="Arial"/>
        <family val="2"/>
      </rPr>
      <t>LADANG KELPIN 127/07/06</t>
    </r>
  </si>
  <si>
    <r>
      <rPr>
        <sz val="8"/>
        <rFont val="Arial"/>
        <family val="2"/>
      </rPr>
      <t>SEKOLAH JENIS KEBANGSAAN (TAMIL) LDG KELPIN</t>
    </r>
  </si>
  <si>
    <r>
      <rPr>
        <sz val="8"/>
        <rFont val="Arial"/>
        <family val="2"/>
      </rPr>
      <t>LADANG BUKIT PILAH 127/07/07</t>
    </r>
  </si>
  <si>
    <r>
      <rPr>
        <sz val="8"/>
        <rFont val="Arial"/>
        <family val="2"/>
      </rPr>
      <t>DEWAN NEW ROMPIN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</si>
  <si>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P.127 JEMPOL
</t>
    </r>
    <r>
      <rPr>
        <b/>
        <sz val="10"/>
        <rFont val="Arial"/>
        <family val="2"/>
      </rPr>
      <t>JUMLAH PEMILIH: 95,813                                                                                                                                                                                               MUKASURAT: 8/10</t>
    </r>
  </si>
  <si>
    <r>
      <rPr>
        <sz val="8"/>
        <rFont val="Arial"/>
        <family val="2"/>
      </rPr>
      <t>ROMPIN 127/07/08</t>
    </r>
  </si>
  <si>
    <r>
      <rPr>
        <sz val="8"/>
        <rFont val="Arial"/>
        <family val="2"/>
      </rPr>
      <t>SEKOLAH KEBANGSAAN ROMPIN</t>
    </r>
  </si>
  <si>
    <r>
      <rPr>
        <sz val="8"/>
        <rFont val="Arial"/>
        <family val="2"/>
      </rPr>
      <t>PALONG 2 127/07/09</t>
    </r>
  </si>
  <si>
    <r>
      <rPr>
        <sz val="8"/>
        <rFont val="Arial"/>
        <family val="2"/>
      </rPr>
      <t>SEKOLAH KEBANGSAAN (FELDA) PALONG 2</t>
    </r>
  </si>
  <si>
    <r>
      <rPr>
        <sz val="8"/>
        <rFont val="Arial"/>
        <family val="2"/>
      </rPr>
      <t>PALONG 1 127/07/10</t>
    </r>
  </si>
  <si>
    <r>
      <rPr>
        <sz val="8"/>
        <rFont val="Arial"/>
        <family val="2"/>
      </rPr>
      <t>SEKOLAH KEBANGSAAN (FELDA) PALONG 1</t>
    </r>
  </si>
  <si>
    <r>
      <rPr>
        <sz val="8"/>
        <rFont val="Arial"/>
        <family val="2"/>
      </rPr>
      <t>KAMPONG BUKIT PERAH 127/08/01</t>
    </r>
  </si>
  <si>
    <r>
      <rPr>
        <sz val="8"/>
        <rFont val="Arial"/>
        <family val="2"/>
      </rPr>
      <t>DEWAN ORANG RAMAI BATU KIKIR</t>
    </r>
  </si>
  <si>
    <r>
      <rPr>
        <sz val="8"/>
        <rFont val="Arial"/>
        <family val="2"/>
      </rPr>
      <t xml:space="preserve">KAMPONG BATU KIKIR
</t>
    </r>
    <r>
      <rPr>
        <sz val="8"/>
        <rFont val="Arial"/>
        <family val="2"/>
      </rPr>
      <t>127/08/02</t>
    </r>
  </si>
  <si>
    <r>
      <rPr>
        <sz val="8"/>
        <rFont val="Arial"/>
        <family val="2"/>
      </rPr>
      <t>SEKOLAH MENENGAH KEBANGSAAN BATU KIKIR</t>
    </r>
  </si>
  <si>
    <r>
      <rPr>
        <sz val="8"/>
        <rFont val="Arial"/>
        <family val="2"/>
      </rPr>
      <t>KAMPONG LONEK 127/08/03</t>
    </r>
  </si>
  <si>
    <r>
      <rPr>
        <sz val="8"/>
        <rFont val="Arial"/>
        <family val="2"/>
      </rPr>
      <t>BALAI RAYA KAMPONG LONEK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</si>
  <si>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P.127 JEMPOL
</t>
    </r>
    <r>
      <rPr>
        <b/>
        <sz val="10"/>
        <rFont val="Arial"/>
        <family val="2"/>
      </rPr>
      <t>JUMLAH PEMILIH: 95,813                                                                                                                                                                                               MUKASURAT: 9/10</t>
    </r>
  </si>
  <si>
    <r>
      <rPr>
        <sz val="8"/>
        <rFont val="Arial"/>
        <family val="2"/>
      </rPr>
      <t>KUALA JEMPOL 127/08/04</t>
    </r>
  </si>
  <si>
    <r>
      <rPr>
        <sz val="8"/>
        <rFont val="Arial"/>
        <family val="2"/>
      </rPr>
      <t>SEKOLAH KEBANGSAAN JEMPOL</t>
    </r>
  </si>
  <si>
    <r>
      <rPr>
        <sz val="8"/>
        <rFont val="Arial"/>
        <family val="2"/>
      </rPr>
      <t xml:space="preserve">KAMPUNG KUALA KEPIS
</t>
    </r>
    <r>
      <rPr>
        <sz val="8"/>
        <rFont val="Arial"/>
        <family val="2"/>
      </rPr>
      <t>127/08/05</t>
    </r>
  </si>
  <si>
    <r>
      <rPr>
        <sz val="8"/>
        <rFont val="Arial"/>
        <family val="2"/>
      </rPr>
      <t>SEKOLAH KEBANGSAAN KUALA KEPIS</t>
    </r>
  </si>
  <si>
    <r>
      <rPr>
        <sz val="8"/>
        <rFont val="Arial"/>
        <family val="2"/>
      </rPr>
      <t xml:space="preserve">KAMPUNG JAMBU LAPAN
</t>
    </r>
    <r>
      <rPr>
        <sz val="8"/>
        <rFont val="Arial"/>
        <family val="2"/>
      </rPr>
      <t>127/08/06</t>
    </r>
  </si>
  <si>
    <r>
      <rPr>
        <sz val="8"/>
        <rFont val="Arial"/>
        <family val="2"/>
      </rPr>
      <t>SEKOLAH MENENGAH KEBANGSAAN DATUK MANSOR</t>
    </r>
  </si>
  <si>
    <r>
      <rPr>
        <sz val="8"/>
        <rFont val="Arial"/>
        <family val="2"/>
      </rPr>
      <t>TAMAN ACBE 127/08/07</t>
    </r>
  </si>
  <si>
    <r>
      <rPr>
        <sz val="8"/>
        <rFont val="Arial"/>
        <family val="2"/>
      </rPr>
      <t>SEKOLAH JENIS KEBANGSAAN (CINA) BAHAU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</si>
  <si>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P.127 JEMPOL
</t>
    </r>
    <r>
      <rPr>
        <b/>
        <sz val="10"/>
        <rFont val="Arial"/>
        <family val="2"/>
      </rPr>
      <t>JUMLAH PEMILIH: 95,813                                                                                                                                                                                             MUKASURAT: 10/10</t>
    </r>
  </si>
  <si>
    <r>
      <rPr>
        <sz val="8"/>
        <rFont val="Arial"/>
        <family val="2"/>
      </rPr>
      <t>PEKAN BAHAU 127/08/08</t>
    </r>
  </si>
  <si>
    <r>
      <rPr>
        <sz val="8"/>
        <rFont val="Arial"/>
        <family val="2"/>
      </rPr>
      <t>SEKOLAH KEBANGSAAN ST AIDAN</t>
    </r>
  </si>
  <si>
    <r>
      <rPr>
        <sz val="8"/>
        <rFont val="Arial"/>
        <family val="2"/>
      </rPr>
      <t>KAMPONG INDAH 127/08/09</t>
    </r>
  </si>
  <si>
    <r>
      <rPr>
        <sz val="8"/>
        <rFont val="Arial"/>
        <family val="2"/>
      </rPr>
      <t>SEKOLAH JENIS KEBANGSAAN (CINA) CHI WEN</t>
    </r>
  </si>
  <si>
    <r>
      <rPr>
        <sz val="8"/>
        <rFont val="Arial"/>
        <family val="2"/>
      </rPr>
      <t xml:space="preserve">KAMPONG BAKAR BATU
</t>
    </r>
    <r>
      <rPr>
        <sz val="8"/>
        <rFont val="Arial"/>
        <family val="2"/>
      </rPr>
      <t>127/08/10</t>
    </r>
  </si>
  <si>
    <r>
      <rPr>
        <sz val="8"/>
        <rFont val="Arial"/>
        <family val="2"/>
      </rPr>
      <t>SEKOLAH MENENGAH KEBANGSAAN BAHAU</t>
    </r>
  </si>
  <si>
    <r>
      <rPr>
        <sz val="8"/>
        <rFont val="Arial"/>
        <family val="2"/>
      </rPr>
      <t>SEKOLAH MENENGAH KEBANGSAAN CHI WEN</t>
    </r>
  </si>
  <si>
    <r>
      <rPr>
        <b/>
        <sz val="12"/>
        <rFont val="Arial"/>
        <family val="2"/>
      </rPr>
      <t>JUMLAH</t>
    </r>
  </si>
  <si>
    <t>PN</t>
  </si>
  <si>
    <t>PEJUANG</t>
  </si>
  <si>
    <t>BN</t>
  </si>
  <si>
    <t>PH</t>
  </si>
  <si>
    <t>Bil</t>
  </si>
  <si>
    <t>Nama Pusat Mengundi</t>
  </si>
  <si>
    <t>Jumlah undian oleh pemilih</t>
  </si>
  <si>
    <t>UNDI POS</t>
  </si>
  <si>
    <t>UNDI AWAL 127/05/00</t>
  </si>
  <si>
    <t>RUANG  A DEWAN SERBAGUNA IPD JEMPOL (DUN SERTING)</t>
  </si>
  <si>
    <t>UNDI AWAL 127/07/00</t>
  </si>
  <si>
    <t>RUANG B DEWAN SERBAGUNA IPD JEMPOL (DUN JERAM PADANG)</t>
  </si>
  <si>
    <t>UNDI AWAL 127/08/00</t>
  </si>
  <si>
    <t>RUANG C DEWAN SERBAGUNA IPD JEMPOL (DUN BAHAU)</t>
  </si>
  <si>
    <t>SERTING ULU 127/05/01</t>
  </si>
  <si>
    <t>SEKOLAH KEBANGSAAN SERTING ULU</t>
  </si>
  <si>
    <t>KAMPONG SERTING TENGAH 127/05/02</t>
  </si>
  <si>
    <t>SEKOLAH MENENGAH AGAMA DATO' HAJI MUSTAFA</t>
  </si>
  <si>
    <t>KAMPUNG SERTING ILIR
127/05/03</t>
  </si>
  <si>
    <t>SEKOLAH KEBANGSAAN SERTING ILIR</t>
  </si>
  <si>
    <t>Nama &amp; Kod DM</t>
  </si>
  <si>
    <t>Saluran</t>
  </si>
  <si>
    <t>Jumlah kertas undi dikeluarkan</t>
  </si>
  <si>
    <t>Bilangan kertas undi yang ditolak (C)</t>
  </si>
  <si>
    <t>Undi Tidak Dimasukkan</t>
  </si>
  <si>
    <t>LUBOK GADONG 127/05/04</t>
  </si>
  <si>
    <t>SEKOLAH KEBANGSAAN TUNKU MUDA SERTING</t>
  </si>
  <si>
    <t>MAHSAN JAYA 127/05/05</t>
  </si>
  <si>
    <t>SEKOLAH JENIS KEBANGSAAN (CINA) KG. MAHSAN</t>
  </si>
  <si>
    <t>FELDA RAJA ALIAS 127/05/06</t>
  </si>
  <si>
    <t>SEKOLAH MENENGAH KEBANGSAAN SERI JEMPOL</t>
  </si>
  <si>
    <t>SEKOLAH KEBANGSAAN SERTING (FELDA)</t>
  </si>
  <si>
    <t>SEKOLAH KEBANGSAAN FELDA RAJA ALIAS 3</t>
  </si>
  <si>
    <t>BANDAR BARU SERTING ILIR 127/05/07</t>
  </si>
  <si>
    <t>SEKOLAH KEBANGSAAN SERTING HILIR 2 (FELDA)</t>
  </si>
  <si>
    <t>SEKOLAH KEBANGSAAN SERTING HILIR KOMPLEKS</t>
  </si>
  <si>
    <t>KAMPONG GEDDES 127/05/08</t>
  </si>
  <si>
    <t>SEKOLAH JENIS KEBANGSAAN (TAMIL &amp; TELUGU) LADANG GEDDES</t>
  </si>
  <si>
    <t>KAMPONG GEDDES TENGAH 127/05/09</t>
  </si>
  <si>
    <t>SEKOLAH JENIS KEBANGSAAN (CINA) CHUNG HUA</t>
  </si>
  <si>
    <t>LADANG SUNGAI SEBALING 127/05/10</t>
  </si>
  <si>
    <t>SEKOLAH JENIS KEBANGSAAN (TAMIL) LADANG SG. SEBALING</t>
  </si>
  <si>
    <t>BANDAR SERI JEMPOL 127/05/11</t>
  </si>
  <si>
    <t>SEKOLAH KEBANGSAAN (FELDA) BANDAR BARU SERTING</t>
  </si>
  <si>
    <t>SEKOLAH MENENGAH KEBANGSAAN BANDAR BARU SERTING</t>
  </si>
  <si>
    <t>PALONG 14, 15 &amp; 16 127/06/01</t>
  </si>
  <si>
    <t>SEKOLAH KEBANGSAAN PALONG 14</t>
  </si>
  <si>
    <t>PALONG 8 127/06/02</t>
  </si>
  <si>
    <t>SEKOLAH KEBANGSAAN PALONG 8 (FELDA)</t>
  </si>
  <si>
    <t>PALONG 12 &amp; 13 127/06/03</t>
  </si>
  <si>
    <t>SEKOLAH KEBANGSAAN (FELDA) PALONG 12</t>
  </si>
  <si>
    <t>PALONG 7 127/06/04</t>
  </si>
  <si>
    <t>SEKOLAH KEBANGSAAN (FELDA) PALONG 7</t>
  </si>
  <si>
    <t>PALONG 9, 10 &amp; 11 127/06/05</t>
  </si>
  <si>
    <t>SEKOLAH MENENGAH PALONG 11</t>
  </si>
  <si>
    <t>SEKOLAH KEBANGSAAN PALONG 9 (FELDA)</t>
  </si>
  <si>
    <t>PALONG 6 127/06/06</t>
  </si>
  <si>
    <t>SEKOLAH MENENGAH KEBANGSAAN SERI PERPATIH</t>
  </si>
  <si>
    <t>PALONG 5 127/06/07</t>
  </si>
  <si>
    <t>SEKOLAH KEBANGSAAN (FELDA) PALONG 5</t>
  </si>
  <si>
    <t>PALONG 4 127/06/08</t>
  </si>
  <si>
    <t>SEKOLAH KEBANGSAAN (FELDA) PALONG 4</t>
  </si>
  <si>
    <t>PALONG 3 127/06/09</t>
  </si>
  <si>
    <t>SEKOLAH KEBANGSAAN (FELDA) PALONG 3</t>
  </si>
  <si>
    <t>LADANG BAHAU 127/07/01</t>
  </si>
  <si>
    <t>SEKOLAH JENIS KEBANGSAAN (TAMIL) LDG BAHAU</t>
  </si>
  <si>
    <t>TAMAN JAYA 127/07/02</t>
  </si>
  <si>
    <t>SEKOLAH JENIS KEBANGSAAN (TAMIL) LADANG ST HELIER</t>
  </si>
  <si>
    <t>BUKIT ROKAN BARAT 127/07/03</t>
  </si>
  <si>
    <t>SEKOLAH KEBANGSAAN BUKIT ROKAN BARAT</t>
  </si>
  <si>
    <t>JERAM PADANG 127/07/04</t>
  </si>
  <si>
    <t>SEKOLAH JENIS KEBANGSAAN (TAMIL) LDG SIALANG</t>
  </si>
  <si>
    <t>LADANG MIDDLETON 127/07/05</t>
  </si>
  <si>
    <t>SEKOLAH JENIS KEBANGSAAN (TAMIL) LDG MIDDLETON</t>
  </si>
  <si>
    <t>LADANG KELPIN 127/07/06</t>
  </si>
  <si>
    <t>SEKOLAH JENIS KEBANGSAAN (TAMIL) LDG KELPIN</t>
  </si>
  <si>
    <t>LADANG BUKIT PILAH 127/07/07</t>
  </si>
  <si>
    <t>DEWAN NEW ROMPIN</t>
  </si>
  <si>
    <t>ROMPIN 127/07/08</t>
  </si>
  <si>
    <t>SEKOLAH KEBANGSAAN ROMPIN</t>
  </si>
  <si>
    <t>PALONG 2 127/07/09</t>
  </si>
  <si>
    <t>SEKOLAH KEBANGSAAN (FELDA) PALONG 2</t>
  </si>
  <si>
    <t>PALONG 1 127/07/10</t>
  </si>
  <si>
    <t>SEKOLAH KEBANGSAAN (FELDA) PALONG 1</t>
  </si>
  <si>
    <t>KAMPONG BUKIT PERAH 127/08/01</t>
  </si>
  <si>
    <t>DEWAN ORANG RAMAI BATU KIKIR</t>
  </si>
  <si>
    <t>KAMPONG BATU KIKIR
127/08/02</t>
  </si>
  <si>
    <t>SEKOLAH MENENGAH KEBANGSAAN BATU KIKIR</t>
  </si>
  <si>
    <t>KAMPONG LONEK 127/08/03</t>
  </si>
  <si>
    <t>BALAI RAYA KAMPONG LONEK</t>
  </si>
  <si>
    <t>KUALA JEMPOL 127/08/04</t>
  </si>
  <si>
    <t>SEKOLAH KEBANGSAAN JEMPOL</t>
  </si>
  <si>
    <t>KAMPUNG KUALA KEPIS
127/08/05</t>
  </si>
  <si>
    <t>SEKOLAH KEBANGSAAN KUALA KEPIS</t>
  </si>
  <si>
    <t>KAMPUNG JAMBU LAPAN
127/08/06</t>
  </si>
  <si>
    <t>SEKOLAH MENENGAH KEBANGSAAN DATUK MANSOR</t>
  </si>
  <si>
    <t>TAMAN ACBE 127/08/07</t>
  </si>
  <si>
    <t>SEKOLAH JENIS KEBANGSAAN (CINA) BAHAU</t>
  </si>
  <si>
    <t>PEKAN BAHAU 127/08/08</t>
  </si>
  <si>
    <t>SEKOLAH KEBANGSAAN ST AIDAN</t>
  </si>
  <si>
    <t>KAMPONG INDAH 127/08/09</t>
  </si>
  <si>
    <t>SEKOLAH JENIS KEBANGSAAN (CINA) CHI WEN</t>
  </si>
  <si>
    <t>KAMPONG BAKAR BATU
127/08/10</t>
  </si>
  <si>
    <t>SEKOLAH MENENGAH KEBANGSAAN BAHAU</t>
  </si>
  <si>
    <t>SEKOLAH MENENGAH KEBANGSAAN CHI WEN</t>
  </si>
  <si>
    <t>JUMLAH</t>
  </si>
  <si>
    <t>Jumlah Undi</t>
  </si>
  <si>
    <t>PH%</t>
  </si>
  <si>
    <t>PN%</t>
  </si>
  <si>
    <t>BN%</t>
  </si>
  <si>
    <t>PEJUANG%</t>
  </si>
  <si>
    <t>koddm</t>
  </si>
  <si>
    <t>namadm</t>
  </si>
  <si>
    <t>namapusatmengundi</t>
  </si>
  <si>
    <t>nosaluran</t>
  </si>
  <si>
    <t>bumiputra</t>
  </si>
  <si>
    <t>bumiputra_sabah</t>
  </si>
  <si>
    <t>bumiputra_sarawak</t>
  </si>
  <si>
    <t>cina</t>
  </si>
  <si>
    <t>india</t>
  </si>
  <si>
    <t>lain_lain</t>
  </si>
  <si>
    <t>melayu</t>
  </si>
  <si>
    <t>orang_asli</t>
  </si>
  <si>
    <t>filename</t>
  </si>
  <si>
    <t>avg_age</t>
  </si>
  <si>
    <t>parliament_name</t>
  </si>
  <si>
    <t>1270501</t>
  </si>
  <si>
    <t>SERTING ULU</t>
  </si>
  <si>
    <t>127_JEMPOL</t>
  </si>
  <si>
    <t>1270502</t>
  </si>
  <si>
    <t>KAMPONG SERTING TENGAH</t>
  </si>
  <si>
    <t>1270503</t>
  </si>
  <si>
    <t>KAMPUNG SERTING ILIR</t>
  </si>
  <si>
    <t>POS</t>
  </si>
  <si>
    <t>1270504</t>
  </si>
  <si>
    <t>LUBOK GADONG</t>
  </si>
  <si>
    <t>1270505</t>
  </si>
  <si>
    <t>MAHSAN JAYA</t>
  </si>
  <si>
    <t>1270506</t>
  </si>
  <si>
    <t>FELDA RAJA ALIAS</t>
  </si>
  <si>
    <t>1270507</t>
  </si>
  <si>
    <t>BANDAR BARU SERTING ILIR</t>
  </si>
  <si>
    <t>1270508</t>
  </si>
  <si>
    <t>KAMPONG GEDDES</t>
  </si>
  <si>
    <t>1270509</t>
  </si>
  <si>
    <t>KAMPONG GEDDES TENGAH</t>
  </si>
  <si>
    <t>1270510</t>
  </si>
  <si>
    <t>LADANG SUNGAI SEBALING</t>
  </si>
  <si>
    <t>1270511</t>
  </si>
  <si>
    <t>BANDAR SERI JEMPOL</t>
  </si>
  <si>
    <t>1270601</t>
  </si>
  <si>
    <t>PALONG 14, 15 &amp; 16</t>
  </si>
  <si>
    <t>1270602</t>
  </si>
  <si>
    <t>PALONG 8</t>
  </si>
  <si>
    <t>1270603</t>
  </si>
  <si>
    <t>PALONG 12 &amp; 13</t>
  </si>
  <si>
    <t>1270604</t>
  </si>
  <si>
    <t>PALONG 7</t>
  </si>
  <si>
    <t>1270605</t>
  </si>
  <si>
    <t>PALONG 9, 10 &amp; 11</t>
  </si>
  <si>
    <t>1270606</t>
  </si>
  <si>
    <t>PALONG 6</t>
  </si>
  <si>
    <t>1270607</t>
  </si>
  <si>
    <t>PALONG 5</t>
  </si>
  <si>
    <t>1270608</t>
  </si>
  <si>
    <t>PALONG 4</t>
  </si>
  <si>
    <t>1270609</t>
  </si>
  <si>
    <t>PALONG 3</t>
  </si>
  <si>
    <t>1270701</t>
  </si>
  <si>
    <t>LADANG BAHAU</t>
  </si>
  <si>
    <t>1270702</t>
  </si>
  <si>
    <t>TAMAN JAYA</t>
  </si>
  <si>
    <t>1270703</t>
  </si>
  <si>
    <t>BUKIT ROKAN BARAT</t>
  </si>
  <si>
    <t>1270704</t>
  </si>
  <si>
    <t>JERAM PADANG</t>
  </si>
  <si>
    <t>1270705</t>
  </si>
  <si>
    <t>LADANG MIDDLETON</t>
  </si>
  <si>
    <t>1270706</t>
  </si>
  <si>
    <t>LADANG KELPIN</t>
  </si>
  <si>
    <t>1270707</t>
  </si>
  <si>
    <t>LADANG BUKIT PILAH</t>
  </si>
  <si>
    <t>1270708</t>
  </si>
  <si>
    <t>ROMPIN</t>
  </si>
  <si>
    <t>1270709</t>
  </si>
  <si>
    <t>PALONG 2</t>
  </si>
  <si>
    <t>1270710</t>
  </si>
  <si>
    <t>PALONG 1</t>
  </si>
  <si>
    <t>1270801</t>
  </si>
  <si>
    <t>KAMPONG BUKIT PERAH</t>
  </si>
  <si>
    <t>1270802</t>
  </si>
  <si>
    <t>KAMPONG BATU KIKIR</t>
  </si>
  <si>
    <t>1270803</t>
  </si>
  <si>
    <t>KAMPONG LONEK</t>
  </si>
  <si>
    <t>1270804</t>
  </si>
  <si>
    <t>KUALA JEMPOL</t>
  </si>
  <si>
    <t>1270805</t>
  </si>
  <si>
    <t>KAMPUNG KUALA KEPIS</t>
  </si>
  <si>
    <t>1270806</t>
  </si>
  <si>
    <t>KAMPUNG JAMBU LAPAN</t>
  </si>
  <si>
    <t>1270807</t>
  </si>
  <si>
    <t>TAMAN ACBE</t>
  </si>
  <si>
    <t>1270808</t>
  </si>
  <si>
    <t>PEKAN BAHAU</t>
  </si>
  <si>
    <t>1270809</t>
  </si>
  <si>
    <t>KAMPONG INDAH</t>
  </si>
  <si>
    <t>1270810</t>
  </si>
  <si>
    <t>KAMPONG BAKAR BATU</t>
  </si>
  <si>
    <t>M</t>
  </si>
  <si>
    <t>C</t>
  </si>
  <si>
    <t>I</t>
  </si>
  <si>
    <t>O</t>
  </si>
  <si>
    <t>#</t>
  </si>
  <si>
    <t>M%</t>
  </si>
  <si>
    <t>C%</t>
  </si>
  <si>
    <t>I%</t>
  </si>
  <si>
    <t>O%</t>
  </si>
  <si>
    <t>Avg Age</t>
  </si>
  <si>
    <t>JUMLAH POS</t>
  </si>
  <si>
    <t>PH Malay</t>
  </si>
  <si>
    <t>PN Malay</t>
  </si>
  <si>
    <t>BN Malay</t>
  </si>
  <si>
    <t>PH Chinese</t>
  </si>
  <si>
    <t>BN Chinese</t>
  </si>
  <si>
    <t>PH Indian</t>
  </si>
  <si>
    <t>BN Indian</t>
  </si>
  <si>
    <t>Turnout%</t>
  </si>
  <si>
    <t>UNDI AWAL</t>
  </si>
  <si>
    <t>N5</t>
  </si>
  <si>
    <t>Serting</t>
  </si>
  <si>
    <t>N6</t>
  </si>
  <si>
    <t>Palong</t>
  </si>
  <si>
    <t>N7</t>
  </si>
  <si>
    <t>Jeram Padang</t>
  </si>
  <si>
    <t>N8</t>
  </si>
  <si>
    <t>Bahau</t>
  </si>
  <si>
    <t>Turnout Malay%</t>
  </si>
  <si>
    <t>Turnout Chinese%</t>
  </si>
  <si>
    <t>Turnout Indian%</t>
  </si>
  <si>
    <t>PH Malay%</t>
  </si>
  <si>
    <t>PH Chinese%</t>
  </si>
  <si>
    <t>PH Indian%</t>
  </si>
  <si>
    <t>&gt;100%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</si>
</sst>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2" x14ac:knownFonts="1">
    <font>
      <sz val="10"/>
      <color rgb="FF000000"/>
      <name val="Times New Roman"/>
      <charset val="204"/>
    </font>
    <font>
      <b/>
      <sz val="7"/>
      <name val="Arial"/>
      <family val="2"/>
    </font>
    <font>
      <sz val="6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23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3" fontId="5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3" fontId="5" fillId="2" borderId="1" xfId="0" applyNumberFormat="1" applyFont="1" applyFill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top" wrapText="1" indent="2"/>
    </xf>
    <xf numFmtId="1" fontId="5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center" wrapText="1" inden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3" fillId="0" borderId="1" xfId="0" applyNumberFormat="1" applyFont="1" applyBorder="1" applyAlignment="1">
      <alignment horizontal="left" vertical="center" indent="1" shrinkToFit="1"/>
    </xf>
    <xf numFmtId="1" fontId="5" fillId="0" borderId="1" xfId="0" applyNumberFormat="1" applyFont="1" applyBorder="1" applyAlignment="1">
      <alignment horizontal="right" vertical="top" indent="4" shrinkToFit="1"/>
    </xf>
    <xf numFmtId="1" fontId="5" fillId="0" borderId="1" xfId="0" applyNumberFormat="1" applyFont="1" applyBorder="1" applyAlignment="1">
      <alignment horizontal="right" vertical="top" indent="3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0" borderId="8" xfId="0" applyBorder="1" applyAlignment="1">
      <alignment horizontal="left" vertical="top"/>
    </xf>
    <xf numFmtId="164" fontId="0" fillId="0" borderId="8" xfId="1" applyNumberFormat="1" applyFont="1" applyBorder="1" applyAlignment="1">
      <alignment horizontal="left" vertical="top"/>
    </xf>
    <xf numFmtId="0" fontId="0" fillId="0" borderId="8" xfId="0" applyBorder="1"/>
    <xf numFmtId="164" fontId="0" fillId="0" borderId="8" xfId="1" applyNumberFormat="1" applyFont="1" applyBorder="1"/>
    <xf numFmtId="165" fontId="0" fillId="0" borderId="8" xfId="0" applyNumberFormat="1" applyBorder="1"/>
    <xf numFmtId="165" fontId="0" fillId="0" borderId="0" xfId="0" applyNumberFormat="1" applyAlignment="1">
      <alignment horizontal="left" vertical="top"/>
    </xf>
    <xf numFmtId="165" fontId="0" fillId="0" borderId="8" xfId="0" applyNumberForma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164" fontId="0" fillId="0" borderId="0" xfId="1" applyNumberFormat="1" applyFont="1" applyAlignment="1">
      <alignment horizontal="left" vertical="top"/>
    </xf>
    <xf numFmtId="164" fontId="0" fillId="3" borderId="0" xfId="1" applyNumberFormat="1" applyFont="1" applyFill="1" applyAlignment="1">
      <alignment horizontal="left" vertical="top"/>
    </xf>
    <xf numFmtId="164" fontId="0" fillId="0" borderId="0" xfId="1" applyNumberFormat="1" applyFont="1" applyFill="1" applyAlignment="1">
      <alignment horizontal="left" vertical="top"/>
    </xf>
    <xf numFmtId="0" fontId="0" fillId="4" borderId="8" xfId="0" applyFill="1" applyBorder="1" applyAlignment="1">
      <alignment horizontal="left" vertical="top"/>
    </xf>
    <xf numFmtId="164" fontId="0" fillId="4" borderId="8" xfId="1" applyNumberFormat="1" applyFont="1" applyFill="1" applyBorder="1" applyAlignment="1">
      <alignment horizontal="left" vertical="top"/>
    </xf>
    <xf numFmtId="0" fontId="0" fillId="4" borderId="8" xfId="0" applyFill="1" applyBorder="1"/>
    <xf numFmtId="164" fontId="0" fillId="4" borderId="8" xfId="1" applyNumberFormat="1" applyFont="1" applyFill="1" applyBorder="1"/>
    <xf numFmtId="165" fontId="0" fillId="4" borderId="8" xfId="0" applyNumberFormat="1" applyFill="1" applyBorder="1"/>
    <xf numFmtId="0" fontId="0" fillId="4" borderId="0" xfId="0" applyFill="1" applyAlignment="1">
      <alignment horizontal="left" vertical="top"/>
    </xf>
    <xf numFmtId="0" fontId="11" fillId="0" borderId="8" xfId="0" applyFont="1" applyBorder="1"/>
    <xf numFmtId="0" fontId="0" fillId="3" borderId="8" xfId="0" applyFill="1" applyBorder="1" applyAlignment="1">
      <alignment horizontal="left" vertical="top"/>
    </xf>
    <xf numFmtId="164" fontId="0" fillId="3" borderId="8" xfId="1" applyNumberFormat="1" applyFont="1" applyFill="1" applyBorder="1" applyAlignment="1">
      <alignment horizontal="left" vertical="top"/>
    </xf>
    <xf numFmtId="0" fontId="0" fillId="3" borderId="8" xfId="0" applyFill="1" applyBorder="1"/>
    <xf numFmtId="164" fontId="0" fillId="3" borderId="8" xfId="1" applyNumberFormat="1" applyFont="1" applyFill="1" applyBorder="1"/>
    <xf numFmtId="165" fontId="0" fillId="3" borderId="8" xfId="0" applyNumberFormat="1" applyFill="1" applyBorder="1"/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left" vertical="top" wrapText="1" indent="12"/>
    </xf>
    <xf numFmtId="0" fontId="6" fillId="2" borderId="3" xfId="0" applyFont="1" applyFill="1" applyBorder="1" applyAlignment="1">
      <alignment horizontal="left" vertical="top" wrapText="1" indent="12"/>
    </xf>
    <xf numFmtId="0" fontId="6" fillId="2" borderId="4" xfId="0" applyFont="1" applyFill="1" applyBorder="1" applyAlignment="1">
      <alignment horizontal="left" vertical="top" wrapText="1" indent="12"/>
    </xf>
    <xf numFmtId="0" fontId="6" fillId="2" borderId="2" xfId="0" applyFont="1" applyFill="1" applyBorder="1" applyAlignment="1">
      <alignment horizontal="left" vertical="top" wrapText="1" indent="11"/>
    </xf>
    <xf numFmtId="0" fontId="6" fillId="2" borderId="3" xfId="0" applyFont="1" applyFill="1" applyBorder="1" applyAlignment="1">
      <alignment horizontal="left" vertical="top" wrapText="1" indent="11"/>
    </xf>
    <xf numFmtId="0" fontId="6" fillId="2" borderId="4" xfId="0" applyFont="1" applyFill="1" applyBorder="1" applyAlignment="1">
      <alignment horizontal="left" vertical="top" wrapText="1" indent="11"/>
    </xf>
    <xf numFmtId="0" fontId="4" fillId="0" borderId="5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1" fillId="2" borderId="7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left" vertical="center" indent="1" shrinkToFit="1"/>
    </xf>
    <xf numFmtId="1" fontId="3" fillId="0" borderId="6" xfId="0" applyNumberFormat="1" applyFont="1" applyBorder="1" applyAlignment="1">
      <alignment horizontal="left" vertical="center" indent="1" shrinkToFit="1"/>
    </xf>
    <xf numFmtId="1" fontId="3" fillId="0" borderId="7" xfId="0" applyNumberFormat="1" applyFont="1" applyBorder="1" applyAlignment="1">
      <alignment horizontal="left" vertical="center" indent="1" shrinkToFi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 indent="3"/>
    </xf>
    <xf numFmtId="0" fontId="4" fillId="0" borderId="6" xfId="0" applyFont="1" applyBorder="1" applyAlignment="1">
      <alignment horizontal="left" vertical="center" wrapText="1" indent="3"/>
    </xf>
    <xf numFmtId="0" fontId="4" fillId="0" borderId="7" xfId="0" applyFont="1" applyBorder="1" applyAlignment="1">
      <alignment horizontal="left" vertical="center" wrapText="1" indent="3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Malay% P127 Jempol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1548556430446195E-2"/>
                  <c:y val="-0.4995968212306795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RaceWorksheet!$J$2:$J$174</c:f>
              <c:numCache>
                <c:formatCode>0.0%</c:formatCode>
                <c:ptCount val="173"/>
                <c:pt idx="0">
                  <c:v>0.98</c:v>
                </c:pt>
                <c:pt idx="1">
                  <c:v>0.99563318777292575</c:v>
                </c:pt>
                <c:pt idx="2">
                  <c:v>0.99111111111111116</c:v>
                </c:pt>
                <c:pt idx="3">
                  <c:v>0.9963503649635036</c:v>
                </c:pt>
                <c:pt idx="4">
                  <c:v>0.99817850637522765</c:v>
                </c:pt>
                <c:pt idx="5">
                  <c:v>0.94444444444444442</c:v>
                </c:pt>
                <c:pt idx="6">
                  <c:v>0.94444444444444442</c:v>
                </c:pt>
                <c:pt idx="7">
                  <c:v>0.90125391849529779</c:v>
                </c:pt>
                <c:pt idx="8">
                  <c:v>0.90438871473354232</c:v>
                </c:pt>
                <c:pt idx="9">
                  <c:v>0.93730407523510972</c:v>
                </c:pt>
                <c:pt idx="10">
                  <c:v>0.11855670103092783</c:v>
                </c:pt>
                <c:pt idx="11">
                  <c:v>0.14666666666666667</c:v>
                </c:pt>
                <c:pt idx="12">
                  <c:v>0.12</c:v>
                </c:pt>
                <c:pt idx="13">
                  <c:v>0.14238410596026491</c:v>
                </c:pt>
                <c:pt idx="14">
                  <c:v>0.14569536423841059</c:v>
                </c:pt>
                <c:pt idx="15">
                  <c:v>0.16363636363636364</c:v>
                </c:pt>
                <c:pt idx="16">
                  <c:v>0.1884297520661157</c:v>
                </c:pt>
                <c:pt idx="17">
                  <c:v>0.98888888888888893</c:v>
                </c:pt>
                <c:pt idx="18">
                  <c:v>0.99214145383104124</c:v>
                </c:pt>
                <c:pt idx="19">
                  <c:v>0.99214145383104124</c:v>
                </c:pt>
                <c:pt idx="20">
                  <c:v>0.98666666666666669</c:v>
                </c:pt>
                <c:pt idx="21">
                  <c:v>0.99626168224299061</c:v>
                </c:pt>
                <c:pt idx="22">
                  <c:v>0.99626168224299061</c:v>
                </c:pt>
                <c:pt idx="23">
                  <c:v>1</c:v>
                </c:pt>
                <c:pt idx="24">
                  <c:v>0.99333333333333329</c:v>
                </c:pt>
                <c:pt idx="25">
                  <c:v>0.99393019726858878</c:v>
                </c:pt>
                <c:pt idx="26">
                  <c:v>1</c:v>
                </c:pt>
                <c:pt idx="27">
                  <c:v>0.99848484848484853</c:v>
                </c:pt>
                <c:pt idx="28">
                  <c:v>0.76444444444444448</c:v>
                </c:pt>
                <c:pt idx="29">
                  <c:v>0.78342245989304815</c:v>
                </c:pt>
                <c:pt idx="30">
                  <c:v>0.87433155080213909</c:v>
                </c:pt>
                <c:pt idx="31">
                  <c:v>0.94518716577540107</c:v>
                </c:pt>
                <c:pt idx="32">
                  <c:v>0.92666666666666664</c:v>
                </c:pt>
                <c:pt idx="33">
                  <c:v>0.94444444444444442</c:v>
                </c:pt>
                <c:pt idx="34">
                  <c:v>0.9244444444444444</c:v>
                </c:pt>
                <c:pt idx="35">
                  <c:v>0.92935635792778648</c:v>
                </c:pt>
                <c:pt idx="36">
                  <c:v>0.97492163009404387</c:v>
                </c:pt>
                <c:pt idx="37">
                  <c:v>0.98119122257053293</c:v>
                </c:pt>
                <c:pt idx="38">
                  <c:v>0.98432601880877746</c:v>
                </c:pt>
                <c:pt idx="39">
                  <c:v>3.3333333333333333E-2</c:v>
                </c:pt>
                <c:pt idx="40">
                  <c:v>0.10835214446952596</c:v>
                </c:pt>
                <c:pt idx="41">
                  <c:v>1.5555555555555555E-2</c:v>
                </c:pt>
                <c:pt idx="42">
                  <c:v>1.0245901639344262E-2</c:v>
                </c:pt>
                <c:pt idx="43">
                  <c:v>3.2786885245901641E-2</c:v>
                </c:pt>
                <c:pt idx="44">
                  <c:v>0.13963963963963963</c:v>
                </c:pt>
                <c:pt idx="45">
                  <c:v>0.93111111111111111</c:v>
                </c:pt>
                <c:pt idx="46">
                  <c:v>0.93559322033898307</c:v>
                </c:pt>
                <c:pt idx="47">
                  <c:v>0.93728813559322033</c:v>
                </c:pt>
                <c:pt idx="48">
                  <c:v>0.96271186440677969</c:v>
                </c:pt>
                <c:pt idx="49">
                  <c:v>0.96779661016949148</c:v>
                </c:pt>
                <c:pt idx="50">
                  <c:v>0.99555555555555553</c:v>
                </c:pt>
                <c:pt idx="51">
                  <c:v>0.99555555555555553</c:v>
                </c:pt>
                <c:pt idx="52">
                  <c:v>0.99301675977653636</c:v>
                </c:pt>
                <c:pt idx="53">
                  <c:v>0.99721059972105996</c:v>
                </c:pt>
                <c:pt idx="54">
                  <c:v>1</c:v>
                </c:pt>
                <c:pt idx="55">
                  <c:v>0.9555555555555556</c:v>
                </c:pt>
                <c:pt idx="56">
                  <c:v>0.96654275092936803</c:v>
                </c:pt>
                <c:pt idx="57">
                  <c:v>0.99814471243042668</c:v>
                </c:pt>
                <c:pt idx="58">
                  <c:v>0.9</c:v>
                </c:pt>
                <c:pt idx="59">
                  <c:v>0.97555555555555551</c:v>
                </c:pt>
                <c:pt idx="60">
                  <c:v>0.8771186440677966</c:v>
                </c:pt>
                <c:pt idx="61">
                  <c:v>0.96327683615819204</c:v>
                </c:pt>
                <c:pt idx="62">
                  <c:v>0.9647390691114246</c:v>
                </c:pt>
                <c:pt idx="63">
                  <c:v>0.922425952045134</c:v>
                </c:pt>
                <c:pt idx="64">
                  <c:v>0.9</c:v>
                </c:pt>
                <c:pt idx="65">
                  <c:v>0.9285714285714286</c:v>
                </c:pt>
                <c:pt idx="66">
                  <c:v>0.95571428571428574</c:v>
                </c:pt>
                <c:pt idx="67">
                  <c:v>0.87333333333333329</c:v>
                </c:pt>
                <c:pt idx="68">
                  <c:v>0.9244444444444444</c:v>
                </c:pt>
                <c:pt idx="69">
                  <c:v>0.89612188365650969</c:v>
                </c:pt>
                <c:pt idx="70">
                  <c:v>0.95573997233748276</c:v>
                </c:pt>
                <c:pt idx="71">
                  <c:v>0.89211618257261416</c:v>
                </c:pt>
                <c:pt idx="72">
                  <c:v>0.99333333333333329</c:v>
                </c:pt>
                <c:pt idx="73">
                  <c:v>1</c:v>
                </c:pt>
                <c:pt idx="74">
                  <c:v>0.99797979797979797</c:v>
                </c:pt>
                <c:pt idx="75">
                  <c:v>0.94</c:v>
                </c:pt>
                <c:pt idx="76">
                  <c:v>0.95126353790613716</c:v>
                </c:pt>
                <c:pt idx="77">
                  <c:v>0.95487364620938631</c:v>
                </c:pt>
                <c:pt idx="78">
                  <c:v>0.9513513513513514</c:v>
                </c:pt>
                <c:pt idx="79">
                  <c:v>0.92888888888888888</c:v>
                </c:pt>
                <c:pt idx="80">
                  <c:v>0.91555555555555557</c:v>
                </c:pt>
                <c:pt idx="81">
                  <c:v>0.97415506958250497</c:v>
                </c:pt>
                <c:pt idx="82">
                  <c:v>0.97415506958250497</c:v>
                </c:pt>
                <c:pt idx="83">
                  <c:v>0.94246031746031744</c:v>
                </c:pt>
                <c:pt idx="84">
                  <c:v>0.90222222222222226</c:v>
                </c:pt>
                <c:pt idx="85">
                  <c:v>0.87777777777777777</c:v>
                </c:pt>
                <c:pt idx="86">
                  <c:v>0.94035087719298249</c:v>
                </c:pt>
                <c:pt idx="87">
                  <c:v>0.96491228070175439</c:v>
                </c:pt>
                <c:pt idx="88">
                  <c:v>0.92456140350877192</c:v>
                </c:pt>
                <c:pt idx="89">
                  <c:v>0.7844444444444445</c:v>
                </c:pt>
                <c:pt idx="90">
                  <c:v>0.83111111111111113</c:v>
                </c:pt>
                <c:pt idx="91">
                  <c:v>0.87154150197628455</c:v>
                </c:pt>
                <c:pt idx="92">
                  <c:v>0.92292490118577075</c:v>
                </c:pt>
                <c:pt idx="93">
                  <c:v>0.91715976331360949</c:v>
                </c:pt>
                <c:pt idx="94">
                  <c:v>0.80888888888888888</c:v>
                </c:pt>
                <c:pt idx="95">
                  <c:v>0.81555555555555559</c:v>
                </c:pt>
                <c:pt idx="96">
                  <c:v>0.91044776119402981</c:v>
                </c:pt>
                <c:pt idx="97">
                  <c:v>0.91723202170963369</c:v>
                </c:pt>
                <c:pt idx="98">
                  <c:v>0.1822429906542056</c:v>
                </c:pt>
                <c:pt idx="99">
                  <c:v>0.16888888888888889</c:v>
                </c:pt>
                <c:pt idx="100">
                  <c:v>0.35777777777777775</c:v>
                </c:pt>
                <c:pt idx="101">
                  <c:v>0.26093514328808448</c:v>
                </c:pt>
                <c:pt idx="102">
                  <c:v>0.21987951807228914</c:v>
                </c:pt>
                <c:pt idx="103">
                  <c:v>0.43072289156626509</c:v>
                </c:pt>
                <c:pt idx="104">
                  <c:v>0.51656626506024095</c:v>
                </c:pt>
                <c:pt idx="105">
                  <c:v>0.52108433734939763</c:v>
                </c:pt>
                <c:pt idx="106">
                  <c:v>0.86444444444444446</c:v>
                </c:pt>
                <c:pt idx="107">
                  <c:v>0.98575949367088611</c:v>
                </c:pt>
                <c:pt idx="108">
                  <c:v>6.8888888888888888E-2</c:v>
                </c:pt>
                <c:pt idx="109">
                  <c:v>0.18638573743922204</c:v>
                </c:pt>
                <c:pt idx="110">
                  <c:v>0.13111111111111112</c:v>
                </c:pt>
                <c:pt idx="111">
                  <c:v>0.29518072289156627</c:v>
                </c:pt>
                <c:pt idx="112">
                  <c:v>0.12979351032448377</c:v>
                </c:pt>
                <c:pt idx="113">
                  <c:v>0.16576086956521738</c:v>
                </c:pt>
                <c:pt idx="114">
                  <c:v>0.21333333333333335</c:v>
                </c:pt>
                <c:pt idx="115">
                  <c:v>0.45333333333333331</c:v>
                </c:pt>
                <c:pt idx="116">
                  <c:v>0.37551581843191195</c:v>
                </c:pt>
                <c:pt idx="117">
                  <c:v>0.41678129298486932</c:v>
                </c:pt>
                <c:pt idx="118">
                  <c:v>0.57771664374140308</c:v>
                </c:pt>
                <c:pt idx="119">
                  <c:v>0.80222222222222217</c:v>
                </c:pt>
                <c:pt idx="120">
                  <c:v>0.83333333333333337</c:v>
                </c:pt>
                <c:pt idx="121">
                  <c:v>0.89189189189189189</c:v>
                </c:pt>
                <c:pt idx="122">
                  <c:v>0.95777027027027029</c:v>
                </c:pt>
                <c:pt idx="123">
                  <c:v>0.93423271500843175</c:v>
                </c:pt>
                <c:pt idx="124">
                  <c:v>0.86888888888888893</c:v>
                </c:pt>
                <c:pt idx="125">
                  <c:v>0.89170896785109988</c:v>
                </c:pt>
                <c:pt idx="126">
                  <c:v>0.92047377326565138</c:v>
                </c:pt>
                <c:pt idx="127">
                  <c:v>0.90878378378378377</c:v>
                </c:pt>
                <c:pt idx="128">
                  <c:v>0.9921875</c:v>
                </c:pt>
                <c:pt idx="129">
                  <c:v>0.71333333333333337</c:v>
                </c:pt>
                <c:pt idx="130">
                  <c:v>0.89104477611940303</c:v>
                </c:pt>
                <c:pt idx="131">
                  <c:v>0.93432835820895521</c:v>
                </c:pt>
                <c:pt idx="132">
                  <c:v>0.97615499254843519</c:v>
                </c:pt>
                <c:pt idx="133">
                  <c:v>0.99515347334410342</c:v>
                </c:pt>
                <c:pt idx="134">
                  <c:v>0.99333333333333329</c:v>
                </c:pt>
                <c:pt idx="135">
                  <c:v>0.99801192842942343</c:v>
                </c:pt>
                <c:pt idx="136">
                  <c:v>0.99602385685884687</c:v>
                </c:pt>
                <c:pt idx="137">
                  <c:v>0.99204771371769385</c:v>
                </c:pt>
                <c:pt idx="138">
                  <c:v>0.99099099099099097</c:v>
                </c:pt>
                <c:pt idx="139">
                  <c:v>0.23333333333333334</c:v>
                </c:pt>
                <c:pt idx="140">
                  <c:v>0.30222222222222223</c:v>
                </c:pt>
                <c:pt idx="141">
                  <c:v>0.27922971114167811</c:v>
                </c:pt>
                <c:pt idx="142">
                  <c:v>0.27647867950481431</c:v>
                </c:pt>
                <c:pt idx="143">
                  <c:v>0.30494505494505497</c:v>
                </c:pt>
                <c:pt idx="144">
                  <c:v>0.39285714285714285</c:v>
                </c:pt>
                <c:pt idx="145">
                  <c:v>0.02</c:v>
                </c:pt>
                <c:pt idx="146">
                  <c:v>3.111111111111111E-2</c:v>
                </c:pt>
                <c:pt idx="147">
                  <c:v>4.3923865300146414E-2</c:v>
                </c:pt>
                <c:pt idx="148">
                  <c:v>5.4172767203513911E-2</c:v>
                </c:pt>
                <c:pt idx="149">
                  <c:v>7.0278184480234263E-2</c:v>
                </c:pt>
                <c:pt idx="150">
                  <c:v>7.4670571010248904E-2</c:v>
                </c:pt>
                <c:pt idx="151">
                  <c:v>0.11695906432748537</c:v>
                </c:pt>
                <c:pt idx="152">
                  <c:v>2.4444444444444446E-2</c:v>
                </c:pt>
                <c:pt idx="153">
                  <c:v>7.1111111111111111E-2</c:v>
                </c:pt>
                <c:pt idx="154">
                  <c:v>9.3333333333333338E-2</c:v>
                </c:pt>
                <c:pt idx="155">
                  <c:v>8.3185840707964601E-2</c:v>
                </c:pt>
                <c:pt idx="156">
                  <c:v>0.1519434628975265</c:v>
                </c:pt>
                <c:pt idx="157">
                  <c:v>1.1111111111111112E-2</c:v>
                </c:pt>
                <c:pt idx="158">
                  <c:v>4.4444444444444444E-3</c:v>
                </c:pt>
                <c:pt idx="159">
                  <c:v>1.1764705882352941E-2</c:v>
                </c:pt>
                <c:pt idx="160">
                  <c:v>5.0880626223091974E-2</c:v>
                </c:pt>
                <c:pt idx="161">
                  <c:v>9.393346379647749E-2</c:v>
                </c:pt>
                <c:pt idx="162">
                  <c:v>9.7777777777777783E-2</c:v>
                </c:pt>
                <c:pt idx="163">
                  <c:v>9.1030789825970543E-2</c:v>
                </c:pt>
                <c:pt idx="164">
                  <c:v>8.7014725568942436E-2</c:v>
                </c:pt>
                <c:pt idx="165">
                  <c:v>0.12048192771084337</c:v>
                </c:pt>
                <c:pt idx="166">
                  <c:v>0.11914323962516733</c:v>
                </c:pt>
                <c:pt idx="167">
                  <c:v>0.12182061579651941</c:v>
                </c:pt>
                <c:pt idx="168">
                  <c:v>4.4444444444444444E-3</c:v>
                </c:pt>
                <c:pt idx="169">
                  <c:v>8.8888888888888889E-3</c:v>
                </c:pt>
                <c:pt idx="170">
                  <c:v>1.7123287671232876E-2</c:v>
                </c:pt>
                <c:pt idx="171">
                  <c:v>1.3698630136986301E-2</c:v>
                </c:pt>
                <c:pt idx="172">
                  <c:v>5.6410256410256411E-2</c:v>
                </c:pt>
              </c:numCache>
            </c:numRef>
          </c:xVal>
          <c:yVal>
            <c:numRef>
              <c:f>RaceWorksheet!$A$2:$A$174</c:f>
              <c:numCache>
                <c:formatCode>0.0%</c:formatCode>
                <c:ptCount val="173"/>
                <c:pt idx="0">
                  <c:v>0.15580736543909349</c:v>
                </c:pt>
                <c:pt idx="1">
                  <c:v>0.10516605166051661</c:v>
                </c:pt>
                <c:pt idx="2">
                  <c:v>0.12534059945504086</c:v>
                </c:pt>
                <c:pt idx="3">
                  <c:v>0.14420803782505912</c:v>
                </c:pt>
                <c:pt idx="4">
                  <c:v>0.15144766146993319</c:v>
                </c:pt>
                <c:pt idx="5">
                  <c:v>0.14465408805031446</c:v>
                </c:pt>
                <c:pt idx="6">
                  <c:v>0.15508021390374332</c:v>
                </c:pt>
                <c:pt idx="7">
                  <c:v>0.22410147991543342</c:v>
                </c:pt>
                <c:pt idx="8">
                  <c:v>0.23427331887201736</c:v>
                </c:pt>
                <c:pt idx="9">
                  <c:v>0.26601941747572816</c:v>
                </c:pt>
                <c:pt idx="10">
                  <c:v>0.80487804878048785</c:v>
                </c:pt>
                <c:pt idx="11">
                  <c:v>0.65454545454545454</c:v>
                </c:pt>
                <c:pt idx="12">
                  <c:v>0.73043478260869565</c:v>
                </c:pt>
                <c:pt idx="13">
                  <c:v>0.76659038901601828</c:v>
                </c:pt>
                <c:pt idx="14">
                  <c:v>0.80154639175257736</c:v>
                </c:pt>
                <c:pt idx="15">
                  <c:v>0.77192982456140347</c:v>
                </c:pt>
                <c:pt idx="16">
                  <c:v>0.76769911504424782</c:v>
                </c:pt>
                <c:pt idx="17">
                  <c:v>9.2348284960422161E-2</c:v>
                </c:pt>
                <c:pt idx="18">
                  <c:v>5.2837573385518588E-2</c:v>
                </c:pt>
                <c:pt idx="19">
                  <c:v>6.6666666666666666E-2</c:v>
                </c:pt>
                <c:pt idx="20">
                  <c:v>9.8196392785571143E-2</c:v>
                </c:pt>
                <c:pt idx="21">
                  <c:v>0.11855670103092783</c:v>
                </c:pt>
                <c:pt idx="22">
                  <c:v>0.10352941176470588</c:v>
                </c:pt>
                <c:pt idx="23">
                  <c:v>0.12037037037037036</c:v>
                </c:pt>
                <c:pt idx="24">
                  <c:v>0.11910669975186104</c:v>
                </c:pt>
                <c:pt idx="25">
                  <c:v>7.5187969924812026E-2</c:v>
                </c:pt>
                <c:pt idx="26">
                  <c:v>6.6176470588235295E-2</c:v>
                </c:pt>
                <c:pt idx="27">
                  <c:v>8.1481481481481488E-2</c:v>
                </c:pt>
                <c:pt idx="28">
                  <c:v>0.21502590673575128</c:v>
                </c:pt>
                <c:pt idx="29">
                  <c:v>0.22508591065292097</c:v>
                </c:pt>
                <c:pt idx="30">
                  <c:v>0.16261682242990655</c:v>
                </c:pt>
                <c:pt idx="31">
                  <c:v>0.12521440823327615</c:v>
                </c:pt>
                <c:pt idx="32">
                  <c:v>9.5108695652173919E-2</c:v>
                </c:pt>
                <c:pt idx="33">
                  <c:v>0.10101010101010101</c:v>
                </c:pt>
                <c:pt idx="34">
                  <c:v>5.8823529411764705E-2</c:v>
                </c:pt>
                <c:pt idx="35">
                  <c:v>0.1222707423580786</c:v>
                </c:pt>
                <c:pt idx="36">
                  <c:v>6.4159292035398233E-2</c:v>
                </c:pt>
                <c:pt idx="37">
                  <c:v>8.5062240663900418E-2</c:v>
                </c:pt>
                <c:pt idx="38">
                  <c:v>7.7071290944123308E-2</c:v>
                </c:pt>
                <c:pt idx="39">
                  <c:v>0.78600823045267487</c:v>
                </c:pt>
                <c:pt idx="40">
                  <c:v>0.75563909774436089</c:v>
                </c:pt>
                <c:pt idx="41">
                  <c:v>0.60223048327137552</c:v>
                </c:pt>
                <c:pt idx="42">
                  <c:v>0.74183976261127593</c:v>
                </c:pt>
                <c:pt idx="43">
                  <c:v>0.79054054054054057</c:v>
                </c:pt>
                <c:pt idx="44">
                  <c:v>0.58762886597938147</c:v>
                </c:pt>
                <c:pt idx="45">
                  <c:v>0.18181818181818182</c:v>
                </c:pt>
                <c:pt idx="46">
                  <c:v>0.15686274509803921</c:v>
                </c:pt>
                <c:pt idx="47">
                  <c:v>0.15942028985507245</c:v>
                </c:pt>
                <c:pt idx="48">
                  <c:v>0.19772727272727272</c:v>
                </c:pt>
                <c:pt idx="49">
                  <c:v>0.17381974248927037</c:v>
                </c:pt>
                <c:pt idx="50">
                  <c:v>0.14360313315926893</c:v>
                </c:pt>
                <c:pt idx="51">
                  <c:v>0.14578005115089515</c:v>
                </c:pt>
                <c:pt idx="52">
                  <c:v>0.12521739130434784</c:v>
                </c:pt>
                <c:pt idx="53">
                  <c:v>0.11355311355311355</c:v>
                </c:pt>
                <c:pt idx="54">
                  <c:v>0.13989637305699482</c:v>
                </c:pt>
                <c:pt idx="55">
                  <c:v>0.11286089238845144</c:v>
                </c:pt>
                <c:pt idx="56">
                  <c:v>9.9750623441396513E-2</c:v>
                </c:pt>
                <c:pt idx="57">
                  <c:v>0.11244019138755981</c:v>
                </c:pt>
                <c:pt idx="58">
                  <c:v>0.10364145658263306</c:v>
                </c:pt>
                <c:pt idx="59">
                  <c:v>6.5326633165829151E-2</c:v>
                </c:pt>
                <c:pt idx="60">
                  <c:v>0.14595660749506903</c:v>
                </c:pt>
                <c:pt idx="61">
                  <c:v>9.4230769230769229E-2</c:v>
                </c:pt>
                <c:pt idx="62">
                  <c:v>0.10576923076923077</c:v>
                </c:pt>
                <c:pt idx="63">
                  <c:v>0.12681159420289856</c:v>
                </c:pt>
                <c:pt idx="64">
                  <c:v>7.4999999999999997E-2</c:v>
                </c:pt>
                <c:pt idx="65">
                  <c:v>8.1439393939393936E-2</c:v>
                </c:pt>
                <c:pt idx="66">
                  <c:v>9.5602294455066919E-2</c:v>
                </c:pt>
                <c:pt idx="67">
                  <c:v>0.10057471264367816</c:v>
                </c:pt>
                <c:pt idx="68">
                  <c:v>8.2262210796915161E-2</c:v>
                </c:pt>
                <c:pt idx="69">
                  <c:v>0.13001912045889102</c:v>
                </c:pt>
                <c:pt idx="70">
                  <c:v>9.3567251461988299E-2</c:v>
                </c:pt>
                <c:pt idx="71">
                  <c:v>0.15328467153284672</c:v>
                </c:pt>
                <c:pt idx="72">
                  <c:v>0.11369509043927649</c:v>
                </c:pt>
                <c:pt idx="73">
                  <c:v>9.8557692307692304E-2</c:v>
                </c:pt>
                <c:pt idx="74">
                  <c:v>7.3791348600508899E-2</c:v>
                </c:pt>
                <c:pt idx="75">
                  <c:v>0.10565110565110565</c:v>
                </c:pt>
                <c:pt idx="76">
                  <c:v>9.2731829573934832E-2</c:v>
                </c:pt>
                <c:pt idx="77">
                  <c:v>5.8823529411764705E-2</c:v>
                </c:pt>
                <c:pt idx="78">
                  <c:v>9.8445595854922283E-2</c:v>
                </c:pt>
                <c:pt idx="79">
                  <c:v>0.10846560846560846</c:v>
                </c:pt>
                <c:pt idx="80">
                  <c:v>0.13031161473087818</c:v>
                </c:pt>
                <c:pt idx="81">
                  <c:v>9.3922651933701654E-2</c:v>
                </c:pt>
                <c:pt idx="82">
                  <c:v>0.12032085561497326</c:v>
                </c:pt>
                <c:pt idx="83">
                  <c:v>0.13186813186813187</c:v>
                </c:pt>
                <c:pt idx="84">
                  <c:v>0.13675213675213677</c:v>
                </c:pt>
                <c:pt idx="85">
                  <c:v>0.15384615384615385</c:v>
                </c:pt>
                <c:pt idx="86">
                  <c:v>0.12408759124087591</c:v>
                </c:pt>
                <c:pt idx="87">
                  <c:v>0.12814070351758794</c:v>
                </c:pt>
                <c:pt idx="88">
                  <c:v>0.14252873563218391</c:v>
                </c:pt>
                <c:pt idx="89">
                  <c:v>0.22651933701657459</c:v>
                </c:pt>
                <c:pt idx="90">
                  <c:v>0.20168067226890757</c:v>
                </c:pt>
                <c:pt idx="91">
                  <c:v>0.18285714285714286</c:v>
                </c:pt>
                <c:pt idx="92">
                  <c:v>0.14647887323943662</c:v>
                </c:pt>
                <c:pt idx="93">
                  <c:v>0.15934065934065933</c:v>
                </c:pt>
                <c:pt idx="94">
                  <c:v>0.17125382262996941</c:v>
                </c:pt>
                <c:pt idx="95">
                  <c:v>0.17101449275362318</c:v>
                </c:pt>
                <c:pt idx="96">
                  <c:v>0.13996316758747698</c:v>
                </c:pt>
                <c:pt idx="97">
                  <c:v>0.10469314079422383</c:v>
                </c:pt>
                <c:pt idx="98">
                  <c:v>0.60919540229885061</c:v>
                </c:pt>
                <c:pt idx="99">
                  <c:v>0.56507936507936507</c:v>
                </c:pt>
                <c:pt idx="100">
                  <c:v>0.46341463414634149</c:v>
                </c:pt>
                <c:pt idx="101">
                  <c:v>0.50378787878787878</c:v>
                </c:pt>
                <c:pt idx="102">
                  <c:v>0.60288065843621397</c:v>
                </c:pt>
                <c:pt idx="103">
                  <c:v>0.51011235955056178</c:v>
                </c:pt>
                <c:pt idx="104">
                  <c:v>0.44927536231884058</c:v>
                </c:pt>
                <c:pt idx="105">
                  <c:v>0.50189393939393945</c:v>
                </c:pt>
                <c:pt idx="106">
                  <c:v>4.6753246753246755E-2</c:v>
                </c:pt>
                <c:pt idx="107">
                  <c:v>5.8704453441295545E-2</c:v>
                </c:pt>
                <c:pt idx="108">
                  <c:v>0.57763975155279501</c:v>
                </c:pt>
                <c:pt idx="109">
                  <c:v>0.63796909492273735</c:v>
                </c:pt>
                <c:pt idx="110">
                  <c:v>0.43613707165109034</c:v>
                </c:pt>
                <c:pt idx="111">
                  <c:v>0.43359375</c:v>
                </c:pt>
                <c:pt idx="112">
                  <c:v>0.68041237113402064</c:v>
                </c:pt>
                <c:pt idx="113">
                  <c:v>0.51851851851851849</c:v>
                </c:pt>
                <c:pt idx="114">
                  <c:v>0.51459854014598538</c:v>
                </c:pt>
                <c:pt idx="115">
                  <c:v>0.43626062322946174</c:v>
                </c:pt>
                <c:pt idx="116">
                  <c:v>0.51356589147286824</c:v>
                </c:pt>
                <c:pt idx="117">
                  <c:v>0.50924024640657084</c:v>
                </c:pt>
                <c:pt idx="118">
                  <c:v>0.41856060606060608</c:v>
                </c:pt>
                <c:pt idx="119">
                  <c:v>0.1716867469879518</c:v>
                </c:pt>
                <c:pt idx="120">
                  <c:v>0.20172910662824209</c:v>
                </c:pt>
                <c:pt idx="121">
                  <c:v>0.15137614678899083</c:v>
                </c:pt>
                <c:pt idx="122">
                  <c:v>0.12470023980815348</c:v>
                </c:pt>
                <c:pt idx="123">
                  <c:v>0.13507109004739337</c:v>
                </c:pt>
                <c:pt idx="124">
                  <c:v>8.1920903954802254E-2</c:v>
                </c:pt>
                <c:pt idx="125">
                  <c:v>0.1711111111111111</c:v>
                </c:pt>
                <c:pt idx="126">
                  <c:v>0.12413793103448276</c:v>
                </c:pt>
                <c:pt idx="127">
                  <c:v>0.15476190476190477</c:v>
                </c:pt>
                <c:pt idx="128">
                  <c:v>0.13480392156862744</c:v>
                </c:pt>
                <c:pt idx="129">
                  <c:v>0.33753943217665616</c:v>
                </c:pt>
                <c:pt idx="130">
                  <c:v>0.21772639691714837</c:v>
                </c:pt>
                <c:pt idx="131">
                  <c:v>0.19246031746031747</c:v>
                </c:pt>
                <c:pt idx="132">
                  <c:v>0.23529411764705882</c:v>
                </c:pt>
                <c:pt idx="133">
                  <c:v>0.15674603174603174</c:v>
                </c:pt>
                <c:pt idx="134">
                  <c:v>0.11044776119402985</c:v>
                </c:pt>
                <c:pt idx="135">
                  <c:v>0.14355231143552311</c:v>
                </c:pt>
                <c:pt idx="136">
                  <c:v>0.11320754716981132</c:v>
                </c:pt>
                <c:pt idx="137">
                  <c:v>0.19575471698113209</c:v>
                </c:pt>
                <c:pt idx="138">
                  <c:v>0.16352201257861634</c:v>
                </c:pt>
                <c:pt idx="139">
                  <c:v>0.66772151898734178</c:v>
                </c:pt>
                <c:pt idx="140">
                  <c:v>0.6394366197183099</c:v>
                </c:pt>
                <c:pt idx="141">
                  <c:v>0.67917448405253278</c:v>
                </c:pt>
                <c:pt idx="142">
                  <c:v>0.68711656441717794</c:v>
                </c:pt>
                <c:pt idx="143">
                  <c:v>0.67820773930753564</c:v>
                </c:pt>
                <c:pt idx="144">
                  <c:v>0.59823008849557524</c:v>
                </c:pt>
                <c:pt idx="145">
                  <c:v>0.78481012658227844</c:v>
                </c:pt>
                <c:pt idx="146">
                  <c:v>0.87392550143266479</c:v>
                </c:pt>
                <c:pt idx="147">
                  <c:v>0.89183673469387759</c:v>
                </c:pt>
                <c:pt idx="148">
                  <c:v>0.87826086956521743</c:v>
                </c:pt>
                <c:pt idx="149">
                  <c:v>0.87586206896551722</c:v>
                </c:pt>
                <c:pt idx="150">
                  <c:v>0.88235294117647056</c:v>
                </c:pt>
                <c:pt idx="151">
                  <c:v>0.87044534412955465</c:v>
                </c:pt>
                <c:pt idx="152">
                  <c:v>0.8127490039840638</c:v>
                </c:pt>
                <c:pt idx="153">
                  <c:v>0.82352941176470584</c:v>
                </c:pt>
                <c:pt idx="154">
                  <c:v>0.85046728971962615</c:v>
                </c:pt>
                <c:pt idx="155">
                  <c:v>0.89717223650385602</c:v>
                </c:pt>
                <c:pt idx="156">
                  <c:v>0.82105263157894737</c:v>
                </c:pt>
                <c:pt idx="157">
                  <c:v>0.78091872791519434</c:v>
                </c:pt>
                <c:pt idx="158">
                  <c:v>0.89534883720930236</c:v>
                </c:pt>
                <c:pt idx="159">
                  <c:v>0.90858725761772852</c:v>
                </c:pt>
                <c:pt idx="160">
                  <c:v>0.87058823529411766</c:v>
                </c:pt>
                <c:pt idx="161">
                  <c:v>0.85087719298245612</c:v>
                </c:pt>
                <c:pt idx="162">
                  <c:v>0.74919614147909963</c:v>
                </c:pt>
                <c:pt idx="163">
                  <c:v>0.78407079646017697</c:v>
                </c:pt>
                <c:pt idx="164">
                  <c:v>0.83953033268101762</c:v>
                </c:pt>
                <c:pt idx="165">
                  <c:v>0.8303571428571429</c:v>
                </c:pt>
                <c:pt idx="166">
                  <c:v>0.86458333333333337</c:v>
                </c:pt>
                <c:pt idx="167">
                  <c:v>0.85315985130111527</c:v>
                </c:pt>
                <c:pt idx="168">
                  <c:v>0.84558823529411764</c:v>
                </c:pt>
                <c:pt idx="169">
                  <c:v>0.89504373177842567</c:v>
                </c:pt>
                <c:pt idx="170">
                  <c:v>0.91232227488151663</c:v>
                </c:pt>
                <c:pt idx="171">
                  <c:v>0.90934065934065933</c:v>
                </c:pt>
                <c:pt idx="172">
                  <c:v>0.90314136125654454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5B-4B22-8A69-A7454E86E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067247"/>
        <c:axId val="305945503"/>
      </c:scatterChart>
      <c:valAx>
        <c:axId val="4720672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945503"/>
        <c:crosses val="autoZero"/>
        <c:crossBetween val="midCat"/>
      </c:valAx>
      <c:valAx>
        <c:axId val="30594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067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PN% vs Malay% P127 Jempol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197900262467191"/>
                  <c:y val="-0.17099117818606008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RaceWorksheet!$J$2:$J$174</c:f>
              <c:numCache>
                <c:formatCode>0.0%</c:formatCode>
                <c:ptCount val="173"/>
                <c:pt idx="0">
                  <c:v>0.98</c:v>
                </c:pt>
                <c:pt idx="1">
                  <c:v>0.99563318777292575</c:v>
                </c:pt>
                <c:pt idx="2">
                  <c:v>0.99111111111111116</c:v>
                </c:pt>
                <c:pt idx="3">
                  <c:v>0.9963503649635036</c:v>
                </c:pt>
                <c:pt idx="4">
                  <c:v>0.99817850637522765</c:v>
                </c:pt>
                <c:pt idx="5">
                  <c:v>0.94444444444444442</c:v>
                </c:pt>
                <c:pt idx="6">
                  <c:v>0.94444444444444442</c:v>
                </c:pt>
                <c:pt idx="7">
                  <c:v>0.90125391849529779</c:v>
                </c:pt>
                <c:pt idx="8">
                  <c:v>0.90438871473354232</c:v>
                </c:pt>
                <c:pt idx="9">
                  <c:v>0.93730407523510972</c:v>
                </c:pt>
                <c:pt idx="10">
                  <c:v>0.11855670103092783</c:v>
                </c:pt>
                <c:pt idx="11">
                  <c:v>0.14666666666666667</c:v>
                </c:pt>
                <c:pt idx="12">
                  <c:v>0.12</c:v>
                </c:pt>
                <c:pt idx="13">
                  <c:v>0.14238410596026491</c:v>
                </c:pt>
                <c:pt idx="14">
                  <c:v>0.14569536423841059</c:v>
                </c:pt>
                <c:pt idx="15">
                  <c:v>0.16363636363636364</c:v>
                </c:pt>
                <c:pt idx="16">
                  <c:v>0.1884297520661157</c:v>
                </c:pt>
                <c:pt idx="17">
                  <c:v>0.98888888888888893</c:v>
                </c:pt>
                <c:pt idx="18">
                  <c:v>0.99214145383104124</c:v>
                </c:pt>
                <c:pt idx="19">
                  <c:v>0.99214145383104124</c:v>
                </c:pt>
                <c:pt idx="20">
                  <c:v>0.98666666666666669</c:v>
                </c:pt>
                <c:pt idx="21">
                  <c:v>0.99626168224299061</c:v>
                </c:pt>
                <c:pt idx="22">
                  <c:v>0.99626168224299061</c:v>
                </c:pt>
                <c:pt idx="23">
                  <c:v>1</c:v>
                </c:pt>
                <c:pt idx="24">
                  <c:v>0.99333333333333329</c:v>
                </c:pt>
                <c:pt idx="25">
                  <c:v>0.99393019726858878</c:v>
                </c:pt>
                <c:pt idx="26">
                  <c:v>1</c:v>
                </c:pt>
                <c:pt idx="27">
                  <c:v>0.99848484848484853</c:v>
                </c:pt>
                <c:pt idx="28">
                  <c:v>0.76444444444444448</c:v>
                </c:pt>
                <c:pt idx="29">
                  <c:v>0.78342245989304815</c:v>
                </c:pt>
                <c:pt idx="30">
                  <c:v>0.87433155080213909</c:v>
                </c:pt>
                <c:pt idx="31">
                  <c:v>0.94518716577540107</c:v>
                </c:pt>
                <c:pt idx="32">
                  <c:v>0.92666666666666664</c:v>
                </c:pt>
                <c:pt idx="33">
                  <c:v>0.94444444444444442</c:v>
                </c:pt>
                <c:pt idx="34">
                  <c:v>0.9244444444444444</c:v>
                </c:pt>
                <c:pt idx="35">
                  <c:v>0.92935635792778648</c:v>
                </c:pt>
                <c:pt idx="36">
                  <c:v>0.97492163009404387</c:v>
                </c:pt>
                <c:pt idx="37">
                  <c:v>0.98119122257053293</c:v>
                </c:pt>
                <c:pt idx="38">
                  <c:v>0.98432601880877746</c:v>
                </c:pt>
                <c:pt idx="39">
                  <c:v>3.3333333333333333E-2</c:v>
                </c:pt>
                <c:pt idx="40">
                  <c:v>0.10835214446952596</c:v>
                </c:pt>
                <c:pt idx="41">
                  <c:v>1.5555555555555555E-2</c:v>
                </c:pt>
                <c:pt idx="42">
                  <c:v>1.0245901639344262E-2</c:v>
                </c:pt>
                <c:pt idx="43">
                  <c:v>3.2786885245901641E-2</c:v>
                </c:pt>
                <c:pt idx="44">
                  <c:v>0.13963963963963963</c:v>
                </c:pt>
                <c:pt idx="45">
                  <c:v>0.93111111111111111</c:v>
                </c:pt>
                <c:pt idx="46">
                  <c:v>0.93559322033898307</c:v>
                </c:pt>
                <c:pt idx="47">
                  <c:v>0.93728813559322033</c:v>
                </c:pt>
                <c:pt idx="48">
                  <c:v>0.96271186440677969</c:v>
                </c:pt>
                <c:pt idx="49">
                  <c:v>0.96779661016949148</c:v>
                </c:pt>
                <c:pt idx="50">
                  <c:v>0.99555555555555553</c:v>
                </c:pt>
                <c:pt idx="51">
                  <c:v>0.99555555555555553</c:v>
                </c:pt>
                <c:pt idx="52">
                  <c:v>0.99301675977653636</c:v>
                </c:pt>
                <c:pt idx="53">
                  <c:v>0.99721059972105996</c:v>
                </c:pt>
                <c:pt idx="54">
                  <c:v>1</c:v>
                </c:pt>
                <c:pt idx="55">
                  <c:v>0.9555555555555556</c:v>
                </c:pt>
                <c:pt idx="56">
                  <c:v>0.96654275092936803</c:v>
                </c:pt>
                <c:pt idx="57">
                  <c:v>0.99814471243042668</c:v>
                </c:pt>
                <c:pt idx="58">
                  <c:v>0.9</c:v>
                </c:pt>
                <c:pt idx="59">
                  <c:v>0.97555555555555551</c:v>
                </c:pt>
                <c:pt idx="60">
                  <c:v>0.8771186440677966</c:v>
                </c:pt>
                <c:pt idx="61">
                  <c:v>0.96327683615819204</c:v>
                </c:pt>
                <c:pt idx="62">
                  <c:v>0.9647390691114246</c:v>
                </c:pt>
                <c:pt idx="63">
                  <c:v>0.922425952045134</c:v>
                </c:pt>
                <c:pt idx="64">
                  <c:v>0.9</c:v>
                </c:pt>
                <c:pt idx="65">
                  <c:v>0.9285714285714286</c:v>
                </c:pt>
                <c:pt idx="66">
                  <c:v>0.95571428571428574</c:v>
                </c:pt>
                <c:pt idx="67">
                  <c:v>0.87333333333333329</c:v>
                </c:pt>
                <c:pt idx="68">
                  <c:v>0.9244444444444444</c:v>
                </c:pt>
                <c:pt idx="69">
                  <c:v>0.89612188365650969</c:v>
                </c:pt>
                <c:pt idx="70">
                  <c:v>0.95573997233748276</c:v>
                </c:pt>
                <c:pt idx="71">
                  <c:v>0.89211618257261416</c:v>
                </c:pt>
                <c:pt idx="72">
                  <c:v>0.99333333333333329</c:v>
                </c:pt>
                <c:pt idx="73">
                  <c:v>1</c:v>
                </c:pt>
                <c:pt idx="74">
                  <c:v>0.99797979797979797</c:v>
                </c:pt>
                <c:pt idx="75">
                  <c:v>0.94</c:v>
                </c:pt>
                <c:pt idx="76">
                  <c:v>0.95126353790613716</c:v>
                </c:pt>
                <c:pt idx="77">
                  <c:v>0.95487364620938631</c:v>
                </c:pt>
                <c:pt idx="78">
                  <c:v>0.9513513513513514</c:v>
                </c:pt>
                <c:pt idx="79">
                  <c:v>0.92888888888888888</c:v>
                </c:pt>
                <c:pt idx="80">
                  <c:v>0.91555555555555557</c:v>
                </c:pt>
                <c:pt idx="81">
                  <c:v>0.97415506958250497</c:v>
                </c:pt>
                <c:pt idx="82">
                  <c:v>0.97415506958250497</c:v>
                </c:pt>
                <c:pt idx="83">
                  <c:v>0.94246031746031744</c:v>
                </c:pt>
                <c:pt idx="84">
                  <c:v>0.90222222222222226</c:v>
                </c:pt>
                <c:pt idx="85">
                  <c:v>0.87777777777777777</c:v>
                </c:pt>
                <c:pt idx="86">
                  <c:v>0.94035087719298249</c:v>
                </c:pt>
                <c:pt idx="87">
                  <c:v>0.96491228070175439</c:v>
                </c:pt>
                <c:pt idx="88">
                  <c:v>0.92456140350877192</c:v>
                </c:pt>
                <c:pt idx="89">
                  <c:v>0.7844444444444445</c:v>
                </c:pt>
                <c:pt idx="90">
                  <c:v>0.83111111111111113</c:v>
                </c:pt>
                <c:pt idx="91">
                  <c:v>0.87154150197628455</c:v>
                </c:pt>
                <c:pt idx="92">
                  <c:v>0.92292490118577075</c:v>
                </c:pt>
                <c:pt idx="93">
                  <c:v>0.91715976331360949</c:v>
                </c:pt>
                <c:pt idx="94">
                  <c:v>0.80888888888888888</c:v>
                </c:pt>
                <c:pt idx="95">
                  <c:v>0.81555555555555559</c:v>
                </c:pt>
                <c:pt idx="96">
                  <c:v>0.91044776119402981</c:v>
                </c:pt>
                <c:pt idx="97">
                  <c:v>0.91723202170963369</c:v>
                </c:pt>
                <c:pt idx="98">
                  <c:v>0.1822429906542056</c:v>
                </c:pt>
                <c:pt idx="99">
                  <c:v>0.16888888888888889</c:v>
                </c:pt>
                <c:pt idx="100">
                  <c:v>0.35777777777777775</c:v>
                </c:pt>
                <c:pt idx="101">
                  <c:v>0.26093514328808448</c:v>
                </c:pt>
                <c:pt idx="102">
                  <c:v>0.21987951807228914</c:v>
                </c:pt>
                <c:pt idx="103">
                  <c:v>0.43072289156626509</c:v>
                </c:pt>
                <c:pt idx="104">
                  <c:v>0.51656626506024095</c:v>
                </c:pt>
                <c:pt idx="105">
                  <c:v>0.52108433734939763</c:v>
                </c:pt>
                <c:pt idx="106">
                  <c:v>0.86444444444444446</c:v>
                </c:pt>
                <c:pt idx="107">
                  <c:v>0.98575949367088611</c:v>
                </c:pt>
                <c:pt idx="108">
                  <c:v>6.8888888888888888E-2</c:v>
                </c:pt>
                <c:pt idx="109">
                  <c:v>0.18638573743922204</c:v>
                </c:pt>
                <c:pt idx="110">
                  <c:v>0.13111111111111112</c:v>
                </c:pt>
                <c:pt idx="111">
                  <c:v>0.29518072289156627</c:v>
                </c:pt>
                <c:pt idx="112">
                  <c:v>0.12979351032448377</c:v>
                </c:pt>
                <c:pt idx="113">
                  <c:v>0.16576086956521738</c:v>
                </c:pt>
                <c:pt idx="114">
                  <c:v>0.21333333333333335</c:v>
                </c:pt>
                <c:pt idx="115">
                  <c:v>0.45333333333333331</c:v>
                </c:pt>
                <c:pt idx="116">
                  <c:v>0.37551581843191195</c:v>
                </c:pt>
                <c:pt idx="117">
                  <c:v>0.41678129298486932</c:v>
                </c:pt>
                <c:pt idx="118">
                  <c:v>0.57771664374140308</c:v>
                </c:pt>
                <c:pt idx="119">
                  <c:v>0.80222222222222217</c:v>
                </c:pt>
                <c:pt idx="120">
                  <c:v>0.83333333333333337</c:v>
                </c:pt>
                <c:pt idx="121">
                  <c:v>0.89189189189189189</c:v>
                </c:pt>
                <c:pt idx="122">
                  <c:v>0.95777027027027029</c:v>
                </c:pt>
                <c:pt idx="123">
                  <c:v>0.93423271500843175</c:v>
                </c:pt>
                <c:pt idx="124">
                  <c:v>0.86888888888888893</c:v>
                </c:pt>
                <c:pt idx="125">
                  <c:v>0.89170896785109988</c:v>
                </c:pt>
                <c:pt idx="126">
                  <c:v>0.92047377326565138</c:v>
                </c:pt>
                <c:pt idx="127">
                  <c:v>0.90878378378378377</c:v>
                </c:pt>
                <c:pt idx="128">
                  <c:v>0.9921875</c:v>
                </c:pt>
                <c:pt idx="129">
                  <c:v>0.71333333333333337</c:v>
                </c:pt>
                <c:pt idx="130">
                  <c:v>0.89104477611940303</c:v>
                </c:pt>
                <c:pt idx="131">
                  <c:v>0.93432835820895521</c:v>
                </c:pt>
                <c:pt idx="132">
                  <c:v>0.97615499254843519</c:v>
                </c:pt>
                <c:pt idx="133">
                  <c:v>0.99515347334410342</c:v>
                </c:pt>
                <c:pt idx="134">
                  <c:v>0.99333333333333329</c:v>
                </c:pt>
                <c:pt idx="135">
                  <c:v>0.99801192842942343</c:v>
                </c:pt>
                <c:pt idx="136">
                  <c:v>0.99602385685884687</c:v>
                </c:pt>
                <c:pt idx="137">
                  <c:v>0.99204771371769385</c:v>
                </c:pt>
                <c:pt idx="138">
                  <c:v>0.99099099099099097</c:v>
                </c:pt>
                <c:pt idx="139">
                  <c:v>0.23333333333333334</c:v>
                </c:pt>
                <c:pt idx="140">
                  <c:v>0.30222222222222223</c:v>
                </c:pt>
                <c:pt idx="141">
                  <c:v>0.27922971114167811</c:v>
                </c:pt>
                <c:pt idx="142">
                  <c:v>0.27647867950481431</c:v>
                </c:pt>
                <c:pt idx="143">
                  <c:v>0.30494505494505497</c:v>
                </c:pt>
                <c:pt idx="144">
                  <c:v>0.39285714285714285</c:v>
                </c:pt>
                <c:pt idx="145">
                  <c:v>0.02</c:v>
                </c:pt>
                <c:pt idx="146">
                  <c:v>3.111111111111111E-2</c:v>
                </c:pt>
                <c:pt idx="147">
                  <c:v>4.3923865300146414E-2</c:v>
                </c:pt>
                <c:pt idx="148">
                  <c:v>5.4172767203513911E-2</c:v>
                </c:pt>
                <c:pt idx="149">
                  <c:v>7.0278184480234263E-2</c:v>
                </c:pt>
                <c:pt idx="150">
                  <c:v>7.4670571010248904E-2</c:v>
                </c:pt>
                <c:pt idx="151">
                  <c:v>0.11695906432748537</c:v>
                </c:pt>
                <c:pt idx="152">
                  <c:v>2.4444444444444446E-2</c:v>
                </c:pt>
                <c:pt idx="153">
                  <c:v>7.1111111111111111E-2</c:v>
                </c:pt>
                <c:pt idx="154">
                  <c:v>9.3333333333333338E-2</c:v>
                </c:pt>
                <c:pt idx="155">
                  <c:v>8.3185840707964601E-2</c:v>
                </c:pt>
                <c:pt idx="156">
                  <c:v>0.1519434628975265</c:v>
                </c:pt>
                <c:pt idx="157">
                  <c:v>1.1111111111111112E-2</c:v>
                </c:pt>
                <c:pt idx="158">
                  <c:v>4.4444444444444444E-3</c:v>
                </c:pt>
                <c:pt idx="159">
                  <c:v>1.1764705882352941E-2</c:v>
                </c:pt>
                <c:pt idx="160">
                  <c:v>5.0880626223091974E-2</c:v>
                </c:pt>
                <c:pt idx="161">
                  <c:v>9.393346379647749E-2</c:v>
                </c:pt>
                <c:pt idx="162">
                  <c:v>9.7777777777777783E-2</c:v>
                </c:pt>
                <c:pt idx="163">
                  <c:v>9.1030789825970543E-2</c:v>
                </c:pt>
                <c:pt idx="164">
                  <c:v>8.7014725568942436E-2</c:v>
                </c:pt>
                <c:pt idx="165">
                  <c:v>0.12048192771084337</c:v>
                </c:pt>
                <c:pt idx="166">
                  <c:v>0.11914323962516733</c:v>
                </c:pt>
                <c:pt idx="167">
                  <c:v>0.12182061579651941</c:v>
                </c:pt>
                <c:pt idx="168">
                  <c:v>4.4444444444444444E-3</c:v>
                </c:pt>
                <c:pt idx="169">
                  <c:v>8.8888888888888889E-3</c:v>
                </c:pt>
                <c:pt idx="170">
                  <c:v>1.7123287671232876E-2</c:v>
                </c:pt>
                <c:pt idx="171">
                  <c:v>1.3698630136986301E-2</c:v>
                </c:pt>
                <c:pt idx="172">
                  <c:v>5.6410256410256411E-2</c:v>
                </c:pt>
              </c:numCache>
            </c:numRef>
          </c:xVal>
          <c:yVal>
            <c:numRef>
              <c:f>RaceWorksheet!$B$2:$B$174</c:f>
              <c:numCache>
                <c:formatCode>0.0%</c:formatCode>
                <c:ptCount val="173"/>
                <c:pt idx="0">
                  <c:v>0.16713881019830029</c:v>
                </c:pt>
                <c:pt idx="1">
                  <c:v>0.37453874538745385</c:v>
                </c:pt>
                <c:pt idx="2">
                  <c:v>0.18256130790190736</c:v>
                </c:pt>
                <c:pt idx="3">
                  <c:v>0.3546099290780142</c:v>
                </c:pt>
                <c:pt idx="4">
                  <c:v>0.38530066815144765</c:v>
                </c:pt>
                <c:pt idx="5">
                  <c:v>0.21069182389937108</c:v>
                </c:pt>
                <c:pt idx="6">
                  <c:v>0.27540106951871657</c:v>
                </c:pt>
                <c:pt idx="7">
                  <c:v>0.33192389006342493</c:v>
                </c:pt>
                <c:pt idx="8">
                  <c:v>0.40130151843817785</c:v>
                </c:pt>
                <c:pt idx="9">
                  <c:v>0.37281553398058254</c:v>
                </c:pt>
                <c:pt idx="10">
                  <c:v>7.3170731707317069E-2</c:v>
                </c:pt>
                <c:pt idx="11">
                  <c:v>3.6363636363636362E-2</c:v>
                </c:pt>
                <c:pt idx="12">
                  <c:v>2.8985507246376812E-2</c:v>
                </c:pt>
                <c:pt idx="13">
                  <c:v>8.6956521739130432E-2</c:v>
                </c:pt>
                <c:pt idx="14">
                  <c:v>8.247422680412371E-2</c:v>
                </c:pt>
                <c:pt idx="15">
                  <c:v>7.7694235588972427E-2</c:v>
                </c:pt>
                <c:pt idx="16">
                  <c:v>0.10619469026548672</c:v>
                </c:pt>
                <c:pt idx="17">
                  <c:v>0.13192612137203166</c:v>
                </c:pt>
                <c:pt idx="18">
                  <c:v>0.28767123287671231</c:v>
                </c:pt>
                <c:pt idx="19">
                  <c:v>0.3961904761904762</c:v>
                </c:pt>
                <c:pt idx="20">
                  <c:v>0.35270541082164331</c:v>
                </c:pt>
                <c:pt idx="21">
                  <c:v>0.15979381443298968</c:v>
                </c:pt>
                <c:pt idx="22">
                  <c:v>0.33411764705882352</c:v>
                </c:pt>
                <c:pt idx="23">
                  <c:v>0.37731481481481483</c:v>
                </c:pt>
                <c:pt idx="24">
                  <c:v>0.38957816377171217</c:v>
                </c:pt>
                <c:pt idx="25">
                  <c:v>0.14285714285714285</c:v>
                </c:pt>
                <c:pt idx="26">
                  <c:v>0.40931372549019607</c:v>
                </c:pt>
                <c:pt idx="27">
                  <c:v>0.37530864197530867</c:v>
                </c:pt>
                <c:pt idx="28">
                  <c:v>0.15025906735751296</c:v>
                </c:pt>
                <c:pt idx="29">
                  <c:v>0.21134020618556701</c:v>
                </c:pt>
                <c:pt idx="30">
                  <c:v>0.3233644859813084</c:v>
                </c:pt>
                <c:pt idx="31">
                  <c:v>0.32590051457975988</c:v>
                </c:pt>
                <c:pt idx="32">
                  <c:v>0.15489130434782608</c:v>
                </c:pt>
                <c:pt idx="33">
                  <c:v>0.10606060606060606</c:v>
                </c:pt>
                <c:pt idx="34">
                  <c:v>0.19047619047619047</c:v>
                </c:pt>
                <c:pt idx="35">
                  <c:v>0.31659388646288211</c:v>
                </c:pt>
                <c:pt idx="36">
                  <c:v>0.29646017699115046</c:v>
                </c:pt>
                <c:pt idx="37">
                  <c:v>0.31742738589211617</c:v>
                </c:pt>
                <c:pt idx="38">
                  <c:v>0.32369942196531792</c:v>
                </c:pt>
                <c:pt idx="39">
                  <c:v>6.584362139917696E-2</c:v>
                </c:pt>
                <c:pt idx="40">
                  <c:v>5.2631578947368418E-2</c:v>
                </c:pt>
                <c:pt idx="41">
                  <c:v>6.6914498141263934E-2</c:v>
                </c:pt>
                <c:pt idx="42">
                  <c:v>4.4510385756676561E-2</c:v>
                </c:pt>
                <c:pt idx="43">
                  <c:v>3.0405405405405407E-2</c:v>
                </c:pt>
                <c:pt idx="44">
                  <c:v>5.1546391752577317E-2</c:v>
                </c:pt>
                <c:pt idx="45">
                  <c:v>0.19008264462809918</c:v>
                </c:pt>
                <c:pt idx="46">
                  <c:v>0.30065359477124182</c:v>
                </c:pt>
                <c:pt idx="47">
                  <c:v>0.38405797101449274</c:v>
                </c:pt>
                <c:pt idx="48">
                  <c:v>0.40909090909090912</c:v>
                </c:pt>
                <c:pt idx="49">
                  <c:v>0.43776824034334766</c:v>
                </c:pt>
                <c:pt idx="50">
                  <c:v>0.12010443864229765</c:v>
                </c:pt>
                <c:pt idx="51">
                  <c:v>0.1815856777493606</c:v>
                </c:pt>
                <c:pt idx="52">
                  <c:v>0.35130434782608694</c:v>
                </c:pt>
                <c:pt idx="53">
                  <c:v>0.41391941391941389</c:v>
                </c:pt>
                <c:pt idx="54">
                  <c:v>0.40069084628670121</c:v>
                </c:pt>
                <c:pt idx="55">
                  <c:v>0.15485564304461943</c:v>
                </c:pt>
                <c:pt idx="56">
                  <c:v>0.33915211970074816</c:v>
                </c:pt>
                <c:pt idx="57">
                  <c:v>0.35885167464114831</c:v>
                </c:pt>
                <c:pt idx="58">
                  <c:v>0.11204481792717087</c:v>
                </c:pt>
                <c:pt idx="59">
                  <c:v>0.10552763819095477</c:v>
                </c:pt>
                <c:pt idx="60">
                  <c:v>0.33333333333333331</c:v>
                </c:pt>
                <c:pt idx="61">
                  <c:v>0.44230769230769229</c:v>
                </c:pt>
                <c:pt idx="62">
                  <c:v>0.42692307692307691</c:v>
                </c:pt>
                <c:pt idx="63">
                  <c:v>0.39311594202898553</c:v>
                </c:pt>
                <c:pt idx="64">
                  <c:v>0.1875</c:v>
                </c:pt>
                <c:pt idx="65">
                  <c:v>0.39015151515151514</c:v>
                </c:pt>
                <c:pt idx="66">
                  <c:v>0.4627151051625239</c:v>
                </c:pt>
                <c:pt idx="67">
                  <c:v>0.10632183908045977</c:v>
                </c:pt>
                <c:pt idx="68">
                  <c:v>7.4550128534704371E-2</c:v>
                </c:pt>
                <c:pt idx="69">
                  <c:v>0.31931166347992351</c:v>
                </c:pt>
                <c:pt idx="70">
                  <c:v>0.391812865497076</c:v>
                </c:pt>
                <c:pt idx="71">
                  <c:v>0.3978102189781022</c:v>
                </c:pt>
                <c:pt idx="72">
                  <c:v>8.0103359173126609E-2</c:v>
                </c:pt>
                <c:pt idx="73">
                  <c:v>0.23076923076923078</c:v>
                </c:pt>
                <c:pt idx="74">
                  <c:v>0.39949109414758271</c:v>
                </c:pt>
                <c:pt idx="75">
                  <c:v>0.43734643734643736</c:v>
                </c:pt>
                <c:pt idx="76">
                  <c:v>0.12030075187969924</c:v>
                </c:pt>
                <c:pt idx="77">
                  <c:v>0.35828877005347592</c:v>
                </c:pt>
                <c:pt idx="78">
                  <c:v>0.39896373056994816</c:v>
                </c:pt>
                <c:pt idx="79">
                  <c:v>0.14814814814814814</c:v>
                </c:pt>
                <c:pt idx="80">
                  <c:v>0.24645892351274787</c:v>
                </c:pt>
                <c:pt idx="81">
                  <c:v>0.37845303867403313</c:v>
                </c:pt>
                <c:pt idx="82">
                  <c:v>0.40106951871657753</c:v>
                </c:pt>
                <c:pt idx="83">
                  <c:v>0.4532967032967033</c:v>
                </c:pt>
                <c:pt idx="84">
                  <c:v>0.10826210826210826</c:v>
                </c:pt>
                <c:pt idx="85">
                  <c:v>0.22802197802197802</c:v>
                </c:pt>
                <c:pt idx="86">
                  <c:v>0.41605839416058393</c:v>
                </c:pt>
                <c:pt idx="87">
                  <c:v>0.38944723618090454</c:v>
                </c:pt>
                <c:pt idx="88">
                  <c:v>0.45977011494252873</c:v>
                </c:pt>
                <c:pt idx="89">
                  <c:v>0.10220994475138122</c:v>
                </c:pt>
                <c:pt idx="90">
                  <c:v>0.22408963585434175</c:v>
                </c:pt>
                <c:pt idx="91">
                  <c:v>0.30571428571428572</c:v>
                </c:pt>
                <c:pt idx="92">
                  <c:v>0.36338028169014086</c:v>
                </c:pt>
                <c:pt idx="93">
                  <c:v>0.39835164835164832</c:v>
                </c:pt>
                <c:pt idx="94">
                  <c:v>0.12232415902140673</c:v>
                </c:pt>
                <c:pt idx="95">
                  <c:v>0.21159420289855072</c:v>
                </c:pt>
                <c:pt idx="96">
                  <c:v>0.37384898710865561</c:v>
                </c:pt>
                <c:pt idx="97">
                  <c:v>0.49458483754512633</c:v>
                </c:pt>
                <c:pt idx="98">
                  <c:v>3.8314176245210725E-2</c:v>
                </c:pt>
                <c:pt idx="99">
                  <c:v>6.3492063492063489E-2</c:v>
                </c:pt>
                <c:pt idx="100">
                  <c:v>0.14092140921409213</c:v>
                </c:pt>
                <c:pt idx="101">
                  <c:v>0.15151515151515152</c:v>
                </c:pt>
                <c:pt idx="102">
                  <c:v>0.1440329218106996</c:v>
                </c:pt>
                <c:pt idx="103">
                  <c:v>0.1797752808988764</c:v>
                </c:pt>
                <c:pt idx="104">
                  <c:v>0.22567287784679088</c:v>
                </c:pt>
                <c:pt idx="105">
                  <c:v>0.25757575757575757</c:v>
                </c:pt>
                <c:pt idx="106">
                  <c:v>8.0519480519480519E-2</c:v>
                </c:pt>
                <c:pt idx="107">
                  <c:v>0.32186234817813764</c:v>
                </c:pt>
                <c:pt idx="108">
                  <c:v>4.6583850931677016E-2</c:v>
                </c:pt>
                <c:pt idx="109">
                  <c:v>0.11258278145695365</c:v>
                </c:pt>
                <c:pt idx="110">
                  <c:v>9.657320872274143E-2</c:v>
                </c:pt>
                <c:pt idx="111">
                  <c:v>0.18359375</c:v>
                </c:pt>
                <c:pt idx="112">
                  <c:v>6.1855670103092786E-2</c:v>
                </c:pt>
                <c:pt idx="113">
                  <c:v>9.8765432098765427E-2</c:v>
                </c:pt>
                <c:pt idx="114">
                  <c:v>7.6642335766423361E-2</c:v>
                </c:pt>
                <c:pt idx="115">
                  <c:v>7.9320113314447591E-2</c:v>
                </c:pt>
                <c:pt idx="116">
                  <c:v>0.13565891472868216</c:v>
                </c:pt>
                <c:pt idx="117">
                  <c:v>0.18891170431211499</c:v>
                </c:pt>
                <c:pt idx="118">
                  <c:v>0.24431818181818182</c:v>
                </c:pt>
                <c:pt idx="119">
                  <c:v>0.10542168674698796</c:v>
                </c:pt>
                <c:pt idx="120">
                  <c:v>0.15561959654178675</c:v>
                </c:pt>
                <c:pt idx="121">
                  <c:v>0.43119266055045874</c:v>
                </c:pt>
                <c:pt idx="122">
                  <c:v>0.46282973621103118</c:v>
                </c:pt>
                <c:pt idx="123">
                  <c:v>0.47393364928909953</c:v>
                </c:pt>
                <c:pt idx="124">
                  <c:v>0.12429378531073447</c:v>
                </c:pt>
                <c:pt idx="125">
                  <c:v>0.3</c:v>
                </c:pt>
                <c:pt idx="126">
                  <c:v>0.41609195402298849</c:v>
                </c:pt>
                <c:pt idx="127">
                  <c:v>0.39523809523809522</c:v>
                </c:pt>
                <c:pt idx="128">
                  <c:v>0.26960784313725489</c:v>
                </c:pt>
                <c:pt idx="129">
                  <c:v>0.15141955835962145</c:v>
                </c:pt>
                <c:pt idx="130">
                  <c:v>0.33333333333333331</c:v>
                </c:pt>
                <c:pt idx="131">
                  <c:v>0.37896825396825395</c:v>
                </c:pt>
                <c:pt idx="132">
                  <c:v>0.396584440227704</c:v>
                </c:pt>
                <c:pt idx="133">
                  <c:v>0.28968253968253971</c:v>
                </c:pt>
                <c:pt idx="134">
                  <c:v>0.21791044776119403</c:v>
                </c:pt>
                <c:pt idx="135">
                  <c:v>0.35279805352798055</c:v>
                </c:pt>
                <c:pt idx="136">
                  <c:v>0.49326145552560646</c:v>
                </c:pt>
                <c:pt idx="137">
                  <c:v>0.49056603773584906</c:v>
                </c:pt>
                <c:pt idx="138">
                  <c:v>0.23270440251572327</c:v>
                </c:pt>
                <c:pt idx="139">
                  <c:v>5.3797468354430382E-2</c:v>
                </c:pt>
                <c:pt idx="140">
                  <c:v>6.7605633802816895E-2</c:v>
                </c:pt>
                <c:pt idx="141">
                  <c:v>0.10694183864915573</c:v>
                </c:pt>
                <c:pt idx="142">
                  <c:v>0.14723926380368099</c:v>
                </c:pt>
                <c:pt idx="143">
                  <c:v>0.164969450101833</c:v>
                </c:pt>
                <c:pt idx="144">
                  <c:v>0.2176991150442478</c:v>
                </c:pt>
                <c:pt idx="145">
                  <c:v>3.1645569620253167E-2</c:v>
                </c:pt>
                <c:pt idx="146">
                  <c:v>1.1461318051575931E-2</c:v>
                </c:pt>
                <c:pt idx="147">
                  <c:v>2.0408163265306121E-2</c:v>
                </c:pt>
                <c:pt idx="148">
                  <c:v>2.391304347826087E-2</c:v>
                </c:pt>
                <c:pt idx="149">
                  <c:v>4.8275862068965517E-2</c:v>
                </c:pt>
                <c:pt idx="150">
                  <c:v>4.9411764705882349E-2</c:v>
                </c:pt>
                <c:pt idx="151">
                  <c:v>5.0607287449392711E-2</c:v>
                </c:pt>
                <c:pt idx="152">
                  <c:v>2.7888446215139442E-2</c:v>
                </c:pt>
                <c:pt idx="153">
                  <c:v>1.6339869281045753E-2</c:v>
                </c:pt>
                <c:pt idx="154">
                  <c:v>2.4922118380062305E-2</c:v>
                </c:pt>
                <c:pt idx="155">
                  <c:v>2.570694087403599E-2</c:v>
                </c:pt>
                <c:pt idx="156">
                  <c:v>8.9473684210526316E-2</c:v>
                </c:pt>
                <c:pt idx="157">
                  <c:v>1.0600706713780919E-2</c:v>
                </c:pt>
                <c:pt idx="158">
                  <c:v>2.9069767441860465E-3</c:v>
                </c:pt>
                <c:pt idx="159">
                  <c:v>2.7700831024930748E-3</c:v>
                </c:pt>
                <c:pt idx="160">
                  <c:v>1.7647058823529412E-2</c:v>
                </c:pt>
                <c:pt idx="161">
                  <c:v>3.5087719298245612E-2</c:v>
                </c:pt>
                <c:pt idx="162">
                  <c:v>2.8938906752411574E-2</c:v>
                </c:pt>
                <c:pt idx="163">
                  <c:v>3.5398230088495575E-2</c:v>
                </c:pt>
                <c:pt idx="164">
                  <c:v>4.1095890410958902E-2</c:v>
                </c:pt>
                <c:pt idx="165">
                  <c:v>6.9196428571428575E-2</c:v>
                </c:pt>
                <c:pt idx="166">
                  <c:v>5.4166666666666669E-2</c:v>
                </c:pt>
                <c:pt idx="167">
                  <c:v>5.9479553903345722E-2</c:v>
                </c:pt>
                <c:pt idx="168">
                  <c:v>1.1029411764705883E-2</c:v>
                </c:pt>
                <c:pt idx="169">
                  <c:v>1.4577259475218658E-2</c:v>
                </c:pt>
                <c:pt idx="170">
                  <c:v>4.7393364928909956E-3</c:v>
                </c:pt>
                <c:pt idx="171">
                  <c:v>0</c:v>
                </c:pt>
                <c:pt idx="172">
                  <c:v>2.356020942408377E-2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04-486E-B2EF-1A345FE92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067247"/>
        <c:axId val="305945503"/>
      </c:scatterChart>
      <c:valAx>
        <c:axId val="4720672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945503"/>
        <c:crosses val="autoZero"/>
        <c:crossBetween val="midCat"/>
      </c:valAx>
      <c:valAx>
        <c:axId val="30594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067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BN% vs Malay% P127 Jempol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742344706911635"/>
                  <c:y val="-0.11707166812481773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RaceWorksheet!$J$2:$J$174</c:f>
              <c:numCache>
                <c:formatCode>0.0%</c:formatCode>
                <c:ptCount val="173"/>
                <c:pt idx="0">
                  <c:v>0.98</c:v>
                </c:pt>
                <c:pt idx="1">
                  <c:v>0.99563318777292575</c:v>
                </c:pt>
                <c:pt idx="2">
                  <c:v>0.99111111111111116</c:v>
                </c:pt>
                <c:pt idx="3">
                  <c:v>0.9963503649635036</c:v>
                </c:pt>
                <c:pt idx="4">
                  <c:v>0.99817850637522765</c:v>
                </c:pt>
                <c:pt idx="5">
                  <c:v>0.94444444444444442</c:v>
                </c:pt>
                <c:pt idx="6">
                  <c:v>0.94444444444444442</c:v>
                </c:pt>
                <c:pt idx="7">
                  <c:v>0.90125391849529779</c:v>
                </c:pt>
                <c:pt idx="8">
                  <c:v>0.90438871473354232</c:v>
                </c:pt>
                <c:pt idx="9">
                  <c:v>0.93730407523510972</c:v>
                </c:pt>
                <c:pt idx="10">
                  <c:v>0.11855670103092783</c:v>
                </c:pt>
                <c:pt idx="11">
                  <c:v>0.14666666666666667</c:v>
                </c:pt>
                <c:pt idx="12">
                  <c:v>0.12</c:v>
                </c:pt>
                <c:pt idx="13">
                  <c:v>0.14238410596026491</c:v>
                </c:pt>
                <c:pt idx="14">
                  <c:v>0.14569536423841059</c:v>
                </c:pt>
                <c:pt idx="15">
                  <c:v>0.16363636363636364</c:v>
                </c:pt>
                <c:pt idx="16">
                  <c:v>0.1884297520661157</c:v>
                </c:pt>
                <c:pt idx="17">
                  <c:v>0.98888888888888893</c:v>
                </c:pt>
                <c:pt idx="18">
                  <c:v>0.99214145383104124</c:v>
                </c:pt>
                <c:pt idx="19">
                  <c:v>0.99214145383104124</c:v>
                </c:pt>
                <c:pt idx="20">
                  <c:v>0.98666666666666669</c:v>
                </c:pt>
                <c:pt idx="21">
                  <c:v>0.99626168224299061</c:v>
                </c:pt>
                <c:pt idx="22">
                  <c:v>0.99626168224299061</c:v>
                </c:pt>
                <c:pt idx="23">
                  <c:v>1</c:v>
                </c:pt>
                <c:pt idx="24">
                  <c:v>0.99333333333333329</c:v>
                </c:pt>
                <c:pt idx="25">
                  <c:v>0.99393019726858878</c:v>
                </c:pt>
                <c:pt idx="26">
                  <c:v>1</c:v>
                </c:pt>
                <c:pt idx="27">
                  <c:v>0.99848484848484853</c:v>
                </c:pt>
                <c:pt idx="28">
                  <c:v>0.76444444444444448</c:v>
                </c:pt>
                <c:pt idx="29">
                  <c:v>0.78342245989304815</c:v>
                </c:pt>
                <c:pt idx="30">
                  <c:v>0.87433155080213909</c:v>
                </c:pt>
                <c:pt idx="31">
                  <c:v>0.94518716577540107</c:v>
                </c:pt>
                <c:pt idx="32">
                  <c:v>0.92666666666666664</c:v>
                </c:pt>
                <c:pt idx="33">
                  <c:v>0.94444444444444442</c:v>
                </c:pt>
                <c:pt idx="34">
                  <c:v>0.9244444444444444</c:v>
                </c:pt>
                <c:pt idx="35">
                  <c:v>0.92935635792778648</c:v>
                </c:pt>
                <c:pt idx="36">
                  <c:v>0.97492163009404387</c:v>
                </c:pt>
                <c:pt idx="37">
                  <c:v>0.98119122257053293</c:v>
                </c:pt>
                <c:pt idx="38">
                  <c:v>0.98432601880877746</c:v>
                </c:pt>
                <c:pt idx="39">
                  <c:v>3.3333333333333333E-2</c:v>
                </c:pt>
                <c:pt idx="40">
                  <c:v>0.10835214446952596</c:v>
                </c:pt>
                <c:pt idx="41">
                  <c:v>1.5555555555555555E-2</c:v>
                </c:pt>
                <c:pt idx="42">
                  <c:v>1.0245901639344262E-2</c:v>
                </c:pt>
                <c:pt idx="43">
                  <c:v>3.2786885245901641E-2</c:v>
                </c:pt>
                <c:pt idx="44">
                  <c:v>0.13963963963963963</c:v>
                </c:pt>
                <c:pt idx="45">
                  <c:v>0.93111111111111111</c:v>
                </c:pt>
                <c:pt idx="46">
                  <c:v>0.93559322033898307</c:v>
                </c:pt>
                <c:pt idx="47">
                  <c:v>0.93728813559322033</c:v>
                </c:pt>
                <c:pt idx="48">
                  <c:v>0.96271186440677969</c:v>
                </c:pt>
                <c:pt idx="49">
                  <c:v>0.96779661016949148</c:v>
                </c:pt>
                <c:pt idx="50">
                  <c:v>0.99555555555555553</c:v>
                </c:pt>
                <c:pt idx="51">
                  <c:v>0.99555555555555553</c:v>
                </c:pt>
                <c:pt idx="52">
                  <c:v>0.99301675977653636</c:v>
                </c:pt>
                <c:pt idx="53">
                  <c:v>0.99721059972105996</c:v>
                </c:pt>
                <c:pt idx="54">
                  <c:v>1</c:v>
                </c:pt>
                <c:pt idx="55">
                  <c:v>0.9555555555555556</c:v>
                </c:pt>
                <c:pt idx="56">
                  <c:v>0.96654275092936803</c:v>
                </c:pt>
                <c:pt idx="57">
                  <c:v>0.99814471243042668</c:v>
                </c:pt>
                <c:pt idx="58">
                  <c:v>0.9</c:v>
                </c:pt>
                <c:pt idx="59">
                  <c:v>0.97555555555555551</c:v>
                </c:pt>
                <c:pt idx="60">
                  <c:v>0.8771186440677966</c:v>
                </c:pt>
                <c:pt idx="61">
                  <c:v>0.96327683615819204</c:v>
                </c:pt>
                <c:pt idx="62">
                  <c:v>0.9647390691114246</c:v>
                </c:pt>
                <c:pt idx="63">
                  <c:v>0.922425952045134</c:v>
                </c:pt>
                <c:pt idx="64">
                  <c:v>0.9</c:v>
                </c:pt>
                <c:pt idx="65">
                  <c:v>0.9285714285714286</c:v>
                </c:pt>
                <c:pt idx="66">
                  <c:v>0.95571428571428574</c:v>
                </c:pt>
                <c:pt idx="67">
                  <c:v>0.87333333333333329</c:v>
                </c:pt>
                <c:pt idx="68">
                  <c:v>0.9244444444444444</c:v>
                </c:pt>
                <c:pt idx="69">
                  <c:v>0.89612188365650969</c:v>
                </c:pt>
                <c:pt idx="70">
                  <c:v>0.95573997233748276</c:v>
                </c:pt>
                <c:pt idx="71">
                  <c:v>0.89211618257261416</c:v>
                </c:pt>
                <c:pt idx="72">
                  <c:v>0.99333333333333329</c:v>
                </c:pt>
                <c:pt idx="73">
                  <c:v>1</c:v>
                </c:pt>
                <c:pt idx="74">
                  <c:v>0.99797979797979797</c:v>
                </c:pt>
                <c:pt idx="75">
                  <c:v>0.94</c:v>
                </c:pt>
                <c:pt idx="76">
                  <c:v>0.95126353790613716</c:v>
                </c:pt>
                <c:pt idx="77">
                  <c:v>0.95487364620938631</c:v>
                </c:pt>
                <c:pt idx="78">
                  <c:v>0.9513513513513514</c:v>
                </c:pt>
                <c:pt idx="79">
                  <c:v>0.92888888888888888</c:v>
                </c:pt>
                <c:pt idx="80">
                  <c:v>0.91555555555555557</c:v>
                </c:pt>
                <c:pt idx="81">
                  <c:v>0.97415506958250497</c:v>
                </c:pt>
                <c:pt idx="82">
                  <c:v>0.97415506958250497</c:v>
                </c:pt>
                <c:pt idx="83">
                  <c:v>0.94246031746031744</c:v>
                </c:pt>
                <c:pt idx="84">
                  <c:v>0.90222222222222226</c:v>
                </c:pt>
                <c:pt idx="85">
                  <c:v>0.87777777777777777</c:v>
                </c:pt>
                <c:pt idx="86">
                  <c:v>0.94035087719298249</c:v>
                </c:pt>
                <c:pt idx="87">
                  <c:v>0.96491228070175439</c:v>
                </c:pt>
                <c:pt idx="88">
                  <c:v>0.92456140350877192</c:v>
                </c:pt>
                <c:pt idx="89">
                  <c:v>0.7844444444444445</c:v>
                </c:pt>
                <c:pt idx="90">
                  <c:v>0.83111111111111113</c:v>
                </c:pt>
                <c:pt idx="91">
                  <c:v>0.87154150197628455</c:v>
                </c:pt>
                <c:pt idx="92">
                  <c:v>0.92292490118577075</c:v>
                </c:pt>
                <c:pt idx="93">
                  <c:v>0.91715976331360949</c:v>
                </c:pt>
                <c:pt idx="94">
                  <c:v>0.80888888888888888</c:v>
                </c:pt>
                <c:pt idx="95">
                  <c:v>0.81555555555555559</c:v>
                </c:pt>
                <c:pt idx="96">
                  <c:v>0.91044776119402981</c:v>
                </c:pt>
                <c:pt idx="97">
                  <c:v>0.91723202170963369</c:v>
                </c:pt>
                <c:pt idx="98">
                  <c:v>0.1822429906542056</c:v>
                </c:pt>
                <c:pt idx="99">
                  <c:v>0.16888888888888889</c:v>
                </c:pt>
                <c:pt idx="100">
                  <c:v>0.35777777777777775</c:v>
                </c:pt>
                <c:pt idx="101">
                  <c:v>0.26093514328808448</c:v>
                </c:pt>
                <c:pt idx="102">
                  <c:v>0.21987951807228914</c:v>
                </c:pt>
                <c:pt idx="103">
                  <c:v>0.43072289156626509</c:v>
                </c:pt>
                <c:pt idx="104">
                  <c:v>0.51656626506024095</c:v>
                </c:pt>
                <c:pt idx="105">
                  <c:v>0.52108433734939763</c:v>
                </c:pt>
                <c:pt idx="106">
                  <c:v>0.86444444444444446</c:v>
                </c:pt>
                <c:pt idx="107">
                  <c:v>0.98575949367088611</c:v>
                </c:pt>
                <c:pt idx="108">
                  <c:v>6.8888888888888888E-2</c:v>
                </c:pt>
                <c:pt idx="109">
                  <c:v>0.18638573743922204</c:v>
                </c:pt>
                <c:pt idx="110">
                  <c:v>0.13111111111111112</c:v>
                </c:pt>
                <c:pt idx="111">
                  <c:v>0.29518072289156627</c:v>
                </c:pt>
                <c:pt idx="112">
                  <c:v>0.12979351032448377</c:v>
                </c:pt>
                <c:pt idx="113">
                  <c:v>0.16576086956521738</c:v>
                </c:pt>
                <c:pt idx="114">
                  <c:v>0.21333333333333335</c:v>
                </c:pt>
                <c:pt idx="115">
                  <c:v>0.45333333333333331</c:v>
                </c:pt>
                <c:pt idx="116">
                  <c:v>0.37551581843191195</c:v>
                </c:pt>
                <c:pt idx="117">
                  <c:v>0.41678129298486932</c:v>
                </c:pt>
                <c:pt idx="118">
                  <c:v>0.57771664374140308</c:v>
                </c:pt>
                <c:pt idx="119">
                  <c:v>0.80222222222222217</c:v>
                </c:pt>
                <c:pt idx="120">
                  <c:v>0.83333333333333337</c:v>
                </c:pt>
                <c:pt idx="121">
                  <c:v>0.89189189189189189</c:v>
                </c:pt>
                <c:pt idx="122">
                  <c:v>0.95777027027027029</c:v>
                </c:pt>
                <c:pt idx="123">
                  <c:v>0.93423271500843175</c:v>
                </c:pt>
                <c:pt idx="124">
                  <c:v>0.86888888888888893</c:v>
                </c:pt>
                <c:pt idx="125">
                  <c:v>0.89170896785109988</c:v>
                </c:pt>
                <c:pt idx="126">
                  <c:v>0.92047377326565138</c:v>
                </c:pt>
                <c:pt idx="127">
                  <c:v>0.90878378378378377</c:v>
                </c:pt>
                <c:pt idx="128">
                  <c:v>0.9921875</c:v>
                </c:pt>
                <c:pt idx="129">
                  <c:v>0.71333333333333337</c:v>
                </c:pt>
                <c:pt idx="130">
                  <c:v>0.89104477611940303</c:v>
                </c:pt>
                <c:pt idx="131">
                  <c:v>0.93432835820895521</c:v>
                </c:pt>
                <c:pt idx="132">
                  <c:v>0.97615499254843519</c:v>
                </c:pt>
                <c:pt idx="133">
                  <c:v>0.99515347334410342</c:v>
                </c:pt>
                <c:pt idx="134">
                  <c:v>0.99333333333333329</c:v>
                </c:pt>
                <c:pt idx="135">
                  <c:v>0.99801192842942343</c:v>
                </c:pt>
                <c:pt idx="136">
                  <c:v>0.99602385685884687</c:v>
                </c:pt>
                <c:pt idx="137">
                  <c:v>0.99204771371769385</c:v>
                </c:pt>
                <c:pt idx="138">
                  <c:v>0.99099099099099097</c:v>
                </c:pt>
                <c:pt idx="139">
                  <c:v>0.23333333333333334</c:v>
                </c:pt>
                <c:pt idx="140">
                  <c:v>0.30222222222222223</c:v>
                </c:pt>
                <c:pt idx="141">
                  <c:v>0.27922971114167811</c:v>
                </c:pt>
                <c:pt idx="142">
                  <c:v>0.27647867950481431</c:v>
                </c:pt>
                <c:pt idx="143">
                  <c:v>0.30494505494505497</c:v>
                </c:pt>
                <c:pt idx="144">
                  <c:v>0.39285714285714285</c:v>
                </c:pt>
                <c:pt idx="145">
                  <c:v>0.02</c:v>
                </c:pt>
                <c:pt idx="146">
                  <c:v>3.111111111111111E-2</c:v>
                </c:pt>
                <c:pt idx="147">
                  <c:v>4.3923865300146414E-2</c:v>
                </c:pt>
                <c:pt idx="148">
                  <c:v>5.4172767203513911E-2</c:v>
                </c:pt>
                <c:pt idx="149">
                  <c:v>7.0278184480234263E-2</c:v>
                </c:pt>
                <c:pt idx="150">
                  <c:v>7.4670571010248904E-2</c:v>
                </c:pt>
                <c:pt idx="151">
                  <c:v>0.11695906432748537</c:v>
                </c:pt>
                <c:pt idx="152">
                  <c:v>2.4444444444444446E-2</c:v>
                </c:pt>
                <c:pt idx="153">
                  <c:v>7.1111111111111111E-2</c:v>
                </c:pt>
                <c:pt idx="154">
                  <c:v>9.3333333333333338E-2</c:v>
                </c:pt>
                <c:pt idx="155">
                  <c:v>8.3185840707964601E-2</c:v>
                </c:pt>
                <c:pt idx="156">
                  <c:v>0.1519434628975265</c:v>
                </c:pt>
                <c:pt idx="157">
                  <c:v>1.1111111111111112E-2</c:v>
                </c:pt>
                <c:pt idx="158">
                  <c:v>4.4444444444444444E-3</c:v>
                </c:pt>
                <c:pt idx="159">
                  <c:v>1.1764705882352941E-2</c:v>
                </c:pt>
                <c:pt idx="160">
                  <c:v>5.0880626223091974E-2</c:v>
                </c:pt>
                <c:pt idx="161">
                  <c:v>9.393346379647749E-2</c:v>
                </c:pt>
                <c:pt idx="162">
                  <c:v>9.7777777777777783E-2</c:v>
                </c:pt>
                <c:pt idx="163">
                  <c:v>9.1030789825970543E-2</c:v>
                </c:pt>
                <c:pt idx="164">
                  <c:v>8.7014725568942436E-2</c:v>
                </c:pt>
                <c:pt idx="165">
                  <c:v>0.12048192771084337</c:v>
                </c:pt>
                <c:pt idx="166">
                  <c:v>0.11914323962516733</c:v>
                </c:pt>
                <c:pt idx="167">
                  <c:v>0.12182061579651941</c:v>
                </c:pt>
                <c:pt idx="168">
                  <c:v>4.4444444444444444E-3</c:v>
                </c:pt>
                <c:pt idx="169">
                  <c:v>8.8888888888888889E-3</c:v>
                </c:pt>
                <c:pt idx="170">
                  <c:v>1.7123287671232876E-2</c:v>
                </c:pt>
                <c:pt idx="171">
                  <c:v>1.3698630136986301E-2</c:v>
                </c:pt>
                <c:pt idx="172">
                  <c:v>5.6410256410256411E-2</c:v>
                </c:pt>
              </c:numCache>
            </c:numRef>
          </c:xVal>
          <c:yVal>
            <c:numRef>
              <c:f>RaceWorksheet!$C$2:$C$174</c:f>
              <c:numCache>
                <c:formatCode>0.0%</c:formatCode>
                <c:ptCount val="173"/>
                <c:pt idx="0">
                  <c:v>0.62889518413597734</c:v>
                </c:pt>
                <c:pt idx="1">
                  <c:v>0.48339483394833949</c:v>
                </c:pt>
                <c:pt idx="2">
                  <c:v>0.67847411444141692</c:v>
                </c:pt>
                <c:pt idx="3">
                  <c:v>0.4728132387706856</c:v>
                </c:pt>
                <c:pt idx="4">
                  <c:v>0.45211581291759467</c:v>
                </c:pt>
                <c:pt idx="5">
                  <c:v>0.6132075471698113</c:v>
                </c:pt>
                <c:pt idx="6">
                  <c:v>0.55614973262032086</c:v>
                </c:pt>
                <c:pt idx="7">
                  <c:v>0.40380549682875266</c:v>
                </c:pt>
                <c:pt idx="8">
                  <c:v>0.34707158351409978</c:v>
                </c:pt>
                <c:pt idx="9">
                  <c:v>0.34951456310679613</c:v>
                </c:pt>
                <c:pt idx="10">
                  <c:v>9.7560975609756101E-2</c:v>
                </c:pt>
                <c:pt idx="11">
                  <c:v>0.25757575757575757</c:v>
                </c:pt>
                <c:pt idx="12">
                  <c:v>0.20579710144927535</c:v>
                </c:pt>
                <c:pt idx="13">
                  <c:v>0.13043478260869565</c:v>
                </c:pt>
                <c:pt idx="14">
                  <c:v>0.10824742268041238</c:v>
                </c:pt>
                <c:pt idx="15">
                  <c:v>0.13784461152882205</c:v>
                </c:pt>
                <c:pt idx="16">
                  <c:v>0.11283185840707964</c:v>
                </c:pt>
                <c:pt idx="17">
                  <c:v>0.75725593667546176</c:v>
                </c:pt>
                <c:pt idx="18">
                  <c:v>0.63796477495107629</c:v>
                </c:pt>
                <c:pt idx="19">
                  <c:v>0.52</c:v>
                </c:pt>
                <c:pt idx="20">
                  <c:v>0.54308617234468937</c:v>
                </c:pt>
                <c:pt idx="21">
                  <c:v>0.68814432989690721</c:v>
                </c:pt>
                <c:pt idx="22">
                  <c:v>0.53411764705882347</c:v>
                </c:pt>
                <c:pt idx="23">
                  <c:v>0.4861111111111111</c:v>
                </c:pt>
                <c:pt idx="24">
                  <c:v>0.47146401985111663</c:v>
                </c:pt>
                <c:pt idx="25">
                  <c:v>0.75438596491228072</c:v>
                </c:pt>
                <c:pt idx="26">
                  <c:v>0.5</c:v>
                </c:pt>
                <c:pt idx="27">
                  <c:v>0.53333333333333333</c:v>
                </c:pt>
                <c:pt idx="28">
                  <c:v>0.60880829015544047</c:v>
                </c:pt>
                <c:pt idx="29">
                  <c:v>0.55498281786941583</c:v>
                </c:pt>
                <c:pt idx="30">
                  <c:v>0.50467289719626163</c:v>
                </c:pt>
                <c:pt idx="31">
                  <c:v>0.53344768439108059</c:v>
                </c:pt>
                <c:pt idx="32">
                  <c:v>0.70380434782608692</c:v>
                </c:pt>
                <c:pt idx="33">
                  <c:v>0.78030303030303028</c:v>
                </c:pt>
                <c:pt idx="34">
                  <c:v>0.72268907563025209</c:v>
                </c:pt>
                <c:pt idx="35">
                  <c:v>0.55021834061135366</c:v>
                </c:pt>
                <c:pt idx="36">
                  <c:v>0.61283185840707965</c:v>
                </c:pt>
                <c:pt idx="37">
                  <c:v>0.59128630705394192</c:v>
                </c:pt>
                <c:pt idx="38">
                  <c:v>0.59344894026974948</c:v>
                </c:pt>
                <c:pt idx="39">
                  <c:v>0.13580246913580246</c:v>
                </c:pt>
                <c:pt idx="40">
                  <c:v>0.18045112781954886</c:v>
                </c:pt>
                <c:pt idx="41">
                  <c:v>0.26765799256505574</c:v>
                </c:pt>
                <c:pt idx="42">
                  <c:v>0.17507418397626112</c:v>
                </c:pt>
                <c:pt idx="43">
                  <c:v>0.1554054054054054</c:v>
                </c:pt>
                <c:pt idx="44">
                  <c:v>0.31958762886597936</c:v>
                </c:pt>
                <c:pt idx="45">
                  <c:v>0.6198347107438017</c:v>
                </c:pt>
                <c:pt idx="46">
                  <c:v>0.5163398692810458</c:v>
                </c:pt>
                <c:pt idx="47">
                  <c:v>0.43961352657004832</c:v>
                </c:pt>
                <c:pt idx="48">
                  <c:v>0.37954545454545452</c:v>
                </c:pt>
                <c:pt idx="49">
                  <c:v>0.36909871244635195</c:v>
                </c:pt>
                <c:pt idx="50">
                  <c:v>0.70757180156657962</c:v>
                </c:pt>
                <c:pt idx="51">
                  <c:v>0.63682864450127874</c:v>
                </c:pt>
                <c:pt idx="52">
                  <c:v>0.50608695652173918</c:v>
                </c:pt>
                <c:pt idx="53">
                  <c:v>0.45604395604395603</c:v>
                </c:pt>
                <c:pt idx="54">
                  <c:v>0.44386873920552677</c:v>
                </c:pt>
                <c:pt idx="55">
                  <c:v>0.69816272965879267</c:v>
                </c:pt>
                <c:pt idx="56">
                  <c:v>0.54862842892768082</c:v>
                </c:pt>
                <c:pt idx="57">
                  <c:v>0.50956937799043067</c:v>
                </c:pt>
                <c:pt idx="58">
                  <c:v>0.74229691876750703</c:v>
                </c:pt>
                <c:pt idx="59">
                  <c:v>0.81658291457286436</c:v>
                </c:pt>
                <c:pt idx="60">
                  <c:v>0.51084812623274167</c:v>
                </c:pt>
                <c:pt idx="61">
                  <c:v>0.44615384615384618</c:v>
                </c:pt>
                <c:pt idx="62">
                  <c:v>0.46153846153846156</c:v>
                </c:pt>
                <c:pt idx="63">
                  <c:v>0.47463768115942029</c:v>
                </c:pt>
                <c:pt idx="64">
                  <c:v>0.70750000000000002</c:v>
                </c:pt>
                <c:pt idx="65">
                  <c:v>0.50757575757575757</c:v>
                </c:pt>
                <c:pt idx="66">
                  <c:v>0.43594646271510518</c:v>
                </c:pt>
                <c:pt idx="67">
                  <c:v>0.75574712643678166</c:v>
                </c:pt>
                <c:pt idx="68">
                  <c:v>0.82005141388174807</c:v>
                </c:pt>
                <c:pt idx="69">
                  <c:v>0.50095602294455066</c:v>
                </c:pt>
                <c:pt idx="70">
                  <c:v>0.48927875243664715</c:v>
                </c:pt>
                <c:pt idx="71">
                  <c:v>0.43248175182481752</c:v>
                </c:pt>
                <c:pt idx="72">
                  <c:v>0.77777777777777779</c:v>
                </c:pt>
                <c:pt idx="73">
                  <c:v>0.65865384615384615</c:v>
                </c:pt>
                <c:pt idx="74">
                  <c:v>0.51145038167938928</c:v>
                </c:pt>
                <c:pt idx="75">
                  <c:v>0.45208845208845211</c:v>
                </c:pt>
                <c:pt idx="76">
                  <c:v>0.75939849624060152</c:v>
                </c:pt>
                <c:pt idx="77">
                  <c:v>0.56951871657754005</c:v>
                </c:pt>
                <c:pt idx="78">
                  <c:v>0.49222797927461137</c:v>
                </c:pt>
                <c:pt idx="79">
                  <c:v>0.72222222222222221</c:v>
                </c:pt>
                <c:pt idx="80">
                  <c:v>0.60339943342776203</c:v>
                </c:pt>
                <c:pt idx="81">
                  <c:v>0.50552486187845302</c:v>
                </c:pt>
                <c:pt idx="82">
                  <c:v>0.47593582887700536</c:v>
                </c:pt>
                <c:pt idx="83">
                  <c:v>0.39560439560439559</c:v>
                </c:pt>
                <c:pt idx="84">
                  <c:v>0.72079772079772075</c:v>
                </c:pt>
                <c:pt idx="85">
                  <c:v>0.59065934065934067</c:v>
                </c:pt>
                <c:pt idx="86">
                  <c:v>0.44282238442822386</c:v>
                </c:pt>
                <c:pt idx="87">
                  <c:v>0.46733668341708545</c:v>
                </c:pt>
                <c:pt idx="88">
                  <c:v>0.37701149425287356</c:v>
                </c:pt>
                <c:pt idx="89">
                  <c:v>0.64088397790055252</c:v>
                </c:pt>
                <c:pt idx="90">
                  <c:v>0.55462184873949583</c:v>
                </c:pt>
                <c:pt idx="91">
                  <c:v>0.48571428571428571</c:v>
                </c:pt>
                <c:pt idx="92">
                  <c:v>0.47605633802816899</c:v>
                </c:pt>
                <c:pt idx="93">
                  <c:v>0.43681318681318682</c:v>
                </c:pt>
                <c:pt idx="94">
                  <c:v>0.67584097859327219</c:v>
                </c:pt>
                <c:pt idx="95">
                  <c:v>0.6</c:v>
                </c:pt>
                <c:pt idx="96">
                  <c:v>0.47145488029465932</c:v>
                </c:pt>
                <c:pt idx="97">
                  <c:v>0.38086642599277976</c:v>
                </c:pt>
                <c:pt idx="98">
                  <c:v>0.32950191570881227</c:v>
                </c:pt>
                <c:pt idx="99">
                  <c:v>0.35238095238095241</c:v>
                </c:pt>
                <c:pt idx="100">
                  <c:v>0.36314363143631434</c:v>
                </c:pt>
                <c:pt idx="101">
                  <c:v>0.32196969696969696</c:v>
                </c:pt>
                <c:pt idx="102">
                  <c:v>0.23868312757201646</c:v>
                </c:pt>
                <c:pt idx="103">
                  <c:v>0.29662921348314608</c:v>
                </c:pt>
                <c:pt idx="104">
                  <c:v>0.32091097308488614</c:v>
                </c:pt>
                <c:pt idx="105">
                  <c:v>0.22537878787878787</c:v>
                </c:pt>
                <c:pt idx="106">
                  <c:v>0.83116883116883122</c:v>
                </c:pt>
                <c:pt idx="107">
                  <c:v>0.60931174089068829</c:v>
                </c:pt>
                <c:pt idx="108">
                  <c:v>0.31366459627329191</c:v>
                </c:pt>
                <c:pt idx="109">
                  <c:v>0.23841059602649006</c:v>
                </c:pt>
                <c:pt idx="110">
                  <c:v>0.4454828660436137</c:v>
                </c:pt>
                <c:pt idx="111">
                  <c:v>0.3671875</c:v>
                </c:pt>
                <c:pt idx="112">
                  <c:v>0.23711340206185566</c:v>
                </c:pt>
                <c:pt idx="113">
                  <c:v>0.36213991769547327</c:v>
                </c:pt>
                <c:pt idx="114">
                  <c:v>0.36131386861313869</c:v>
                </c:pt>
                <c:pt idx="115">
                  <c:v>0.46458923512747874</c:v>
                </c:pt>
                <c:pt idx="116">
                  <c:v>0.32558139534883723</c:v>
                </c:pt>
                <c:pt idx="117">
                  <c:v>0.28542094455852157</c:v>
                </c:pt>
                <c:pt idx="118">
                  <c:v>0.33333333333333331</c:v>
                </c:pt>
                <c:pt idx="119">
                  <c:v>0.68975903614457834</c:v>
                </c:pt>
                <c:pt idx="120">
                  <c:v>0.62536023054755041</c:v>
                </c:pt>
                <c:pt idx="121">
                  <c:v>0.39908256880733944</c:v>
                </c:pt>
                <c:pt idx="122">
                  <c:v>0.39808153477218228</c:v>
                </c:pt>
                <c:pt idx="123">
                  <c:v>0.37914691943127959</c:v>
                </c:pt>
                <c:pt idx="124">
                  <c:v>0.76836158192090398</c:v>
                </c:pt>
                <c:pt idx="125">
                  <c:v>0.51777777777777778</c:v>
                </c:pt>
                <c:pt idx="126">
                  <c:v>0.43448275862068964</c:v>
                </c:pt>
                <c:pt idx="127">
                  <c:v>0.44047619047619047</c:v>
                </c:pt>
                <c:pt idx="128">
                  <c:v>0.5759803921568627</c:v>
                </c:pt>
                <c:pt idx="129">
                  <c:v>0.48264984227129337</c:v>
                </c:pt>
                <c:pt idx="130">
                  <c:v>0.41040462427745666</c:v>
                </c:pt>
                <c:pt idx="131">
                  <c:v>0.40079365079365081</c:v>
                </c:pt>
                <c:pt idx="132">
                  <c:v>0.34345351043643263</c:v>
                </c:pt>
                <c:pt idx="133">
                  <c:v>0.51587301587301593</c:v>
                </c:pt>
                <c:pt idx="134">
                  <c:v>0.64477611940298507</c:v>
                </c:pt>
                <c:pt idx="135">
                  <c:v>0.49878345498783455</c:v>
                </c:pt>
                <c:pt idx="136">
                  <c:v>0.35849056603773582</c:v>
                </c:pt>
                <c:pt idx="137">
                  <c:v>0.29245283018867924</c:v>
                </c:pt>
                <c:pt idx="138">
                  <c:v>0.60377358490566035</c:v>
                </c:pt>
                <c:pt idx="139">
                  <c:v>0.26265822784810128</c:v>
                </c:pt>
                <c:pt idx="140">
                  <c:v>0.27605633802816903</c:v>
                </c:pt>
                <c:pt idx="141">
                  <c:v>0.18761726078799248</c:v>
                </c:pt>
                <c:pt idx="142">
                  <c:v>0.1492842535787321</c:v>
                </c:pt>
                <c:pt idx="143">
                  <c:v>0.15071283095723015</c:v>
                </c:pt>
                <c:pt idx="144">
                  <c:v>0.17522123893805311</c:v>
                </c:pt>
                <c:pt idx="145">
                  <c:v>0.16139240506329114</c:v>
                </c:pt>
                <c:pt idx="146">
                  <c:v>9.4555873925501438E-2</c:v>
                </c:pt>
                <c:pt idx="147">
                  <c:v>7.7551020408163265E-2</c:v>
                </c:pt>
                <c:pt idx="148">
                  <c:v>8.2608695652173908E-2</c:v>
                </c:pt>
                <c:pt idx="149">
                  <c:v>5.5172413793103448E-2</c:v>
                </c:pt>
                <c:pt idx="150">
                  <c:v>6.3529411764705876E-2</c:v>
                </c:pt>
                <c:pt idx="151">
                  <c:v>7.28744939271255E-2</c:v>
                </c:pt>
                <c:pt idx="152">
                  <c:v>0.12350597609561753</c:v>
                </c:pt>
                <c:pt idx="153">
                  <c:v>0.13398692810457516</c:v>
                </c:pt>
                <c:pt idx="154">
                  <c:v>9.9688473520249218E-2</c:v>
                </c:pt>
                <c:pt idx="155">
                  <c:v>6.9408740359897178E-2</c:v>
                </c:pt>
                <c:pt idx="156">
                  <c:v>7.6315789473684212E-2</c:v>
                </c:pt>
                <c:pt idx="157">
                  <c:v>0.18021201413427562</c:v>
                </c:pt>
                <c:pt idx="158">
                  <c:v>9.8837209302325577E-2</c:v>
                </c:pt>
                <c:pt idx="159">
                  <c:v>7.2022160664819951E-2</c:v>
                </c:pt>
                <c:pt idx="160">
                  <c:v>0.10294117647058823</c:v>
                </c:pt>
                <c:pt idx="161">
                  <c:v>0.10818713450292397</c:v>
                </c:pt>
                <c:pt idx="162">
                  <c:v>0.19935691318327975</c:v>
                </c:pt>
                <c:pt idx="163">
                  <c:v>0.16460176991150444</c:v>
                </c:pt>
                <c:pt idx="164">
                  <c:v>9.1976516634050876E-2</c:v>
                </c:pt>
                <c:pt idx="165">
                  <c:v>8.7053571428571425E-2</c:v>
                </c:pt>
                <c:pt idx="166">
                  <c:v>7.0833333333333331E-2</c:v>
                </c:pt>
                <c:pt idx="167">
                  <c:v>8.3643122676579931E-2</c:v>
                </c:pt>
                <c:pt idx="168">
                  <c:v>0.11397058823529412</c:v>
                </c:pt>
                <c:pt idx="169">
                  <c:v>8.1632653061224483E-2</c:v>
                </c:pt>
                <c:pt idx="170">
                  <c:v>7.1090047393364927E-2</c:v>
                </c:pt>
                <c:pt idx="171">
                  <c:v>7.4175824175824176E-2</c:v>
                </c:pt>
                <c:pt idx="172">
                  <c:v>6.8062827225130892E-2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25-475C-83D2-8F221EF90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067247"/>
        <c:axId val="305945503"/>
      </c:scatterChart>
      <c:valAx>
        <c:axId val="4720672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945503"/>
        <c:crosses val="autoZero"/>
        <c:crossBetween val="midCat"/>
      </c:valAx>
      <c:valAx>
        <c:axId val="30594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067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Chinese% P127 Jempol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4811898512685913E-2"/>
                  <c:y val="-1.9583697871099447E-2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RaceWorksheet!$K$2:$K$174</c:f>
              <c:numCache>
                <c:formatCode>0.0%</c:formatCode>
                <c:ptCount val="173"/>
                <c:pt idx="0">
                  <c:v>4.4444444444444444E-3</c:v>
                </c:pt>
                <c:pt idx="1">
                  <c:v>1.455604075691412E-3</c:v>
                </c:pt>
                <c:pt idx="2">
                  <c:v>6.6666666666666671E-3</c:v>
                </c:pt>
                <c:pt idx="3">
                  <c:v>3.6496350364963502E-3</c:v>
                </c:pt>
                <c:pt idx="4">
                  <c:v>1.8214936247723133E-3</c:v>
                </c:pt>
                <c:pt idx="5">
                  <c:v>4.4444444444444444E-3</c:v>
                </c:pt>
                <c:pt idx="6">
                  <c:v>0</c:v>
                </c:pt>
                <c:pt idx="7">
                  <c:v>7.8369905956112845E-3</c:v>
                </c:pt>
                <c:pt idx="8">
                  <c:v>1.4106583072100314E-2</c:v>
                </c:pt>
                <c:pt idx="9">
                  <c:v>7.8369905956112845E-3</c:v>
                </c:pt>
                <c:pt idx="10">
                  <c:v>0.68041237113402064</c:v>
                </c:pt>
                <c:pt idx="11">
                  <c:v>0.65111111111111108</c:v>
                </c:pt>
                <c:pt idx="12">
                  <c:v>0.63777777777777778</c:v>
                </c:pt>
                <c:pt idx="13">
                  <c:v>0.60099337748344372</c:v>
                </c:pt>
                <c:pt idx="14">
                  <c:v>0.57781456953642385</c:v>
                </c:pt>
                <c:pt idx="15">
                  <c:v>0.5504132231404959</c:v>
                </c:pt>
                <c:pt idx="16">
                  <c:v>0.45289256198347105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1.869158878504673E-3</c:v>
                </c:pt>
                <c:pt idx="23">
                  <c:v>0</c:v>
                </c:pt>
                <c:pt idx="24">
                  <c:v>0</c:v>
                </c:pt>
                <c:pt idx="25">
                  <c:v>1.5174506828528073E-3</c:v>
                </c:pt>
                <c:pt idx="26">
                  <c:v>0</c:v>
                </c:pt>
                <c:pt idx="27">
                  <c:v>0</c:v>
                </c:pt>
                <c:pt idx="28">
                  <c:v>2.6666666666666668E-2</c:v>
                </c:pt>
                <c:pt idx="29">
                  <c:v>5.4812834224598928E-2</c:v>
                </c:pt>
                <c:pt idx="30">
                  <c:v>3.074866310160428E-2</c:v>
                </c:pt>
                <c:pt idx="31">
                  <c:v>6.6844919786096255E-3</c:v>
                </c:pt>
                <c:pt idx="32">
                  <c:v>4.4444444444444444E-3</c:v>
                </c:pt>
                <c:pt idx="33">
                  <c:v>4.4444444444444444E-3</c:v>
                </c:pt>
                <c:pt idx="34">
                  <c:v>2.2222222222222222E-3</c:v>
                </c:pt>
                <c:pt idx="35">
                  <c:v>4.7095761381475663E-3</c:v>
                </c:pt>
                <c:pt idx="36">
                  <c:v>1.567398119122257E-3</c:v>
                </c:pt>
                <c:pt idx="37">
                  <c:v>6.269592476489028E-3</c:v>
                </c:pt>
                <c:pt idx="38">
                  <c:v>4.7021943573667714E-3</c:v>
                </c:pt>
                <c:pt idx="39">
                  <c:v>0.85555555555555551</c:v>
                </c:pt>
                <c:pt idx="40">
                  <c:v>0.65914221218961622</c:v>
                </c:pt>
                <c:pt idx="41">
                  <c:v>0.75555555555555554</c:v>
                </c:pt>
                <c:pt idx="42">
                  <c:v>0.70081967213114749</c:v>
                </c:pt>
                <c:pt idx="43">
                  <c:v>0.54918032786885251</c:v>
                </c:pt>
                <c:pt idx="44">
                  <c:v>8.1081081081081086E-2</c:v>
                </c:pt>
                <c:pt idx="45">
                  <c:v>1.5555555555555555E-2</c:v>
                </c:pt>
                <c:pt idx="46">
                  <c:v>5.084745762711864E-3</c:v>
                </c:pt>
                <c:pt idx="47">
                  <c:v>3.3898305084745762E-3</c:v>
                </c:pt>
                <c:pt idx="48">
                  <c:v>1.6949152542372881E-3</c:v>
                </c:pt>
                <c:pt idx="49">
                  <c:v>5.084745762711864E-3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1.3947001394700139E-3</c:v>
                </c:pt>
                <c:pt idx="54">
                  <c:v>0</c:v>
                </c:pt>
                <c:pt idx="55">
                  <c:v>0</c:v>
                </c:pt>
                <c:pt idx="56">
                  <c:v>1.8587360594795538E-3</c:v>
                </c:pt>
                <c:pt idx="57">
                  <c:v>0</c:v>
                </c:pt>
                <c:pt idx="58">
                  <c:v>2.2222222222222222E-3</c:v>
                </c:pt>
                <c:pt idx="59">
                  <c:v>2.2222222222222222E-3</c:v>
                </c:pt>
                <c:pt idx="60">
                  <c:v>2.8248587570621469E-3</c:v>
                </c:pt>
                <c:pt idx="61">
                  <c:v>1.4124293785310734E-3</c:v>
                </c:pt>
                <c:pt idx="62">
                  <c:v>0</c:v>
                </c:pt>
                <c:pt idx="63">
                  <c:v>1.4104372355430183E-3</c:v>
                </c:pt>
                <c:pt idx="64">
                  <c:v>1.1111111111111112E-2</c:v>
                </c:pt>
                <c:pt idx="65">
                  <c:v>1.2857142857142857E-2</c:v>
                </c:pt>
                <c:pt idx="66">
                  <c:v>5.7142857142857143E-3</c:v>
                </c:pt>
                <c:pt idx="67">
                  <c:v>4.4444444444444444E-3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1.1111111111111112E-2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4.4444444444444444E-3</c:v>
                </c:pt>
                <c:pt idx="80">
                  <c:v>4.4444444444444444E-3</c:v>
                </c:pt>
                <c:pt idx="81">
                  <c:v>0</c:v>
                </c:pt>
                <c:pt idx="82">
                  <c:v>0</c:v>
                </c:pt>
                <c:pt idx="83">
                  <c:v>1.984126984126984E-3</c:v>
                </c:pt>
                <c:pt idx="84">
                  <c:v>4.6666666666666669E-2</c:v>
                </c:pt>
                <c:pt idx="85">
                  <c:v>2.8888888888888888E-2</c:v>
                </c:pt>
                <c:pt idx="86">
                  <c:v>2.456140350877193E-2</c:v>
                </c:pt>
                <c:pt idx="87">
                  <c:v>2.1052631578947368E-2</c:v>
                </c:pt>
                <c:pt idx="88">
                  <c:v>2.1052631578947368E-2</c:v>
                </c:pt>
                <c:pt idx="89">
                  <c:v>0.1111111111111111</c:v>
                </c:pt>
                <c:pt idx="90">
                  <c:v>5.3333333333333337E-2</c:v>
                </c:pt>
                <c:pt idx="91">
                  <c:v>7.1146245059288543E-2</c:v>
                </c:pt>
                <c:pt idx="92">
                  <c:v>3.3596837944664032E-2</c:v>
                </c:pt>
                <c:pt idx="93">
                  <c:v>2.3668639053254437E-2</c:v>
                </c:pt>
                <c:pt idx="94">
                  <c:v>9.3333333333333338E-2</c:v>
                </c:pt>
                <c:pt idx="95">
                  <c:v>8.2222222222222224E-2</c:v>
                </c:pt>
                <c:pt idx="96">
                  <c:v>4.0705563093622797E-2</c:v>
                </c:pt>
                <c:pt idx="97">
                  <c:v>4.6132971506105833E-2</c:v>
                </c:pt>
                <c:pt idx="98">
                  <c:v>0.16355140186915887</c:v>
                </c:pt>
                <c:pt idx="99">
                  <c:v>0.16666666666666666</c:v>
                </c:pt>
                <c:pt idx="100">
                  <c:v>9.555555555555556E-2</c:v>
                </c:pt>
                <c:pt idx="101">
                  <c:v>0.11613876319758673</c:v>
                </c:pt>
                <c:pt idx="102">
                  <c:v>0.13253012048192772</c:v>
                </c:pt>
                <c:pt idx="103">
                  <c:v>0.12951807228915663</c:v>
                </c:pt>
                <c:pt idx="104">
                  <c:v>9.4879518072289157E-2</c:v>
                </c:pt>
                <c:pt idx="105">
                  <c:v>0.11144578313253012</c:v>
                </c:pt>
                <c:pt idx="106">
                  <c:v>0.04</c:v>
                </c:pt>
                <c:pt idx="107">
                  <c:v>0</c:v>
                </c:pt>
                <c:pt idx="108">
                  <c:v>0.14888888888888888</c:v>
                </c:pt>
                <c:pt idx="109">
                  <c:v>6.9692058346839544E-2</c:v>
                </c:pt>
                <c:pt idx="110">
                  <c:v>5.5555555555555552E-2</c:v>
                </c:pt>
                <c:pt idx="111">
                  <c:v>4.8192771084337352E-2</c:v>
                </c:pt>
                <c:pt idx="112">
                  <c:v>2.6548672566371681E-2</c:v>
                </c:pt>
                <c:pt idx="113">
                  <c:v>7.3369565217391311E-2</c:v>
                </c:pt>
                <c:pt idx="114">
                  <c:v>0.45555555555555555</c:v>
                </c:pt>
                <c:pt idx="115">
                  <c:v>0.18</c:v>
                </c:pt>
                <c:pt idx="116">
                  <c:v>0.27235213204951858</c:v>
                </c:pt>
                <c:pt idx="117">
                  <c:v>0.14718019257221457</c:v>
                </c:pt>
                <c:pt idx="118">
                  <c:v>0.10178817056396149</c:v>
                </c:pt>
                <c:pt idx="119">
                  <c:v>0.10666666666666667</c:v>
                </c:pt>
                <c:pt idx="120">
                  <c:v>0.06</c:v>
                </c:pt>
                <c:pt idx="121">
                  <c:v>3.3783783783783786E-2</c:v>
                </c:pt>
                <c:pt idx="122">
                  <c:v>2.1959459459459461E-2</c:v>
                </c:pt>
                <c:pt idx="123">
                  <c:v>1.6863406408094434E-2</c:v>
                </c:pt>
                <c:pt idx="124">
                  <c:v>2.4444444444444446E-2</c:v>
                </c:pt>
                <c:pt idx="125">
                  <c:v>1.8612521150592216E-2</c:v>
                </c:pt>
                <c:pt idx="126">
                  <c:v>1.1844331641285956E-2</c:v>
                </c:pt>
                <c:pt idx="127">
                  <c:v>2.0270270270270271E-2</c:v>
                </c:pt>
                <c:pt idx="128">
                  <c:v>1.953125E-3</c:v>
                </c:pt>
                <c:pt idx="129">
                  <c:v>0.26444444444444443</c:v>
                </c:pt>
                <c:pt idx="130">
                  <c:v>9.5522388059701493E-2</c:v>
                </c:pt>
                <c:pt idx="131">
                  <c:v>5.8208955223880594E-2</c:v>
                </c:pt>
                <c:pt idx="132">
                  <c:v>2.2354694485842028E-2</c:v>
                </c:pt>
                <c:pt idx="133">
                  <c:v>3.2310177705977385E-3</c:v>
                </c:pt>
                <c:pt idx="134">
                  <c:v>4.4444444444444444E-3</c:v>
                </c:pt>
                <c:pt idx="135">
                  <c:v>1.9880715705765406E-3</c:v>
                </c:pt>
                <c:pt idx="136">
                  <c:v>0</c:v>
                </c:pt>
                <c:pt idx="137">
                  <c:v>3.9761431411530811E-3</c:v>
                </c:pt>
                <c:pt idx="138">
                  <c:v>9.0090090090090089E-3</c:v>
                </c:pt>
                <c:pt idx="139">
                  <c:v>0.61777777777777776</c:v>
                </c:pt>
                <c:pt idx="140">
                  <c:v>0.56444444444444442</c:v>
                </c:pt>
                <c:pt idx="141">
                  <c:v>0.56258596973865205</c:v>
                </c:pt>
                <c:pt idx="142">
                  <c:v>0.55295735900962861</c:v>
                </c:pt>
                <c:pt idx="143">
                  <c:v>0.51648351648351654</c:v>
                </c:pt>
                <c:pt idx="144">
                  <c:v>0.46978021978021978</c:v>
                </c:pt>
                <c:pt idx="145">
                  <c:v>0.87333333333333329</c:v>
                </c:pt>
                <c:pt idx="146">
                  <c:v>0.89777777777777779</c:v>
                </c:pt>
                <c:pt idx="147">
                  <c:v>0.84919472913616401</c:v>
                </c:pt>
                <c:pt idx="148">
                  <c:v>0.79062957540263545</c:v>
                </c:pt>
                <c:pt idx="149">
                  <c:v>0.75841874084919469</c:v>
                </c:pt>
                <c:pt idx="150">
                  <c:v>0.74816983894582723</c:v>
                </c:pt>
                <c:pt idx="151">
                  <c:v>0.63888888888888884</c:v>
                </c:pt>
                <c:pt idx="152">
                  <c:v>0.9</c:v>
                </c:pt>
                <c:pt idx="153">
                  <c:v>0.85333333333333339</c:v>
                </c:pt>
                <c:pt idx="154">
                  <c:v>0.82444444444444442</c:v>
                </c:pt>
                <c:pt idx="155">
                  <c:v>0.84955752212389379</c:v>
                </c:pt>
                <c:pt idx="156">
                  <c:v>0.7667844522968198</c:v>
                </c:pt>
                <c:pt idx="157">
                  <c:v>0.95777777777777773</c:v>
                </c:pt>
                <c:pt idx="158">
                  <c:v>0.95777777777777773</c:v>
                </c:pt>
                <c:pt idx="159">
                  <c:v>0.96078431372549022</c:v>
                </c:pt>
                <c:pt idx="160">
                  <c:v>0.87866927592954991</c:v>
                </c:pt>
                <c:pt idx="161">
                  <c:v>0.81604696673189825</c:v>
                </c:pt>
                <c:pt idx="162">
                  <c:v>0.74444444444444446</c:v>
                </c:pt>
                <c:pt idx="163">
                  <c:v>0.70682730923694781</c:v>
                </c:pt>
                <c:pt idx="164">
                  <c:v>0.68005354752342706</c:v>
                </c:pt>
                <c:pt idx="165">
                  <c:v>0.62918340026773767</c:v>
                </c:pt>
                <c:pt idx="166">
                  <c:v>0.59303882195448465</c:v>
                </c:pt>
                <c:pt idx="167">
                  <c:v>0.59839357429718876</c:v>
                </c:pt>
                <c:pt idx="168">
                  <c:v>0.97555555555555551</c:v>
                </c:pt>
                <c:pt idx="169">
                  <c:v>0.97333333333333338</c:v>
                </c:pt>
                <c:pt idx="170">
                  <c:v>0.95205479452054798</c:v>
                </c:pt>
                <c:pt idx="171">
                  <c:v>0.95034246575342463</c:v>
                </c:pt>
                <c:pt idx="172">
                  <c:v>0.86495726495726499</c:v>
                </c:pt>
              </c:numCache>
            </c:numRef>
          </c:xVal>
          <c:yVal>
            <c:numRef>
              <c:f>RaceWorksheet!$A$2:$A$174</c:f>
              <c:numCache>
                <c:formatCode>0.0%</c:formatCode>
                <c:ptCount val="173"/>
                <c:pt idx="0">
                  <c:v>0.15580736543909349</c:v>
                </c:pt>
                <c:pt idx="1">
                  <c:v>0.10516605166051661</c:v>
                </c:pt>
                <c:pt idx="2">
                  <c:v>0.12534059945504086</c:v>
                </c:pt>
                <c:pt idx="3">
                  <c:v>0.14420803782505912</c:v>
                </c:pt>
                <c:pt idx="4">
                  <c:v>0.15144766146993319</c:v>
                </c:pt>
                <c:pt idx="5">
                  <c:v>0.14465408805031446</c:v>
                </c:pt>
                <c:pt idx="6">
                  <c:v>0.15508021390374332</c:v>
                </c:pt>
                <c:pt idx="7">
                  <c:v>0.22410147991543342</c:v>
                </c:pt>
                <c:pt idx="8">
                  <c:v>0.23427331887201736</c:v>
                </c:pt>
                <c:pt idx="9">
                  <c:v>0.26601941747572816</c:v>
                </c:pt>
                <c:pt idx="10">
                  <c:v>0.80487804878048785</c:v>
                </c:pt>
                <c:pt idx="11">
                  <c:v>0.65454545454545454</c:v>
                </c:pt>
                <c:pt idx="12">
                  <c:v>0.73043478260869565</c:v>
                </c:pt>
                <c:pt idx="13">
                  <c:v>0.76659038901601828</c:v>
                </c:pt>
                <c:pt idx="14">
                  <c:v>0.80154639175257736</c:v>
                </c:pt>
                <c:pt idx="15">
                  <c:v>0.77192982456140347</c:v>
                </c:pt>
                <c:pt idx="16">
                  <c:v>0.76769911504424782</c:v>
                </c:pt>
                <c:pt idx="17">
                  <c:v>9.2348284960422161E-2</c:v>
                </c:pt>
                <c:pt idx="18">
                  <c:v>5.2837573385518588E-2</c:v>
                </c:pt>
                <c:pt idx="19">
                  <c:v>6.6666666666666666E-2</c:v>
                </c:pt>
                <c:pt idx="20">
                  <c:v>9.8196392785571143E-2</c:v>
                </c:pt>
                <c:pt idx="21">
                  <c:v>0.11855670103092783</c:v>
                </c:pt>
                <c:pt idx="22">
                  <c:v>0.10352941176470588</c:v>
                </c:pt>
                <c:pt idx="23">
                  <c:v>0.12037037037037036</c:v>
                </c:pt>
                <c:pt idx="24">
                  <c:v>0.11910669975186104</c:v>
                </c:pt>
                <c:pt idx="25">
                  <c:v>7.5187969924812026E-2</c:v>
                </c:pt>
                <c:pt idx="26">
                  <c:v>6.6176470588235295E-2</c:v>
                </c:pt>
                <c:pt idx="27">
                  <c:v>8.1481481481481488E-2</c:v>
                </c:pt>
                <c:pt idx="28">
                  <c:v>0.21502590673575128</c:v>
                </c:pt>
                <c:pt idx="29">
                  <c:v>0.22508591065292097</c:v>
                </c:pt>
                <c:pt idx="30">
                  <c:v>0.16261682242990655</c:v>
                </c:pt>
                <c:pt idx="31">
                  <c:v>0.12521440823327615</c:v>
                </c:pt>
                <c:pt idx="32">
                  <c:v>9.5108695652173919E-2</c:v>
                </c:pt>
                <c:pt idx="33">
                  <c:v>0.10101010101010101</c:v>
                </c:pt>
                <c:pt idx="34">
                  <c:v>5.8823529411764705E-2</c:v>
                </c:pt>
                <c:pt idx="35">
                  <c:v>0.1222707423580786</c:v>
                </c:pt>
                <c:pt idx="36">
                  <c:v>6.4159292035398233E-2</c:v>
                </c:pt>
                <c:pt idx="37">
                  <c:v>8.5062240663900418E-2</c:v>
                </c:pt>
                <c:pt idx="38">
                  <c:v>7.7071290944123308E-2</c:v>
                </c:pt>
                <c:pt idx="39">
                  <c:v>0.78600823045267487</c:v>
                </c:pt>
                <c:pt idx="40">
                  <c:v>0.75563909774436089</c:v>
                </c:pt>
                <c:pt idx="41">
                  <c:v>0.60223048327137552</c:v>
                </c:pt>
                <c:pt idx="42">
                  <c:v>0.74183976261127593</c:v>
                </c:pt>
                <c:pt idx="43">
                  <c:v>0.79054054054054057</c:v>
                </c:pt>
                <c:pt idx="44">
                  <c:v>0.58762886597938147</c:v>
                </c:pt>
                <c:pt idx="45">
                  <c:v>0.18181818181818182</c:v>
                </c:pt>
                <c:pt idx="46">
                  <c:v>0.15686274509803921</c:v>
                </c:pt>
                <c:pt idx="47">
                  <c:v>0.15942028985507245</c:v>
                </c:pt>
                <c:pt idx="48">
                  <c:v>0.19772727272727272</c:v>
                </c:pt>
                <c:pt idx="49">
                  <c:v>0.17381974248927037</c:v>
                </c:pt>
                <c:pt idx="50">
                  <c:v>0.14360313315926893</c:v>
                </c:pt>
                <c:pt idx="51">
                  <c:v>0.14578005115089515</c:v>
                </c:pt>
                <c:pt idx="52">
                  <c:v>0.12521739130434784</c:v>
                </c:pt>
                <c:pt idx="53">
                  <c:v>0.11355311355311355</c:v>
                </c:pt>
                <c:pt idx="54">
                  <c:v>0.13989637305699482</c:v>
                </c:pt>
                <c:pt idx="55">
                  <c:v>0.11286089238845144</c:v>
                </c:pt>
                <c:pt idx="56">
                  <c:v>9.9750623441396513E-2</c:v>
                </c:pt>
                <c:pt idx="57">
                  <c:v>0.11244019138755981</c:v>
                </c:pt>
                <c:pt idx="58">
                  <c:v>0.10364145658263306</c:v>
                </c:pt>
                <c:pt idx="59">
                  <c:v>6.5326633165829151E-2</c:v>
                </c:pt>
                <c:pt idx="60">
                  <c:v>0.14595660749506903</c:v>
                </c:pt>
                <c:pt idx="61">
                  <c:v>9.4230769230769229E-2</c:v>
                </c:pt>
                <c:pt idx="62">
                  <c:v>0.10576923076923077</c:v>
                </c:pt>
                <c:pt idx="63">
                  <c:v>0.12681159420289856</c:v>
                </c:pt>
                <c:pt idx="64">
                  <c:v>7.4999999999999997E-2</c:v>
                </c:pt>
                <c:pt idx="65">
                  <c:v>8.1439393939393936E-2</c:v>
                </c:pt>
                <c:pt idx="66">
                  <c:v>9.5602294455066919E-2</c:v>
                </c:pt>
                <c:pt idx="67">
                  <c:v>0.10057471264367816</c:v>
                </c:pt>
                <c:pt idx="68">
                  <c:v>8.2262210796915161E-2</c:v>
                </c:pt>
                <c:pt idx="69">
                  <c:v>0.13001912045889102</c:v>
                </c:pt>
                <c:pt idx="70">
                  <c:v>9.3567251461988299E-2</c:v>
                </c:pt>
                <c:pt idx="71">
                  <c:v>0.15328467153284672</c:v>
                </c:pt>
                <c:pt idx="72">
                  <c:v>0.11369509043927649</c:v>
                </c:pt>
                <c:pt idx="73">
                  <c:v>9.8557692307692304E-2</c:v>
                </c:pt>
                <c:pt idx="74">
                  <c:v>7.3791348600508899E-2</c:v>
                </c:pt>
                <c:pt idx="75">
                  <c:v>0.10565110565110565</c:v>
                </c:pt>
                <c:pt idx="76">
                  <c:v>9.2731829573934832E-2</c:v>
                </c:pt>
                <c:pt idx="77">
                  <c:v>5.8823529411764705E-2</c:v>
                </c:pt>
                <c:pt idx="78">
                  <c:v>9.8445595854922283E-2</c:v>
                </c:pt>
                <c:pt idx="79">
                  <c:v>0.10846560846560846</c:v>
                </c:pt>
                <c:pt idx="80">
                  <c:v>0.13031161473087818</c:v>
                </c:pt>
                <c:pt idx="81">
                  <c:v>9.3922651933701654E-2</c:v>
                </c:pt>
                <c:pt idx="82">
                  <c:v>0.12032085561497326</c:v>
                </c:pt>
                <c:pt idx="83">
                  <c:v>0.13186813186813187</c:v>
                </c:pt>
                <c:pt idx="84">
                  <c:v>0.13675213675213677</c:v>
                </c:pt>
                <c:pt idx="85">
                  <c:v>0.15384615384615385</c:v>
                </c:pt>
                <c:pt idx="86">
                  <c:v>0.12408759124087591</c:v>
                </c:pt>
                <c:pt idx="87">
                  <c:v>0.12814070351758794</c:v>
                </c:pt>
                <c:pt idx="88">
                  <c:v>0.14252873563218391</c:v>
                </c:pt>
                <c:pt idx="89">
                  <c:v>0.22651933701657459</c:v>
                </c:pt>
                <c:pt idx="90">
                  <c:v>0.20168067226890757</c:v>
                </c:pt>
                <c:pt idx="91">
                  <c:v>0.18285714285714286</c:v>
                </c:pt>
                <c:pt idx="92">
                  <c:v>0.14647887323943662</c:v>
                </c:pt>
                <c:pt idx="93">
                  <c:v>0.15934065934065933</c:v>
                </c:pt>
                <c:pt idx="94">
                  <c:v>0.17125382262996941</c:v>
                </c:pt>
                <c:pt idx="95">
                  <c:v>0.17101449275362318</c:v>
                </c:pt>
                <c:pt idx="96">
                  <c:v>0.13996316758747698</c:v>
                </c:pt>
                <c:pt idx="97">
                  <c:v>0.10469314079422383</c:v>
                </c:pt>
                <c:pt idx="98">
                  <c:v>0.60919540229885061</c:v>
                </c:pt>
                <c:pt idx="99">
                  <c:v>0.56507936507936507</c:v>
                </c:pt>
                <c:pt idx="100">
                  <c:v>0.46341463414634149</c:v>
                </c:pt>
                <c:pt idx="101">
                  <c:v>0.50378787878787878</c:v>
                </c:pt>
                <c:pt idx="102">
                  <c:v>0.60288065843621397</c:v>
                </c:pt>
                <c:pt idx="103">
                  <c:v>0.51011235955056178</c:v>
                </c:pt>
                <c:pt idx="104">
                  <c:v>0.44927536231884058</c:v>
                </c:pt>
                <c:pt idx="105">
                  <c:v>0.50189393939393945</c:v>
                </c:pt>
                <c:pt idx="106">
                  <c:v>4.6753246753246755E-2</c:v>
                </c:pt>
                <c:pt idx="107">
                  <c:v>5.8704453441295545E-2</c:v>
                </c:pt>
                <c:pt idx="108">
                  <c:v>0.57763975155279501</c:v>
                </c:pt>
                <c:pt idx="109">
                  <c:v>0.63796909492273735</c:v>
                </c:pt>
                <c:pt idx="110">
                  <c:v>0.43613707165109034</c:v>
                </c:pt>
                <c:pt idx="111">
                  <c:v>0.43359375</c:v>
                </c:pt>
                <c:pt idx="112">
                  <c:v>0.68041237113402064</c:v>
                </c:pt>
                <c:pt idx="113">
                  <c:v>0.51851851851851849</c:v>
                </c:pt>
                <c:pt idx="114">
                  <c:v>0.51459854014598538</c:v>
                </c:pt>
                <c:pt idx="115">
                  <c:v>0.43626062322946174</c:v>
                </c:pt>
                <c:pt idx="116">
                  <c:v>0.51356589147286824</c:v>
                </c:pt>
                <c:pt idx="117">
                  <c:v>0.50924024640657084</c:v>
                </c:pt>
                <c:pt idx="118">
                  <c:v>0.41856060606060608</c:v>
                </c:pt>
                <c:pt idx="119">
                  <c:v>0.1716867469879518</c:v>
                </c:pt>
                <c:pt idx="120">
                  <c:v>0.20172910662824209</c:v>
                </c:pt>
                <c:pt idx="121">
                  <c:v>0.15137614678899083</c:v>
                </c:pt>
                <c:pt idx="122">
                  <c:v>0.12470023980815348</c:v>
                </c:pt>
                <c:pt idx="123">
                  <c:v>0.13507109004739337</c:v>
                </c:pt>
                <c:pt idx="124">
                  <c:v>8.1920903954802254E-2</c:v>
                </c:pt>
                <c:pt idx="125">
                  <c:v>0.1711111111111111</c:v>
                </c:pt>
                <c:pt idx="126">
                  <c:v>0.12413793103448276</c:v>
                </c:pt>
                <c:pt idx="127">
                  <c:v>0.15476190476190477</c:v>
                </c:pt>
                <c:pt idx="128">
                  <c:v>0.13480392156862744</c:v>
                </c:pt>
                <c:pt idx="129">
                  <c:v>0.33753943217665616</c:v>
                </c:pt>
                <c:pt idx="130">
                  <c:v>0.21772639691714837</c:v>
                </c:pt>
                <c:pt idx="131">
                  <c:v>0.19246031746031747</c:v>
                </c:pt>
                <c:pt idx="132">
                  <c:v>0.23529411764705882</c:v>
                </c:pt>
                <c:pt idx="133">
                  <c:v>0.15674603174603174</c:v>
                </c:pt>
                <c:pt idx="134">
                  <c:v>0.11044776119402985</c:v>
                </c:pt>
                <c:pt idx="135">
                  <c:v>0.14355231143552311</c:v>
                </c:pt>
                <c:pt idx="136">
                  <c:v>0.11320754716981132</c:v>
                </c:pt>
                <c:pt idx="137">
                  <c:v>0.19575471698113209</c:v>
                </c:pt>
                <c:pt idx="138">
                  <c:v>0.16352201257861634</c:v>
                </c:pt>
                <c:pt idx="139">
                  <c:v>0.66772151898734178</c:v>
                </c:pt>
                <c:pt idx="140">
                  <c:v>0.6394366197183099</c:v>
                </c:pt>
                <c:pt idx="141">
                  <c:v>0.67917448405253278</c:v>
                </c:pt>
                <c:pt idx="142">
                  <c:v>0.68711656441717794</c:v>
                </c:pt>
                <c:pt idx="143">
                  <c:v>0.67820773930753564</c:v>
                </c:pt>
                <c:pt idx="144">
                  <c:v>0.59823008849557524</c:v>
                </c:pt>
                <c:pt idx="145">
                  <c:v>0.78481012658227844</c:v>
                </c:pt>
                <c:pt idx="146">
                  <c:v>0.87392550143266479</c:v>
                </c:pt>
                <c:pt idx="147">
                  <c:v>0.89183673469387759</c:v>
                </c:pt>
                <c:pt idx="148">
                  <c:v>0.87826086956521743</c:v>
                </c:pt>
                <c:pt idx="149">
                  <c:v>0.87586206896551722</c:v>
                </c:pt>
                <c:pt idx="150">
                  <c:v>0.88235294117647056</c:v>
                </c:pt>
                <c:pt idx="151">
                  <c:v>0.87044534412955465</c:v>
                </c:pt>
                <c:pt idx="152">
                  <c:v>0.8127490039840638</c:v>
                </c:pt>
                <c:pt idx="153">
                  <c:v>0.82352941176470584</c:v>
                </c:pt>
                <c:pt idx="154">
                  <c:v>0.85046728971962615</c:v>
                </c:pt>
                <c:pt idx="155">
                  <c:v>0.89717223650385602</c:v>
                </c:pt>
                <c:pt idx="156">
                  <c:v>0.82105263157894737</c:v>
                </c:pt>
                <c:pt idx="157">
                  <c:v>0.78091872791519434</c:v>
                </c:pt>
                <c:pt idx="158">
                  <c:v>0.89534883720930236</c:v>
                </c:pt>
                <c:pt idx="159">
                  <c:v>0.90858725761772852</c:v>
                </c:pt>
                <c:pt idx="160">
                  <c:v>0.87058823529411766</c:v>
                </c:pt>
                <c:pt idx="161">
                  <c:v>0.85087719298245612</c:v>
                </c:pt>
                <c:pt idx="162">
                  <c:v>0.74919614147909963</c:v>
                </c:pt>
                <c:pt idx="163">
                  <c:v>0.78407079646017697</c:v>
                </c:pt>
                <c:pt idx="164">
                  <c:v>0.83953033268101762</c:v>
                </c:pt>
                <c:pt idx="165">
                  <c:v>0.8303571428571429</c:v>
                </c:pt>
                <c:pt idx="166">
                  <c:v>0.86458333333333337</c:v>
                </c:pt>
                <c:pt idx="167">
                  <c:v>0.85315985130111527</c:v>
                </c:pt>
                <c:pt idx="168">
                  <c:v>0.84558823529411764</c:v>
                </c:pt>
                <c:pt idx="169">
                  <c:v>0.89504373177842567</c:v>
                </c:pt>
                <c:pt idx="170">
                  <c:v>0.91232227488151663</c:v>
                </c:pt>
                <c:pt idx="171">
                  <c:v>0.90934065934065933</c:v>
                </c:pt>
                <c:pt idx="172">
                  <c:v>0.90314136125654454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09-41CE-9812-271588FC8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067247"/>
        <c:axId val="305945503"/>
      </c:scatterChart>
      <c:valAx>
        <c:axId val="4720672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945503"/>
        <c:crosses val="autoZero"/>
        <c:crossBetween val="midCat"/>
      </c:valAx>
      <c:valAx>
        <c:axId val="30594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067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BN% vs Chinese% P127 Jempol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907195975503062"/>
                  <c:y val="-0.50385061242344709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RaceWorksheet!$K$2:$K$174</c:f>
              <c:numCache>
                <c:formatCode>0.0%</c:formatCode>
                <c:ptCount val="173"/>
                <c:pt idx="0">
                  <c:v>4.4444444444444444E-3</c:v>
                </c:pt>
                <c:pt idx="1">
                  <c:v>1.455604075691412E-3</c:v>
                </c:pt>
                <c:pt idx="2">
                  <c:v>6.6666666666666671E-3</c:v>
                </c:pt>
                <c:pt idx="3">
                  <c:v>3.6496350364963502E-3</c:v>
                </c:pt>
                <c:pt idx="4">
                  <c:v>1.8214936247723133E-3</c:v>
                </c:pt>
                <c:pt idx="5">
                  <c:v>4.4444444444444444E-3</c:v>
                </c:pt>
                <c:pt idx="6">
                  <c:v>0</c:v>
                </c:pt>
                <c:pt idx="7">
                  <c:v>7.8369905956112845E-3</c:v>
                </c:pt>
                <c:pt idx="8">
                  <c:v>1.4106583072100314E-2</c:v>
                </c:pt>
                <c:pt idx="9">
                  <c:v>7.8369905956112845E-3</c:v>
                </c:pt>
                <c:pt idx="10">
                  <c:v>0.68041237113402064</c:v>
                </c:pt>
                <c:pt idx="11">
                  <c:v>0.65111111111111108</c:v>
                </c:pt>
                <c:pt idx="12">
                  <c:v>0.63777777777777778</c:v>
                </c:pt>
                <c:pt idx="13">
                  <c:v>0.60099337748344372</c:v>
                </c:pt>
                <c:pt idx="14">
                  <c:v>0.57781456953642385</c:v>
                </c:pt>
                <c:pt idx="15">
                  <c:v>0.5504132231404959</c:v>
                </c:pt>
                <c:pt idx="16">
                  <c:v>0.45289256198347105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1.869158878504673E-3</c:v>
                </c:pt>
                <c:pt idx="23">
                  <c:v>0</c:v>
                </c:pt>
                <c:pt idx="24">
                  <c:v>0</c:v>
                </c:pt>
                <c:pt idx="25">
                  <c:v>1.5174506828528073E-3</c:v>
                </c:pt>
                <c:pt idx="26">
                  <c:v>0</c:v>
                </c:pt>
                <c:pt idx="27">
                  <c:v>0</c:v>
                </c:pt>
                <c:pt idx="28">
                  <c:v>2.6666666666666668E-2</c:v>
                </c:pt>
                <c:pt idx="29">
                  <c:v>5.4812834224598928E-2</c:v>
                </c:pt>
                <c:pt idx="30">
                  <c:v>3.074866310160428E-2</c:v>
                </c:pt>
                <c:pt idx="31">
                  <c:v>6.6844919786096255E-3</c:v>
                </c:pt>
                <c:pt idx="32">
                  <c:v>4.4444444444444444E-3</c:v>
                </c:pt>
                <c:pt idx="33">
                  <c:v>4.4444444444444444E-3</c:v>
                </c:pt>
                <c:pt idx="34">
                  <c:v>2.2222222222222222E-3</c:v>
                </c:pt>
                <c:pt idx="35">
                  <c:v>4.7095761381475663E-3</c:v>
                </c:pt>
                <c:pt idx="36">
                  <c:v>1.567398119122257E-3</c:v>
                </c:pt>
                <c:pt idx="37">
                  <c:v>6.269592476489028E-3</c:v>
                </c:pt>
                <c:pt idx="38">
                  <c:v>4.7021943573667714E-3</c:v>
                </c:pt>
                <c:pt idx="39">
                  <c:v>0.85555555555555551</c:v>
                </c:pt>
                <c:pt idx="40">
                  <c:v>0.65914221218961622</c:v>
                </c:pt>
                <c:pt idx="41">
                  <c:v>0.75555555555555554</c:v>
                </c:pt>
                <c:pt idx="42">
                  <c:v>0.70081967213114749</c:v>
                </c:pt>
                <c:pt idx="43">
                  <c:v>0.54918032786885251</c:v>
                </c:pt>
                <c:pt idx="44">
                  <c:v>8.1081081081081086E-2</c:v>
                </c:pt>
                <c:pt idx="45">
                  <c:v>1.5555555555555555E-2</c:v>
                </c:pt>
                <c:pt idx="46">
                  <c:v>5.084745762711864E-3</c:v>
                </c:pt>
                <c:pt idx="47">
                  <c:v>3.3898305084745762E-3</c:v>
                </c:pt>
                <c:pt idx="48">
                  <c:v>1.6949152542372881E-3</c:v>
                </c:pt>
                <c:pt idx="49">
                  <c:v>5.084745762711864E-3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1.3947001394700139E-3</c:v>
                </c:pt>
                <c:pt idx="54">
                  <c:v>0</c:v>
                </c:pt>
                <c:pt idx="55">
                  <c:v>0</c:v>
                </c:pt>
                <c:pt idx="56">
                  <c:v>1.8587360594795538E-3</c:v>
                </c:pt>
                <c:pt idx="57">
                  <c:v>0</c:v>
                </c:pt>
                <c:pt idx="58">
                  <c:v>2.2222222222222222E-3</c:v>
                </c:pt>
                <c:pt idx="59">
                  <c:v>2.2222222222222222E-3</c:v>
                </c:pt>
                <c:pt idx="60">
                  <c:v>2.8248587570621469E-3</c:v>
                </c:pt>
                <c:pt idx="61">
                  <c:v>1.4124293785310734E-3</c:v>
                </c:pt>
                <c:pt idx="62">
                  <c:v>0</c:v>
                </c:pt>
                <c:pt idx="63">
                  <c:v>1.4104372355430183E-3</c:v>
                </c:pt>
                <c:pt idx="64">
                  <c:v>1.1111111111111112E-2</c:v>
                </c:pt>
                <c:pt idx="65">
                  <c:v>1.2857142857142857E-2</c:v>
                </c:pt>
                <c:pt idx="66">
                  <c:v>5.7142857142857143E-3</c:v>
                </c:pt>
                <c:pt idx="67">
                  <c:v>4.4444444444444444E-3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1.1111111111111112E-2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4.4444444444444444E-3</c:v>
                </c:pt>
                <c:pt idx="80">
                  <c:v>4.4444444444444444E-3</c:v>
                </c:pt>
                <c:pt idx="81">
                  <c:v>0</c:v>
                </c:pt>
                <c:pt idx="82">
                  <c:v>0</c:v>
                </c:pt>
                <c:pt idx="83">
                  <c:v>1.984126984126984E-3</c:v>
                </c:pt>
                <c:pt idx="84">
                  <c:v>4.6666666666666669E-2</c:v>
                </c:pt>
                <c:pt idx="85">
                  <c:v>2.8888888888888888E-2</c:v>
                </c:pt>
                <c:pt idx="86">
                  <c:v>2.456140350877193E-2</c:v>
                </c:pt>
                <c:pt idx="87">
                  <c:v>2.1052631578947368E-2</c:v>
                </c:pt>
                <c:pt idx="88">
                  <c:v>2.1052631578947368E-2</c:v>
                </c:pt>
                <c:pt idx="89">
                  <c:v>0.1111111111111111</c:v>
                </c:pt>
                <c:pt idx="90">
                  <c:v>5.3333333333333337E-2</c:v>
                </c:pt>
                <c:pt idx="91">
                  <c:v>7.1146245059288543E-2</c:v>
                </c:pt>
                <c:pt idx="92">
                  <c:v>3.3596837944664032E-2</c:v>
                </c:pt>
                <c:pt idx="93">
                  <c:v>2.3668639053254437E-2</c:v>
                </c:pt>
                <c:pt idx="94">
                  <c:v>9.3333333333333338E-2</c:v>
                </c:pt>
                <c:pt idx="95">
                  <c:v>8.2222222222222224E-2</c:v>
                </c:pt>
                <c:pt idx="96">
                  <c:v>4.0705563093622797E-2</c:v>
                </c:pt>
                <c:pt idx="97">
                  <c:v>4.6132971506105833E-2</c:v>
                </c:pt>
                <c:pt idx="98">
                  <c:v>0.16355140186915887</c:v>
                </c:pt>
                <c:pt idx="99">
                  <c:v>0.16666666666666666</c:v>
                </c:pt>
                <c:pt idx="100">
                  <c:v>9.555555555555556E-2</c:v>
                </c:pt>
                <c:pt idx="101">
                  <c:v>0.11613876319758673</c:v>
                </c:pt>
                <c:pt idx="102">
                  <c:v>0.13253012048192772</c:v>
                </c:pt>
                <c:pt idx="103">
                  <c:v>0.12951807228915663</c:v>
                </c:pt>
                <c:pt idx="104">
                  <c:v>9.4879518072289157E-2</c:v>
                </c:pt>
                <c:pt idx="105">
                  <c:v>0.11144578313253012</c:v>
                </c:pt>
                <c:pt idx="106">
                  <c:v>0.04</c:v>
                </c:pt>
                <c:pt idx="107">
                  <c:v>0</c:v>
                </c:pt>
                <c:pt idx="108">
                  <c:v>0.14888888888888888</c:v>
                </c:pt>
                <c:pt idx="109">
                  <c:v>6.9692058346839544E-2</c:v>
                </c:pt>
                <c:pt idx="110">
                  <c:v>5.5555555555555552E-2</c:v>
                </c:pt>
                <c:pt idx="111">
                  <c:v>4.8192771084337352E-2</c:v>
                </c:pt>
                <c:pt idx="112">
                  <c:v>2.6548672566371681E-2</c:v>
                </c:pt>
                <c:pt idx="113">
                  <c:v>7.3369565217391311E-2</c:v>
                </c:pt>
                <c:pt idx="114">
                  <c:v>0.45555555555555555</c:v>
                </c:pt>
                <c:pt idx="115">
                  <c:v>0.18</c:v>
                </c:pt>
                <c:pt idx="116">
                  <c:v>0.27235213204951858</c:v>
                </c:pt>
                <c:pt idx="117">
                  <c:v>0.14718019257221457</c:v>
                </c:pt>
                <c:pt idx="118">
                  <c:v>0.10178817056396149</c:v>
                </c:pt>
                <c:pt idx="119">
                  <c:v>0.10666666666666667</c:v>
                </c:pt>
                <c:pt idx="120">
                  <c:v>0.06</c:v>
                </c:pt>
                <c:pt idx="121">
                  <c:v>3.3783783783783786E-2</c:v>
                </c:pt>
                <c:pt idx="122">
                  <c:v>2.1959459459459461E-2</c:v>
                </c:pt>
                <c:pt idx="123">
                  <c:v>1.6863406408094434E-2</c:v>
                </c:pt>
                <c:pt idx="124">
                  <c:v>2.4444444444444446E-2</c:v>
                </c:pt>
                <c:pt idx="125">
                  <c:v>1.8612521150592216E-2</c:v>
                </c:pt>
                <c:pt idx="126">
                  <c:v>1.1844331641285956E-2</c:v>
                </c:pt>
                <c:pt idx="127">
                  <c:v>2.0270270270270271E-2</c:v>
                </c:pt>
                <c:pt idx="128">
                  <c:v>1.953125E-3</c:v>
                </c:pt>
                <c:pt idx="129">
                  <c:v>0.26444444444444443</c:v>
                </c:pt>
                <c:pt idx="130">
                  <c:v>9.5522388059701493E-2</c:v>
                </c:pt>
                <c:pt idx="131">
                  <c:v>5.8208955223880594E-2</c:v>
                </c:pt>
                <c:pt idx="132">
                  <c:v>2.2354694485842028E-2</c:v>
                </c:pt>
                <c:pt idx="133">
                  <c:v>3.2310177705977385E-3</c:v>
                </c:pt>
                <c:pt idx="134">
                  <c:v>4.4444444444444444E-3</c:v>
                </c:pt>
                <c:pt idx="135">
                  <c:v>1.9880715705765406E-3</c:v>
                </c:pt>
                <c:pt idx="136">
                  <c:v>0</c:v>
                </c:pt>
                <c:pt idx="137">
                  <c:v>3.9761431411530811E-3</c:v>
                </c:pt>
                <c:pt idx="138">
                  <c:v>9.0090090090090089E-3</c:v>
                </c:pt>
                <c:pt idx="139">
                  <c:v>0.61777777777777776</c:v>
                </c:pt>
                <c:pt idx="140">
                  <c:v>0.56444444444444442</c:v>
                </c:pt>
                <c:pt idx="141">
                  <c:v>0.56258596973865205</c:v>
                </c:pt>
                <c:pt idx="142">
                  <c:v>0.55295735900962861</c:v>
                </c:pt>
                <c:pt idx="143">
                  <c:v>0.51648351648351654</c:v>
                </c:pt>
                <c:pt idx="144">
                  <c:v>0.46978021978021978</c:v>
                </c:pt>
                <c:pt idx="145">
                  <c:v>0.87333333333333329</c:v>
                </c:pt>
                <c:pt idx="146">
                  <c:v>0.89777777777777779</c:v>
                </c:pt>
                <c:pt idx="147">
                  <c:v>0.84919472913616401</c:v>
                </c:pt>
                <c:pt idx="148">
                  <c:v>0.79062957540263545</c:v>
                </c:pt>
                <c:pt idx="149">
                  <c:v>0.75841874084919469</c:v>
                </c:pt>
                <c:pt idx="150">
                  <c:v>0.74816983894582723</c:v>
                </c:pt>
                <c:pt idx="151">
                  <c:v>0.63888888888888884</c:v>
                </c:pt>
                <c:pt idx="152">
                  <c:v>0.9</c:v>
                </c:pt>
                <c:pt idx="153">
                  <c:v>0.85333333333333339</c:v>
                </c:pt>
                <c:pt idx="154">
                  <c:v>0.82444444444444442</c:v>
                </c:pt>
                <c:pt idx="155">
                  <c:v>0.84955752212389379</c:v>
                </c:pt>
                <c:pt idx="156">
                  <c:v>0.7667844522968198</c:v>
                </c:pt>
                <c:pt idx="157">
                  <c:v>0.95777777777777773</c:v>
                </c:pt>
                <c:pt idx="158">
                  <c:v>0.95777777777777773</c:v>
                </c:pt>
                <c:pt idx="159">
                  <c:v>0.96078431372549022</c:v>
                </c:pt>
                <c:pt idx="160">
                  <c:v>0.87866927592954991</c:v>
                </c:pt>
                <c:pt idx="161">
                  <c:v>0.81604696673189825</c:v>
                </c:pt>
                <c:pt idx="162">
                  <c:v>0.74444444444444446</c:v>
                </c:pt>
                <c:pt idx="163">
                  <c:v>0.70682730923694781</c:v>
                </c:pt>
                <c:pt idx="164">
                  <c:v>0.68005354752342706</c:v>
                </c:pt>
                <c:pt idx="165">
                  <c:v>0.62918340026773767</c:v>
                </c:pt>
                <c:pt idx="166">
                  <c:v>0.59303882195448465</c:v>
                </c:pt>
                <c:pt idx="167">
                  <c:v>0.59839357429718876</c:v>
                </c:pt>
                <c:pt idx="168">
                  <c:v>0.97555555555555551</c:v>
                </c:pt>
                <c:pt idx="169">
                  <c:v>0.97333333333333338</c:v>
                </c:pt>
                <c:pt idx="170">
                  <c:v>0.95205479452054798</c:v>
                </c:pt>
                <c:pt idx="171">
                  <c:v>0.95034246575342463</c:v>
                </c:pt>
                <c:pt idx="172">
                  <c:v>0.86495726495726499</c:v>
                </c:pt>
              </c:numCache>
            </c:numRef>
          </c:xVal>
          <c:yVal>
            <c:numRef>
              <c:f>RaceWorksheet!$C$2:$C$174</c:f>
              <c:numCache>
                <c:formatCode>0.0%</c:formatCode>
                <c:ptCount val="173"/>
                <c:pt idx="0">
                  <c:v>0.62889518413597734</c:v>
                </c:pt>
                <c:pt idx="1">
                  <c:v>0.48339483394833949</c:v>
                </c:pt>
                <c:pt idx="2">
                  <c:v>0.67847411444141692</c:v>
                </c:pt>
                <c:pt idx="3">
                  <c:v>0.4728132387706856</c:v>
                </c:pt>
                <c:pt idx="4">
                  <c:v>0.45211581291759467</c:v>
                </c:pt>
                <c:pt idx="5">
                  <c:v>0.6132075471698113</c:v>
                </c:pt>
                <c:pt idx="6">
                  <c:v>0.55614973262032086</c:v>
                </c:pt>
                <c:pt idx="7">
                  <c:v>0.40380549682875266</c:v>
                </c:pt>
                <c:pt idx="8">
                  <c:v>0.34707158351409978</c:v>
                </c:pt>
                <c:pt idx="9">
                  <c:v>0.34951456310679613</c:v>
                </c:pt>
                <c:pt idx="10">
                  <c:v>9.7560975609756101E-2</c:v>
                </c:pt>
                <c:pt idx="11">
                  <c:v>0.25757575757575757</c:v>
                </c:pt>
                <c:pt idx="12">
                  <c:v>0.20579710144927535</c:v>
                </c:pt>
                <c:pt idx="13">
                  <c:v>0.13043478260869565</c:v>
                </c:pt>
                <c:pt idx="14">
                  <c:v>0.10824742268041238</c:v>
                </c:pt>
                <c:pt idx="15">
                  <c:v>0.13784461152882205</c:v>
                </c:pt>
                <c:pt idx="16">
                  <c:v>0.11283185840707964</c:v>
                </c:pt>
                <c:pt idx="17">
                  <c:v>0.75725593667546176</c:v>
                </c:pt>
                <c:pt idx="18">
                  <c:v>0.63796477495107629</c:v>
                </c:pt>
                <c:pt idx="19">
                  <c:v>0.52</c:v>
                </c:pt>
                <c:pt idx="20">
                  <c:v>0.54308617234468937</c:v>
                </c:pt>
                <c:pt idx="21">
                  <c:v>0.68814432989690721</c:v>
                </c:pt>
                <c:pt idx="22">
                  <c:v>0.53411764705882347</c:v>
                </c:pt>
                <c:pt idx="23">
                  <c:v>0.4861111111111111</c:v>
                </c:pt>
                <c:pt idx="24">
                  <c:v>0.47146401985111663</c:v>
                </c:pt>
                <c:pt idx="25">
                  <c:v>0.75438596491228072</c:v>
                </c:pt>
                <c:pt idx="26">
                  <c:v>0.5</c:v>
                </c:pt>
                <c:pt idx="27">
                  <c:v>0.53333333333333333</c:v>
                </c:pt>
                <c:pt idx="28">
                  <c:v>0.60880829015544047</c:v>
                </c:pt>
                <c:pt idx="29">
                  <c:v>0.55498281786941583</c:v>
                </c:pt>
                <c:pt idx="30">
                  <c:v>0.50467289719626163</c:v>
                </c:pt>
                <c:pt idx="31">
                  <c:v>0.53344768439108059</c:v>
                </c:pt>
                <c:pt idx="32">
                  <c:v>0.70380434782608692</c:v>
                </c:pt>
                <c:pt idx="33">
                  <c:v>0.78030303030303028</c:v>
                </c:pt>
                <c:pt idx="34">
                  <c:v>0.72268907563025209</c:v>
                </c:pt>
                <c:pt idx="35">
                  <c:v>0.55021834061135366</c:v>
                </c:pt>
                <c:pt idx="36">
                  <c:v>0.61283185840707965</c:v>
                </c:pt>
                <c:pt idx="37">
                  <c:v>0.59128630705394192</c:v>
                </c:pt>
                <c:pt idx="38">
                  <c:v>0.59344894026974948</c:v>
                </c:pt>
                <c:pt idx="39">
                  <c:v>0.13580246913580246</c:v>
                </c:pt>
                <c:pt idx="40">
                  <c:v>0.18045112781954886</c:v>
                </c:pt>
                <c:pt idx="41">
                  <c:v>0.26765799256505574</c:v>
                </c:pt>
                <c:pt idx="42">
                  <c:v>0.17507418397626112</c:v>
                </c:pt>
                <c:pt idx="43">
                  <c:v>0.1554054054054054</c:v>
                </c:pt>
                <c:pt idx="44">
                  <c:v>0.31958762886597936</c:v>
                </c:pt>
                <c:pt idx="45">
                  <c:v>0.6198347107438017</c:v>
                </c:pt>
                <c:pt idx="46">
                  <c:v>0.5163398692810458</c:v>
                </c:pt>
                <c:pt idx="47">
                  <c:v>0.43961352657004832</c:v>
                </c:pt>
                <c:pt idx="48">
                  <c:v>0.37954545454545452</c:v>
                </c:pt>
                <c:pt idx="49">
                  <c:v>0.36909871244635195</c:v>
                </c:pt>
                <c:pt idx="50">
                  <c:v>0.70757180156657962</c:v>
                </c:pt>
                <c:pt idx="51">
                  <c:v>0.63682864450127874</c:v>
                </c:pt>
                <c:pt idx="52">
                  <c:v>0.50608695652173918</c:v>
                </c:pt>
                <c:pt idx="53">
                  <c:v>0.45604395604395603</c:v>
                </c:pt>
                <c:pt idx="54">
                  <c:v>0.44386873920552677</c:v>
                </c:pt>
                <c:pt idx="55">
                  <c:v>0.69816272965879267</c:v>
                </c:pt>
                <c:pt idx="56">
                  <c:v>0.54862842892768082</c:v>
                </c:pt>
                <c:pt idx="57">
                  <c:v>0.50956937799043067</c:v>
                </c:pt>
                <c:pt idx="58">
                  <c:v>0.74229691876750703</c:v>
                </c:pt>
                <c:pt idx="59">
                  <c:v>0.81658291457286436</c:v>
                </c:pt>
                <c:pt idx="60">
                  <c:v>0.51084812623274167</c:v>
                </c:pt>
                <c:pt idx="61">
                  <c:v>0.44615384615384618</c:v>
                </c:pt>
                <c:pt idx="62">
                  <c:v>0.46153846153846156</c:v>
                </c:pt>
                <c:pt idx="63">
                  <c:v>0.47463768115942029</c:v>
                </c:pt>
                <c:pt idx="64">
                  <c:v>0.70750000000000002</c:v>
                </c:pt>
                <c:pt idx="65">
                  <c:v>0.50757575757575757</c:v>
                </c:pt>
                <c:pt idx="66">
                  <c:v>0.43594646271510518</c:v>
                </c:pt>
                <c:pt idx="67">
                  <c:v>0.75574712643678166</c:v>
                </c:pt>
                <c:pt idx="68">
                  <c:v>0.82005141388174807</c:v>
                </c:pt>
                <c:pt idx="69">
                  <c:v>0.50095602294455066</c:v>
                </c:pt>
                <c:pt idx="70">
                  <c:v>0.48927875243664715</c:v>
                </c:pt>
                <c:pt idx="71">
                  <c:v>0.43248175182481752</c:v>
                </c:pt>
                <c:pt idx="72">
                  <c:v>0.77777777777777779</c:v>
                </c:pt>
                <c:pt idx="73">
                  <c:v>0.65865384615384615</c:v>
                </c:pt>
                <c:pt idx="74">
                  <c:v>0.51145038167938928</c:v>
                </c:pt>
                <c:pt idx="75">
                  <c:v>0.45208845208845211</c:v>
                </c:pt>
                <c:pt idx="76">
                  <c:v>0.75939849624060152</c:v>
                </c:pt>
                <c:pt idx="77">
                  <c:v>0.56951871657754005</c:v>
                </c:pt>
                <c:pt idx="78">
                  <c:v>0.49222797927461137</c:v>
                </c:pt>
                <c:pt idx="79">
                  <c:v>0.72222222222222221</c:v>
                </c:pt>
                <c:pt idx="80">
                  <c:v>0.60339943342776203</c:v>
                </c:pt>
                <c:pt idx="81">
                  <c:v>0.50552486187845302</c:v>
                </c:pt>
                <c:pt idx="82">
                  <c:v>0.47593582887700536</c:v>
                </c:pt>
                <c:pt idx="83">
                  <c:v>0.39560439560439559</c:v>
                </c:pt>
                <c:pt idx="84">
                  <c:v>0.72079772079772075</c:v>
                </c:pt>
                <c:pt idx="85">
                  <c:v>0.59065934065934067</c:v>
                </c:pt>
                <c:pt idx="86">
                  <c:v>0.44282238442822386</c:v>
                </c:pt>
                <c:pt idx="87">
                  <c:v>0.46733668341708545</c:v>
                </c:pt>
                <c:pt idx="88">
                  <c:v>0.37701149425287356</c:v>
                </c:pt>
                <c:pt idx="89">
                  <c:v>0.64088397790055252</c:v>
                </c:pt>
                <c:pt idx="90">
                  <c:v>0.55462184873949583</c:v>
                </c:pt>
                <c:pt idx="91">
                  <c:v>0.48571428571428571</c:v>
                </c:pt>
                <c:pt idx="92">
                  <c:v>0.47605633802816899</c:v>
                </c:pt>
                <c:pt idx="93">
                  <c:v>0.43681318681318682</c:v>
                </c:pt>
                <c:pt idx="94">
                  <c:v>0.67584097859327219</c:v>
                </c:pt>
                <c:pt idx="95">
                  <c:v>0.6</c:v>
                </c:pt>
                <c:pt idx="96">
                  <c:v>0.47145488029465932</c:v>
                </c:pt>
                <c:pt idx="97">
                  <c:v>0.38086642599277976</c:v>
                </c:pt>
                <c:pt idx="98">
                  <c:v>0.32950191570881227</c:v>
                </c:pt>
                <c:pt idx="99">
                  <c:v>0.35238095238095241</c:v>
                </c:pt>
                <c:pt idx="100">
                  <c:v>0.36314363143631434</c:v>
                </c:pt>
                <c:pt idx="101">
                  <c:v>0.32196969696969696</c:v>
                </c:pt>
                <c:pt idx="102">
                  <c:v>0.23868312757201646</c:v>
                </c:pt>
                <c:pt idx="103">
                  <c:v>0.29662921348314608</c:v>
                </c:pt>
                <c:pt idx="104">
                  <c:v>0.32091097308488614</c:v>
                </c:pt>
                <c:pt idx="105">
                  <c:v>0.22537878787878787</c:v>
                </c:pt>
                <c:pt idx="106">
                  <c:v>0.83116883116883122</c:v>
                </c:pt>
                <c:pt idx="107">
                  <c:v>0.60931174089068829</c:v>
                </c:pt>
                <c:pt idx="108">
                  <c:v>0.31366459627329191</c:v>
                </c:pt>
                <c:pt idx="109">
                  <c:v>0.23841059602649006</c:v>
                </c:pt>
                <c:pt idx="110">
                  <c:v>0.4454828660436137</c:v>
                </c:pt>
                <c:pt idx="111">
                  <c:v>0.3671875</c:v>
                </c:pt>
                <c:pt idx="112">
                  <c:v>0.23711340206185566</c:v>
                </c:pt>
                <c:pt idx="113">
                  <c:v>0.36213991769547327</c:v>
                </c:pt>
                <c:pt idx="114">
                  <c:v>0.36131386861313869</c:v>
                </c:pt>
                <c:pt idx="115">
                  <c:v>0.46458923512747874</c:v>
                </c:pt>
                <c:pt idx="116">
                  <c:v>0.32558139534883723</c:v>
                </c:pt>
                <c:pt idx="117">
                  <c:v>0.28542094455852157</c:v>
                </c:pt>
                <c:pt idx="118">
                  <c:v>0.33333333333333331</c:v>
                </c:pt>
                <c:pt idx="119">
                  <c:v>0.68975903614457834</c:v>
                </c:pt>
                <c:pt idx="120">
                  <c:v>0.62536023054755041</c:v>
                </c:pt>
                <c:pt idx="121">
                  <c:v>0.39908256880733944</c:v>
                </c:pt>
                <c:pt idx="122">
                  <c:v>0.39808153477218228</c:v>
                </c:pt>
                <c:pt idx="123">
                  <c:v>0.37914691943127959</c:v>
                </c:pt>
                <c:pt idx="124">
                  <c:v>0.76836158192090398</c:v>
                </c:pt>
                <c:pt idx="125">
                  <c:v>0.51777777777777778</c:v>
                </c:pt>
                <c:pt idx="126">
                  <c:v>0.43448275862068964</c:v>
                </c:pt>
                <c:pt idx="127">
                  <c:v>0.44047619047619047</c:v>
                </c:pt>
                <c:pt idx="128">
                  <c:v>0.5759803921568627</c:v>
                </c:pt>
                <c:pt idx="129">
                  <c:v>0.48264984227129337</c:v>
                </c:pt>
                <c:pt idx="130">
                  <c:v>0.41040462427745666</c:v>
                </c:pt>
                <c:pt idx="131">
                  <c:v>0.40079365079365081</c:v>
                </c:pt>
                <c:pt idx="132">
                  <c:v>0.34345351043643263</c:v>
                </c:pt>
                <c:pt idx="133">
                  <c:v>0.51587301587301593</c:v>
                </c:pt>
                <c:pt idx="134">
                  <c:v>0.64477611940298507</c:v>
                </c:pt>
                <c:pt idx="135">
                  <c:v>0.49878345498783455</c:v>
                </c:pt>
                <c:pt idx="136">
                  <c:v>0.35849056603773582</c:v>
                </c:pt>
                <c:pt idx="137">
                  <c:v>0.29245283018867924</c:v>
                </c:pt>
                <c:pt idx="138">
                  <c:v>0.60377358490566035</c:v>
                </c:pt>
                <c:pt idx="139">
                  <c:v>0.26265822784810128</c:v>
                </c:pt>
                <c:pt idx="140">
                  <c:v>0.27605633802816903</c:v>
                </c:pt>
                <c:pt idx="141">
                  <c:v>0.18761726078799248</c:v>
                </c:pt>
                <c:pt idx="142">
                  <c:v>0.1492842535787321</c:v>
                </c:pt>
                <c:pt idx="143">
                  <c:v>0.15071283095723015</c:v>
                </c:pt>
                <c:pt idx="144">
                  <c:v>0.17522123893805311</c:v>
                </c:pt>
                <c:pt idx="145">
                  <c:v>0.16139240506329114</c:v>
                </c:pt>
                <c:pt idx="146">
                  <c:v>9.4555873925501438E-2</c:v>
                </c:pt>
                <c:pt idx="147">
                  <c:v>7.7551020408163265E-2</c:v>
                </c:pt>
                <c:pt idx="148">
                  <c:v>8.2608695652173908E-2</c:v>
                </c:pt>
                <c:pt idx="149">
                  <c:v>5.5172413793103448E-2</c:v>
                </c:pt>
                <c:pt idx="150">
                  <c:v>6.3529411764705876E-2</c:v>
                </c:pt>
                <c:pt idx="151">
                  <c:v>7.28744939271255E-2</c:v>
                </c:pt>
                <c:pt idx="152">
                  <c:v>0.12350597609561753</c:v>
                </c:pt>
                <c:pt idx="153">
                  <c:v>0.13398692810457516</c:v>
                </c:pt>
                <c:pt idx="154">
                  <c:v>9.9688473520249218E-2</c:v>
                </c:pt>
                <c:pt idx="155">
                  <c:v>6.9408740359897178E-2</c:v>
                </c:pt>
                <c:pt idx="156">
                  <c:v>7.6315789473684212E-2</c:v>
                </c:pt>
                <c:pt idx="157">
                  <c:v>0.18021201413427562</c:v>
                </c:pt>
                <c:pt idx="158">
                  <c:v>9.8837209302325577E-2</c:v>
                </c:pt>
                <c:pt idx="159">
                  <c:v>7.2022160664819951E-2</c:v>
                </c:pt>
                <c:pt idx="160">
                  <c:v>0.10294117647058823</c:v>
                </c:pt>
                <c:pt idx="161">
                  <c:v>0.10818713450292397</c:v>
                </c:pt>
                <c:pt idx="162">
                  <c:v>0.19935691318327975</c:v>
                </c:pt>
                <c:pt idx="163">
                  <c:v>0.16460176991150444</c:v>
                </c:pt>
                <c:pt idx="164">
                  <c:v>9.1976516634050876E-2</c:v>
                </c:pt>
                <c:pt idx="165">
                  <c:v>8.7053571428571425E-2</c:v>
                </c:pt>
                <c:pt idx="166">
                  <c:v>7.0833333333333331E-2</c:v>
                </c:pt>
                <c:pt idx="167">
                  <c:v>8.3643122676579931E-2</c:v>
                </c:pt>
                <c:pt idx="168">
                  <c:v>0.11397058823529412</c:v>
                </c:pt>
                <c:pt idx="169">
                  <c:v>8.1632653061224483E-2</c:v>
                </c:pt>
                <c:pt idx="170">
                  <c:v>7.1090047393364927E-2</c:v>
                </c:pt>
                <c:pt idx="171">
                  <c:v>7.4175824175824176E-2</c:v>
                </c:pt>
                <c:pt idx="172">
                  <c:v>6.8062827225130892E-2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BD-4D05-9693-A7E171FC6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067247"/>
        <c:axId val="305945503"/>
      </c:scatterChart>
      <c:valAx>
        <c:axId val="4720672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945503"/>
        <c:crosses val="autoZero"/>
        <c:crossBetween val="midCat"/>
      </c:valAx>
      <c:valAx>
        <c:axId val="30594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067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Indian% P127 Jempol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4735345581802272E-3"/>
                  <c:y val="0.41625000000000001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RaceWorksheet!$L$2:$L$174</c:f>
              <c:numCache>
                <c:formatCode>0.0%</c:formatCode>
                <c:ptCount val="173"/>
                <c:pt idx="0">
                  <c:v>1.1111111111111112E-2</c:v>
                </c:pt>
                <c:pt idx="1">
                  <c:v>2.911208151382824E-3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4.2222222222222223E-2</c:v>
                </c:pt>
                <c:pt idx="6">
                  <c:v>5.1111111111111114E-2</c:v>
                </c:pt>
                <c:pt idx="7">
                  <c:v>8.7774294670846395E-2</c:v>
                </c:pt>
                <c:pt idx="8">
                  <c:v>7.9937304075235111E-2</c:v>
                </c:pt>
                <c:pt idx="9">
                  <c:v>5.4858934169278999E-2</c:v>
                </c:pt>
                <c:pt idx="10">
                  <c:v>0.20103092783505155</c:v>
                </c:pt>
                <c:pt idx="11">
                  <c:v>0.20222222222222222</c:v>
                </c:pt>
                <c:pt idx="12">
                  <c:v>0.23777777777777778</c:v>
                </c:pt>
                <c:pt idx="13">
                  <c:v>0.25165562913907286</c:v>
                </c:pt>
                <c:pt idx="14">
                  <c:v>0.27152317880794702</c:v>
                </c:pt>
                <c:pt idx="15">
                  <c:v>0.28595041322314052</c:v>
                </c:pt>
                <c:pt idx="16">
                  <c:v>0.35867768595041322</c:v>
                </c:pt>
                <c:pt idx="17">
                  <c:v>1.1111111111111112E-2</c:v>
                </c:pt>
                <c:pt idx="18">
                  <c:v>5.893909626719057E-3</c:v>
                </c:pt>
                <c:pt idx="19">
                  <c:v>7.8585461689587421E-3</c:v>
                </c:pt>
                <c:pt idx="20">
                  <c:v>8.8888888888888889E-3</c:v>
                </c:pt>
                <c:pt idx="21">
                  <c:v>3.7383177570093459E-3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3.0349013657056147E-3</c:v>
                </c:pt>
                <c:pt idx="26">
                  <c:v>0</c:v>
                </c:pt>
                <c:pt idx="27">
                  <c:v>1.5151515151515152E-3</c:v>
                </c:pt>
                <c:pt idx="28">
                  <c:v>0.2</c:v>
                </c:pt>
                <c:pt idx="29">
                  <c:v>0.16042780748663102</c:v>
                </c:pt>
                <c:pt idx="30">
                  <c:v>9.4919786096256689E-2</c:v>
                </c:pt>
                <c:pt idx="31">
                  <c:v>4.8128342245989303E-2</c:v>
                </c:pt>
                <c:pt idx="32">
                  <c:v>6.6666666666666666E-2</c:v>
                </c:pt>
                <c:pt idx="33">
                  <c:v>4.2222222222222223E-2</c:v>
                </c:pt>
                <c:pt idx="34">
                  <c:v>6.4444444444444443E-2</c:v>
                </c:pt>
                <c:pt idx="35">
                  <c:v>6.5934065934065936E-2</c:v>
                </c:pt>
                <c:pt idx="36">
                  <c:v>2.3510971786833857E-2</c:v>
                </c:pt>
                <c:pt idx="37">
                  <c:v>1.0971786833855799E-2</c:v>
                </c:pt>
                <c:pt idx="38">
                  <c:v>1.0971786833855799E-2</c:v>
                </c:pt>
                <c:pt idx="39">
                  <c:v>0.1111111111111111</c:v>
                </c:pt>
                <c:pt idx="40">
                  <c:v>0.22799097065462753</c:v>
                </c:pt>
                <c:pt idx="41">
                  <c:v>0.22444444444444445</c:v>
                </c:pt>
                <c:pt idx="42">
                  <c:v>0.28688524590163933</c:v>
                </c:pt>
                <c:pt idx="43">
                  <c:v>0.38114754098360654</c:v>
                </c:pt>
                <c:pt idx="44">
                  <c:v>0.77477477477477474</c:v>
                </c:pt>
                <c:pt idx="45">
                  <c:v>4.8888888888888891E-2</c:v>
                </c:pt>
                <c:pt idx="46">
                  <c:v>5.4237288135593219E-2</c:v>
                </c:pt>
                <c:pt idx="47">
                  <c:v>5.7627118644067797E-2</c:v>
                </c:pt>
                <c:pt idx="48">
                  <c:v>3.3898305084745763E-2</c:v>
                </c:pt>
                <c:pt idx="49">
                  <c:v>2.7118644067796609E-2</c:v>
                </c:pt>
                <c:pt idx="50">
                  <c:v>4.4444444444444444E-3</c:v>
                </c:pt>
                <c:pt idx="51">
                  <c:v>4.4444444444444444E-3</c:v>
                </c:pt>
                <c:pt idx="52">
                  <c:v>6.9832402234636867E-3</c:v>
                </c:pt>
                <c:pt idx="53">
                  <c:v>1.3947001394700139E-3</c:v>
                </c:pt>
                <c:pt idx="54">
                  <c:v>0</c:v>
                </c:pt>
                <c:pt idx="55">
                  <c:v>4.2222222222222223E-2</c:v>
                </c:pt>
                <c:pt idx="56">
                  <c:v>2.9739776951672861E-2</c:v>
                </c:pt>
                <c:pt idx="57">
                  <c:v>1.8552875695732839E-3</c:v>
                </c:pt>
                <c:pt idx="58">
                  <c:v>9.555555555555556E-2</c:v>
                </c:pt>
                <c:pt idx="59">
                  <c:v>0.02</c:v>
                </c:pt>
                <c:pt idx="60">
                  <c:v>0.1172316384180791</c:v>
                </c:pt>
                <c:pt idx="61">
                  <c:v>3.3898305084745763E-2</c:v>
                </c:pt>
                <c:pt idx="62">
                  <c:v>3.5260930888575459E-2</c:v>
                </c:pt>
                <c:pt idx="63">
                  <c:v>7.6163610719322997E-2</c:v>
                </c:pt>
                <c:pt idx="64">
                  <c:v>7.5555555555555556E-2</c:v>
                </c:pt>
                <c:pt idx="65">
                  <c:v>4.5714285714285714E-2</c:v>
                </c:pt>
                <c:pt idx="66">
                  <c:v>3.8571428571428569E-2</c:v>
                </c:pt>
                <c:pt idx="67">
                  <c:v>0.12</c:v>
                </c:pt>
                <c:pt idx="68">
                  <c:v>7.3333333333333334E-2</c:v>
                </c:pt>
                <c:pt idx="69">
                  <c:v>0.1038781163434903</c:v>
                </c:pt>
                <c:pt idx="70">
                  <c:v>4.4260027662517291E-2</c:v>
                </c:pt>
                <c:pt idx="71">
                  <c:v>0.1078838174273859</c:v>
                </c:pt>
                <c:pt idx="72">
                  <c:v>6.6666666666666671E-3</c:v>
                </c:pt>
                <c:pt idx="73">
                  <c:v>0</c:v>
                </c:pt>
                <c:pt idx="74">
                  <c:v>0</c:v>
                </c:pt>
                <c:pt idx="75">
                  <c:v>4.8888888888888891E-2</c:v>
                </c:pt>
                <c:pt idx="76">
                  <c:v>4.5126353790613721E-2</c:v>
                </c:pt>
                <c:pt idx="77">
                  <c:v>4.5126353790613721E-2</c:v>
                </c:pt>
                <c:pt idx="78">
                  <c:v>4.8648648648648651E-2</c:v>
                </c:pt>
                <c:pt idx="79">
                  <c:v>6.4444444444444443E-2</c:v>
                </c:pt>
                <c:pt idx="80">
                  <c:v>0.08</c:v>
                </c:pt>
                <c:pt idx="81">
                  <c:v>2.3856858846918488E-2</c:v>
                </c:pt>
                <c:pt idx="82">
                  <c:v>2.3856858846918488E-2</c:v>
                </c:pt>
                <c:pt idx="83">
                  <c:v>5.5555555555555552E-2</c:v>
                </c:pt>
                <c:pt idx="84">
                  <c:v>5.1111111111111114E-2</c:v>
                </c:pt>
                <c:pt idx="85">
                  <c:v>8.8888888888888892E-2</c:v>
                </c:pt>
                <c:pt idx="86">
                  <c:v>3.5087719298245612E-2</c:v>
                </c:pt>
                <c:pt idx="87">
                  <c:v>1.2280701754385965E-2</c:v>
                </c:pt>
                <c:pt idx="88">
                  <c:v>5.4385964912280704E-2</c:v>
                </c:pt>
                <c:pt idx="89">
                  <c:v>9.7777777777777783E-2</c:v>
                </c:pt>
                <c:pt idx="90">
                  <c:v>0.11333333333333333</c:v>
                </c:pt>
                <c:pt idx="91">
                  <c:v>5.33596837944664E-2</c:v>
                </c:pt>
                <c:pt idx="92">
                  <c:v>4.3478260869565216E-2</c:v>
                </c:pt>
                <c:pt idx="93">
                  <c:v>5.9171597633136092E-2</c:v>
                </c:pt>
                <c:pt idx="94">
                  <c:v>9.3333333333333338E-2</c:v>
                </c:pt>
                <c:pt idx="95">
                  <c:v>0.10222222222222223</c:v>
                </c:pt>
                <c:pt idx="96">
                  <c:v>4.7489823609226593E-2</c:v>
                </c:pt>
                <c:pt idx="97">
                  <c:v>3.3921302578018994E-2</c:v>
                </c:pt>
                <c:pt idx="98">
                  <c:v>0.65420560747663548</c:v>
                </c:pt>
                <c:pt idx="99">
                  <c:v>0.63111111111111107</c:v>
                </c:pt>
                <c:pt idx="100">
                  <c:v>0.49555555555555558</c:v>
                </c:pt>
                <c:pt idx="101">
                  <c:v>0.52337858220211164</c:v>
                </c:pt>
                <c:pt idx="102">
                  <c:v>0.56325301204819278</c:v>
                </c:pt>
                <c:pt idx="103">
                  <c:v>0.39156626506024095</c:v>
                </c:pt>
                <c:pt idx="104">
                  <c:v>0.37951807228915663</c:v>
                </c:pt>
                <c:pt idx="105">
                  <c:v>0.36746987951807231</c:v>
                </c:pt>
                <c:pt idx="106">
                  <c:v>1.3333333333333334E-2</c:v>
                </c:pt>
                <c:pt idx="107">
                  <c:v>7.9113924050632917E-3</c:v>
                </c:pt>
                <c:pt idx="108">
                  <c:v>0.77111111111111108</c:v>
                </c:pt>
                <c:pt idx="109">
                  <c:v>0.72447325769854132</c:v>
                </c:pt>
                <c:pt idx="110">
                  <c:v>0.50222222222222224</c:v>
                </c:pt>
                <c:pt idx="111">
                  <c:v>0.41566265060240964</c:v>
                </c:pt>
                <c:pt idx="112">
                  <c:v>0.84365781710914456</c:v>
                </c:pt>
                <c:pt idx="113">
                  <c:v>0.75815217391304346</c:v>
                </c:pt>
                <c:pt idx="114">
                  <c:v>0.32666666666666666</c:v>
                </c:pt>
                <c:pt idx="115">
                  <c:v>0.36444444444444446</c:v>
                </c:pt>
                <c:pt idx="116">
                  <c:v>0.34662998624484181</c:v>
                </c:pt>
                <c:pt idx="117">
                  <c:v>0.42503438789546077</c:v>
                </c:pt>
                <c:pt idx="118">
                  <c:v>0.31499312242090782</c:v>
                </c:pt>
                <c:pt idx="119">
                  <c:v>9.1111111111111115E-2</c:v>
                </c:pt>
                <c:pt idx="120">
                  <c:v>0.10222222222222223</c:v>
                </c:pt>
                <c:pt idx="121">
                  <c:v>7.2635135135135129E-2</c:v>
                </c:pt>
                <c:pt idx="122">
                  <c:v>1.6891891891891893E-2</c:v>
                </c:pt>
                <c:pt idx="123">
                  <c:v>4.8903878583473864E-2</c:v>
                </c:pt>
                <c:pt idx="124">
                  <c:v>0.10444444444444445</c:v>
                </c:pt>
                <c:pt idx="125">
                  <c:v>8.6294416243654817E-2</c:v>
                </c:pt>
                <c:pt idx="126">
                  <c:v>6.5989847715736044E-2</c:v>
                </c:pt>
                <c:pt idx="127">
                  <c:v>7.0945945945945943E-2</c:v>
                </c:pt>
                <c:pt idx="128">
                  <c:v>3.90625E-3</c:v>
                </c:pt>
                <c:pt idx="129">
                  <c:v>0.02</c:v>
                </c:pt>
                <c:pt idx="130">
                  <c:v>5.9701492537313433E-3</c:v>
                </c:pt>
                <c:pt idx="131">
                  <c:v>5.9701492537313433E-3</c:v>
                </c:pt>
                <c:pt idx="132">
                  <c:v>1.4903129657228018E-3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1.9880715705765406E-3</c:v>
                </c:pt>
                <c:pt idx="137">
                  <c:v>3.9761431411530811E-3</c:v>
                </c:pt>
                <c:pt idx="138">
                  <c:v>0</c:v>
                </c:pt>
                <c:pt idx="139">
                  <c:v>0.14666666666666667</c:v>
                </c:pt>
                <c:pt idx="140">
                  <c:v>0.12222222222222222</c:v>
                </c:pt>
                <c:pt idx="141">
                  <c:v>0.15680880330123798</c:v>
                </c:pt>
                <c:pt idx="142">
                  <c:v>0.16918844566712518</c:v>
                </c:pt>
                <c:pt idx="143">
                  <c:v>0.17719780219780221</c:v>
                </c:pt>
                <c:pt idx="144">
                  <c:v>0.13736263736263737</c:v>
                </c:pt>
                <c:pt idx="145">
                  <c:v>0.10222222222222223</c:v>
                </c:pt>
                <c:pt idx="146">
                  <c:v>7.1111111111111111E-2</c:v>
                </c:pt>
                <c:pt idx="147">
                  <c:v>0.10248901903367497</c:v>
                </c:pt>
                <c:pt idx="148">
                  <c:v>0.15373352855051245</c:v>
                </c:pt>
                <c:pt idx="149">
                  <c:v>0.16691068814055637</c:v>
                </c:pt>
                <c:pt idx="150">
                  <c:v>0.17569546120058566</c:v>
                </c:pt>
                <c:pt idx="151">
                  <c:v>0.24415204678362573</c:v>
                </c:pt>
                <c:pt idx="152">
                  <c:v>7.3333333333333334E-2</c:v>
                </c:pt>
                <c:pt idx="153">
                  <c:v>5.7777777777777775E-2</c:v>
                </c:pt>
                <c:pt idx="154">
                  <c:v>7.5555555555555556E-2</c:v>
                </c:pt>
                <c:pt idx="155">
                  <c:v>6.1946902654867256E-2</c:v>
                </c:pt>
                <c:pt idx="156">
                  <c:v>7.7738515901060068E-2</c:v>
                </c:pt>
                <c:pt idx="157">
                  <c:v>3.111111111111111E-2</c:v>
                </c:pt>
                <c:pt idx="158">
                  <c:v>3.5555555555555556E-2</c:v>
                </c:pt>
                <c:pt idx="159">
                  <c:v>2.3529411764705882E-2</c:v>
                </c:pt>
                <c:pt idx="160">
                  <c:v>7.0450097847358117E-2</c:v>
                </c:pt>
                <c:pt idx="161">
                  <c:v>9.0019569471624261E-2</c:v>
                </c:pt>
                <c:pt idx="162">
                  <c:v>0.15777777777777777</c:v>
                </c:pt>
                <c:pt idx="163">
                  <c:v>0.20080321285140562</c:v>
                </c:pt>
                <c:pt idx="164">
                  <c:v>0.23293172690763053</c:v>
                </c:pt>
                <c:pt idx="165">
                  <c:v>0.24765729585006693</c:v>
                </c:pt>
                <c:pt idx="166">
                  <c:v>0.28647925033467203</c:v>
                </c:pt>
                <c:pt idx="167">
                  <c:v>0.27844712182061582</c:v>
                </c:pt>
                <c:pt idx="168">
                  <c:v>0.02</c:v>
                </c:pt>
                <c:pt idx="169">
                  <c:v>1.5555555555555555E-2</c:v>
                </c:pt>
                <c:pt idx="170">
                  <c:v>2.9109589041095889E-2</c:v>
                </c:pt>
                <c:pt idx="171">
                  <c:v>3.4246575342465752E-2</c:v>
                </c:pt>
                <c:pt idx="172">
                  <c:v>7.8632478632478631E-2</c:v>
                </c:pt>
              </c:numCache>
            </c:numRef>
          </c:xVal>
          <c:yVal>
            <c:numRef>
              <c:f>RaceWorksheet!$A$2:$A$174</c:f>
              <c:numCache>
                <c:formatCode>0.0%</c:formatCode>
                <c:ptCount val="173"/>
                <c:pt idx="0">
                  <c:v>0.15580736543909349</c:v>
                </c:pt>
                <c:pt idx="1">
                  <c:v>0.10516605166051661</c:v>
                </c:pt>
                <c:pt idx="2">
                  <c:v>0.12534059945504086</c:v>
                </c:pt>
                <c:pt idx="3">
                  <c:v>0.14420803782505912</c:v>
                </c:pt>
                <c:pt idx="4">
                  <c:v>0.15144766146993319</c:v>
                </c:pt>
                <c:pt idx="5">
                  <c:v>0.14465408805031446</c:v>
                </c:pt>
                <c:pt idx="6">
                  <c:v>0.15508021390374332</c:v>
                </c:pt>
                <c:pt idx="7">
                  <c:v>0.22410147991543342</c:v>
                </c:pt>
                <c:pt idx="8">
                  <c:v>0.23427331887201736</c:v>
                </c:pt>
                <c:pt idx="9">
                  <c:v>0.26601941747572816</c:v>
                </c:pt>
                <c:pt idx="10">
                  <c:v>0.80487804878048785</c:v>
                </c:pt>
                <c:pt idx="11">
                  <c:v>0.65454545454545454</c:v>
                </c:pt>
                <c:pt idx="12">
                  <c:v>0.73043478260869565</c:v>
                </c:pt>
                <c:pt idx="13">
                  <c:v>0.76659038901601828</c:v>
                </c:pt>
                <c:pt idx="14">
                  <c:v>0.80154639175257736</c:v>
                </c:pt>
                <c:pt idx="15">
                  <c:v>0.77192982456140347</c:v>
                </c:pt>
                <c:pt idx="16">
                  <c:v>0.76769911504424782</c:v>
                </c:pt>
                <c:pt idx="17">
                  <c:v>9.2348284960422161E-2</c:v>
                </c:pt>
                <c:pt idx="18">
                  <c:v>5.2837573385518588E-2</c:v>
                </c:pt>
                <c:pt idx="19">
                  <c:v>6.6666666666666666E-2</c:v>
                </c:pt>
                <c:pt idx="20">
                  <c:v>9.8196392785571143E-2</c:v>
                </c:pt>
                <c:pt idx="21">
                  <c:v>0.11855670103092783</c:v>
                </c:pt>
                <c:pt idx="22">
                  <c:v>0.10352941176470588</c:v>
                </c:pt>
                <c:pt idx="23">
                  <c:v>0.12037037037037036</c:v>
                </c:pt>
                <c:pt idx="24">
                  <c:v>0.11910669975186104</c:v>
                </c:pt>
                <c:pt idx="25">
                  <c:v>7.5187969924812026E-2</c:v>
                </c:pt>
                <c:pt idx="26">
                  <c:v>6.6176470588235295E-2</c:v>
                </c:pt>
                <c:pt idx="27">
                  <c:v>8.1481481481481488E-2</c:v>
                </c:pt>
                <c:pt idx="28">
                  <c:v>0.21502590673575128</c:v>
                </c:pt>
                <c:pt idx="29">
                  <c:v>0.22508591065292097</c:v>
                </c:pt>
                <c:pt idx="30">
                  <c:v>0.16261682242990655</c:v>
                </c:pt>
                <c:pt idx="31">
                  <c:v>0.12521440823327615</c:v>
                </c:pt>
                <c:pt idx="32">
                  <c:v>9.5108695652173919E-2</c:v>
                </c:pt>
                <c:pt idx="33">
                  <c:v>0.10101010101010101</c:v>
                </c:pt>
                <c:pt idx="34">
                  <c:v>5.8823529411764705E-2</c:v>
                </c:pt>
                <c:pt idx="35">
                  <c:v>0.1222707423580786</c:v>
                </c:pt>
                <c:pt idx="36">
                  <c:v>6.4159292035398233E-2</c:v>
                </c:pt>
                <c:pt idx="37">
                  <c:v>8.5062240663900418E-2</c:v>
                </c:pt>
                <c:pt idx="38">
                  <c:v>7.7071290944123308E-2</c:v>
                </c:pt>
                <c:pt idx="39">
                  <c:v>0.78600823045267487</c:v>
                </c:pt>
                <c:pt idx="40">
                  <c:v>0.75563909774436089</c:v>
                </c:pt>
                <c:pt idx="41">
                  <c:v>0.60223048327137552</c:v>
                </c:pt>
                <c:pt idx="42">
                  <c:v>0.74183976261127593</c:v>
                </c:pt>
                <c:pt idx="43">
                  <c:v>0.79054054054054057</c:v>
                </c:pt>
                <c:pt idx="44">
                  <c:v>0.58762886597938147</c:v>
                </c:pt>
                <c:pt idx="45">
                  <c:v>0.18181818181818182</c:v>
                </c:pt>
                <c:pt idx="46">
                  <c:v>0.15686274509803921</c:v>
                </c:pt>
                <c:pt idx="47">
                  <c:v>0.15942028985507245</c:v>
                </c:pt>
                <c:pt idx="48">
                  <c:v>0.19772727272727272</c:v>
                </c:pt>
                <c:pt idx="49">
                  <c:v>0.17381974248927037</c:v>
                </c:pt>
                <c:pt idx="50">
                  <c:v>0.14360313315926893</c:v>
                </c:pt>
                <c:pt idx="51">
                  <c:v>0.14578005115089515</c:v>
                </c:pt>
                <c:pt idx="52">
                  <c:v>0.12521739130434784</c:v>
                </c:pt>
                <c:pt idx="53">
                  <c:v>0.11355311355311355</c:v>
                </c:pt>
                <c:pt idx="54">
                  <c:v>0.13989637305699482</c:v>
                </c:pt>
                <c:pt idx="55">
                  <c:v>0.11286089238845144</c:v>
                </c:pt>
                <c:pt idx="56">
                  <c:v>9.9750623441396513E-2</c:v>
                </c:pt>
                <c:pt idx="57">
                  <c:v>0.11244019138755981</c:v>
                </c:pt>
                <c:pt idx="58">
                  <c:v>0.10364145658263306</c:v>
                </c:pt>
                <c:pt idx="59">
                  <c:v>6.5326633165829151E-2</c:v>
                </c:pt>
                <c:pt idx="60">
                  <c:v>0.14595660749506903</c:v>
                </c:pt>
                <c:pt idx="61">
                  <c:v>9.4230769230769229E-2</c:v>
                </c:pt>
                <c:pt idx="62">
                  <c:v>0.10576923076923077</c:v>
                </c:pt>
                <c:pt idx="63">
                  <c:v>0.12681159420289856</c:v>
                </c:pt>
                <c:pt idx="64">
                  <c:v>7.4999999999999997E-2</c:v>
                </c:pt>
                <c:pt idx="65">
                  <c:v>8.1439393939393936E-2</c:v>
                </c:pt>
                <c:pt idx="66">
                  <c:v>9.5602294455066919E-2</c:v>
                </c:pt>
                <c:pt idx="67">
                  <c:v>0.10057471264367816</c:v>
                </c:pt>
                <c:pt idx="68">
                  <c:v>8.2262210796915161E-2</c:v>
                </c:pt>
                <c:pt idx="69">
                  <c:v>0.13001912045889102</c:v>
                </c:pt>
                <c:pt idx="70">
                  <c:v>9.3567251461988299E-2</c:v>
                </c:pt>
                <c:pt idx="71">
                  <c:v>0.15328467153284672</c:v>
                </c:pt>
                <c:pt idx="72">
                  <c:v>0.11369509043927649</c:v>
                </c:pt>
                <c:pt idx="73">
                  <c:v>9.8557692307692304E-2</c:v>
                </c:pt>
                <c:pt idx="74">
                  <c:v>7.3791348600508899E-2</c:v>
                </c:pt>
                <c:pt idx="75">
                  <c:v>0.10565110565110565</c:v>
                </c:pt>
                <c:pt idx="76">
                  <c:v>9.2731829573934832E-2</c:v>
                </c:pt>
                <c:pt idx="77">
                  <c:v>5.8823529411764705E-2</c:v>
                </c:pt>
                <c:pt idx="78">
                  <c:v>9.8445595854922283E-2</c:v>
                </c:pt>
                <c:pt idx="79">
                  <c:v>0.10846560846560846</c:v>
                </c:pt>
                <c:pt idx="80">
                  <c:v>0.13031161473087818</c:v>
                </c:pt>
                <c:pt idx="81">
                  <c:v>9.3922651933701654E-2</c:v>
                </c:pt>
                <c:pt idx="82">
                  <c:v>0.12032085561497326</c:v>
                </c:pt>
                <c:pt idx="83">
                  <c:v>0.13186813186813187</c:v>
                </c:pt>
                <c:pt idx="84">
                  <c:v>0.13675213675213677</c:v>
                </c:pt>
                <c:pt idx="85">
                  <c:v>0.15384615384615385</c:v>
                </c:pt>
                <c:pt idx="86">
                  <c:v>0.12408759124087591</c:v>
                </c:pt>
                <c:pt idx="87">
                  <c:v>0.12814070351758794</c:v>
                </c:pt>
                <c:pt idx="88">
                  <c:v>0.14252873563218391</c:v>
                </c:pt>
                <c:pt idx="89">
                  <c:v>0.22651933701657459</c:v>
                </c:pt>
                <c:pt idx="90">
                  <c:v>0.20168067226890757</c:v>
                </c:pt>
                <c:pt idx="91">
                  <c:v>0.18285714285714286</c:v>
                </c:pt>
                <c:pt idx="92">
                  <c:v>0.14647887323943662</c:v>
                </c:pt>
                <c:pt idx="93">
                  <c:v>0.15934065934065933</c:v>
                </c:pt>
                <c:pt idx="94">
                  <c:v>0.17125382262996941</c:v>
                </c:pt>
                <c:pt idx="95">
                  <c:v>0.17101449275362318</c:v>
                </c:pt>
                <c:pt idx="96">
                  <c:v>0.13996316758747698</c:v>
                </c:pt>
                <c:pt idx="97">
                  <c:v>0.10469314079422383</c:v>
                </c:pt>
                <c:pt idx="98">
                  <c:v>0.60919540229885061</c:v>
                </c:pt>
                <c:pt idx="99">
                  <c:v>0.56507936507936507</c:v>
                </c:pt>
                <c:pt idx="100">
                  <c:v>0.46341463414634149</c:v>
                </c:pt>
                <c:pt idx="101">
                  <c:v>0.50378787878787878</c:v>
                </c:pt>
                <c:pt idx="102">
                  <c:v>0.60288065843621397</c:v>
                </c:pt>
                <c:pt idx="103">
                  <c:v>0.51011235955056178</c:v>
                </c:pt>
                <c:pt idx="104">
                  <c:v>0.44927536231884058</c:v>
                </c:pt>
                <c:pt idx="105">
                  <c:v>0.50189393939393945</c:v>
                </c:pt>
                <c:pt idx="106">
                  <c:v>4.6753246753246755E-2</c:v>
                </c:pt>
                <c:pt idx="107">
                  <c:v>5.8704453441295545E-2</c:v>
                </c:pt>
                <c:pt idx="108">
                  <c:v>0.57763975155279501</c:v>
                </c:pt>
                <c:pt idx="109">
                  <c:v>0.63796909492273735</c:v>
                </c:pt>
                <c:pt idx="110">
                  <c:v>0.43613707165109034</c:v>
                </c:pt>
                <c:pt idx="111">
                  <c:v>0.43359375</c:v>
                </c:pt>
                <c:pt idx="112">
                  <c:v>0.68041237113402064</c:v>
                </c:pt>
                <c:pt idx="113">
                  <c:v>0.51851851851851849</c:v>
                </c:pt>
                <c:pt idx="114">
                  <c:v>0.51459854014598538</c:v>
                </c:pt>
                <c:pt idx="115">
                  <c:v>0.43626062322946174</c:v>
                </c:pt>
                <c:pt idx="116">
                  <c:v>0.51356589147286824</c:v>
                </c:pt>
                <c:pt idx="117">
                  <c:v>0.50924024640657084</c:v>
                </c:pt>
                <c:pt idx="118">
                  <c:v>0.41856060606060608</c:v>
                </c:pt>
                <c:pt idx="119">
                  <c:v>0.1716867469879518</c:v>
                </c:pt>
                <c:pt idx="120">
                  <c:v>0.20172910662824209</c:v>
                </c:pt>
                <c:pt idx="121">
                  <c:v>0.15137614678899083</c:v>
                </c:pt>
                <c:pt idx="122">
                  <c:v>0.12470023980815348</c:v>
                </c:pt>
                <c:pt idx="123">
                  <c:v>0.13507109004739337</c:v>
                </c:pt>
                <c:pt idx="124">
                  <c:v>8.1920903954802254E-2</c:v>
                </c:pt>
                <c:pt idx="125">
                  <c:v>0.1711111111111111</c:v>
                </c:pt>
                <c:pt idx="126">
                  <c:v>0.12413793103448276</c:v>
                </c:pt>
                <c:pt idx="127">
                  <c:v>0.15476190476190477</c:v>
                </c:pt>
                <c:pt idx="128">
                  <c:v>0.13480392156862744</c:v>
                </c:pt>
                <c:pt idx="129">
                  <c:v>0.33753943217665616</c:v>
                </c:pt>
                <c:pt idx="130">
                  <c:v>0.21772639691714837</c:v>
                </c:pt>
                <c:pt idx="131">
                  <c:v>0.19246031746031747</c:v>
                </c:pt>
                <c:pt idx="132">
                  <c:v>0.23529411764705882</c:v>
                </c:pt>
                <c:pt idx="133">
                  <c:v>0.15674603174603174</c:v>
                </c:pt>
                <c:pt idx="134">
                  <c:v>0.11044776119402985</c:v>
                </c:pt>
                <c:pt idx="135">
                  <c:v>0.14355231143552311</c:v>
                </c:pt>
                <c:pt idx="136">
                  <c:v>0.11320754716981132</c:v>
                </c:pt>
                <c:pt idx="137">
                  <c:v>0.19575471698113209</c:v>
                </c:pt>
                <c:pt idx="138">
                  <c:v>0.16352201257861634</c:v>
                </c:pt>
                <c:pt idx="139">
                  <c:v>0.66772151898734178</c:v>
                </c:pt>
                <c:pt idx="140">
                  <c:v>0.6394366197183099</c:v>
                </c:pt>
                <c:pt idx="141">
                  <c:v>0.67917448405253278</c:v>
                </c:pt>
                <c:pt idx="142">
                  <c:v>0.68711656441717794</c:v>
                </c:pt>
                <c:pt idx="143">
                  <c:v>0.67820773930753564</c:v>
                </c:pt>
                <c:pt idx="144">
                  <c:v>0.59823008849557524</c:v>
                </c:pt>
                <c:pt idx="145">
                  <c:v>0.78481012658227844</c:v>
                </c:pt>
                <c:pt idx="146">
                  <c:v>0.87392550143266479</c:v>
                </c:pt>
                <c:pt idx="147">
                  <c:v>0.89183673469387759</c:v>
                </c:pt>
                <c:pt idx="148">
                  <c:v>0.87826086956521743</c:v>
                </c:pt>
                <c:pt idx="149">
                  <c:v>0.87586206896551722</c:v>
                </c:pt>
                <c:pt idx="150">
                  <c:v>0.88235294117647056</c:v>
                </c:pt>
                <c:pt idx="151">
                  <c:v>0.87044534412955465</c:v>
                </c:pt>
                <c:pt idx="152">
                  <c:v>0.8127490039840638</c:v>
                </c:pt>
                <c:pt idx="153">
                  <c:v>0.82352941176470584</c:v>
                </c:pt>
                <c:pt idx="154">
                  <c:v>0.85046728971962615</c:v>
                </c:pt>
                <c:pt idx="155">
                  <c:v>0.89717223650385602</c:v>
                </c:pt>
                <c:pt idx="156">
                  <c:v>0.82105263157894737</c:v>
                </c:pt>
                <c:pt idx="157">
                  <c:v>0.78091872791519434</c:v>
                </c:pt>
                <c:pt idx="158">
                  <c:v>0.89534883720930236</c:v>
                </c:pt>
                <c:pt idx="159">
                  <c:v>0.90858725761772852</c:v>
                </c:pt>
                <c:pt idx="160">
                  <c:v>0.87058823529411766</c:v>
                </c:pt>
                <c:pt idx="161">
                  <c:v>0.85087719298245612</c:v>
                </c:pt>
                <c:pt idx="162">
                  <c:v>0.74919614147909963</c:v>
                </c:pt>
                <c:pt idx="163">
                  <c:v>0.78407079646017697</c:v>
                </c:pt>
                <c:pt idx="164">
                  <c:v>0.83953033268101762</c:v>
                </c:pt>
                <c:pt idx="165">
                  <c:v>0.8303571428571429</c:v>
                </c:pt>
                <c:pt idx="166">
                  <c:v>0.86458333333333337</c:v>
                </c:pt>
                <c:pt idx="167">
                  <c:v>0.85315985130111527</c:v>
                </c:pt>
                <c:pt idx="168">
                  <c:v>0.84558823529411764</c:v>
                </c:pt>
                <c:pt idx="169">
                  <c:v>0.89504373177842567</c:v>
                </c:pt>
                <c:pt idx="170">
                  <c:v>0.91232227488151663</c:v>
                </c:pt>
                <c:pt idx="171">
                  <c:v>0.90934065934065933</c:v>
                </c:pt>
                <c:pt idx="172">
                  <c:v>0.90314136125654454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2B-4054-80C3-DA6C3C462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067247"/>
        <c:axId val="305945503"/>
      </c:scatterChart>
      <c:valAx>
        <c:axId val="4720672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945503"/>
        <c:crosses val="autoZero"/>
        <c:crossBetween val="midCat"/>
      </c:valAx>
      <c:valAx>
        <c:axId val="30594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067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BN% vs Indian% P127 Jempol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8662073490813647E-2"/>
                  <c:y val="-0.45660834062408867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RaceWorksheet!$L$2:$L$174</c:f>
              <c:numCache>
                <c:formatCode>0.0%</c:formatCode>
                <c:ptCount val="173"/>
                <c:pt idx="0">
                  <c:v>1.1111111111111112E-2</c:v>
                </c:pt>
                <c:pt idx="1">
                  <c:v>2.911208151382824E-3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4.2222222222222223E-2</c:v>
                </c:pt>
                <c:pt idx="6">
                  <c:v>5.1111111111111114E-2</c:v>
                </c:pt>
                <c:pt idx="7">
                  <c:v>8.7774294670846395E-2</c:v>
                </c:pt>
                <c:pt idx="8">
                  <c:v>7.9937304075235111E-2</c:v>
                </c:pt>
                <c:pt idx="9">
                  <c:v>5.4858934169278999E-2</c:v>
                </c:pt>
                <c:pt idx="10">
                  <c:v>0.20103092783505155</c:v>
                </c:pt>
                <c:pt idx="11">
                  <c:v>0.20222222222222222</c:v>
                </c:pt>
                <c:pt idx="12">
                  <c:v>0.23777777777777778</c:v>
                </c:pt>
                <c:pt idx="13">
                  <c:v>0.25165562913907286</c:v>
                </c:pt>
                <c:pt idx="14">
                  <c:v>0.27152317880794702</c:v>
                </c:pt>
                <c:pt idx="15">
                  <c:v>0.28595041322314052</c:v>
                </c:pt>
                <c:pt idx="16">
                  <c:v>0.35867768595041322</c:v>
                </c:pt>
                <c:pt idx="17">
                  <c:v>1.1111111111111112E-2</c:v>
                </c:pt>
                <c:pt idx="18">
                  <c:v>5.893909626719057E-3</c:v>
                </c:pt>
                <c:pt idx="19">
                  <c:v>7.8585461689587421E-3</c:v>
                </c:pt>
                <c:pt idx="20">
                  <c:v>8.8888888888888889E-3</c:v>
                </c:pt>
                <c:pt idx="21">
                  <c:v>3.7383177570093459E-3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3.0349013657056147E-3</c:v>
                </c:pt>
                <c:pt idx="26">
                  <c:v>0</c:v>
                </c:pt>
                <c:pt idx="27">
                  <c:v>1.5151515151515152E-3</c:v>
                </c:pt>
                <c:pt idx="28">
                  <c:v>0.2</c:v>
                </c:pt>
                <c:pt idx="29">
                  <c:v>0.16042780748663102</c:v>
                </c:pt>
                <c:pt idx="30">
                  <c:v>9.4919786096256689E-2</c:v>
                </c:pt>
                <c:pt idx="31">
                  <c:v>4.8128342245989303E-2</c:v>
                </c:pt>
                <c:pt idx="32">
                  <c:v>6.6666666666666666E-2</c:v>
                </c:pt>
                <c:pt idx="33">
                  <c:v>4.2222222222222223E-2</c:v>
                </c:pt>
                <c:pt idx="34">
                  <c:v>6.4444444444444443E-2</c:v>
                </c:pt>
                <c:pt idx="35">
                  <c:v>6.5934065934065936E-2</c:v>
                </c:pt>
                <c:pt idx="36">
                  <c:v>2.3510971786833857E-2</c:v>
                </c:pt>
                <c:pt idx="37">
                  <c:v>1.0971786833855799E-2</c:v>
                </c:pt>
                <c:pt idx="38">
                  <c:v>1.0971786833855799E-2</c:v>
                </c:pt>
                <c:pt idx="39">
                  <c:v>0.1111111111111111</c:v>
                </c:pt>
                <c:pt idx="40">
                  <c:v>0.22799097065462753</c:v>
                </c:pt>
                <c:pt idx="41">
                  <c:v>0.22444444444444445</c:v>
                </c:pt>
                <c:pt idx="42">
                  <c:v>0.28688524590163933</c:v>
                </c:pt>
                <c:pt idx="43">
                  <c:v>0.38114754098360654</c:v>
                </c:pt>
                <c:pt idx="44">
                  <c:v>0.77477477477477474</c:v>
                </c:pt>
                <c:pt idx="45">
                  <c:v>4.8888888888888891E-2</c:v>
                </c:pt>
                <c:pt idx="46">
                  <c:v>5.4237288135593219E-2</c:v>
                </c:pt>
                <c:pt idx="47">
                  <c:v>5.7627118644067797E-2</c:v>
                </c:pt>
                <c:pt idx="48">
                  <c:v>3.3898305084745763E-2</c:v>
                </c:pt>
                <c:pt idx="49">
                  <c:v>2.7118644067796609E-2</c:v>
                </c:pt>
                <c:pt idx="50">
                  <c:v>4.4444444444444444E-3</c:v>
                </c:pt>
                <c:pt idx="51">
                  <c:v>4.4444444444444444E-3</c:v>
                </c:pt>
                <c:pt idx="52">
                  <c:v>6.9832402234636867E-3</c:v>
                </c:pt>
                <c:pt idx="53">
                  <c:v>1.3947001394700139E-3</c:v>
                </c:pt>
                <c:pt idx="54">
                  <c:v>0</c:v>
                </c:pt>
                <c:pt idx="55">
                  <c:v>4.2222222222222223E-2</c:v>
                </c:pt>
                <c:pt idx="56">
                  <c:v>2.9739776951672861E-2</c:v>
                </c:pt>
                <c:pt idx="57">
                  <c:v>1.8552875695732839E-3</c:v>
                </c:pt>
                <c:pt idx="58">
                  <c:v>9.555555555555556E-2</c:v>
                </c:pt>
                <c:pt idx="59">
                  <c:v>0.02</c:v>
                </c:pt>
                <c:pt idx="60">
                  <c:v>0.1172316384180791</c:v>
                </c:pt>
                <c:pt idx="61">
                  <c:v>3.3898305084745763E-2</c:v>
                </c:pt>
                <c:pt idx="62">
                  <c:v>3.5260930888575459E-2</c:v>
                </c:pt>
                <c:pt idx="63">
                  <c:v>7.6163610719322997E-2</c:v>
                </c:pt>
                <c:pt idx="64">
                  <c:v>7.5555555555555556E-2</c:v>
                </c:pt>
                <c:pt idx="65">
                  <c:v>4.5714285714285714E-2</c:v>
                </c:pt>
                <c:pt idx="66">
                  <c:v>3.8571428571428569E-2</c:v>
                </c:pt>
                <c:pt idx="67">
                  <c:v>0.12</c:v>
                </c:pt>
                <c:pt idx="68">
                  <c:v>7.3333333333333334E-2</c:v>
                </c:pt>
                <c:pt idx="69">
                  <c:v>0.1038781163434903</c:v>
                </c:pt>
                <c:pt idx="70">
                  <c:v>4.4260027662517291E-2</c:v>
                </c:pt>
                <c:pt idx="71">
                  <c:v>0.1078838174273859</c:v>
                </c:pt>
                <c:pt idx="72">
                  <c:v>6.6666666666666671E-3</c:v>
                </c:pt>
                <c:pt idx="73">
                  <c:v>0</c:v>
                </c:pt>
                <c:pt idx="74">
                  <c:v>0</c:v>
                </c:pt>
                <c:pt idx="75">
                  <c:v>4.8888888888888891E-2</c:v>
                </c:pt>
                <c:pt idx="76">
                  <c:v>4.5126353790613721E-2</c:v>
                </c:pt>
                <c:pt idx="77">
                  <c:v>4.5126353790613721E-2</c:v>
                </c:pt>
                <c:pt idx="78">
                  <c:v>4.8648648648648651E-2</c:v>
                </c:pt>
                <c:pt idx="79">
                  <c:v>6.4444444444444443E-2</c:v>
                </c:pt>
                <c:pt idx="80">
                  <c:v>0.08</c:v>
                </c:pt>
                <c:pt idx="81">
                  <c:v>2.3856858846918488E-2</c:v>
                </c:pt>
                <c:pt idx="82">
                  <c:v>2.3856858846918488E-2</c:v>
                </c:pt>
                <c:pt idx="83">
                  <c:v>5.5555555555555552E-2</c:v>
                </c:pt>
                <c:pt idx="84">
                  <c:v>5.1111111111111114E-2</c:v>
                </c:pt>
                <c:pt idx="85">
                  <c:v>8.8888888888888892E-2</c:v>
                </c:pt>
                <c:pt idx="86">
                  <c:v>3.5087719298245612E-2</c:v>
                </c:pt>
                <c:pt idx="87">
                  <c:v>1.2280701754385965E-2</c:v>
                </c:pt>
                <c:pt idx="88">
                  <c:v>5.4385964912280704E-2</c:v>
                </c:pt>
                <c:pt idx="89">
                  <c:v>9.7777777777777783E-2</c:v>
                </c:pt>
                <c:pt idx="90">
                  <c:v>0.11333333333333333</c:v>
                </c:pt>
                <c:pt idx="91">
                  <c:v>5.33596837944664E-2</c:v>
                </c:pt>
                <c:pt idx="92">
                  <c:v>4.3478260869565216E-2</c:v>
                </c:pt>
                <c:pt idx="93">
                  <c:v>5.9171597633136092E-2</c:v>
                </c:pt>
                <c:pt idx="94">
                  <c:v>9.3333333333333338E-2</c:v>
                </c:pt>
                <c:pt idx="95">
                  <c:v>0.10222222222222223</c:v>
                </c:pt>
                <c:pt idx="96">
                  <c:v>4.7489823609226593E-2</c:v>
                </c:pt>
                <c:pt idx="97">
                  <c:v>3.3921302578018994E-2</c:v>
                </c:pt>
                <c:pt idx="98">
                  <c:v>0.65420560747663548</c:v>
                </c:pt>
                <c:pt idx="99">
                  <c:v>0.63111111111111107</c:v>
                </c:pt>
                <c:pt idx="100">
                  <c:v>0.49555555555555558</c:v>
                </c:pt>
                <c:pt idx="101">
                  <c:v>0.52337858220211164</c:v>
                </c:pt>
                <c:pt idx="102">
                  <c:v>0.56325301204819278</c:v>
                </c:pt>
                <c:pt idx="103">
                  <c:v>0.39156626506024095</c:v>
                </c:pt>
                <c:pt idx="104">
                  <c:v>0.37951807228915663</c:v>
                </c:pt>
                <c:pt idx="105">
                  <c:v>0.36746987951807231</c:v>
                </c:pt>
                <c:pt idx="106">
                  <c:v>1.3333333333333334E-2</c:v>
                </c:pt>
                <c:pt idx="107">
                  <c:v>7.9113924050632917E-3</c:v>
                </c:pt>
                <c:pt idx="108">
                  <c:v>0.77111111111111108</c:v>
                </c:pt>
                <c:pt idx="109">
                  <c:v>0.72447325769854132</c:v>
                </c:pt>
                <c:pt idx="110">
                  <c:v>0.50222222222222224</c:v>
                </c:pt>
                <c:pt idx="111">
                  <c:v>0.41566265060240964</c:v>
                </c:pt>
                <c:pt idx="112">
                  <c:v>0.84365781710914456</c:v>
                </c:pt>
                <c:pt idx="113">
                  <c:v>0.75815217391304346</c:v>
                </c:pt>
                <c:pt idx="114">
                  <c:v>0.32666666666666666</c:v>
                </c:pt>
                <c:pt idx="115">
                  <c:v>0.36444444444444446</c:v>
                </c:pt>
                <c:pt idx="116">
                  <c:v>0.34662998624484181</c:v>
                </c:pt>
                <c:pt idx="117">
                  <c:v>0.42503438789546077</c:v>
                </c:pt>
                <c:pt idx="118">
                  <c:v>0.31499312242090782</c:v>
                </c:pt>
                <c:pt idx="119">
                  <c:v>9.1111111111111115E-2</c:v>
                </c:pt>
                <c:pt idx="120">
                  <c:v>0.10222222222222223</c:v>
                </c:pt>
                <c:pt idx="121">
                  <c:v>7.2635135135135129E-2</c:v>
                </c:pt>
                <c:pt idx="122">
                  <c:v>1.6891891891891893E-2</c:v>
                </c:pt>
                <c:pt idx="123">
                  <c:v>4.8903878583473864E-2</c:v>
                </c:pt>
                <c:pt idx="124">
                  <c:v>0.10444444444444445</c:v>
                </c:pt>
                <c:pt idx="125">
                  <c:v>8.6294416243654817E-2</c:v>
                </c:pt>
                <c:pt idx="126">
                  <c:v>6.5989847715736044E-2</c:v>
                </c:pt>
                <c:pt idx="127">
                  <c:v>7.0945945945945943E-2</c:v>
                </c:pt>
                <c:pt idx="128">
                  <c:v>3.90625E-3</c:v>
                </c:pt>
                <c:pt idx="129">
                  <c:v>0.02</c:v>
                </c:pt>
                <c:pt idx="130">
                  <c:v>5.9701492537313433E-3</c:v>
                </c:pt>
                <c:pt idx="131">
                  <c:v>5.9701492537313433E-3</c:v>
                </c:pt>
                <c:pt idx="132">
                  <c:v>1.4903129657228018E-3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1.9880715705765406E-3</c:v>
                </c:pt>
                <c:pt idx="137">
                  <c:v>3.9761431411530811E-3</c:v>
                </c:pt>
                <c:pt idx="138">
                  <c:v>0</c:v>
                </c:pt>
                <c:pt idx="139">
                  <c:v>0.14666666666666667</c:v>
                </c:pt>
                <c:pt idx="140">
                  <c:v>0.12222222222222222</c:v>
                </c:pt>
                <c:pt idx="141">
                  <c:v>0.15680880330123798</c:v>
                </c:pt>
                <c:pt idx="142">
                  <c:v>0.16918844566712518</c:v>
                </c:pt>
                <c:pt idx="143">
                  <c:v>0.17719780219780221</c:v>
                </c:pt>
                <c:pt idx="144">
                  <c:v>0.13736263736263737</c:v>
                </c:pt>
                <c:pt idx="145">
                  <c:v>0.10222222222222223</c:v>
                </c:pt>
                <c:pt idx="146">
                  <c:v>7.1111111111111111E-2</c:v>
                </c:pt>
                <c:pt idx="147">
                  <c:v>0.10248901903367497</c:v>
                </c:pt>
                <c:pt idx="148">
                  <c:v>0.15373352855051245</c:v>
                </c:pt>
                <c:pt idx="149">
                  <c:v>0.16691068814055637</c:v>
                </c:pt>
                <c:pt idx="150">
                  <c:v>0.17569546120058566</c:v>
                </c:pt>
                <c:pt idx="151">
                  <c:v>0.24415204678362573</c:v>
                </c:pt>
                <c:pt idx="152">
                  <c:v>7.3333333333333334E-2</c:v>
                </c:pt>
                <c:pt idx="153">
                  <c:v>5.7777777777777775E-2</c:v>
                </c:pt>
                <c:pt idx="154">
                  <c:v>7.5555555555555556E-2</c:v>
                </c:pt>
                <c:pt idx="155">
                  <c:v>6.1946902654867256E-2</c:v>
                </c:pt>
                <c:pt idx="156">
                  <c:v>7.7738515901060068E-2</c:v>
                </c:pt>
                <c:pt idx="157">
                  <c:v>3.111111111111111E-2</c:v>
                </c:pt>
                <c:pt idx="158">
                  <c:v>3.5555555555555556E-2</c:v>
                </c:pt>
                <c:pt idx="159">
                  <c:v>2.3529411764705882E-2</c:v>
                </c:pt>
                <c:pt idx="160">
                  <c:v>7.0450097847358117E-2</c:v>
                </c:pt>
                <c:pt idx="161">
                  <c:v>9.0019569471624261E-2</c:v>
                </c:pt>
                <c:pt idx="162">
                  <c:v>0.15777777777777777</c:v>
                </c:pt>
                <c:pt idx="163">
                  <c:v>0.20080321285140562</c:v>
                </c:pt>
                <c:pt idx="164">
                  <c:v>0.23293172690763053</c:v>
                </c:pt>
                <c:pt idx="165">
                  <c:v>0.24765729585006693</c:v>
                </c:pt>
                <c:pt idx="166">
                  <c:v>0.28647925033467203</c:v>
                </c:pt>
                <c:pt idx="167">
                  <c:v>0.27844712182061582</c:v>
                </c:pt>
                <c:pt idx="168">
                  <c:v>0.02</c:v>
                </c:pt>
                <c:pt idx="169">
                  <c:v>1.5555555555555555E-2</c:v>
                </c:pt>
                <c:pt idx="170">
                  <c:v>2.9109589041095889E-2</c:v>
                </c:pt>
                <c:pt idx="171">
                  <c:v>3.4246575342465752E-2</c:v>
                </c:pt>
                <c:pt idx="172">
                  <c:v>7.8632478632478631E-2</c:v>
                </c:pt>
              </c:numCache>
            </c:numRef>
          </c:xVal>
          <c:yVal>
            <c:numRef>
              <c:f>RaceWorksheet!$C$2:$C$174</c:f>
              <c:numCache>
                <c:formatCode>0.0%</c:formatCode>
                <c:ptCount val="173"/>
                <c:pt idx="0">
                  <c:v>0.62889518413597734</c:v>
                </c:pt>
                <c:pt idx="1">
                  <c:v>0.48339483394833949</c:v>
                </c:pt>
                <c:pt idx="2">
                  <c:v>0.67847411444141692</c:v>
                </c:pt>
                <c:pt idx="3">
                  <c:v>0.4728132387706856</c:v>
                </c:pt>
                <c:pt idx="4">
                  <c:v>0.45211581291759467</c:v>
                </c:pt>
                <c:pt idx="5">
                  <c:v>0.6132075471698113</c:v>
                </c:pt>
                <c:pt idx="6">
                  <c:v>0.55614973262032086</c:v>
                </c:pt>
                <c:pt idx="7">
                  <c:v>0.40380549682875266</c:v>
                </c:pt>
                <c:pt idx="8">
                  <c:v>0.34707158351409978</c:v>
                </c:pt>
                <c:pt idx="9">
                  <c:v>0.34951456310679613</c:v>
                </c:pt>
                <c:pt idx="10">
                  <c:v>9.7560975609756101E-2</c:v>
                </c:pt>
                <c:pt idx="11">
                  <c:v>0.25757575757575757</c:v>
                </c:pt>
                <c:pt idx="12">
                  <c:v>0.20579710144927535</c:v>
                </c:pt>
                <c:pt idx="13">
                  <c:v>0.13043478260869565</c:v>
                </c:pt>
                <c:pt idx="14">
                  <c:v>0.10824742268041238</c:v>
                </c:pt>
                <c:pt idx="15">
                  <c:v>0.13784461152882205</c:v>
                </c:pt>
                <c:pt idx="16">
                  <c:v>0.11283185840707964</c:v>
                </c:pt>
                <c:pt idx="17">
                  <c:v>0.75725593667546176</c:v>
                </c:pt>
                <c:pt idx="18">
                  <c:v>0.63796477495107629</c:v>
                </c:pt>
                <c:pt idx="19">
                  <c:v>0.52</c:v>
                </c:pt>
                <c:pt idx="20">
                  <c:v>0.54308617234468937</c:v>
                </c:pt>
                <c:pt idx="21">
                  <c:v>0.68814432989690721</c:v>
                </c:pt>
                <c:pt idx="22">
                  <c:v>0.53411764705882347</c:v>
                </c:pt>
                <c:pt idx="23">
                  <c:v>0.4861111111111111</c:v>
                </c:pt>
                <c:pt idx="24">
                  <c:v>0.47146401985111663</c:v>
                </c:pt>
                <c:pt idx="25">
                  <c:v>0.75438596491228072</c:v>
                </c:pt>
                <c:pt idx="26">
                  <c:v>0.5</c:v>
                </c:pt>
                <c:pt idx="27">
                  <c:v>0.53333333333333333</c:v>
                </c:pt>
                <c:pt idx="28">
                  <c:v>0.60880829015544047</c:v>
                </c:pt>
                <c:pt idx="29">
                  <c:v>0.55498281786941583</c:v>
                </c:pt>
                <c:pt idx="30">
                  <c:v>0.50467289719626163</c:v>
                </c:pt>
                <c:pt idx="31">
                  <c:v>0.53344768439108059</c:v>
                </c:pt>
                <c:pt idx="32">
                  <c:v>0.70380434782608692</c:v>
                </c:pt>
                <c:pt idx="33">
                  <c:v>0.78030303030303028</c:v>
                </c:pt>
                <c:pt idx="34">
                  <c:v>0.72268907563025209</c:v>
                </c:pt>
                <c:pt idx="35">
                  <c:v>0.55021834061135366</c:v>
                </c:pt>
                <c:pt idx="36">
                  <c:v>0.61283185840707965</c:v>
                </c:pt>
                <c:pt idx="37">
                  <c:v>0.59128630705394192</c:v>
                </c:pt>
                <c:pt idx="38">
                  <c:v>0.59344894026974948</c:v>
                </c:pt>
                <c:pt idx="39">
                  <c:v>0.13580246913580246</c:v>
                </c:pt>
                <c:pt idx="40">
                  <c:v>0.18045112781954886</c:v>
                </c:pt>
                <c:pt idx="41">
                  <c:v>0.26765799256505574</c:v>
                </c:pt>
                <c:pt idx="42">
                  <c:v>0.17507418397626112</c:v>
                </c:pt>
                <c:pt idx="43">
                  <c:v>0.1554054054054054</c:v>
                </c:pt>
                <c:pt idx="44">
                  <c:v>0.31958762886597936</c:v>
                </c:pt>
                <c:pt idx="45">
                  <c:v>0.6198347107438017</c:v>
                </c:pt>
                <c:pt idx="46">
                  <c:v>0.5163398692810458</c:v>
                </c:pt>
                <c:pt idx="47">
                  <c:v>0.43961352657004832</c:v>
                </c:pt>
                <c:pt idx="48">
                  <c:v>0.37954545454545452</c:v>
                </c:pt>
                <c:pt idx="49">
                  <c:v>0.36909871244635195</c:v>
                </c:pt>
                <c:pt idx="50">
                  <c:v>0.70757180156657962</c:v>
                </c:pt>
                <c:pt idx="51">
                  <c:v>0.63682864450127874</c:v>
                </c:pt>
                <c:pt idx="52">
                  <c:v>0.50608695652173918</c:v>
                </c:pt>
                <c:pt idx="53">
                  <c:v>0.45604395604395603</c:v>
                </c:pt>
                <c:pt idx="54">
                  <c:v>0.44386873920552677</c:v>
                </c:pt>
                <c:pt idx="55">
                  <c:v>0.69816272965879267</c:v>
                </c:pt>
                <c:pt idx="56">
                  <c:v>0.54862842892768082</c:v>
                </c:pt>
                <c:pt idx="57">
                  <c:v>0.50956937799043067</c:v>
                </c:pt>
                <c:pt idx="58">
                  <c:v>0.74229691876750703</c:v>
                </c:pt>
                <c:pt idx="59">
                  <c:v>0.81658291457286436</c:v>
                </c:pt>
                <c:pt idx="60">
                  <c:v>0.51084812623274167</c:v>
                </c:pt>
                <c:pt idx="61">
                  <c:v>0.44615384615384618</c:v>
                </c:pt>
                <c:pt idx="62">
                  <c:v>0.46153846153846156</c:v>
                </c:pt>
                <c:pt idx="63">
                  <c:v>0.47463768115942029</c:v>
                </c:pt>
                <c:pt idx="64">
                  <c:v>0.70750000000000002</c:v>
                </c:pt>
                <c:pt idx="65">
                  <c:v>0.50757575757575757</c:v>
                </c:pt>
                <c:pt idx="66">
                  <c:v>0.43594646271510518</c:v>
                </c:pt>
                <c:pt idx="67">
                  <c:v>0.75574712643678166</c:v>
                </c:pt>
                <c:pt idx="68">
                  <c:v>0.82005141388174807</c:v>
                </c:pt>
                <c:pt idx="69">
                  <c:v>0.50095602294455066</c:v>
                </c:pt>
                <c:pt idx="70">
                  <c:v>0.48927875243664715</c:v>
                </c:pt>
                <c:pt idx="71">
                  <c:v>0.43248175182481752</c:v>
                </c:pt>
                <c:pt idx="72">
                  <c:v>0.77777777777777779</c:v>
                </c:pt>
                <c:pt idx="73">
                  <c:v>0.65865384615384615</c:v>
                </c:pt>
                <c:pt idx="74">
                  <c:v>0.51145038167938928</c:v>
                </c:pt>
                <c:pt idx="75">
                  <c:v>0.45208845208845211</c:v>
                </c:pt>
                <c:pt idx="76">
                  <c:v>0.75939849624060152</c:v>
                </c:pt>
                <c:pt idx="77">
                  <c:v>0.56951871657754005</c:v>
                </c:pt>
                <c:pt idx="78">
                  <c:v>0.49222797927461137</c:v>
                </c:pt>
                <c:pt idx="79">
                  <c:v>0.72222222222222221</c:v>
                </c:pt>
                <c:pt idx="80">
                  <c:v>0.60339943342776203</c:v>
                </c:pt>
                <c:pt idx="81">
                  <c:v>0.50552486187845302</c:v>
                </c:pt>
                <c:pt idx="82">
                  <c:v>0.47593582887700536</c:v>
                </c:pt>
                <c:pt idx="83">
                  <c:v>0.39560439560439559</c:v>
                </c:pt>
                <c:pt idx="84">
                  <c:v>0.72079772079772075</c:v>
                </c:pt>
                <c:pt idx="85">
                  <c:v>0.59065934065934067</c:v>
                </c:pt>
                <c:pt idx="86">
                  <c:v>0.44282238442822386</c:v>
                </c:pt>
                <c:pt idx="87">
                  <c:v>0.46733668341708545</c:v>
                </c:pt>
                <c:pt idx="88">
                  <c:v>0.37701149425287356</c:v>
                </c:pt>
                <c:pt idx="89">
                  <c:v>0.64088397790055252</c:v>
                </c:pt>
                <c:pt idx="90">
                  <c:v>0.55462184873949583</c:v>
                </c:pt>
                <c:pt idx="91">
                  <c:v>0.48571428571428571</c:v>
                </c:pt>
                <c:pt idx="92">
                  <c:v>0.47605633802816899</c:v>
                </c:pt>
                <c:pt idx="93">
                  <c:v>0.43681318681318682</c:v>
                </c:pt>
                <c:pt idx="94">
                  <c:v>0.67584097859327219</c:v>
                </c:pt>
                <c:pt idx="95">
                  <c:v>0.6</c:v>
                </c:pt>
                <c:pt idx="96">
                  <c:v>0.47145488029465932</c:v>
                </c:pt>
                <c:pt idx="97">
                  <c:v>0.38086642599277976</c:v>
                </c:pt>
                <c:pt idx="98">
                  <c:v>0.32950191570881227</c:v>
                </c:pt>
                <c:pt idx="99">
                  <c:v>0.35238095238095241</c:v>
                </c:pt>
                <c:pt idx="100">
                  <c:v>0.36314363143631434</c:v>
                </c:pt>
                <c:pt idx="101">
                  <c:v>0.32196969696969696</c:v>
                </c:pt>
                <c:pt idx="102">
                  <c:v>0.23868312757201646</c:v>
                </c:pt>
                <c:pt idx="103">
                  <c:v>0.29662921348314608</c:v>
                </c:pt>
                <c:pt idx="104">
                  <c:v>0.32091097308488614</c:v>
                </c:pt>
                <c:pt idx="105">
                  <c:v>0.22537878787878787</c:v>
                </c:pt>
                <c:pt idx="106">
                  <c:v>0.83116883116883122</c:v>
                </c:pt>
                <c:pt idx="107">
                  <c:v>0.60931174089068829</c:v>
                </c:pt>
                <c:pt idx="108">
                  <c:v>0.31366459627329191</c:v>
                </c:pt>
                <c:pt idx="109">
                  <c:v>0.23841059602649006</c:v>
                </c:pt>
                <c:pt idx="110">
                  <c:v>0.4454828660436137</c:v>
                </c:pt>
                <c:pt idx="111">
                  <c:v>0.3671875</c:v>
                </c:pt>
                <c:pt idx="112">
                  <c:v>0.23711340206185566</c:v>
                </c:pt>
                <c:pt idx="113">
                  <c:v>0.36213991769547327</c:v>
                </c:pt>
                <c:pt idx="114">
                  <c:v>0.36131386861313869</c:v>
                </c:pt>
                <c:pt idx="115">
                  <c:v>0.46458923512747874</c:v>
                </c:pt>
                <c:pt idx="116">
                  <c:v>0.32558139534883723</c:v>
                </c:pt>
                <c:pt idx="117">
                  <c:v>0.28542094455852157</c:v>
                </c:pt>
                <c:pt idx="118">
                  <c:v>0.33333333333333331</c:v>
                </c:pt>
                <c:pt idx="119">
                  <c:v>0.68975903614457834</c:v>
                </c:pt>
                <c:pt idx="120">
                  <c:v>0.62536023054755041</c:v>
                </c:pt>
                <c:pt idx="121">
                  <c:v>0.39908256880733944</c:v>
                </c:pt>
                <c:pt idx="122">
                  <c:v>0.39808153477218228</c:v>
                </c:pt>
                <c:pt idx="123">
                  <c:v>0.37914691943127959</c:v>
                </c:pt>
                <c:pt idx="124">
                  <c:v>0.76836158192090398</c:v>
                </c:pt>
                <c:pt idx="125">
                  <c:v>0.51777777777777778</c:v>
                </c:pt>
                <c:pt idx="126">
                  <c:v>0.43448275862068964</c:v>
                </c:pt>
                <c:pt idx="127">
                  <c:v>0.44047619047619047</c:v>
                </c:pt>
                <c:pt idx="128">
                  <c:v>0.5759803921568627</c:v>
                </c:pt>
                <c:pt idx="129">
                  <c:v>0.48264984227129337</c:v>
                </c:pt>
                <c:pt idx="130">
                  <c:v>0.41040462427745666</c:v>
                </c:pt>
                <c:pt idx="131">
                  <c:v>0.40079365079365081</c:v>
                </c:pt>
                <c:pt idx="132">
                  <c:v>0.34345351043643263</c:v>
                </c:pt>
                <c:pt idx="133">
                  <c:v>0.51587301587301593</c:v>
                </c:pt>
                <c:pt idx="134">
                  <c:v>0.64477611940298507</c:v>
                </c:pt>
                <c:pt idx="135">
                  <c:v>0.49878345498783455</c:v>
                </c:pt>
                <c:pt idx="136">
                  <c:v>0.35849056603773582</c:v>
                </c:pt>
                <c:pt idx="137">
                  <c:v>0.29245283018867924</c:v>
                </c:pt>
                <c:pt idx="138">
                  <c:v>0.60377358490566035</c:v>
                </c:pt>
                <c:pt idx="139">
                  <c:v>0.26265822784810128</c:v>
                </c:pt>
                <c:pt idx="140">
                  <c:v>0.27605633802816903</c:v>
                </c:pt>
                <c:pt idx="141">
                  <c:v>0.18761726078799248</c:v>
                </c:pt>
                <c:pt idx="142">
                  <c:v>0.1492842535787321</c:v>
                </c:pt>
                <c:pt idx="143">
                  <c:v>0.15071283095723015</c:v>
                </c:pt>
                <c:pt idx="144">
                  <c:v>0.17522123893805311</c:v>
                </c:pt>
                <c:pt idx="145">
                  <c:v>0.16139240506329114</c:v>
                </c:pt>
                <c:pt idx="146">
                  <c:v>9.4555873925501438E-2</c:v>
                </c:pt>
                <c:pt idx="147">
                  <c:v>7.7551020408163265E-2</c:v>
                </c:pt>
                <c:pt idx="148">
                  <c:v>8.2608695652173908E-2</c:v>
                </c:pt>
                <c:pt idx="149">
                  <c:v>5.5172413793103448E-2</c:v>
                </c:pt>
                <c:pt idx="150">
                  <c:v>6.3529411764705876E-2</c:v>
                </c:pt>
                <c:pt idx="151">
                  <c:v>7.28744939271255E-2</c:v>
                </c:pt>
                <c:pt idx="152">
                  <c:v>0.12350597609561753</c:v>
                </c:pt>
                <c:pt idx="153">
                  <c:v>0.13398692810457516</c:v>
                </c:pt>
                <c:pt idx="154">
                  <c:v>9.9688473520249218E-2</c:v>
                </c:pt>
                <c:pt idx="155">
                  <c:v>6.9408740359897178E-2</c:v>
                </c:pt>
                <c:pt idx="156">
                  <c:v>7.6315789473684212E-2</c:v>
                </c:pt>
                <c:pt idx="157">
                  <c:v>0.18021201413427562</c:v>
                </c:pt>
                <c:pt idx="158">
                  <c:v>9.8837209302325577E-2</c:v>
                </c:pt>
                <c:pt idx="159">
                  <c:v>7.2022160664819951E-2</c:v>
                </c:pt>
                <c:pt idx="160">
                  <c:v>0.10294117647058823</c:v>
                </c:pt>
                <c:pt idx="161">
                  <c:v>0.10818713450292397</c:v>
                </c:pt>
                <c:pt idx="162">
                  <c:v>0.19935691318327975</c:v>
                </c:pt>
                <c:pt idx="163">
                  <c:v>0.16460176991150444</c:v>
                </c:pt>
                <c:pt idx="164">
                  <c:v>9.1976516634050876E-2</c:v>
                </c:pt>
                <c:pt idx="165">
                  <c:v>8.7053571428571425E-2</c:v>
                </c:pt>
                <c:pt idx="166">
                  <c:v>7.0833333333333331E-2</c:v>
                </c:pt>
                <c:pt idx="167">
                  <c:v>8.3643122676579931E-2</c:v>
                </c:pt>
                <c:pt idx="168">
                  <c:v>0.11397058823529412</c:v>
                </c:pt>
                <c:pt idx="169">
                  <c:v>8.1632653061224483E-2</c:v>
                </c:pt>
                <c:pt idx="170">
                  <c:v>7.1090047393364927E-2</c:v>
                </c:pt>
                <c:pt idx="171">
                  <c:v>7.4175824175824176E-2</c:v>
                </c:pt>
                <c:pt idx="172">
                  <c:v>6.8062827225130892E-2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D3-47CA-9EAB-8EEF6A0EC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067247"/>
        <c:axId val="305945503"/>
      </c:scatterChart>
      <c:valAx>
        <c:axId val="4720672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945503"/>
        <c:crosses val="autoZero"/>
        <c:crossBetween val="midCat"/>
      </c:valAx>
      <c:valAx>
        <c:axId val="30594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067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Malay% N8Bahau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276684164479439E-2"/>
                  <c:y val="0.179462306794983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N8Bahau!$E$2:$E$46</c:f>
              <c:numCache>
                <c:formatCode>0.0%</c:formatCode>
                <c:ptCount val="45"/>
                <c:pt idx="0">
                  <c:v>0.9921875</c:v>
                </c:pt>
                <c:pt idx="1">
                  <c:v>0.71333333333333337</c:v>
                </c:pt>
                <c:pt idx="2">
                  <c:v>0.89104477611940303</c:v>
                </c:pt>
                <c:pt idx="3">
                  <c:v>0.93432835820895521</c:v>
                </c:pt>
                <c:pt idx="4">
                  <c:v>0.97615499254843519</c:v>
                </c:pt>
                <c:pt idx="5">
                  <c:v>0.99515347334410342</c:v>
                </c:pt>
                <c:pt idx="6">
                  <c:v>0.99333333333333329</c:v>
                </c:pt>
                <c:pt idx="7">
                  <c:v>0.99801192842942343</c:v>
                </c:pt>
                <c:pt idx="8">
                  <c:v>0.99602385685884687</c:v>
                </c:pt>
                <c:pt idx="9">
                  <c:v>0.99204771371769385</c:v>
                </c:pt>
                <c:pt idx="10">
                  <c:v>0.99099099099099097</c:v>
                </c:pt>
                <c:pt idx="11">
                  <c:v>0.23333333333333334</c:v>
                </c:pt>
                <c:pt idx="12">
                  <c:v>0.30222222222222223</c:v>
                </c:pt>
                <c:pt idx="13">
                  <c:v>0.27922971114167811</c:v>
                </c:pt>
                <c:pt idx="14">
                  <c:v>0.27647867950481431</c:v>
                </c:pt>
                <c:pt idx="15">
                  <c:v>0.30494505494505497</c:v>
                </c:pt>
                <c:pt idx="16">
                  <c:v>0.39285714285714285</c:v>
                </c:pt>
                <c:pt idx="17">
                  <c:v>0.02</c:v>
                </c:pt>
                <c:pt idx="18">
                  <c:v>3.111111111111111E-2</c:v>
                </c:pt>
                <c:pt idx="19">
                  <c:v>4.3923865300146414E-2</c:v>
                </c:pt>
                <c:pt idx="20">
                  <c:v>5.4172767203513911E-2</c:v>
                </c:pt>
                <c:pt idx="21">
                  <c:v>7.0278184480234263E-2</c:v>
                </c:pt>
                <c:pt idx="22">
                  <c:v>7.4670571010248904E-2</c:v>
                </c:pt>
                <c:pt idx="23">
                  <c:v>0.11695906432748537</c:v>
                </c:pt>
                <c:pt idx="24">
                  <c:v>2.4444444444444446E-2</c:v>
                </c:pt>
                <c:pt idx="25">
                  <c:v>7.1111111111111111E-2</c:v>
                </c:pt>
                <c:pt idx="26">
                  <c:v>9.3333333333333338E-2</c:v>
                </c:pt>
                <c:pt idx="27">
                  <c:v>8.3185840707964601E-2</c:v>
                </c:pt>
                <c:pt idx="28">
                  <c:v>0.1519434628975265</c:v>
                </c:pt>
                <c:pt idx="29">
                  <c:v>1.1111111111111112E-2</c:v>
                </c:pt>
                <c:pt idx="30">
                  <c:v>4.4444444444444444E-3</c:v>
                </c:pt>
                <c:pt idx="31">
                  <c:v>1.1764705882352941E-2</c:v>
                </c:pt>
                <c:pt idx="32">
                  <c:v>5.0880626223091974E-2</c:v>
                </c:pt>
                <c:pt idx="33">
                  <c:v>9.393346379647749E-2</c:v>
                </c:pt>
                <c:pt idx="34">
                  <c:v>9.7777777777777783E-2</c:v>
                </c:pt>
                <c:pt idx="35">
                  <c:v>9.1030789825970543E-2</c:v>
                </c:pt>
                <c:pt idx="36">
                  <c:v>8.7014725568942436E-2</c:v>
                </c:pt>
                <c:pt idx="37">
                  <c:v>0.12048192771084337</c:v>
                </c:pt>
                <c:pt idx="38">
                  <c:v>0.11914323962516733</c:v>
                </c:pt>
                <c:pt idx="39">
                  <c:v>0.12182061579651941</c:v>
                </c:pt>
                <c:pt idx="40">
                  <c:v>4.4444444444444444E-3</c:v>
                </c:pt>
                <c:pt idx="41">
                  <c:v>8.8888888888888889E-3</c:v>
                </c:pt>
                <c:pt idx="42">
                  <c:v>1.7123287671232876E-2</c:v>
                </c:pt>
                <c:pt idx="43">
                  <c:v>1.3698630136986301E-2</c:v>
                </c:pt>
                <c:pt idx="44">
                  <c:v>5.6410256410256411E-2</c:v>
                </c:pt>
              </c:numCache>
            </c:numRef>
          </c:xVal>
          <c:yVal>
            <c:numRef>
              <c:f>N8Bahau!$A$2:$A$46</c:f>
              <c:numCache>
                <c:formatCode>0.0%</c:formatCode>
                <c:ptCount val="45"/>
                <c:pt idx="0">
                  <c:v>0.796875</c:v>
                </c:pt>
                <c:pt idx="1">
                  <c:v>0.70444444444444443</c:v>
                </c:pt>
                <c:pt idx="2">
                  <c:v>0.77462686567164174</c:v>
                </c:pt>
                <c:pt idx="3">
                  <c:v>0.75223880597014925</c:v>
                </c:pt>
                <c:pt idx="4">
                  <c:v>0.78539493293591656</c:v>
                </c:pt>
                <c:pt idx="5">
                  <c:v>0.81421647819063003</c:v>
                </c:pt>
                <c:pt idx="6">
                  <c:v>0.74444444444444446</c:v>
                </c:pt>
                <c:pt idx="7">
                  <c:v>0.81709741550695825</c:v>
                </c:pt>
                <c:pt idx="8">
                  <c:v>0.7375745526838966</c:v>
                </c:pt>
                <c:pt idx="9">
                  <c:v>0.84294234592445327</c:v>
                </c:pt>
                <c:pt idx="10">
                  <c:v>0.71621621621621623</c:v>
                </c:pt>
                <c:pt idx="11">
                  <c:v>0.70222222222222219</c:v>
                </c:pt>
                <c:pt idx="12">
                  <c:v>0.78888888888888886</c:v>
                </c:pt>
                <c:pt idx="13">
                  <c:v>0.73314993122420913</c:v>
                </c:pt>
                <c:pt idx="14">
                  <c:v>0.672627235213205</c:v>
                </c:pt>
                <c:pt idx="15">
                  <c:v>0.6744505494505495</c:v>
                </c:pt>
                <c:pt idx="16">
                  <c:v>0.77609890109890112</c:v>
                </c:pt>
                <c:pt idx="17">
                  <c:v>0.70222222222222219</c:v>
                </c:pt>
                <c:pt idx="18">
                  <c:v>0.77555555555555555</c:v>
                </c:pt>
                <c:pt idx="19">
                  <c:v>0.71742313323572471</c:v>
                </c:pt>
                <c:pt idx="20">
                  <c:v>0.67349926793557835</c:v>
                </c:pt>
                <c:pt idx="21">
                  <c:v>0.63689604685212298</c:v>
                </c:pt>
                <c:pt idx="22">
                  <c:v>0.62225475841874089</c:v>
                </c:pt>
                <c:pt idx="23">
                  <c:v>0.72222222222222221</c:v>
                </c:pt>
                <c:pt idx="24">
                  <c:v>0.55777777777777782</c:v>
                </c:pt>
                <c:pt idx="25">
                  <c:v>0.68</c:v>
                </c:pt>
                <c:pt idx="26">
                  <c:v>0.71333333333333337</c:v>
                </c:pt>
                <c:pt idx="27">
                  <c:v>0.68849557522123894</c:v>
                </c:pt>
                <c:pt idx="28">
                  <c:v>0.67137809187279152</c:v>
                </c:pt>
                <c:pt idx="29">
                  <c:v>0.62888888888888894</c:v>
                </c:pt>
                <c:pt idx="30">
                  <c:v>0.76444444444444448</c:v>
                </c:pt>
                <c:pt idx="31">
                  <c:v>0.707843137254902</c:v>
                </c:pt>
                <c:pt idx="32">
                  <c:v>0.66536203522504889</c:v>
                </c:pt>
                <c:pt idx="33">
                  <c:v>0.66927592954990212</c:v>
                </c:pt>
                <c:pt idx="34">
                  <c:v>0.69111111111111112</c:v>
                </c:pt>
                <c:pt idx="35">
                  <c:v>0.75635876840696115</c:v>
                </c:pt>
                <c:pt idx="36">
                  <c:v>0.68406961178045511</c:v>
                </c:pt>
                <c:pt idx="37">
                  <c:v>0.59973226238286481</c:v>
                </c:pt>
                <c:pt idx="38">
                  <c:v>0.64257028112449799</c:v>
                </c:pt>
                <c:pt idx="39">
                  <c:v>0.72021419009370813</c:v>
                </c:pt>
                <c:pt idx="40">
                  <c:v>0.60444444444444445</c:v>
                </c:pt>
                <c:pt idx="41">
                  <c:v>0.76222222222222225</c:v>
                </c:pt>
                <c:pt idx="42">
                  <c:v>0.7226027397260274</c:v>
                </c:pt>
                <c:pt idx="43">
                  <c:v>0.62328767123287676</c:v>
                </c:pt>
                <c:pt idx="44">
                  <c:v>0.652991452991453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44-4854-AA07-B1D77B7F2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368191"/>
        <c:axId val="212637871"/>
      </c:scatterChart>
      <c:valAx>
        <c:axId val="212236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37871"/>
        <c:crosses val="autoZero"/>
        <c:crossBetween val="midCat"/>
      </c:valAx>
      <c:valAx>
        <c:axId val="21263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368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Chinese% N8Bahau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276684164479439E-2"/>
                  <c:y val="0.179462306794983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N8Bahau!$F$2:$F$46</c:f>
              <c:numCache>
                <c:formatCode>0.0%</c:formatCode>
                <c:ptCount val="45"/>
                <c:pt idx="0">
                  <c:v>1.953125E-3</c:v>
                </c:pt>
                <c:pt idx="1">
                  <c:v>0.26444444444444443</c:v>
                </c:pt>
                <c:pt idx="2">
                  <c:v>9.5522388059701493E-2</c:v>
                </c:pt>
                <c:pt idx="3">
                  <c:v>5.8208955223880594E-2</c:v>
                </c:pt>
                <c:pt idx="4">
                  <c:v>2.2354694485842028E-2</c:v>
                </c:pt>
                <c:pt idx="5">
                  <c:v>3.2310177705977385E-3</c:v>
                </c:pt>
                <c:pt idx="6">
                  <c:v>4.4444444444444444E-3</c:v>
                </c:pt>
                <c:pt idx="7">
                  <c:v>1.9880715705765406E-3</c:v>
                </c:pt>
                <c:pt idx="8">
                  <c:v>0</c:v>
                </c:pt>
                <c:pt idx="9">
                  <c:v>3.9761431411530811E-3</c:v>
                </c:pt>
                <c:pt idx="10">
                  <c:v>9.0090090090090089E-3</c:v>
                </c:pt>
                <c:pt idx="11">
                  <c:v>0.61777777777777776</c:v>
                </c:pt>
                <c:pt idx="12">
                  <c:v>0.56444444444444442</c:v>
                </c:pt>
                <c:pt idx="13">
                  <c:v>0.56258596973865205</c:v>
                </c:pt>
                <c:pt idx="14">
                  <c:v>0.55295735900962861</c:v>
                </c:pt>
                <c:pt idx="15">
                  <c:v>0.51648351648351654</c:v>
                </c:pt>
                <c:pt idx="16">
                  <c:v>0.46978021978021978</c:v>
                </c:pt>
                <c:pt idx="17">
                  <c:v>0.87333333333333329</c:v>
                </c:pt>
                <c:pt idx="18">
                  <c:v>0.89777777777777779</c:v>
                </c:pt>
                <c:pt idx="19">
                  <c:v>0.84919472913616401</c:v>
                </c:pt>
                <c:pt idx="20">
                  <c:v>0.79062957540263545</c:v>
                </c:pt>
                <c:pt idx="21">
                  <c:v>0.75841874084919469</c:v>
                </c:pt>
                <c:pt idx="22">
                  <c:v>0.74816983894582723</c:v>
                </c:pt>
                <c:pt idx="23">
                  <c:v>0.63888888888888884</c:v>
                </c:pt>
                <c:pt idx="24">
                  <c:v>0.9</c:v>
                </c:pt>
                <c:pt idx="25">
                  <c:v>0.85333333333333339</c:v>
                </c:pt>
                <c:pt idx="26">
                  <c:v>0.82444444444444442</c:v>
                </c:pt>
                <c:pt idx="27">
                  <c:v>0.84955752212389379</c:v>
                </c:pt>
                <c:pt idx="28">
                  <c:v>0.7667844522968198</c:v>
                </c:pt>
                <c:pt idx="29">
                  <c:v>0.95777777777777773</c:v>
                </c:pt>
                <c:pt idx="30">
                  <c:v>0.95777777777777773</c:v>
                </c:pt>
                <c:pt idx="31">
                  <c:v>0.96078431372549022</c:v>
                </c:pt>
                <c:pt idx="32">
                  <c:v>0.87866927592954991</c:v>
                </c:pt>
                <c:pt idx="33">
                  <c:v>0.81604696673189825</c:v>
                </c:pt>
                <c:pt idx="34">
                  <c:v>0.74444444444444446</c:v>
                </c:pt>
                <c:pt idx="35">
                  <c:v>0.70682730923694781</c:v>
                </c:pt>
                <c:pt idx="36">
                  <c:v>0.68005354752342706</c:v>
                </c:pt>
                <c:pt idx="37">
                  <c:v>0.62918340026773767</c:v>
                </c:pt>
                <c:pt idx="38">
                  <c:v>0.59303882195448465</c:v>
                </c:pt>
                <c:pt idx="39">
                  <c:v>0.59839357429718876</c:v>
                </c:pt>
                <c:pt idx="40">
                  <c:v>0.97555555555555551</c:v>
                </c:pt>
                <c:pt idx="41">
                  <c:v>0.97333333333333338</c:v>
                </c:pt>
                <c:pt idx="42">
                  <c:v>0.95205479452054798</c:v>
                </c:pt>
                <c:pt idx="43">
                  <c:v>0.95034246575342463</c:v>
                </c:pt>
                <c:pt idx="44">
                  <c:v>0.86495726495726499</c:v>
                </c:pt>
              </c:numCache>
            </c:numRef>
          </c:xVal>
          <c:yVal>
            <c:numRef>
              <c:f>N8Bahau!$A$2:$A$46</c:f>
              <c:numCache>
                <c:formatCode>0.0%</c:formatCode>
                <c:ptCount val="45"/>
                <c:pt idx="0">
                  <c:v>0.796875</c:v>
                </c:pt>
                <c:pt idx="1">
                  <c:v>0.70444444444444443</c:v>
                </c:pt>
                <c:pt idx="2">
                  <c:v>0.77462686567164174</c:v>
                </c:pt>
                <c:pt idx="3">
                  <c:v>0.75223880597014925</c:v>
                </c:pt>
                <c:pt idx="4">
                  <c:v>0.78539493293591656</c:v>
                </c:pt>
                <c:pt idx="5">
                  <c:v>0.81421647819063003</c:v>
                </c:pt>
                <c:pt idx="6">
                  <c:v>0.74444444444444446</c:v>
                </c:pt>
                <c:pt idx="7">
                  <c:v>0.81709741550695825</c:v>
                </c:pt>
                <c:pt idx="8">
                  <c:v>0.7375745526838966</c:v>
                </c:pt>
                <c:pt idx="9">
                  <c:v>0.84294234592445327</c:v>
                </c:pt>
                <c:pt idx="10">
                  <c:v>0.71621621621621623</c:v>
                </c:pt>
                <c:pt idx="11">
                  <c:v>0.70222222222222219</c:v>
                </c:pt>
                <c:pt idx="12">
                  <c:v>0.78888888888888886</c:v>
                </c:pt>
                <c:pt idx="13">
                  <c:v>0.73314993122420913</c:v>
                </c:pt>
                <c:pt idx="14">
                  <c:v>0.672627235213205</c:v>
                </c:pt>
                <c:pt idx="15">
                  <c:v>0.6744505494505495</c:v>
                </c:pt>
                <c:pt idx="16">
                  <c:v>0.77609890109890112</c:v>
                </c:pt>
                <c:pt idx="17">
                  <c:v>0.70222222222222219</c:v>
                </c:pt>
                <c:pt idx="18">
                  <c:v>0.77555555555555555</c:v>
                </c:pt>
                <c:pt idx="19">
                  <c:v>0.71742313323572471</c:v>
                </c:pt>
                <c:pt idx="20">
                  <c:v>0.67349926793557835</c:v>
                </c:pt>
                <c:pt idx="21">
                  <c:v>0.63689604685212298</c:v>
                </c:pt>
                <c:pt idx="22">
                  <c:v>0.62225475841874089</c:v>
                </c:pt>
                <c:pt idx="23">
                  <c:v>0.72222222222222221</c:v>
                </c:pt>
                <c:pt idx="24">
                  <c:v>0.55777777777777782</c:v>
                </c:pt>
                <c:pt idx="25">
                  <c:v>0.68</c:v>
                </c:pt>
                <c:pt idx="26">
                  <c:v>0.71333333333333337</c:v>
                </c:pt>
                <c:pt idx="27">
                  <c:v>0.68849557522123894</c:v>
                </c:pt>
                <c:pt idx="28">
                  <c:v>0.67137809187279152</c:v>
                </c:pt>
                <c:pt idx="29">
                  <c:v>0.62888888888888894</c:v>
                </c:pt>
                <c:pt idx="30">
                  <c:v>0.76444444444444448</c:v>
                </c:pt>
                <c:pt idx="31">
                  <c:v>0.707843137254902</c:v>
                </c:pt>
                <c:pt idx="32">
                  <c:v>0.66536203522504889</c:v>
                </c:pt>
                <c:pt idx="33">
                  <c:v>0.66927592954990212</c:v>
                </c:pt>
                <c:pt idx="34">
                  <c:v>0.69111111111111112</c:v>
                </c:pt>
                <c:pt idx="35">
                  <c:v>0.75635876840696115</c:v>
                </c:pt>
                <c:pt idx="36">
                  <c:v>0.68406961178045511</c:v>
                </c:pt>
                <c:pt idx="37">
                  <c:v>0.59973226238286481</c:v>
                </c:pt>
                <c:pt idx="38">
                  <c:v>0.64257028112449799</c:v>
                </c:pt>
                <c:pt idx="39">
                  <c:v>0.72021419009370813</c:v>
                </c:pt>
                <c:pt idx="40">
                  <c:v>0.60444444444444445</c:v>
                </c:pt>
                <c:pt idx="41">
                  <c:v>0.76222222222222225</c:v>
                </c:pt>
                <c:pt idx="42">
                  <c:v>0.7226027397260274</c:v>
                </c:pt>
                <c:pt idx="43">
                  <c:v>0.62328767123287676</c:v>
                </c:pt>
                <c:pt idx="44">
                  <c:v>0.652991452991453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E2-4D38-822F-E7AF32E22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368191"/>
        <c:axId val="212637871"/>
      </c:scatterChart>
      <c:valAx>
        <c:axId val="212236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37871"/>
        <c:crosses val="autoZero"/>
        <c:crossBetween val="midCat"/>
      </c:valAx>
      <c:valAx>
        <c:axId val="21263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368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Indian% N8Bahau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276684164479439E-2"/>
                  <c:y val="0.179462306794983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N8Bahau!$G$2:$G$46</c:f>
              <c:numCache>
                <c:formatCode>0.0%</c:formatCode>
                <c:ptCount val="45"/>
                <c:pt idx="0">
                  <c:v>3.90625E-3</c:v>
                </c:pt>
                <c:pt idx="1">
                  <c:v>0.02</c:v>
                </c:pt>
                <c:pt idx="2">
                  <c:v>5.9701492537313433E-3</c:v>
                </c:pt>
                <c:pt idx="3">
                  <c:v>5.9701492537313433E-3</c:v>
                </c:pt>
                <c:pt idx="4">
                  <c:v>1.4903129657228018E-3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1.9880715705765406E-3</c:v>
                </c:pt>
                <c:pt idx="9">
                  <c:v>3.9761431411530811E-3</c:v>
                </c:pt>
                <c:pt idx="10">
                  <c:v>0</c:v>
                </c:pt>
                <c:pt idx="11">
                  <c:v>0.14666666666666667</c:v>
                </c:pt>
                <c:pt idx="12">
                  <c:v>0.12222222222222222</c:v>
                </c:pt>
                <c:pt idx="13">
                  <c:v>0.15680880330123798</c:v>
                </c:pt>
                <c:pt idx="14">
                  <c:v>0.16918844566712518</c:v>
                </c:pt>
                <c:pt idx="15">
                  <c:v>0.17719780219780221</c:v>
                </c:pt>
                <c:pt idx="16">
                  <c:v>0.13736263736263737</c:v>
                </c:pt>
                <c:pt idx="17">
                  <c:v>0.10222222222222223</c:v>
                </c:pt>
                <c:pt idx="18">
                  <c:v>7.1111111111111111E-2</c:v>
                </c:pt>
                <c:pt idx="19">
                  <c:v>0.10248901903367497</c:v>
                </c:pt>
                <c:pt idx="20">
                  <c:v>0.15373352855051245</c:v>
                </c:pt>
                <c:pt idx="21">
                  <c:v>0.16691068814055637</c:v>
                </c:pt>
                <c:pt idx="22">
                  <c:v>0.17569546120058566</c:v>
                </c:pt>
                <c:pt idx="23">
                  <c:v>0.24415204678362573</c:v>
                </c:pt>
                <c:pt idx="24">
                  <c:v>7.3333333333333334E-2</c:v>
                </c:pt>
                <c:pt idx="25">
                  <c:v>5.7777777777777775E-2</c:v>
                </c:pt>
                <c:pt idx="26">
                  <c:v>7.5555555555555556E-2</c:v>
                </c:pt>
                <c:pt idx="27">
                  <c:v>6.1946902654867256E-2</c:v>
                </c:pt>
                <c:pt idx="28">
                  <c:v>7.7738515901060068E-2</c:v>
                </c:pt>
                <c:pt idx="29">
                  <c:v>3.111111111111111E-2</c:v>
                </c:pt>
                <c:pt idx="30">
                  <c:v>3.5555555555555556E-2</c:v>
                </c:pt>
                <c:pt idx="31">
                  <c:v>2.3529411764705882E-2</c:v>
                </c:pt>
                <c:pt idx="32">
                  <c:v>7.0450097847358117E-2</c:v>
                </c:pt>
                <c:pt idx="33">
                  <c:v>9.0019569471624261E-2</c:v>
                </c:pt>
                <c:pt idx="34">
                  <c:v>0.15777777777777777</c:v>
                </c:pt>
                <c:pt idx="35">
                  <c:v>0.20080321285140562</c:v>
                </c:pt>
                <c:pt idx="36">
                  <c:v>0.23293172690763053</c:v>
                </c:pt>
                <c:pt idx="37">
                  <c:v>0.24765729585006693</c:v>
                </c:pt>
                <c:pt idx="38">
                  <c:v>0.28647925033467203</c:v>
                </c:pt>
                <c:pt idx="39">
                  <c:v>0.27844712182061582</c:v>
                </c:pt>
                <c:pt idx="40">
                  <c:v>0.02</c:v>
                </c:pt>
                <c:pt idx="41">
                  <c:v>1.5555555555555555E-2</c:v>
                </c:pt>
                <c:pt idx="42">
                  <c:v>2.9109589041095889E-2</c:v>
                </c:pt>
                <c:pt idx="43">
                  <c:v>3.4246575342465752E-2</c:v>
                </c:pt>
                <c:pt idx="44">
                  <c:v>7.8632478632478631E-2</c:v>
                </c:pt>
              </c:numCache>
            </c:numRef>
          </c:xVal>
          <c:yVal>
            <c:numRef>
              <c:f>N8Bahau!$A$2:$A$46</c:f>
              <c:numCache>
                <c:formatCode>0.0%</c:formatCode>
                <c:ptCount val="45"/>
                <c:pt idx="0">
                  <c:v>0.796875</c:v>
                </c:pt>
                <c:pt idx="1">
                  <c:v>0.70444444444444443</c:v>
                </c:pt>
                <c:pt idx="2">
                  <c:v>0.77462686567164174</c:v>
                </c:pt>
                <c:pt idx="3">
                  <c:v>0.75223880597014925</c:v>
                </c:pt>
                <c:pt idx="4">
                  <c:v>0.78539493293591656</c:v>
                </c:pt>
                <c:pt idx="5">
                  <c:v>0.81421647819063003</c:v>
                </c:pt>
                <c:pt idx="6">
                  <c:v>0.74444444444444446</c:v>
                </c:pt>
                <c:pt idx="7">
                  <c:v>0.81709741550695825</c:v>
                </c:pt>
                <c:pt idx="8">
                  <c:v>0.7375745526838966</c:v>
                </c:pt>
                <c:pt idx="9">
                  <c:v>0.84294234592445327</c:v>
                </c:pt>
                <c:pt idx="10">
                  <c:v>0.71621621621621623</c:v>
                </c:pt>
                <c:pt idx="11">
                  <c:v>0.70222222222222219</c:v>
                </c:pt>
                <c:pt idx="12">
                  <c:v>0.78888888888888886</c:v>
                </c:pt>
                <c:pt idx="13">
                  <c:v>0.73314993122420913</c:v>
                </c:pt>
                <c:pt idx="14">
                  <c:v>0.672627235213205</c:v>
                </c:pt>
                <c:pt idx="15">
                  <c:v>0.6744505494505495</c:v>
                </c:pt>
                <c:pt idx="16">
                  <c:v>0.77609890109890112</c:v>
                </c:pt>
                <c:pt idx="17">
                  <c:v>0.70222222222222219</c:v>
                </c:pt>
                <c:pt idx="18">
                  <c:v>0.77555555555555555</c:v>
                </c:pt>
                <c:pt idx="19">
                  <c:v>0.71742313323572471</c:v>
                </c:pt>
                <c:pt idx="20">
                  <c:v>0.67349926793557835</c:v>
                </c:pt>
                <c:pt idx="21">
                  <c:v>0.63689604685212298</c:v>
                </c:pt>
                <c:pt idx="22">
                  <c:v>0.62225475841874089</c:v>
                </c:pt>
                <c:pt idx="23">
                  <c:v>0.72222222222222221</c:v>
                </c:pt>
                <c:pt idx="24">
                  <c:v>0.55777777777777782</c:v>
                </c:pt>
                <c:pt idx="25">
                  <c:v>0.68</c:v>
                </c:pt>
                <c:pt idx="26">
                  <c:v>0.71333333333333337</c:v>
                </c:pt>
                <c:pt idx="27">
                  <c:v>0.68849557522123894</c:v>
                </c:pt>
                <c:pt idx="28">
                  <c:v>0.67137809187279152</c:v>
                </c:pt>
                <c:pt idx="29">
                  <c:v>0.62888888888888894</c:v>
                </c:pt>
                <c:pt idx="30">
                  <c:v>0.76444444444444448</c:v>
                </c:pt>
                <c:pt idx="31">
                  <c:v>0.707843137254902</c:v>
                </c:pt>
                <c:pt idx="32">
                  <c:v>0.66536203522504889</c:v>
                </c:pt>
                <c:pt idx="33">
                  <c:v>0.66927592954990212</c:v>
                </c:pt>
                <c:pt idx="34">
                  <c:v>0.69111111111111112</c:v>
                </c:pt>
                <c:pt idx="35">
                  <c:v>0.75635876840696115</c:v>
                </c:pt>
                <c:pt idx="36">
                  <c:v>0.68406961178045511</c:v>
                </c:pt>
                <c:pt idx="37">
                  <c:v>0.59973226238286481</c:v>
                </c:pt>
                <c:pt idx="38">
                  <c:v>0.64257028112449799</c:v>
                </c:pt>
                <c:pt idx="39">
                  <c:v>0.72021419009370813</c:v>
                </c:pt>
                <c:pt idx="40">
                  <c:v>0.60444444444444445</c:v>
                </c:pt>
                <c:pt idx="41">
                  <c:v>0.76222222222222225</c:v>
                </c:pt>
                <c:pt idx="42">
                  <c:v>0.7226027397260274</c:v>
                </c:pt>
                <c:pt idx="43">
                  <c:v>0.62328767123287676</c:v>
                </c:pt>
                <c:pt idx="44">
                  <c:v>0.652991452991453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A5-4960-9452-216560027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368191"/>
        <c:axId val="212637871"/>
      </c:scatterChart>
      <c:valAx>
        <c:axId val="212236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37871"/>
        <c:crosses val="autoZero"/>
        <c:crossBetween val="midCat"/>
      </c:valAx>
      <c:valAx>
        <c:axId val="21263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368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Malay% N8Bahau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0368985126859144E-2"/>
                  <c:y val="-0.417581291921843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N8Bahau!$E$2:$E$46</c:f>
              <c:numCache>
                <c:formatCode>0.0%</c:formatCode>
                <c:ptCount val="45"/>
                <c:pt idx="0">
                  <c:v>0.9921875</c:v>
                </c:pt>
                <c:pt idx="1">
                  <c:v>0.71333333333333337</c:v>
                </c:pt>
                <c:pt idx="2">
                  <c:v>0.89104477611940303</c:v>
                </c:pt>
                <c:pt idx="3">
                  <c:v>0.93432835820895521</c:v>
                </c:pt>
                <c:pt idx="4">
                  <c:v>0.97615499254843519</c:v>
                </c:pt>
                <c:pt idx="5">
                  <c:v>0.99515347334410342</c:v>
                </c:pt>
                <c:pt idx="6">
                  <c:v>0.99333333333333329</c:v>
                </c:pt>
                <c:pt idx="7">
                  <c:v>0.99801192842942343</c:v>
                </c:pt>
                <c:pt idx="8">
                  <c:v>0.99602385685884687</c:v>
                </c:pt>
                <c:pt idx="9">
                  <c:v>0.99204771371769385</c:v>
                </c:pt>
                <c:pt idx="10">
                  <c:v>0.99099099099099097</c:v>
                </c:pt>
                <c:pt idx="11">
                  <c:v>0.23333333333333334</c:v>
                </c:pt>
                <c:pt idx="12">
                  <c:v>0.30222222222222223</c:v>
                </c:pt>
                <c:pt idx="13">
                  <c:v>0.27922971114167811</c:v>
                </c:pt>
                <c:pt idx="14">
                  <c:v>0.27647867950481431</c:v>
                </c:pt>
                <c:pt idx="15">
                  <c:v>0.30494505494505497</c:v>
                </c:pt>
                <c:pt idx="16">
                  <c:v>0.39285714285714285</c:v>
                </c:pt>
                <c:pt idx="17">
                  <c:v>0.02</c:v>
                </c:pt>
                <c:pt idx="18">
                  <c:v>3.111111111111111E-2</c:v>
                </c:pt>
                <c:pt idx="19">
                  <c:v>4.3923865300146414E-2</c:v>
                </c:pt>
                <c:pt idx="20">
                  <c:v>5.4172767203513911E-2</c:v>
                </c:pt>
                <c:pt idx="21">
                  <c:v>7.0278184480234263E-2</c:v>
                </c:pt>
                <c:pt idx="22">
                  <c:v>7.4670571010248904E-2</c:v>
                </c:pt>
                <c:pt idx="23">
                  <c:v>0.11695906432748537</c:v>
                </c:pt>
                <c:pt idx="24">
                  <c:v>2.4444444444444446E-2</c:v>
                </c:pt>
                <c:pt idx="25">
                  <c:v>7.1111111111111111E-2</c:v>
                </c:pt>
                <c:pt idx="26">
                  <c:v>9.3333333333333338E-2</c:v>
                </c:pt>
                <c:pt idx="27">
                  <c:v>8.3185840707964601E-2</c:v>
                </c:pt>
                <c:pt idx="28">
                  <c:v>0.1519434628975265</c:v>
                </c:pt>
                <c:pt idx="29">
                  <c:v>1.1111111111111112E-2</c:v>
                </c:pt>
                <c:pt idx="30">
                  <c:v>4.4444444444444444E-3</c:v>
                </c:pt>
                <c:pt idx="31">
                  <c:v>1.1764705882352941E-2</c:v>
                </c:pt>
                <c:pt idx="32">
                  <c:v>5.0880626223091974E-2</c:v>
                </c:pt>
                <c:pt idx="33">
                  <c:v>9.393346379647749E-2</c:v>
                </c:pt>
                <c:pt idx="34">
                  <c:v>9.7777777777777783E-2</c:v>
                </c:pt>
                <c:pt idx="35">
                  <c:v>9.1030789825970543E-2</c:v>
                </c:pt>
                <c:pt idx="36">
                  <c:v>8.7014725568942436E-2</c:v>
                </c:pt>
                <c:pt idx="37">
                  <c:v>0.12048192771084337</c:v>
                </c:pt>
                <c:pt idx="38">
                  <c:v>0.11914323962516733</c:v>
                </c:pt>
                <c:pt idx="39">
                  <c:v>0.12182061579651941</c:v>
                </c:pt>
                <c:pt idx="40">
                  <c:v>4.4444444444444444E-3</c:v>
                </c:pt>
                <c:pt idx="41">
                  <c:v>8.8888888888888889E-3</c:v>
                </c:pt>
                <c:pt idx="42">
                  <c:v>1.7123287671232876E-2</c:v>
                </c:pt>
                <c:pt idx="43">
                  <c:v>1.3698630136986301E-2</c:v>
                </c:pt>
                <c:pt idx="44">
                  <c:v>5.6410256410256411E-2</c:v>
                </c:pt>
              </c:numCache>
            </c:numRef>
          </c:xVal>
          <c:yVal>
            <c:numRef>
              <c:f>N8Bahau!$B$2:$B$46</c:f>
              <c:numCache>
                <c:formatCode>0.0%</c:formatCode>
                <c:ptCount val="45"/>
                <c:pt idx="0">
                  <c:v>0.13480392156862744</c:v>
                </c:pt>
                <c:pt idx="1">
                  <c:v>0.33753943217665616</c:v>
                </c:pt>
                <c:pt idx="2">
                  <c:v>0.21772639691714837</c:v>
                </c:pt>
                <c:pt idx="3">
                  <c:v>0.19246031746031747</c:v>
                </c:pt>
                <c:pt idx="4">
                  <c:v>0.23529411764705882</c:v>
                </c:pt>
                <c:pt idx="5">
                  <c:v>0.15674603174603174</c:v>
                </c:pt>
                <c:pt idx="6">
                  <c:v>0.11044776119402985</c:v>
                </c:pt>
                <c:pt idx="7">
                  <c:v>0.14355231143552311</c:v>
                </c:pt>
                <c:pt idx="8">
                  <c:v>0.11320754716981132</c:v>
                </c:pt>
                <c:pt idx="9">
                  <c:v>0.19575471698113209</c:v>
                </c:pt>
                <c:pt idx="10">
                  <c:v>0.16352201257861634</c:v>
                </c:pt>
                <c:pt idx="11">
                  <c:v>0.66772151898734178</c:v>
                </c:pt>
                <c:pt idx="12">
                  <c:v>0.6394366197183099</c:v>
                </c:pt>
                <c:pt idx="13">
                  <c:v>0.67917448405253278</c:v>
                </c:pt>
                <c:pt idx="14">
                  <c:v>0.68711656441717794</c:v>
                </c:pt>
                <c:pt idx="15">
                  <c:v>0.67820773930753564</c:v>
                </c:pt>
                <c:pt idx="16">
                  <c:v>0.59823008849557524</c:v>
                </c:pt>
                <c:pt idx="17">
                  <c:v>0.78481012658227844</c:v>
                </c:pt>
                <c:pt idx="18">
                  <c:v>0.87392550143266479</c:v>
                </c:pt>
                <c:pt idx="19">
                  <c:v>0.89183673469387759</c:v>
                </c:pt>
                <c:pt idx="20">
                  <c:v>0.87826086956521743</c:v>
                </c:pt>
                <c:pt idx="21">
                  <c:v>0.87586206896551722</c:v>
                </c:pt>
                <c:pt idx="22">
                  <c:v>0.88235294117647056</c:v>
                </c:pt>
                <c:pt idx="23">
                  <c:v>0.87044534412955465</c:v>
                </c:pt>
                <c:pt idx="24">
                  <c:v>0.8127490039840638</c:v>
                </c:pt>
                <c:pt idx="25">
                  <c:v>0.82352941176470584</c:v>
                </c:pt>
                <c:pt idx="26">
                  <c:v>0.85046728971962615</c:v>
                </c:pt>
                <c:pt idx="27">
                  <c:v>0.89717223650385602</c:v>
                </c:pt>
                <c:pt idx="28">
                  <c:v>0.82105263157894737</c:v>
                </c:pt>
                <c:pt idx="29">
                  <c:v>0.78091872791519434</c:v>
                </c:pt>
                <c:pt idx="30">
                  <c:v>0.89534883720930236</c:v>
                </c:pt>
                <c:pt idx="31">
                  <c:v>0.90858725761772852</c:v>
                </c:pt>
                <c:pt idx="32">
                  <c:v>0.87058823529411766</c:v>
                </c:pt>
                <c:pt idx="33">
                  <c:v>0.85087719298245612</c:v>
                </c:pt>
                <c:pt idx="34">
                  <c:v>0.74919614147909963</c:v>
                </c:pt>
                <c:pt idx="35">
                  <c:v>0.78407079646017697</c:v>
                </c:pt>
                <c:pt idx="36">
                  <c:v>0.83953033268101762</c:v>
                </c:pt>
                <c:pt idx="37">
                  <c:v>0.8303571428571429</c:v>
                </c:pt>
                <c:pt idx="38">
                  <c:v>0.86458333333333337</c:v>
                </c:pt>
                <c:pt idx="39">
                  <c:v>0.85315985130111527</c:v>
                </c:pt>
                <c:pt idx="40">
                  <c:v>0.84558823529411764</c:v>
                </c:pt>
                <c:pt idx="41">
                  <c:v>0.89504373177842567</c:v>
                </c:pt>
                <c:pt idx="42">
                  <c:v>0.91232227488151663</c:v>
                </c:pt>
                <c:pt idx="43">
                  <c:v>0.90934065934065933</c:v>
                </c:pt>
                <c:pt idx="44">
                  <c:v>0.90314136125654454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31-4AAA-84B2-5390DAC7E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368191"/>
        <c:axId val="212637871"/>
      </c:scatterChart>
      <c:valAx>
        <c:axId val="212236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37871"/>
        <c:crosses val="autoZero"/>
        <c:crossBetween val="midCat"/>
      </c:valAx>
      <c:valAx>
        <c:axId val="21263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368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024930008748906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Chinese% N8Bahau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26399825021872E-2"/>
                  <c:y val="0.275342300962379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N8Bahau!$F$2:$F$46</c:f>
              <c:numCache>
                <c:formatCode>0.0%</c:formatCode>
                <c:ptCount val="45"/>
                <c:pt idx="0">
                  <c:v>1.953125E-3</c:v>
                </c:pt>
                <c:pt idx="1">
                  <c:v>0.26444444444444443</c:v>
                </c:pt>
                <c:pt idx="2">
                  <c:v>9.5522388059701493E-2</c:v>
                </c:pt>
                <c:pt idx="3">
                  <c:v>5.8208955223880594E-2</c:v>
                </c:pt>
                <c:pt idx="4">
                  <c:v>2.2354694485842028E-2</c:v>
                </c:pt>
                <c:pt idx="5">
                  <c:v>3.2310177705977385E-3</c:v>
                </c:pt>
                <c:pt idx="6">
                  <c:v>4.4444444444444444E-3</c:v>
                </c:pt>
                <c:pt idx="7">
                  <c:v>1.9880715705765406E-3</c:v>
                </c:pt>
                <c:pt idx="8">
                  <c:v>0</c:v>
                </c:pt>
                <c:pt idx="9">
                  <c:v>3.9761431411530811E-3</c:v>
                </c:pt>
                <c:pt idx="10">
                  <c:v>9.0090090090090089E-3</c:v>
                </c:pt>
                <c:pt idx="11">
                  <c:v>0.61777777777777776</c:v>
                </c:pt>
                <c:pt idx="12">
                  <c:v>0.56444444444444442</c:v>
                </c:pt>
                <c:pt idx="13">
                  <c:v>0.56258596973865205</c:v>
                </c:pt>
                <c:pt idx="14">
                  <c:v>0.55295735900962861</c:v>
                </c:pt>
                <c:pt idx="15">
                  <c:v>0.51648351648351654</c:v>
                </c:pt>
                <c:pt idx="16">
                  <c:v>0.46978021978021978</c:v>
                </c:pt>
                <c:pt idx="17">
                  <c:v>0.87333333333333329</c:v>
                </c:pt>
                <c:pt idx="18">
                  <c:v>0.89777777777777779</c:v>
                </c:pt>
                <c:pt idx="19">
                  <c:v>0.84919472913616401</c:v>
                </c:pt>
                <c:pt idx="20">
                  <c:v>0.79062957540263545</c:v>
                </c:pt>
                <c:pt idx="21">
                  <c:v>0.75841874084919469</c:v>
                </c:pt>
                <c:pt idx="22">
                  <c:v>0.74816983894582723</c:v>
                </c:pt>
                <c:pt idx="23">
                  <c:v>0.63888888888888884</c:v>
                </c:pt>
                <c:pt idx="24">
                  <c:v>0.9</c:v>
                </c:pt>
                <c:pt idx="25">
                  <c:v>0.85333333333333339</c:v>
                </c:pt>
                <c:pt idx="26">
                  <c:v>0.82444444444444442</c:v>
                </c:pt>
                <c:pt idx="27">
                  <c:v>0.84955752212389379</c:v>
                </c:pt>
                <c:pt idx="28">
                  <c:v>0.7667844522968198</c:v>
                </c:pt>
                <c:pt idx="29">
                  <c:v>0.95777777777777773</c:v>
                </c:pt>
                <c:pt idx="30">
                  <c:v>0.95777777777777773</c:v>
                </c:pt>
                <c:pt idx="31">
                  <c:v>0.96078431372549022</c:v>
                </c:pt>
                <c:pt idx="32">
                  <c:v>0.87866927592954991</c:v>
                </c:pt>
                <c:pt idx="33">
                  <c:v>0.81604696673189825</c:v>
                </c:pt>
                <c:pt idx="34">
                  <c:v>0.74444444444444446</c:v>
                </c:pt>
                <c:pt idx="35">
                  <c:v>0.70682730923694781</c:v>
                </c:pt>
                <c:pt idx="36">
                  <c:v>0.68005354752342706</c:v>
                </c:pt>
                <c:pt idx="37">
                  <c:v>0.62918340026773767</c:v>
                </c:pt>
                <c:pt idx="38">
                  <c:v>0.59303882195448465</c:v>
                </c:pt>
                <c:pt idx="39">
                  <c:v>0.59839357429718876</c:v>
                </c:pt>
                <c:pt idx="40">
                  <c:v>0.97555555555555551</c:v>
                </c:pt>
                <c:pt idx="41">
                  <c:v>0.97333333333333338</c:v>
                </c:pt>
                <c:pt idx="42">
                  <c:v>0.95205479452054798</c:v>
                </c:pt>
                <c:pt idx="43">
                  <c:v>0.95034246575342463</c:v>
                </c:pt>
                <c:pt idx="44">
                  <c:v>0.86495726495726499</c:v>
                </c:pt>
              </c:numCache>
            </c:numRef>
          </c:xVal>
          <c:yVal>
            <c:numRef>
              <c:f>N8Bahau!$B$2:$B$46</c:f>
              <c:numCache>
                <c:formatCode>0.0%</c:formatCode>
                <c:ptCount val="45"/>
                <c:pt idx="0">
                  <c:v>0.13480392156862744</c:v>
                </c:pt>
                <c:pt idx="1">
                  <c:v>0.33753943217665616</c:v>
                </c:pt>
                <c:pt idx="2">
                  <c:v>0.21772639691714837</c:v>
                </c:pt>
                <c:pt idx="3">
                  <c:v>0.19246031746031747</c:v>
                </c:pt>
                <c:pt idx="4">
                  <c:v>0.23529411764705882</c:v>
                </c:pt>
                <c:pt idx="5">
                  <c:v>0.15674603174603174</c:v>
                </c:pt>
                <c:pt idx="6">
                  <c:v>0.11044776119402985</c:v>
                </c:pt>
                <c:pt idx="7">
                  <c:v>0.14355231143552311</c:v>
                </c:pt>
                <c:pt idx="8">
                  <c:v>0.11320754716981132</c:v>
                </c:pt>
                <c:pt idx="9">
                  <c:v>0.19575471698113209</c:v>
                </c:pt>
                <c:pt idx="10">
                  <c:v>0.16352201257861634</c:v>
                </c:pt>
                <c:pt idx="11">
                  <c:v>0.66772151898734178</c:v>
                </c:pt>
                <c:pt idx="12">
                  <c:v>0.6394366197183099</c:v>
                </c:pt>
                <c:pt idx="13">
                  <c:v>0.67917448405253278</c:v>
                </c:pt>
                <c:pt idx="14">
                  <c:v>0.68711656441717794</c:v>
                </c:pt>
                <c:pt idx="15">
                  <c:v>0.67820773930753564</c:v>
                </c:pt>
                <c:pt idx="16">
                  <c:v>0.59823008849557524</c:v>
                </c:pt>
                <c:pt idx="17">
                  <c:v>0.78481012658227844</c:v>
                </c:pt>
                <c:pt idx="18">
                  <c:v>0.87392550143266479</c:v>
                </c:pt>
                <c:pt idx="19">
                  <c:v>0.89183673469387759</c:v>
                </c:pt>
                <c:pt idx="20">
                  <c:v>0.87826086956521743</c:v>
                </c:pt>
                <c:pt idx="21">
                  <c:v>0.87586206896551722</c:v>
                </c:pt>
                <c:pt idx="22">
                  <c:v>0.88235294117647056</c:v>
                </c:pt>
                <c:pt idx="23">
                  <c:v>0.87044534412955465</c:v>
                </c:pt>
                <c:pt idx="24">
                  <c:v>0.8127490039840638</c:v>
                </c:pt>
                <c:pt idx="25">
                  <c:v>0.82352941176470584</c:v>
                </c:pt>
                <c:pt idx="26">
                  <c:v>0.85046728971962615</c:v>
                </c:pt>
                <c:pt idx="27">
                  <c:v>0.89717223650385602</c:v>
                </c:pt>
                <c:pt idx="28">
                  <c:v>0.82105263157894737</c:v>
                </c:pt>
                <c:pt idx="29">
                  <c:v>0.78091872791519434</c:v>
                </c:pt>
                <c:pt idx="30">
                  <c:v>0.89534883720930236</c:v>
                </c:pt>
                <c:pt idx="31">
                  <c:v>0.90858725761772852</c:v>
                </c:pt>
                <c:pt idx="32">
                  <c:v>0.87058823529411766</c:v>
                </c:pt>
                <c:pt idx="33">
                  <c:v>0.85087719298245612</c:v>
                </c:pt>
                <c:pt idx="34">
                  <c:v>0.74919614147909963</c:v>
                </c:pt>
                <c:pt idx="35">
                  <c:v>0.78407079646017697</c:v>
                </c:pt>
                <c:pt idx="36">
                  <c:v>0.83953033268101762</c:v>
                </c:pt>
                <c:pt idx="37">
                  <c:v>0.8303571428571429</c:v>
                </c:pt>
                <c:pt idx="38">
                  <c:v>0.86458333333333337</c:v>
                </c:pt>
                <c:pt idx="39">
                  <c:v>0.85315985130111527</c:v>
                </c:pt>
                <c:pt idx="40">
                  <c:v>0.84558823529411764</c:v>
                </c:pt>
                <c:pt idx="41">
                  <c:v>0.89504373177842567</c:v>
                </c:pt>
                <c:pt idx="42">
                  <c:v>0.91232227488151663</c:v>
                </c:pt>
                <c:pt idx="43">
                  <c:v>0.90934065934065933</c:v>
                </c:pt>
                <c:pt idx="44">
                  <c:v>0.90314136125654454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5D-49D5-B01D-A3F54DAF5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368191"/>
        <c:axId val="212637871"/>
      </c:scatterChart>
      <c:valAx>
        <c:axId val="212236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37871"/>
        <c:crosses val="autoZero"/>
        <c:crossBetween val="midCat"/>
      </c:valAx>
      <c:valAx>
        <c:axId val="21263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368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024930008748906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Indian% N8Bahau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26399825021872E-2"/>
                  <c:y val="0.275342300962379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N8Bahau!$G$2:$G$46</c:f>
              <c:numCache>
                <c:formatCode>0.0%</c:formatCode>
                <c:ptCount val="45"/>
                <c:pt idx="0">
                  <c:v>3.90625E-3</c:v>
                </c:pt>
                <c:pt idx="1">
                  <c:v>0.02</c:v>
                </c:pt>
                <c:pt idx="2">
                  <c:v>5.9701492537313433E-3</c:v>
                </c:pt>
                <c:pt idx="3">
                  <c:v>5.9701492537313433E-3</c:v>
                </c:pt>
                <c:pt idx="4">
                  <c:v>1.4903129657228018E-3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1.9880715705765406E-3</c:v>
                </c:pt>
                <c:pt idx="9">
                  <c:v>3.9761431411530811E-3</c:v>
                </c:pt>
                <c:pt idx="10">
                  <c:v>0</c:v>
                </c:pt>
                <c:pt idx="11">
                  <c:v>0.14666666666666667</c:v>
                </c:pt>
                <c:pt idx="12">
                  <c:v>0.12222222222222222</c:v>
                </c:pt>
                <c:pt idx="13">
                  <c:v>0.15680880330123798</c:v>
                </c:pt>
                <c:pt idx="14">
                  <c:v>0.16918844566712518</c:v>
                </c:pt>
                <c:pt idx="15">
                  <c:v>0.17719780219780221</c:v>
                </c:pt>
                <c:pt idx="16">
                  <c:v>0.13736263736263737</c:v>
                </c:pt>
                <c:pt idx="17">
                  <c:v>0.10222222222222223</c:v>
                </c:pt>
                <c:pt idx="18">
                  <c:v>7.1111111111111111E-2</c:v>
                </c:pt>
                <c:pt idx="19">
                  <c:v>0.10248901903367497</c:v>
                </c:pt>
                <c:pt idx="20">
                  <c:v>0.15373352855051245</c:v>
                </c:pt>
                <c:pt idx="21">
                  <c:v>0.16691068814055637</c:v>
                </c:pt>
                <c:pt idx="22">
                  <c:v>0.17569546120058566</c:v>
                </c:pt>
                <c:pt idx="23">
                  <c:v>0.24415204678362573</c:v>
                </c:pt>
                <c:pt idx="24">
                  <c:v>7.3333333333333334E-2</c:v>
                </c:pt>
                <c:pt idx="25">
                  <c:v>5.7777777777777775E-2</c:v>
                </c:pt>
                <c:pt idx="26">
                  <c:v>7.5555555555555556E-2</c:v>
                </c:pt>
                <c:pt idx="27">
                  <c:v>6.1946902654867256E-2</c:v>
                </c:pt>
                <c:pt idx="28">
                  <c:v>7.7738515901060068E-2</c:v>
                </c:pt>
                <c:pt idx="29">
                  <c:v>3.111111111111111E-2</c:v>
                </c:pt>
                <c:pt idx="30">
                  <c:v>3.5555555555555556E-2</c:v>
                </c:pt>
                <c:pt idx="31">
                  <c:v>2.3529411764705882E-2</c:v>
                </c:pt>
                <c:pt idx="32">
                  <c:v>7.0450097847358117E-2</c:v>
                </c:pt>
                <c:pt idx="33">
                  <c:v>9.0019569471624261E-2</c:v>
                </c:pt>
                <c:pt idx="34">
                  <c:v>0.15777777777777777</c:v>
                </c:pt>
                <c:pt idx="35">
                  <c:v>0.20080321285140562</c:v>
                </c:pt>
                <c:pt idx="36">
                  <c:v>0.23293172690763053</c:v>
                </c:pt>
                <c:pt idx="37">
                  <c:v>0.24765729585006693</c:v>
                </c:pt>
                <c:pt idx="38">
                  <c:v>0.28647925033467203</c:v>
                </c:pt>
                <c:pt idx="39">
                  <c:v>0.27844712182061582</c:v>
                </c:pt>
                <c:pt idx="40">
                  <c:v>0.02</c:v>
                </c:pt>
                <c:pt idx="41">
                  <c:v>1.5555555555555555E-2</c:v>
                </c:pt>
                <c:pt idx="42">
                  <c:v>2.9109589041095889E-2</c:v>
                </c:pt>
                <c:pt idx="43">
                  <c:v>3.4246575342465752E-2</c:v>
                </c:pt>
                <c:pt idx="44">
                  <c:v>7.8632478632478631E-2</c:v>
                </c:pt>
              </c:numCache>
            </c:numRef>
          </c:xVal>
          <c:yVal>
            <c:numRef>
              <c:f>N8Bahau!$B$2:$B$46</c:f>
              <c:numCache>
                <c:formatCode>0.0%</c:formatCode>
                <c:ptCount val="45"/>
                <c:pt idx="0">
                  <c:v>0.13480392156862744</c:v>
                </c:pt>
                <c:pt idx="1">
                  <c:v>0.33753943217665616</c:v>
                </c:pt>
                <c:pt idx="2">
                  <c:v>0.21772639691714837</c:v>
                </c:pt>
                <c:pt idx="3">
                  <c:v>0.19246031746031747</c:v>
                </c:pt>
                <c:pt idx="4">
                  <c:v>0.23529411764705882</c:v>
                </c:pt>
                <c:pt idx="5">
                  <c:v>0.15674603174603174</c:v>
                </c:pt>
                <c:pt idx="6">
                  <c:v>0.11044776119402985</c:v>
                </c:pt>
                <c:pt idx="7">
                  <c:v>0.14355231143552311</c:v>
                </c:pt>
                <c:pt idx="8">
                  <c:v>0.11320754716981132</c:v>
                </c:pt>
                <c:pt idx="9">
                  <c:v>0.19575471698113209</c:v>
                </c:pt>
                <c:pt idx="10">
                  <c:v>0.16352201257861634</c:v>
                </c:pt>
                <c:pt idx="11">
                  <c:v>0.66772151898734178</c:v>
                </c:pt>
                <c:pt idx="12">
                  <c:v>0.6394366197183099</c:v>
                </c:pt>
                <c:pt idx="13">
                  <c:v>0.67917448405253278</c:v>
                </c:pt>
                <c:pt idx="14">
                  <c:v>0.68711656441717794</c:v>
                </c:pt>
                <c:pt idx="15">
                  <c:v>0.67820773930753564</c:v>
                </c:pt>
                <c:pt idx="16">
                  <c:v>0.59823008849557524</c:v>
                </c:pt>
                <c:pt idx="17">
                  <c:v>0.78481012658227844</c:v>
                </c:pt>
                <c:pt idx="18">
                  <c:v>0.87392550143266479</c:v>
                </c:pt>
                <c:pt idx="19">
                  <c:v>0.89183673469387759</c:v>
                </c:pt>
                <c:pt idx="20">
                  <c:v>0.87826086956521743</c:v>
                </c:pt>
                <c:pt idx="21">
                  <c:v>0.87586206896551722</c:v>
                </c:pt>
                <c:pt idx="22">
                  <c:v>0.88235294117647056</c:v>
                </c:pt>
                <c:pt idx="23">
                  <c:v>0.87044534412955465</c:v>
                </c:pt>
                <c:pt idx="24">
                  <c:v>0.8127490039840638</c:v>
                </c:pt>
                <c:pt idx="25">
                  <c:v>0.82352941176470584</c:v>
                </c:pt>
                <c:pt idx="26">
                  <c:v>0.85046728971962615</c:v>
                </c:pt>
                <c:pt idx="27">
                  <c:v>0.89717223650385602</c:v>
                </c:pt>
                <c:pt idx="28">
                  <c:v>0.82105263157894737</c:v>
                </c:pt>
                <c:pt idx="29">
                  <c:v>0.78091872791519434</c:v>
                </c:pt>
                <c:pt idx="30">
                  <c:v>0.89534883720930236</c:v>
                </c:pt>
                <c:pt idx="31">
                  <c:v>0.90858725761772852</c:v>
                </c:pt>
                <c:pt idx="32">
                  <c:v>0.87058823529411766</c:v>
                </c:pt>
                <c:pt idx="33">
                  <c:v>0.85087719298245612</c:v>
                </c:pt>
                <c:pt idx="34">
                  <c:v>0.74919614147909963</c:v>
                </c:pt>
                <c:pt idx="35">
                  <c:v>0.78407079646017697</c:v>
                </c:pt>
                <c:pt idx="36">
                  <c:v>0.83953033268101762</c:v>
                </c:pt>
                <c:pt idx="37">
                  <c:v>0.8303571428571429</c:v>
                </c:pt>
                <c:pt idx="38">
                  <c:v>0.86458333333333337</c:v>
                </c:pt>
                <c:pt idx="39">
                  <c:v>0.85315985130111527</c:v>
                </c:pt>
                <c:pt idx="40">
                  <c:v>0.84558823529411764</c:v>
                </c:pt>
                <c:pt idx="41">
                  <c:v>0.89504373177842567</c:v>
                </c:pt>
                <c:pt idx="42">
                  <c:v>0.91232227488151663</c:v>
                </c:pt>
                <c:pt idx="43">
                  <c:v>0.90934065934065933</c:v>
                </c:pt>
                <c:pt idx="44">
                  <c:v>0.90314136125654454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22-4374-8FBD-26402B4A4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368191"/>
        <c:axId val="212637871"/>
      </c:scatterChart>
      <c:valAx>
        <c:axId val="212236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37871"/>
        <c:crosses val="autoZero"/>
        <c:crossBetween val="midCat"/>
      </c:valAx>
      <c:valAx>
        <c:axId val="21263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368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22</xdr:col>
      <xdr:colOff>304800</xdr:colOff>
      <xdr:row>19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984A18-02D0-46E4-A8DE-E3C2F743B4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23</xdr:row>
      <xdr:rowOff>0</xdr:rowOff>
    </xdr:from>
    <xdr:to>
      <xdr:col>22</xdr:col>
      <xdr:colOff>304800</xdr:colOff>
      <xdr:row>39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1D0CA5-83AC-4FEC-8AD3-1DE60DE5F9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182880</xdr:colOff>
      <xdr:row>43</xdr:row>
      <xdr:rowOff>22860</xdr:rowOff>
    </xdr:from>
    <xdr:to>
      <xdr:col>22</xdr:col>
      <xdr:colOff>487680</xdr:colOff>
      <xdr:row>59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E44865-57AE-40DE-B1FE-B39EAF2551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53340</xdr:colOff>
      <xdr:row>3</xdr:row>
      <xdr:rowOff>15240</xdr:rowOff>
    </xdr:from>
    <xdr:to>
      <xdr:col>31</xdr:col>
      <xdr:colOff>358140</xdr:colOff>
      <xdr:row>19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8BB522-2AFA-4704-8898-A71B5DA75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43</xdr:row>
      <xdr:rowOff>0</xdr:rowOff>
    </xdr:from>
    <xdr:to>
      <xdr:col>31</xdr:col>
      <xdr:colOff>304800</xdr:colOff>
      <xdr:row>59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50323C6-1A09-4339-B21D-6BF326C12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0</xdr:colOff>
      <xdr:row>3</xdr:row>
      <xdr:rowOff>0</xdr:rowOff>
    </xdr:from>
    <xdr:to>
      <xdr:col>40</xdr:col>
      <xdr:colOff>304800</xdr:colOff>
      <xdr:row>19</xdr:row>
      <xdr:rowOff>60960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9D76920-7B01-4836-9211-60A27C125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99060</xdr:colOff>
      <xdr:row>43</xdr:row>
      <xdr:rowOff>22860</xdr:rowOff>
    </xdr:from>
    <xdr:to>
      <xdr:col>40</xdr:col>
      <xdr:colOff>403860</xdr:colOff>
      <xdr:row>59</xdr:row>
      <xdr:rowOff>83820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40CEB0C-FF6C-401A-83E1-27B8C65C1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17</xdr:col>
      <xdr:colOff>304800</xdr:colOff>
      <xdr:row>19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F13F65-F02E-4B11-A03F-3405FF7EAB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22</xdr:row>
      <xdr:rowOff>0</xdr:rowOff>
    </xdr:from>
    <xdr:to>
      <xdr:col>17</xdr:col>
      <xdr:colOff>304800</xdr:colOff>
      <xdr:row>38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9504DD-7AC3-408A-9D48-354AB6DAF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83820</xdr:colOff>
      <xdr:row>42</xdr:row>
      <xdr:rowOff>30480</xdr:rowOff>
    </xdr:from>
    <xdr:to>
      <xdr:col>17</xdr:col>
      <xdr:colOff>388620</xdr:colOff>
      <xdr:row>58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995308-F87C-4391-9794-23C0A038DD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3</xdr:row>
      <xdr:rowOff>0</xdr:rowOff>
    </xdr:from>
    <xdr:to>
      <xdr:col>26</xdr:col>
      <xdr:colOff>304800</xdr:colOff>
      <xdr:row>19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5CADC03-3CCE-4467-9373-3B7578A84B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22</xdr:row>
      <xdr:rowOff>0</xdr:rowOff>
    </xdr:from>
    <xdr:to>
      <xdr:col>26</xdr:col>
      <xdr:colOff>304800</xdr:colOff>
      <xdr:row>38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431C3D-0755-4C3F-8F92-2CC23B886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42</xdr:row>
      <xdr:rowOff>0</xdr:rowOff>
    </xdr:from>
    <xdr:to>
      <xdr:col>26</xdr:col>
      <xdr:colOff>304800</xdr:colOff>
      <xdr:row>58</xdr:row>
      <xdr:rowOff>60960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DA561B1-70EB-4A93-82A2-E12073D66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541909</xdr:colOff>
      <xdr:row>19</xdr:row>
      <xdr:rowOff>204977</xdr:rowOff>
    </xdr:from>
    <xdr:ext cx="3313429" cy="37528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234442</xdr:colOff>
      <xdr:row>3</xdr:row>
      <xdr:rowOff>762</xdr:rowOff>
    </xdr:from>
    <xdr:ext cx="381000" cy="381000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330696</xdr:colOff>
      <xdr:row>3</xdr:row>
      <xdr:rowOff>49142</xdr:rowOff>
    </xdr:from>
    <xdr:ext cx="193523" cy="290285"/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7</xdr:col>
      <xdr:colOff>235457</xdr:colOff>
      <xdr:row>3</xdr:row>
      <xdr:rowOff>49142</xdr:rowOff>
    </xdr:from>
    <xdr:ext cx="381000" cy="290285"/>
    <xdr:pic>
      <xdr:nvPicPr>
        <xdr:cNvPr id="5" name="image3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49142</xdr:rowOff>
    </xdr:from>
    <xdr:ext cx="381000" cy="290285"/>
    <xdr:pic>
      <xdr:nvPicPr>
        <xdr:cNvPr id="6" name="image4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4</xdr:col>
      <xdr:colOff>541654</xdr:colOff>
      <xdr:row>21</xdr:row>
      <xdr:rowOff>0</xdr:rowOff>
    </xdr:from>
    <xdr:ext cx="4008120" cy="241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4008120" cy="241300"/>
        </a:xfrm>
        <a:custGeom>
          <a:avLst/>
          <a:gdLst/>
          <a:ahLst/>
          <a:cxnLst/>
          <a:rect l="0" t="0" r="0" b="0"/>
          <a:pathLst>
            <a:path w="4008120" h="241300">
              <a:moveTo>
                <a:pt x="691896" y="0"/>
              </a:moveTo>
              <a:lnTo>
                <a:pt x="0" y="0"/>
              </a:lnTo>
              <a:lnTo>
                <a:pt x="0" y="240792"/>
              </a:lnTo>
              <a:lnTo>
                <a:pt x="691896" y="240792"/>
              </a:lnTo>
              <a:lnTo>
                <a:pt x="691896" y="0"/>
              </a:lnTo>
              <a:close/>
            </a:path>
            <a:path w="4008120" h="241300">
              <a:moveTo>
                <a:pt x="1520952" y="0"/>
              </a:moveTo>
              <a:lnTo>
                <a:pt x="694944" y="0"/>
              </a:lnTo>
              <a:lnTo>
                <a:pt x="694944" y="240792"/>
              </a:lnTo>
              <a:lnTo>
                <a:pt x="1520952" y="240792"/>
              </a:lnTo>
              <a:lnTo>
                <a:pt x="1520952" y="0"/>
              </a:lnTo>
              <a:close/>
            </a:path>
            <a:path w="4008120" h="241300">
              <a:moveTo>
                <a:pt x="2350008" y="0"/>
              </a:moveTo>
              <a:lnTo>
                <a:pt x="1524000" y="0"/>
              </a:lnTo>
              <a:lnTo>
                <a:pt x="1524000" y="240792"/>
              </a:lnTo>
              <a:lnTo>
                <a:pt x="2350008" y="240792"/>
              </a:lnTo>
              <a:lnTo>
                <a:pt x="2350008" y="0"/>
              </a:lnTo>
              <a:close/>
            </a:path>
            <a:path w="4008120" h="241300">
              <a:moveTo>
                <a:pt x="3179064" y="0"/>
              </a:moveTo>
              <a:lnTo>
                <a:pt x="2353056" y="0"/>
              </a:lnTo>
              <a:lnTo>
                <a:pt x="2353056" y="240792"/>
              </a:lnTo>
              <a:lnTo>
                <a:pt x="3179064" y="240792"/>
              </a:lnTo>
              <a:lnTo>
                <a:pt x="3179064" y="0"/>
              </a:lnTo>
              <a:close/>
            </a:path>
            <a:path w="4008120" h="241300">
              <a:moveTo>
                <a:pt x="4008120" y="0"/>
              </a:moveTo>
              <a:lnTo>
                <a:pt x="3182112" y="0"/>
              </a:lnTo>
              <a:lnTo>
                <a:pt x="3182112" y="240792"/>
              </a:lnTo>
              <a:lnTo>
                <a:pt x="4008120" y="240792"/>
              </a:lnTo>
              <a:lnTo>
                <a:pt x="400812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10</xdr:col>
      <xdr:colOff>2158</xdr:colOff>
      <xdr:row>4</xdr:row>
      <xdr:rowOff>1524</xdr:rowOff>
    </xdr:from>
    <xdr:ext cx="702945" cy="2413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702945" cy="241300"/>
        </a:xfrm>
        <a:custGeom>
          <a:avLst/>
          <a:gdLst/>
          <a:ahLst/>
          <a:cxnLst/>
          <a:rect l="0" t="0" r="0" b="0"/>
          <a:pathLst>
            <a:path w="702945" h="241300">
              <a:moveTo>
                <a:pt x="702564" y="0"/>
              </a:moveTo>
              <a:lnTo>
                <a:pt x="0" y="0"/>
              </a:lnTo>
              <a:lnTo>
                <a:pt x="0" y="240791"/>
              </a:lnTo>
              <a:lnTo>
                <a:pt x="702564" y="240791"/>
              </a:lnTo>
              <a:lnTo>
                <a:pt x="702564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198755</xdr:colOff>
      <xdr:row>22</xdr:row>
      <xdr:rowOff>0</xdr:rowOff>
    </xdr:from>
    <xdr:ext cx="7315200" cy="124206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7315200" cy="1242060"/>
        </a:xfrm>
        <a:custGeom>
          <a:avLst/>
          <a:gdLst/>
          <a:ahLst/>
          <a:cxnLst/>
          <a:rect l="0" t="0" r="0" b="0"/>
          <a:pathLst>
            <a:path w="7315200" h="1242060">
              <a:moveTo>
                <a:pt x="339852" y="830580"/>
              </a:moveTo>
              <a:lnTo>
                <a:pt x="0" y="830580"/>
              </a:lnTo>
              <a:lnTo>
                <a:pt x="0" y="1242060"/>
              </a:lnTo>
              <a:lnTo>
                <a:pt x="339852" y="1242060"/>
              </a:lnTo>
              <a:lnTo>
                <a:pt x="339852" y="830580"/>
              </a:lnTo>
              <a:close/>
            </a:path>
            <a:path w="7315200" h="1242060">
              <a:moveTo>
                <a:pt x="339852" y="416052"/>
              </a:moveTo>
              <a:lnTo>
                <a:pt x="0" y="416052"/>
              </a:lnTo>
              <a:lnTo>
                <a:pt x="0" y="827532"/>
              </a:lnTo>
              <a:lnTo>
                <a:pt x="339852" y="827532"/>
              </a:lnTo>
              <a:lnTo>
                <a:pt x="339852" y="416052"/>
              </a:lnTo>
              <a:close/>
            </a:path>
            <a:path w="7315200" h="1242060">
              <a:moveTo>
                <a:pt x="339852" y="0"/>
              </a:moveTo>
              <a:lnTo>
                <a:pt x="0" y="0"/>
              </a:lnTo>
              <a:lnTo>
                <a:pt x="0" y="413004"/>
              </a:lnTo>
              <a:lnTo>
                <a:pt x="339852" y="413004"/>
              </a:lnTo>
              <a:lnTo>
                <a:pt x="339852" y="0"/>
              </a:lnTo>
              <a:close/>
            </a:path>
            <a:path w="7315200" h="1242060">
              <a:moveTo>
                <a:pt x="1376172" y="830580"/>
              </a:moveTo>
              <a:lnTo>
                <a:pt x="342900" y="830580"/>
              </a:lnTo>
              <a:lnTo>
                <a:pt x="342900" y="1242060"/>
              </a:lnTo>
              <a:lnTo>
                <a:pt x="1376172" y="1242060"/>
              </a:lnTo>
              <a:lnTo>
                <a:pt x="1376172" y="830580"/>
              </a:lnTo>
              <a:close/>
            </a:path>
            <a:path w="7315200" h="1242060">
              <a:moveTo>
                <a:pt x="1376172" y="416052"/>
              </a:moveTo>
              <a:lnTo>
                <a:pt x="342900" y="416052"/>
              </a:lnTo>
              <a:lnTo>
                <a:pt x="342900" y="827532"/>
              </a:lnTo>
              <a:lnTo>
                <a:pt x="1376172" y="827532"/>
              </a:lnTo>
              <a:lnTo>
                <a:pt x="1376172" y="416052"/>
              </a:lnTo>
              <a:close/>
            </a:path>
            <a:path w="7315200" h="1242060">
              <a:moveTo>
                <a:pt x="1376172" y="0"/>
              </a:moveTo>
              <a:lnTo>
                <a:pt x="342900" y="0"/>
              </a:lnTo>
              <a:lnTo>
                <a:pt x="342900" y="413004"/>
              </a:lnTo>
              <a:lnTo>
                <a:pt x="1376172" y="413004"/>
              </a:lnTo>
              <a:lnTo>
                <a:pt x="1376172" y="0"/>
              </a:lnTo>
              <a:close/>
            </a:path>
            <a:path w="7315200" h="1242060">
              <a:moveTo>
                <a:pt x="2753868" y="830580"/>
              </a:moveTo>
              <a:lnTo>
                <a:pt x="1379220" y="830580"/>
              </a:lnTo>
              <a:lnTo>
                <a:pt x="1379220" y="1242060"/>
              </a:lnTo>
              <a:lnTo>
                <a:pt x="2753868" y="1242060"/>
              </a:lnTo>
              <a:lnTo>
                <a:pt x="2753868" y="830580"/>
              </a:lnTo>
              <a:close/>
            </a:path>
            <a:path w="7315200" h="1242060">
              <a:moveTo>
                <a:pt x="2753868" y="416052"/>
              </a:moveTo>
              <a:lnTo>
                <a:pt x="1379220" y="416052"/>
              </a:lnTo>
              <a:lnTo>
                <a:pt x="1379220" y="827532"/>
              </a:lnTo>
              <a:lnTo>
                <a:pt x="2753868" y="827532"/>
              </a:lnTo>
              <a:lnTo>
                <a:pt x="2753868" y="416052"/>
              </a:lnTo>
              <a:close/>
            </a:path>
            <a:path w="7315200" h="1242060">
              <a:moveTo>
                <a:pt x="2753868" y="0"/>
              </a:moveTo>
              <a:lnTo>
                <a:pt x="1379220" y="0"/>
              </a:lnTo>
              <a:lnTo>
                <a:pt x="1379220" y="413004"/>
              </a:lnTo>
              <a:lnTo>
                <a:pt x="2753868" y="413004"/>
              </a:lnTo>
              <a:lnTo>
                <a:pt x="2753868" y="0"/>
              </a:lnTo>
              <a:close/>
            </a:path>
            <a:path w="7315200" h="1242060">
              <a:moveTo>
                <a:pt x="3304032" y="830580"/>
              </a:moveTo>
              <a:lnTo>
                <a:pt x="2756916" y="830580"/>
              </a:lnTo>
              <a:lnTo>
                <a:pt x="2756916" y="1242060"/>
              </a:lnTo>
              <a:lnTo>
                <a:pt x="3304032" y="1242060"/>
              </a:lnTo>
              <a:lnTo>
                <a:pt x="3304032" y="830580"/>
              </a:lnTo>
              <a:close/>
            </a:path>
            <a:path w="7315200" h="1242060">
              <a:moveTo>
                <a:pt x="3304032" y="416052"/>
              </a:moveTo>
              <a:lnTo>
                <a:pt x="2756916" y="416052"/>
              </a:lnTo>
              <a:lnTo>
                <a:pt x="2756916" y="827532"/>
              </a:lnTo>
              <a:lnTo>
                <a:pt x="3304032" y="827532"/>
              </a:lnTo>
              <a:lnTo>
                <a:pt x="3304032" y="416052"/>
              </a:lnTo>
              <a:close/>
            </a:path>
            <a:path w="7315200" h="1242060">
              <a:moveTo>
                <a:pt x="3304032" y="0"/>
              </a:moveTo>
              <a:lnTo>
                <a:pt x="2756916" y="0"/>
              </a:lnTo>
              <a:lnTo>
                <a:pt x="2756916" y="413004"/>
              </a:lnTo>
              <a:lnTo>
                <a:pt x="3304032" y="413004"/>
              </a:lnTo>
              <a:lnTo>
                <a:pt x="3304032" y="0"/>
              </a:lnTo>
              <a:close/>
            </a:path>
            <a:path w="7315200" h="1242060">
              <a:moveTo>
                <a:pt x="3998976" y="830580"/>
              </a:moveTo>
              <a:lnTo>
                <a:pt x="3307080" y="830580"/>
              </a:lnTo>
              <a:lnTo>
                <a:pt x="3307080" y="1242060"/>
              </a:lnTo>
              <a:lnTo>
                <a:pt x="3998976" y="1242060"/>
              </a:lnTo>
              <a:lnTo>
                <a:pt x="3998976" y="830580"/>
              </a:lnTo>
              <a:close/>
            </a:path>
            <a:path w="7315200" h="1242060">
              <a:moveTo>
                <a:pt x="3998976" y="416052"/>
              </a:moveTo>
              <a:lnTo>
                <a:pt x="3307080" y="416052"/>
              </a:lnTo>
              <a:lnTo>
                <a:pt x="3307080" y="827532"/>
              </a:lnTo>
              <a:lnTo>
                <a:pt x="3998976" y="827532"/>
              </a:lnTo>
              <a:lnTo>
                <a:pt x="3998976" y="416052"/>
              </a:lnTo>
              <a:close/>
            </a:path>
            <a:path w="7315200" h="1242060">
              <a:moveTo>
                <a:pt x="3998976" y="0"/>
              </a:moveTo>
              <a:lnTo>
                <a:pt x="3307080" y="0"/>
              </a:lnTo>
              <a:lnTo>
                <a:pt x="3307080" y="413004"/>
              </a:lnTo>
              <a:lnTo>
                <a:pt x="3998976" y="413004"/>
              </a:lnTo>
              <a:lnTo>
                <a:pt x="3998976" y="0"/>
              </a:lnTo>
              <a:close/>
            </a:path>
            <a:path w="7315200" h="1242060">
              <a:moveTo>
                <a:pt x="4828032" y="830580"/>
              </a:moveTo>
              <a:lnTo>
                <a:pt x="4002024" y="830580"/>
              </a:lnTo>
              <a:lnTo>
                <a:pt x="4002024" y="1242060"/>
              </a:lnTo>
              <a:lnTo>
                <a:pt x="4828032" y="1242060"/>
              </a:lnTo>
              <a:lnTo>
                <a:pt x="4828032" y="830580"/>
              </a:lnTo>
              <a:close/>
            </a:path>
            <a:path w="7315200" h="1242060">
              <a:moveTo>
                <a:pt x="4828032" y="416052"/>
              </a:moveTo>
              <a:lnTo>
                <a:pt x="4002024" y="416052"/>
              </a:lnTo>
              <a:lnTo>
                <a:pt x="4002024" y="827532"/>
              </a:lnTo>
              <a:lnTo>
                <a:pt x="4828032" y="827532"/>
              </a:lnTo>
              <a:lnTo>
                <a:pt x="4828032" y="416052"/>
              </a:lnTo>
              <a:close/>
            </a:path>
            <a:path w="7315200" h="1242060">
              <a:moveTo>
                <a:pt x="4828032" y="0"/>
              </a:moveTo>
              <a:lnTo>
                <a:pt x="4002024" y="0"/>
              </a:lnTo>
              <a:lnTo>
                <a:pt x="4002024" y="413004"/>
              </a:lnTo>
              <a:lnTo>
                <a:pt x="4828032" y="413004"/>
              </a:lnTo>
              <a:lnTo>
                <a:pt x="4828032" y="0"/>
              </a:lnTo>
              <a:close/>
            </a:path>
            <a:path w="7315200" h="1242060">
              <a:moveTo>
                <a:pt x="5657088" y="830580"/>
              </a:moveTo>
              <a:lnTo>
                <a:pt x="4831080" y="830580"/>
              </a:lnTo>
              <a:lnTo>
                <a:pt x="4831080" y="1242060"/>
              </a:lnTo>
              <a:lnTo>
                <a:pt x="5657088" y="1242060"/>
              </a:lnTo>
              <a:lnTo>
                <a:pt x="5657088" y="830580"/>
              </a:lnTo>
              <a:close/>
            </a:path>
            <a:path w="7315200" h="1242060">
              <a:moveTo>
                <a:pt x="5657088" y="416052"/>
              </a:moveTo>
              <a:lnTo>
                <a:pt x="4831080" y="416052"/>
              </a:lnTo>
              <a:lnTo>
                <a:pt x="4831080" y="827532"/>
              </a:lnTo>
              <a:lnTo>
                <a:pt x="5657088" y="827532"/>
              </a:lnTo>
              <a:lnTo>
                <a:pt x="5657088" y="416052"/>
              </a:lnTo>
              <a:close/>
            </a:path>
            <a:path w="7315200" h="1242060">
              <a:moveTo>
                <a:pt x="5657088" y="0"/>
              </a:moveTo>
              <a:lnTo>
                <a:pt x="4831080" y="0"/>
              </a:lnTo>
              <a:lnTo>
                <a:pt x="4831080" y="413004"/>
              </a:lnTo>
              <a:lnTo>
                <a:pt x="5657088" y="413004"/>
              </a:lnTo>
              <a:lnTo>
                <a:pt x="5657088" y="0"/>
              </a:lnTo>
              <a:close/>
            </a:path>
            <a:path w="7315200" h="1242060">
              <a:moveTo>
                <a:pt x="6486144" y="830580"/>
              </a:moveTo>
              <a:lnTo>
                <a:pt x="5660136" y="830580"/>
              </a:lnTo>
              <a:lnTo>
                <a:pt x="5660136" y="1242060"/>
              </a:lnTo>
              <a:lnTo>
                <a:pt x="6486144" y="1242060"/>
              </a:lnTo>
              <a:lnTo>
                <a:pt x="6486144" y="830580"/>
              </a:lnTo>
              <a:close/>
            </a:path>
            <a:path w="7315200" h="1242060">
              <a:moveTo>
                <a:pt x="6486144" y="416052"/>
              </a:moveTo>
              <a:lnTo>
                <a:pt x="5660136" y="416052"/>
              </a:lnTo>
              <a:lnTo>
                <a:pt x="5660136" y="827532"/>
              </a:lnTo>
              <a:lnTo>
                <a:pt x="6486144" y="827532"/>
              </a:lnTo>
              <a:lnTo>
                <a:pt x="6486144" y="416052"/>
              </a:lnTo>
              <a:close/>
            </a:path>
            <a:path w="7315200" h="1242060">
              <a:moveTo>
                <a:pt x="6486144" y="0"/>
              </a:moveTo>
              <a:lnTo>
                <a:pt x="5660136" y="0"/>
              </a:lnTo>
              <a:lnTo>
                <a:pt x="5660136" y="413004"/>
              </a:lnTo>
              <a:lnTo>
                <a:pt x="6486144" y="413004"/>
              </a:lnTo>
              <a:lnTo>
                <a:pt x="6486144" y="0"/>
              </a:lnTo>
              <a:close/>
            </a:path>
            <a:path w="7315200" h="1242060">
              <a:moveTo>
                <a:pt x="7315200" y="830580"/>
              </a:moveTo>
              <a:lnTo>
                <a:pt x="6489192" y="830580"/>
              </a:lnTo>
              <a:lnTo>
                <a:pt x="6489192" y="1242060"/>
              </a:lnTo>
              <a:lnTo>
                <a:pt x="7315200" y="1242060"/>
              </a:lnTo>
              <a:lnTo>
                <a:pt x="7315200" y="830580"/>
              </a:lnTo>
              <a:close/>
            </a:path>
            <a:path w="7315200" h="1242060">
              <a:moveTo>
                <a:pt x="7315200" y="416052"/>
              </a:moveTo>
              <a:lnTo>
                <a:pt x="6489192" y="416052"/>
              </a:lnTo>
              <a:lnTo>
                <a:pt x="6489192" y="827532"/>
              </a:lnTo>
              <a:lnTo>
                <a:pt x="7315200" y="827532"/>
              </a:lnTo>
              <a:lnTo>
                <a:pt x="7315200" y="416052"/>
              </a:lnTo>
              <a:close/>
            </a:path>
            <a:path w="7315200" h="1242060">
              <a:moveTo>
                <a:pt x="7315200" y="0"/>
              </a:moveTo>
              <a:lnTo>
                <a:pt x="6489192" y="0"/>
              </a:lnTo>
              <a:lnTo>
                <a:pt x="6489192" y="413004"/>
              </a:lnTo>
              <a:lnTo>
                <a:pt x="7315200" y="413004"/>
              </a:lnTo>
              <a:lnTo>
                <a:pt x="73152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10</xdr:col>
      <xdr:colOff>540131</xdr:colOff>
      <xdr:row>23</xdr:row>
      <xdr:rowOff>0</xdr:rowOff>
    </xdr:from>
    <xdr:ext cx="702945" cy="124206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702945" cy="1242060"/>
        </a:xfrm>
        <a:custGeom>
          <a:avLst/>
          <a:gdLst/>
          <a:ahLst/>
          <a:cxnLst/>
          <a:rect l="0" t="0" r="0" b="0"/>
          <a:pathLst>
            <a:path w="702945" h="1242060">
              <a:moveTo>
                <a:pt x="702564" y="830580"/>
              </a:moveTo>
              <a:lnTo>
                <a:pt x="0" y="830580"/>
              </a:lnTo>
              <a:lnTo>
                <a:pt x="0" y="1242060"/>
              </a:lnTo>
              <a:lnTo>
                <a:pt x="702564" y="1242060"/>
              </a:lnTo>
              <a:lnTo>
                <a:pt x="702564" y="830580"/>
              </a:lnTo>
              <a:close/>
            </a:path>
            <a:path w="702945" h="1242060">
              <a:moveTo>
                <a:pt x="702564" y="416052"/>
              </a:moveTo>
              <a:lnTo>
                <a:pt x="0" y="416052"/>
              </a:lnTo>
              <a:lnTo>
                <a:pt x="0" y="827532"/>
              </a:lnTo>
              <a:lnTo>
                <a:pt x="702564" y="827532"/>
              </a:lnTo>
              <a:lnTo>
                <a:pt x="702564" y="416052"/>
              </a:lnTo>
              <a:close/>
            </a:path>
            <a:path w="702945" h="1242060">
              <a:moveTo>
                <a:pt x="702564" y="0"/>
              </a:moveTo>
              <a:lnTo>
                <a:pt x="0" y="0"/>
              </a:lnTo>
              <a:lnTo>
                <a:pt x="0" y="413004"/>
              </a:lnTo>
              <a:lnTo>
                <a:pt x="702564" y="413004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198755</xdr:colOff>
      <xdr:row>24</xdr:row>
      <xdr:rowOff>0</xdr:rowOff>
    </xdr:from>
    <xdr:ext cx="7315200" cy="20669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7315200" cy="2066925"/>
        </a:xfrm>
        <a:custGeom>
          <a:avLst/>
          <a:gdLst/>
          <a:ahLst/>
          <a:cxnLst/>
          <a:rect l="0" t="0" r="0" b="0"/>
          <a:pathLst>
            <a:path w="7315200" h="2066925">
              <a:moveTo>
                <a:pt x="339852" y="1034796"/>
              </a:moveTo>
              <a:lnTo>
                <a:pt x="0" y="1034796"/>
              </a:lnTo>
              <a:lnTo>
                <a:pt x="0" y="2066544"/>
              </a:lnTo>
              <a:lnTo>
                <a:pt x="339852" y="2066544"/>
              </a:lnTo>
              <a:lnTo>
                <a:pt x="339852" y="1034796"/>
              </a:lnTo>
              <a:close/>
            </a:path>
            <a:path w="7315200" h="2066925">
              <a:moveTo>
                <a:pt x="339852" y="414528"/>
              </a:moveTo>
              <a:lnTo>
                <a:pt x="0" y="414528"/>
              </a:lnTo>
              <a:lnTo>
                <a:pt x="0" y="1031748"/>
              </a:lnTo>
              <a:lnTo>
                <a:pt x="339852" y="1031748"/>
              </a:lnTo>
              <a:lnTo>
                <a:pt x="339852" y="414528"/>
              </a:lnTo>
              <a:close/>
            </a:path>
            <a:path w="7315200" h="2066925">
              <a:moveTo>
                <a:pt x="339852" y="0"/>
              </a:moveTo>
              <a:lnTo>
                <a:pt x="0" y="0"/>
              </a:lnTo>
              <a:lnTo>
                <a:pt x="0" y="411480"/>
              </a:lnTo>
              <a:lnTo>
                <a:pt x="339852" y="411480"/>
              </a:lnTo>
              <a:lnTo>
                <a:pt x="339852" y="0"/>
              </a:lnTo>
              <a:close/>
            </a:path>
            <a:path w="7315200" h="2066925">
              <a:moveTo>
                <a:pt x="1376172" y="1034796"/>
              </a:moveTo>
              <a:lnTo>
                <a:pt x="342900" y="1034796"/>
              </a:lnTo>
              <a:lnTo>
                <a:pt x="342900" y="2066544"/>
              </a:lnTo>
              <a:lnTo>
                <a:pt x="1376172" y="2066544"/>
              </a:lnTo>
              <a:lnTo>
                <a:pt x="1376172" y="1034796"/>
              </a:lnTo>
              <a:close/>
            </a:path>
            <a:path w="7315200" h="2066925">
              <a:moveTo>
                <a:pt x="1376172" y="414528"/>
              </a:moveTo>
              <a:lnTo>
                <a:pt x="342900" y="414528"/>
              </a:lnTo>
              <a:lnTo>
                <a:pt x="342900" y="1031748"/>
              </a:lnTo>
              <a:lnTo>
                <a:pt x="1376172" y="1031748"/>
              </a:lnTo>
              <a:lnTo>
                <a:pt x="1376172" y="414528"/>
              </a:lnTo>
              <a:close/>
            </a:path>
            <a:path w="7315200" h="2066925">
              <a:moveTo>
                <a:pt x="1376172" y="0"/>
              </a:moveTo>
              <a:lnTo>
                <a:pt x="342900" y="0"/>
              </a:lnTo>
              <a:lnTo>
                <a:pt x="342900" y="411480"/>
              </a:lnTo>
              <a:lnTo>
                <a:pt x="1376172" y="411480"/>
              </a:lnTo>
              <a:lnTo>
                <a:pt x="1376172" y="0"/>
              </a:lnTo>
              <a:close/>
            </a:path>
            <a:path w="7315200" h="2066925">
              <a:moveTo>
                <a:pt x="2753868" y="1034796"/>
              </a:moveTo>
              <a:lnTo>
                <a:pt x="1379220" y="1034796"/>
              </a:lnTo>
              <a:lnTo>
                <a:pt x="1379220" y="2066544"/>
              </a:lnTo>
              <a:lnTo>
                <a:pt x="2753868" y="2066544"/>
              </a:lnTo>
              <a:lnTo>
                <a:pt x="2753868" y="1034796"/>
              </a:lnTo>
              <a:close/>
            </a:path>
            <a:path w="7315200" h="2066925">
              <a:moveTo>
                <a:pt x="2753868" y="414528"/>
              </a:moveTo>
              <a:lnTo>
                <a:pt x="1379220" y="414528"/>
              </a:lnTo>
              <a:lnTo>
                <a:pt x="1379220" y="1031748"/>
              </a:lnTo>
              <a:lnTo>
                <a:pt x="2753868" y="1031748"/>
              </a:lnTo>
              <a:lnTo>
                <a:pt x="2753868" y="414528"/>
              </a:lnTo>
              <a:close/>
            </a:path>
            <a:path w="7315200" h="2066925">
              <a:moveTo>
                <a:pt x="2753868" y="0"/>
              </a:moveTo>
              <a:lnTo>
                <a:pt x="1379220" y="0"/>
              </a:lnTo>
              <a:lnTo>
                <a:pt x="1379220" y="411480"/>
              </a:lnTo>
              <a:lnTo>
                <a:pt x="2753868" y="411480"/>
              </a:lnTo>
              <a:lnTo>
                <a:pt x="2753868" y="0"/>
              </a:lnTo>
              <a:close/>
            </a:path>
            <a:path w="7315200" h="2066925">
              <a:moveTo>
                <a:pt x="3304032" y="1863852"/>
              </a:moveTo>
              <a:lnTo>
                <a:pt x="2756916" y="1863852"/>
              </a:lnTo>
              <a:lnTo>
                <a:pt x="2756916" y="2066544"/>
              </a:lnTo>
              <a:lnTo>
                <a:pt x="3304032" y="2066544"/>
              </a:lnTo>
              <a:lnTo>
                <a:pt x="3304032" y="1863852"/>
              </a:lnTo>
              <a:close/>
            </a:path>
            <a:path w="7315200" h="2066925">
              <a:moveTo>
                <a:pt x="3304032" y="1656588"/>
              </a:moveTo>
              <a:lnTo>
                <a:pt x="2756916" y="1656588"/>
              </a:lnTo>
              <a:lnTo>
                <a:pt x="2756916" y="1860804"/>
              </a:lnTo>
              <a:lnTo>
                <a:pt x="3304032" y="1860804"/>
              </a:lnTo>
              <a:lnTo>
                <a:pt x="3304032" y="1656588"/>
              </a:lnTo>
              <a:close/>
            </a:path>
            <a:path w="7315200" h="2066925">
              <a:moveTo>
                <a:pt x="3304032" y="1449324"/>
              </a:moveTo>
              <a:lnTo>
                <a:pt x="2756916" y="1449324"/>
              </a:lnTo>
              <a:lnTo>
                <a:pt x="2756916" y="1653540"/>
              </a:lnTo>
              <a:lnTo>
                <a:pt x="3304032" y="1653540"/>
              </a:lnTo>
              <a:lnTo>
                <a:pt x="3304032" y="1449324"/>
              </a:lnTo>
              <a:close/>
            </a:path>
            <a:path w="7315200" h="2066925">
              <a:moveTo>
                <a:pt x="3304032" y="1242060"/>
              </a:moveTo>
              <a:lnTo>
                <a:pt x="2756916" y="1242060"/>
              </a:lnTo>
              <a:lnTo>
                <a:pt x="2756916" y="1446276"/>
              </a:lnTo>
              <a:lnTo>
                <a:pt x="3304032" y="1446276"/>
              </a:lnTo>
              <a:lnTo>
                <a:pt x="3304032" y="1242060"/>
              </a:lnTo>
              <a:close/>
            </a:path>
            <a:path w="7315200" h="2066925">
              <a:moveTo>
                <a:pt x="3304032" y="1034796"/>
              </a:moveTo>
              <a:lnTo>
                <a:pt x="2756916" y="1034796"/>
              </a:lnTo>
              <a:lnTo>
                <a:pt x="2756916" y="1239012"/>
              </a:lnTo>
              <a:lnTo>
                <a:pt x="3304032" y="1239012"/>
              </a:lnTo>
              <a:lnTo>
                <a:pt x="3304032" y="1034796"/>
              </a:lnTo>
              <a:close/>
            </a:path>
            <a:path w="7315200" h="2066925">
              <a:moveTo>
                <a:pt x="3304032" y="827532"/>
              </a:moveTo>
              <a:lnTo>
                <a:pt x="2756916" y="827532"/>
              </a:lnTo>
              <a:lnTo>
                <a:pt x="2756916" y="1031748"/>
              </a:lnTo>
              <a:lnTo>
                <a:pt x="3304032" y="1031748"/>
              </a:lnTo>
              <a:lnTo>
                <a:pt x="3304032" y="827532"/>
              </a:lnTo>
              <a:close/>
            </a:path>
            <a:path w="7315200" h="2066925">
              <a:moveTo>
                <a:pt x="3304032" y="621792"/>
              </a:moveTo>
              <a:lnTo>
                <a:pt x="2756916" y="621792"/>
              </a:lnTo>
              <a:lnTo>
                <a:pt x="2756916" y="824484"/>
              </a:lnTo>
              <a:lnTo>
                <a:pt x="3304032" y="824484"/>
              </a:lnTo>
              <a:lnTo>
                <a:pt x="3304032" y="621792"/>
              </a:lnTo>
              <a:close/>
            </a:path>
            <a:path w="7315200" h="2066925">
              <a:moveTo>
                <a:pt x="3304032" y="414528"/>
              </a:moveTo>
              <a:lnTo>
                <a:pt x="2756916" y="414528"/>
              </a:lnTo>
              <a:lnTo>
                <a:pt x="2756916" y="618744"/>
              </a:lnTo>
              <a:lnTo>
                <a:pt x="3304032" y="618744"/>
              </a:lnTo>
              <a:lnTo>
                <a:pt x="3304032" y="414528"/>
              </a:lnTo>
              <a:close/>
            </a:path>
            <a:path w="7315200" h="2066925">
              <a:moveTo>
                <a:pt x="3304032" y="207264"/>
              </a:moveTo>
              <a:lnTo>
                <a:pt x="2756916" y="207264"/>
              </a:lnTo>
              <a:lnTo>
                <a:pt x="2756916" y="411480"/>
              </a:lnTo>
              <a:lnTo>
                <a:pt x="3304032" y="411480"/>
              </a:lnTo>
              <a:lnTo>
                <a:pt x="3304032" y="207264"/>
              </a:lnTo>
              <a:close/>
            </a:path>
            <a:path w="7315200" h="2066925">
              <a:moveTo>
                <a:pt x="3304032" y="0"/>
              </a:moveTo>
              <a:lnTo>
                <a:pt x="2756916" y="0"/>
              </a:lnTo>
              <a:lnTo>
                <a:pt x="2756916" y="204216"/>
              </a:lnTo>
              <a:lnTo>
                <a:pt x="3304032" y="204216"/>
              </a:lnTo>
              <a:lnTo>
                <a:pt x="3304032" y="0"/>
              </a:lnTo>
              <a:close/>
            </a:path>
            <a:path w="7315200" h="2066925">
              <a:moveTo>
                <a:pt x="3998976" y="1863852"/>
              </a:moveTo>
              <a:lnTo>
                <a:pt x="3307080" y="1863852"/>
              </a:lnTo>
              <a:lnTo>
                <a:pt x="3307080" y="2066544"/>
              </a:lnTo>
              <a:lnTo>
                <a:pt x="3998976" y="2066544"/>
              </a:lnTo>
              <a:lnTo>
                <a:pt x="3998976" y="1863852"/>
              </a:lnTo>
              <a:close/>
            </a:path>
            <a:path w="7315200" h="2066925">
              <a:moveTo>
                <a:pt x="3998976" y="1656588"/>
              </a:moveTo>
              <a:lnTo>
                <a:pt x="3307080" y="1656588"/>
              </a:lnTo>
              <a:lnTo>
                <a:pt x="3307080" y="1860804"/>
              </a:lnTo>
              <a:lnTo>
                <a:pt x="3998976" y="1860804"/>
              </a:lnTo>
              <a:lnTo>
                <a:pt x="3998976" y="1656588"/>
              </a:lnTo>
              <a:close/>
            </a:path>
            <a:path w="7315200" h="2066925">
              <a:moveTo>
                <a:pt x="3998976" y="1449324"/>
              </a:moveTo>
              <a:lnTo>
                <a:pt x="3307080" y="1449324"/>
              </a:lnTo>
              <a:lnTo>
                <a:pt x="3307080" y="1653540"/>
              </a:lnTo>
              <a:lnTo>
                <a:pt x="3998976" y="1653540"/>
              </a:lnTo>
              <a:lnTo>
                <a:pt x="3998976" y="1449324"/>
              </a:lnTo>
              <a:close/>
            </a:path>
            <a:path w="7315200" h="2066925">
              <a:moveTo>
                <a:pt x="3998976" y="1242060"/>
              </a:moveTo>
              <a:lnTo>
                <a:pt x="3307080" y="1242060"/>
              </a:lnTo>
              <a:lnTo>
                <a:pt x="3307080" y="1446276"/>
              </a:lnTo>
              <a:lnTo>
                <a:pt x="3998976" y="1446276"/>
              </a:lnTo>
              <a:lnTo>
                <a:pt x="3998976" y="1242060"/>
              </a:lnTo>
              <a:close/>
            </a:path>
            <a:path w="7315200" h="2066925">
              <a:moveTo>
                <a:pt x="3998976" y="1034796"/>
              </a:moveTo>
              <a:lnTo>
                <a:pt x="3307080" y="1034796"/>
              </a:lnTo>
              <a:lnTo>
                <a:pt x="3307080" y="1239012"/>
              </a:lnTo>
              <a:lnTo>
                <a:pt x="3998976" y="1239012"/>
              </a:lnTo>
              <a:lnTo>
                <a:pt x="3998976" y="1034796"/>
              </a:lnTo>
              <a:close/>
            </a:path>
            <a:path w="7315200" h="2066925">
              <a:moveTo>
                <a:pt x="3998976" y="827532"/>
              </a:moveTo>
              <a:lnTo>
                <a:pt x="3307080" y="827532"/>
              </a:lnTo>
              <a:lnTo>
                <a:pt x="3307080" y="1031748"/>
              </a:lnTo>
              <a:lnTo>
                <a:pt x="3998976" y="1031748"/>
              </a:lnTo>
              <a:lnTo>
                <a:pt x="3998976" y="827532"/>
              </a:lnTo>
              <a:close/>
            </a:path>
            <a:path w="7315200" h="2066925">
              <a:moveTo>
                <a:pt x="3998976" y="621792"/>
              </a:moveTo>
              <a:lnTo>
                <a:pt x="3307080" y="621792"/>
              </a:lnTo>
              <a:lnTo>
                <a:pt x="3307080" y="824484"/>
              </a:lnTo>
              <a:lnTo>
                <a:pt x="3998976" y="824484"/>
              </a:lnTo>
              <a:lnTo>
                <a:pt x="3998976" y="621792"/>
              </a:lnTo>
              <a:close/>
            </a:path>
            <a:path w="7315200" h="2066925">
              <a:moveTo>
                <a:pt x="3998976" y="414528"/>
              </a:moveTo>
              <a:lnTo>
                <a:pt x="3307080" y="414528"/>
              </a:lnTo>
              <a:lnTo>
                <a:pt x="3307080" y="618744"/>
              </a:lnTo>
              <a:lnTo>
                <a:pt x="3998976" y="618744"/>
              </a:lnTo>
              <a:lnTo>
                <a:pt x="3998976" y="414528"/>
              </a:lnTo>
              <a:close/>
            </a:path>
            <a:path w="7315200" h="2066925">
              <a:moveTo>
                <a:pt x="3998976" y="207264"/>
              </a:moveTo>
              <a:lnTo>
                <a:pt x="3307080" y="207264"/>
              </a:lnTo>
              <a:lnTo>
                <a:pt x="3307080" y="411480"/>
              </a:lnTo>
              <a:lnTo>
                <a:pt x="3998976" y="411480"/>
              </a:lnTo>
              <a:lnTo>
                <a:pt x="3998976" y="207264"/>
              </a:lnTo>
              <a:close/>
            </a:path>
            <a:path w="7315200" h="2066925">
              <a:moveTo>
                <a:pt x="3998976" y="0"/>
              </a:moveTo>
              <a:lnTo>
                <a:pt x="3307080" y="0"/>
              </a:lnTo>
              <a:lnTo>
                <a:pt x="3307080" y="204216"/>
              </a:lnTo>
              <a:lnTo>
                <a:pt x="3998976" y="204216"/>
              </a:lnTo>
              <a:lnTo>
                <a:pt x="3998976" y="0"/>
              </a:lnTo>
              <a:close/>
            </a:path>
            <a:path w="7315200" h="2066925">
              <a:moveTo>
                <a:pt x="4828032" y="1863852"/>
              </a:moveTo>
              <a:lnTo>
                <a:pt x="4002024" y="1863852"/>
              </a:lnTo>
              <a:lnTo>
                <a:pt x="4002024" y="2066544"/>
              </a:lnTo>
              <a:lnTo>
                <a:pt x="4828032" y="2066544"/>
              </a:lnTo>
              <a:lnTo>
                <a:pt x="4828032" y="1863852"/>
              </a:lnTo>
              <a:close/>
            </a:path>
            <a:path w="7315200" h="2066925">
              <a:moveTo>
                <a:pt x="4828032" y="1656588"/>
              </a:moveTo>
              <a:lnTo>
                <a:pt x="4002024" y="1656588"/>
              </a:lnTo>
              <a:lnTo>
                <a:pt x="4002024" y="1860804"/>
              </a:lnTo>
              <a:lnTo>
                <a:pt x="4828032" y="1860804"/>
              </a:lnTo>
              <a:lnTo>
                <a:pt x="4828032" y="1656588"/>
              </a:lnTo>
              <a:close/>
            </a:path>
            <a:path w="7315200" h="2066925">
              <a:moveTo>
                <a:pt x="4828032" y="1449324"/>
              </a:moveTo>
              <a:lnTo>
                <a:pt x="4002024" y="1449324"/>
              </a:lnTo>
              <a:lnTo>
                <a:pt x="4002024" y="1653540"/>
              </a:lnTo>
              <a:lnTo>
                <a:pt x="4828032" y="1653540"/>
              </a:lnTo>
              <a:lnTo>
                <a:pt x="4828032" y="1449324"/>
              </a:lnTo>
              <a:close/>
            </a:path>
            <a:path w="7315200" h="2066925">
              <a:moveTo>
                <a:pt x="4828032" y="1242060"/>
              </a:moveTo>
              <a:lnTo>
                <a:pt x="4002024" y="1242060"/>
              </a:lnTo>
              <a:lnTo>
                <a:pt x="4002024" y="1446276"/>
              </a:lnTo>
              <a:lnTo>
                <a:pt x="4828032" y="1446276"/>
              </a:lnTo>
              <a:lnTo>
                <a:pt x="4828032" y="1242060"/>
              </a:lnTo>
              <a:close/>
            </a:path>
            <a:path w="7315200" h="2066925">
              <a:moveTo>
                <a:pt x="4828032" y="1034796"/>
              </a:moveTo>
              <a:lnTo>
                <a:pt x="4002024" y="1034796"/>
              </a:lnTo>
              <a:lnTo>
                <a:pt x="4002024" y="1239012"/>
              </a:lnTo>
              <a:lnTo>
                <a:pt x="4828032" y="1239012"/>
              </a:lnTo>
              <a:lnTo>
                <a:pt x="4828032" y="1034796"/>
              </a:lnTo>
              <a:close/>
            </a:path>
            <a:path w="7315200" h="2066925">
              <a:moveTo>
                <a:pt x="4828032" y="827532"/>
              </a:moveTo>
              <a:lnTo>
                <a:pt x="4002024" y="827532"/>
              </a:lnTo>
              <a:lnTo>
                <a:pt x="4002024" y="1031748"/>
              </a:lnTo>
              <a:lnTo>
                <a:pt x="4828032" y="1031748"/>
              </a:lnTo>
              <a:lnTo>
                <a:pt x="4828032" y="827532"/>
              </a:lnTo>
              <a:close/>
            </a:path>
            <a:path w="7315200" h="2066925">
              <a:moveTo>
                <a:pt x="4828032" y="621792"/>
              </a:moveTo>
              <a:lnTo>
                <a:pt x="4002024" y="621792"/>
              </a:lnTo>
              <a:lnTo>
                <a:pt x="4002024" y="824484"/>
              </a:lnTo>
              <a:lnTo>
                <a:pt x="4828032" y="824484"/>
              </a:lnTo>
              <a:lnTo>
                <a:pt x="4828032" y="621792"/>
              </a:lnTo>
              <a:close/>
            </a:path>
            <a:path w="7315200" h="2066925">
              <a:moveTo>
                <a:pt x="4828032" y="414528"/>
              </a:moveTo>
              <a:lnTo>
                <a:pt x="4002024" y="414528"/>
              </a:lnTo>
              <a:lnTo>
                <a:pt x="4002024" y="618744"/>
              </a:lnTo>
              <a:lnTo>
                <a:pt x="4828032" y="618744"/>
              </a:lnTo>
              <a:lnTo>
                <a:pt x="4828032" y="414528"/>
              </a:lnTo>
              <a:close/>
            </a:path>
            <a:path w="7315200" h="2066925">
              <a:moveTo>
                <a:pt x="4828032" y="207264"/>
              </a:moveTo>
              <a:lnTo>
                <a:pt x="4002024" y="207264"/>
              </a:lnTo>
              <a:lnTo>
                <a:pt x="4002024" y="411480"/>
              </a:lnTo>
              <a:lnTo>
                <a:pt x="4828032" y="411480"/>
              </a:lnTo>
              <a:lnTo>
                <a:pt x="4828032" y="207264"/>
              </a:lnTo>
              <a:close/>
            </a:path>
            <a:path w="7315200" h="2066925">
              <a:moveTo>
                <a:pt x="4828032" y="0"/>
              </a:moveTo>
              <a:lnTo>
                <a:pt x="4002024" y="0"/>
              </a:lnTo>
              <a:lnTo>
                <a:pt x="4002024" y="204216"/>
              </a:lnTo>
              <a:lnTo>
                <a:pt x="4828032" y="204216"/>
              </a:lnTo>
              <a:lnTo>
                <a:pt x="4828032" y="0"/>
              </a:lnTo>
              <a:close/>
            </a:path>
            <a:path w="7315200" h="2066925">
              <a:moveTo>
                <a:pt x="5657088" y="1863852"/>
              </a:moveTo>
              <a:lnTo>
                <a:pt x="4831080" y="1863852"/>
              </a:lnTo>
              <a:lnTo>
                <a:pt x="4831080" y="2066544"/>
              </a:lnTo>
              <a:lnTo>
                <a:pt x="5657088" y="2066544"/>
              </a:lnTo>
              <a:lnTo>
                <a:pt x="5657088" y="1863852"/>
              </a:lnTo>
              <a:close/>
            </a:path>
            <a:path w="7315200" h="2066925">
              <a:moveTo>
                <a:pt x="5657088" y="1656588"/>
              </a:moveTo>
              <a:lnTo>
                <a:pt x="4831080" y="1656588"/>
              </a:lnTo>
              <a:lnTo>
                <a:pt x="4831080" y="1860804"/>
              </a:lnTo>
              <a:lnTo>
                <a:pt x="5657088" y="1860804"/>
              </a:lnTo>
              <a:lnTo>
                <a:pt x="5657088" y="1656588"/>
              </a:lnTo>
              <a:close/>
            </a:path>
            <a:path w="7315200" h="2066925">
              <a:moveTo>
                <a:pt x="5657088" y="1449324"/>
              </a:moveTo>
              <a:lnTo>
                <a:pt x="4831080" y="1449324"/>
              </a:lnTo>
              <a:lnTo>
                <a:pt x="4831080" y="1653540"/>
              </a:lnTo>
              <a:lnTo>
                <a:pt x="5657088" y="1653540"/>
              </a:lnTo>
              <a:lnTo>
                <a:pt x="5657088" y="1449324"/>
              </a:lnTo>
              <a:close/>
            </a:path>
            <a:path w="7315200" h="2066925">
              <a:moveTo>
                <a:pt x="5657088" y="1242060"/>
              </a:moveTo>
              <a:lnTo>
                <a:pt x="4831080" y="1242060"/>
              </a:lnTo>
              <a:lnTo>
                <a:pt x="4831080" y="1446276"/>
              </a:lnTo>
              <a:lnTo>
                <a:pt x="5657088" y="1446276"/>
              </a:lnTo>
              <a:lnTo>
                <a:pt x="5657088" y="1242060"/>
              </a:lnTo>
              <a:close/>
            </a:path>
            <a:path w="7315200" h="2066925">
              <a:moveTo>
                <a:pt x="5657088" y="1034796"/>
              </a:moveTo>
              <a:lnTo>
                <a:pt x="4831080" y="1034796"/>
              </a:lnTo>
              <a:lnTo>
                <a:pt x="4831080" y="1239012"/>
              </a:lnTo>
              <a:lnTo>
                <a:pt x="5657088" y="1239012"/>
              </a:lnTo>
              <a:lnTo>
                <a:pt x="5657088" y="1034796"/>
              </a:lnTo>
              <a:close/>
            </a:path>
            <a:path w="7315200" h="2066925">
              <a:moveTo>
                <a:pt x="5657088" y="827532"/>
              </a:moveTo>
              <a:lnTo>
                <a:pt x="4831080" y="827532"/>
              </a:lnTo>
              <a:lnTo>
                <a:pt x="4831080" y="1031748"/>
              </a:lnTo>
              <a:lnTo>
                <a:pt x="5657088" y="1031748"/>
              </a:lnTo>
              <a:lnTo>
                <a:pt x="5657088" y="827532"/>
              </a:lnTo>
              <a:close/>
            </a:path>
            <a:path w="7315200" h="2066925">
              <a:moveTo>
                <a:pt x="5657088" y="621792"/>
              </a:moveTo>
              <a:lnTo>
                <a:pt x="4831080" y="621792"/>
              </a:lnTo>
              <a:lnTo>
                <a:pt x="4831080" y="824484"/>
              </a:lnTo>
              <a:lnTo>
                <a:pt x="5657088" y="824484"/>
              </a:lnTo>
              <a:lnTo>
                <a:pt x="5657088" y="621792"/>
              </a:lnTo>
              <a:close/>
            </a:path>
            <a:path w="7315200" h="2066925">
              <a:moveTo>
                <a:pt x="5657088" y="414528"/>
              </a:moveTo>
              <a:lnTo>
                <a:pt x="4831080" y="414528"/>
              </a:lnTo>
              <a:lnTo>
                <a:pt x="4831080" y="618744"/>
              </a:lnTo>
              <a:lnTo>
                <a:pt x="5657088" y="618744"/>
              </a:lnTo>
              <a:lnTo>
                <a:pt x="5657088" y="414528"/>
              </a:lnTo>
              <a:close/>
            </a:path>
            <a:path w="7315200" h="2066925">
              <a:moveTo>
                <a:pt x="5657088" y="207264"/>
              </a:moveTo>
              <a:lnTo>
                <a:pt x="4831080" y="207264"/>
              </a:lnTo>
              <a:lnTo>
                <a:pt x="4831080" y="411480"/>
              </a:lnTo>
              <a:lnTo>
                <a:pt x="5657088" y="411480"/>
              </a:lnTo>
              <a:lnTo>
                <a:pt x="5657088" y="207264"/>
              </a:lnTo>
              <a:close/>
            </a:path>
            <a:path w="7315200" h="2066925">
              <a:moveTo>
                <a:pt x="5657088" y="0"/>
              </a:moveTo>
              <a:lnTo>
                <a:pt x="4831080" y="0"/>
              </a:lnTo>
              <a:lnTo>
                <a:pt x="4831080" y="204216"/>
              </a:lnTo>
              <a:lnTo>
                <a:pt x="5657088" y="204216"/>
              </a:lnTo>
              <a:lnTo>
                <a:pt x="5657088" y="0"/>
              </a:lnTo>
              <a:close/>
            </a:path>
            <a:path w="7315200" h="2066925">
              <a:moveTo>
                <a:pt x="6486144" y="1863852"/>
              </a:moveTo>
              <a:lnTo>
                <a:pt x="5660136" y="1863852"/>
              </a:lnTo>
              <a:lnTo>
                <a:pt x="5660136" y="2066544"/>
              </a:lnTo>
              <a:lnTo>
                <a:pt x="6486144" y="2066544"/>
              </a:lnTo>
              <a:lnTo>
                <a:pt x="6486144" y="1863852"/>
              </a:lnTo>
              <a:close/>
            </a:path>
            <a:path w="7315200" h="2066925">
              <a:moveTo>
                <a:pt x="6486144" y="1656588"/>
              </a:moveTo>
              <a:lnTo>
                <a:pt x="5660136" y="1656588"/>
              </a:lnTo>
              <a:lnTo>
                <a:pt x="5660136" y="1860804"/>
              </a:lnTo>
              <a:lnTo>
                <a:pt x="6486144" y="1860804"/>
              </a:lnTo>
              <a:lnTo>
                <a:pt x="6486144" y="1656588"/>
              </a:lnTo>
              <a:close/>
            </a:path>
            <a:path w="7315200" h="2066925">
              <a:moveTo>
                <a:pt x="6486144" y="1449324"/>
              </a:moveTo>
              <a:lnTo>
                <a:pt x="5660136" y="1449324"/>
              </a:lnTo>
              <a:lnTo>
                <a:pt x="5660136" y="1653540"/>
              </a:lnTo>
              <a:lnTo>
                <a:pt x="6486144" y="1653540"/>
              </a:lnTo>
              <a:lnTo>
                <a:pt x="6486144" y="1449324"/>
              </a:lnTo>
              <a:close/>
            </a:path>
            <a:path w="7315200" h="2066925">
              <a:moveTo>
                <a:pt x="6486144" y="1242060"/>
              </a:moveTo>
              <a:lnTo>
                <a:pt x="5660136" y="1242060"/>
              </a:lnTo>
              <a:lnTo>
                <a:pt x="5660136" y="1446276"/>
              </a:lnTo>
              <a:lnTo>
                <a:pt x="6486144" y="1446276"/>
              </a:lnTo>
              <a:lnTo>
                <a:pt x="6486144" y="1242060"/>
              </a:lnTo>
              <a:close/>
            </a:path>
            <a:path w="7315200" h="2066925">
              <a:moveTo>
                <a:pt x="6486144" y="1034796"/>
              </a:moveTo>
              <a:lnTo>
                <a:pt x="5660136" y="1034796"/>
              </a:lnTo>
              <a:lnTo>
                <a:pt x="5660136" y="1239012"/>
              </a:lnTo>
              <a:lnTo>
                <a:pt x="6486144" y="1239012"/>
              </a:lnTo>
              <a:lnTo>
                <a:pt x="6486144" y="1034796"/>
              </a:lnTo>
              <a:close/>
            </a:path>
            <a:path w="7315200" h="2066925">
              <a:moveTo>
                <a:pt x="6486144" y="827532"/>
              </a:moveTo>
              <a:lnTo>
                <a:pt x="5660136" y="827532"/>
              </a:lnTo>
              <a:lnTo>
                <a:pt x="5660136" y="1031748"/>
              </a:lnTo>
              <a:lnTo>
                <a:pt x="6486144" y="1031748"/>
              </a:lnTo>
              <a:lnTo>
                <a:pt x="6486144" y="827532"/>
              </a:lnTo>
              <a:close/>
            </a:path>
            <a:path w="7315200" h="2066925">
              <a:moveTo>
                <a:pt x="6486144" y="621792"/>
              </a:moveTo>
              <a:lnTo>
                <a:pt x="5660136" y="621792"/>
              </a:lnTo>
              <a:lnTo>
                <a:pt x="5660136" y="824484"/>
              </a:lnTo>
              <a:lnTo>
                <a:pt x="6486144" y="824484"/>
              </a:lnTo>
              <a:lnTo>
                <a:pt x="6486144" y="621792"/>
              </a:lnTo>
              <a:close/>
            </a:path>
            <a:path w="7315200" h="2066925">
              <a:moveTo>
                <a:pt x="6486144" y="414528"/>
              </a:moveTo>
              <a:lnTo>
                <a:pt x="5660136" y="414528"/>
              </a:lnTo>
              <a:lnTo>
                <a:pt x="5660136" y="618744"/>
              </a:lnTo>
              <a:lnTo>
                <a:pt x="6486144" y="618744"/>
              </a:lnTo>
              <a:lnTo>
                <a:pt x="6486144" y="414528"/>
              </a:lnTo>
              <a:close/>
            </a:path>
            <a:path w="7315200" h="2066925">
              <a:moveTo>
                <a:pt x="6486144" y="207264"/>
              </a:moveTo>
              <a:lnTo>
                <a:pt x="5660136" y="207264"/>
              </a:lnTo>
              <a:lnTo>
                <a:pt x="5660136" y="411480"/>
              </a:lnTo>
              <a:lnTo>
                <a:pt x="6486144" y="411480"/>
              </a:lnTo>
              <a:lnTo>
                <a:pt x="6486144" y="207264"/>
              </a:lnTo>
              <a:close/>
            </a:path>
            <a:path w="7315200" h="2066925">
              <a:moveTo>
                <a:pt x="6486144" y="0"/>
              </a:moveTo>
              <a:lnTo>
                <a:pt x="5660136" y="0"/>
              </a:lnTo>
              <a:lnTo>
                <a:pt x="5660136" y="204216"/>
              </a:lnTo>
              <a:lnTo>
                <a:pt x="6486144" y="204216"/>
              </a:lnTo>
              <a:lnTo>
                <a:pt x="6486144" y="0"/>
              </a:lnTo>
              <a:close/>
            </a:path>
            <a:path w="7315200" h="2066925">
              <a:moveTo>
                <a:pt x="7315200" y="1863852"/>
              </a:moveTo>
              <a:lnTo>
                <a:pt x="6489192" y="1863852"/>
              </a:lnTo>
              <a:lnTo>
                <a:pt x="6489192" y="2066544"/>
              </a:lnTo>
              <a:lnTo>
                <a:pt x="7315200" y="2066544"/>
              </a:lnTo>
              <a:lnTo>
                <a:pt x="7315200" y="1863852"/>
              </a:lnTo>
              <a:close/>
            </a:path>
            <a:path w="7315200" h="2066925">
              <a:moveTo>
                <a:pt x="7315200" y="1656588"/>
              </a:moveTo>
              <a:lnTo>
                <a:pt x="6489192" y="1656588"/>
              </a:lnTo>
              <a:lnTo>
                <a:pt x="6489192" y="1860804"/>
              </a:lnTo>
              <a:lnTo>
                <a:pt x="7315200" y="1860804"/>
              </a:lnTo>
              <a:lnTo>
                <a:pt x="7315200" y="1656588"/>
              </a:lnTo>
              <a:close/>
            </a:path>
            <a:path w="7315200" h="2066925">
              <a:moveTo>
                <a:pt x="7315200" y="1449324"/>
              </a:moveTo>
              <a:lnTo>
                <a:pt x="6489192" y="1449324"/>
              </a:lnTo>
              <a:lnTo>
                <a:pt x="6489192" y="1653540"/>
              </a:lnTo>
              <a:lnTo>
                <a:pt x="7315200" y="1653540"/>
              </a:lnTo>
              <a:lnTo>
                <a:pt x="7315200" y="1449324"/>
              </a:lnTo>
              <a:close/>
            </a:path>
            <a:path w="7315200" h="2066925">
              <a:moveTo>
                <a:pt x="7315200" y="1242060"/>
              </a:moveTo>
              <a:lnTo>
                <a:pt x="6489192" y="1242060"/>
              </a:lnTo>
              <a:lnTo>
                <a:pt x="6489192" y="1446276"/>
              </a:lnTo>
              <a:lnTo>
                <a:pt x="7315200" y="1446276"/>
              </a:lnTo>
              <a:lnTo>
                <a:pt x="7315200" y="1242060"/>
              </a:lnTo>
              <a:close/>
            </a:path>
            <a:path w="7315200" h="2066925">
              <a:moveTo>
                <a:pt x="7315200" y="1034796"/>
              </a:moveTo>
              <a:lnTo>
                <a:pt x="6489192" y="1034796"/>
              </a:lnTo>
              <a:lnTo>
                <a:pt x="6489192" y="1239012"/>
              </a:lnTo>
              <a:lnTo>
                <a:pt x="7315200" y="1239012"/>
              </a:lnTo>
              <a:lnTo>
                <a:pt x="7315200" y="1034796"/>
              </a:lnTo>
              <a:close/>
            </a:path>
            <a:path w="7315200" h="2066925">
              <a:moveTo>
                <a:pt x="7315200" y="827532"/>
              </a:moveTo>
              <a:lnTo>
                <a:pt x="6489192" y="827532"/>
              </a:lnTo>
              <a:lnTo>
                <a:pt x="6489192" y="1031748"/>
              </a:lnTo>
              <a:lnTo>
                <a:pt x="7315200" y="1031748"/>
              </a:lnTo>
              <a:lnTo>
                <a:pt x="7315200" y="827532"/>
              </a:lnTo>
              <a:close/>
            </a:path>
            <a:path w="7315200" h="2066925">
              <a:moveTo>
                <a:pt x="7315200" y="621792"/>
              </a:moveTo>
              <a:lnTo>
                <a:pt x="6489192" y="621792"/>
              </a:lnTo>
              <a:lnTo>
                <a:pt x="6489192" y="824484"/>
              </a:lnTo>
              <a:lnTo>
                <a:pt x="7315200" y="824484"/>
              </a:lnTo>
              <a:lnTo>
                <a:pt x="7315200" y="621792"/>
              </a:lnTo>
              <a:close/>
            </a:path>
            <a:path w="7315200" h="2066925">
              <a:moveTo>
                <a:pt x="7315200" y="414528"/>
              </a:moveTo>
              <a:lnTo>
                <a:pt x="6489192" y="414528"/>
              </a:lnTo>
              <a:lnTo>
                <a:pt x="6489192" y="618744"/>
              </a:lnTo>
              <a:lnTo>
                <a:pt x="7315200" y="618744"/>
              </a:lnTo>
              <a:lnTo>
                <a:pt x="7315200" y="414528"/>
              </a:lnTo>
              <a:close/>
            </a:path>
            <a:path w="7315200" h="2066925">
              <a:moveTo>
                <a:pt x="7315200" y="207264"/>
              </a:moveTo>
              <a:lnTo>
                <a:pt x="6489192" y="207264"/>
              </a:lnTo>
              <a:lnTo>
                <a:pt x="6489192" y="411480"/>
              </a:lnTo>
              <a:lnTo>
                <a:pt x="7315200" y="411480"/>
              </a:lnTo>
              <a:lnTo>
                <a:pt x="7315200" y="207264"/>
              </a:lnTo>
              <a:close/>
            </a:path>
            <a:path w="7315200" h="2066925">
              <a:moveTo>
                <a:pt x="7315200" y="0"/>
              </a:moveTo>
              <a:lnTo>
                <a:pt x="6489192" y="0"/>
              </a:lnTo>
              <a:lnTo>
                <a:pt x="6489192" y="204216"/>
              </a:lnTo>
              <a:lnTo>
                <a:pt x="7315200" y="204216"/>
              </a:lnTo>
              <a:lnTo>
                <a:pt x="73152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10</xdr:col>
      <xdr:colOff>540131</xdr:colOff>
      <xdr:row>25</xdr:row>
      <xdr:rowOff>0</xdr:rowOff>
    </xdr:from>
    <xdr:ext cx="702945" cy="206692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702945" cy="2066925"/>
        </a:xfrm>
        <a:custGeom>
          <a:avLst/>
          <a:gdLst/>
          <a:ahLst/>
          <a:cxnLst/>
          <a:rect l="0" t="0" r="0" b="0"/>
          <a:pathLst>
            <a:path w="702945" h="2066925">
              <a:moveTo>
                <a:pt x="702564" y="1863852"/>
              </a:moveTo>
              <a:lnTo>
                <a:pt x="0" y="1863852"/>
              </a:lnTo>
              <a:lnTo>
                <a:pt x="0" y="2066544"/>
              </a:lnTo>
              <a:lnTo>
                <a:pt x="702564" y="2066544"/>
              </a:lnTo>
              <a:lnTo>
                <a:pt x="702564" y="1863852"/>
              </a:lnTo>
              <a:close/>
            </a:path>
            <a:path w="702945" h="2066925">
              <a:moveTo>
                <a:pt x="702564" y="1656588"/>
              </a:moveTo>
              <a:lnTo>
                <a:pt x="0" y="1656588"/>
              </a:lnTo>
              <a:lnTo>
                <a:pt x="0" y="1860804"/>
              </a:lnTo>
              <a:lnTo>
                <a:pt x="702564" y="1860804"/>
              </a:lnTo>
              <a:lnTo>
                <a:pt x="702564" y="1656588"/>
              </a:lnTo>
              <a:close/>
            </a:path>
            <a:path w="702945" h="2066925">
              <a:moveTo>
                <a:pt x="702564" y="1449324"/>
              </a:moveTo>
              <a:lnTo>
                <a:pt x="0" y="1449324"/>
              </a:lnTo>
              <a:lnTo>
                <a:pt x="0" y="1653540"/>
              </a:lnTo>
              <a:lnTo>
                <a:pt x="702564" y="1653540"/>
              </a:lnTo>
              <a:lnTo>
                <a:pt x="702564" y="1449324"/>
              </a:lnTo>
              <a:close/>
            </a:path>
            <a:path w="702945" h="2066925">
              <a:moveTo>
                <a:pt x="702564" y="1242060"/>
              </a:moveTo>
              <a:lnTo>
                <a:pt x="0" y="1242060"/>
              </a:lnTo>
              <a:lnTo>
                <a:pt x="0" y="1446276"/>
              </a:lnTo>
              <a:lnTo>
                <a:pt x="702564" y="1446276"/>
              </a:lnTo>
              <a:lnTo>
                <a:pt x="702564" y="1242060"/>
              </a:lnTo>
              <a:close/>
            </a:path>
            <a:path w="702945" h="2066925">
              <a:moveTo>
                <a:pt x="702564" y="1034796"/>
              </a:moveTo>
              <a:lnTo>
                <a:pt x="0" y="1034796"/>
              </a:lnTo>
              <a:lnTo>
                <a:pt x="0" y="1239012"/>
              </a:lnTo>
              <a:lnTo>
                <a:pt x="702564" y="1239012"/>
              </a:lnTo>
              <a:lnTo>
                <a:pt x="702564" y="1034796"/>
              </a:lnTo>
              <a:close/>
            </a:path>
            <a:path w="702945" h="2066925">
              <a:moveTo>
                <a:pt x="702564" y="827532"/>
              </a:moveTo>
              <a:lnTo>
                <a:pt x="0" y="827532"/>
              </a:lnTo>
              <a:lnTo>
                <a:pt x="0" y="1031748"/>
              </a:lnTo>
              <a:lnTo>
                <a:pt x="702564" y="1031748"/>
              </a:lnTo>
              <a:lnTo>
                <a:pt x="702564" y="827532"/>
              </a:lnTo>
              <a:close/>
            </a:path>
            <a:path w="702945" h="2066925">
              <a:moveTo>
                <a:pt x="702564" y="621792"/>
              </a:moveTo>
              <a:lnTo>
                <a:pt x="0" y="621792"/>
              </a:lnTo>
              <a:lnTo>
                <a:pt x="0" y="824484"/>
              </a:lnTo>
              <a:lnTo>
                <a:pt x="702564" y="824484"/>
              </a:lnTo>
              <a:lnTo>
                <a:pt x="702564" y="621792"/>
              </a:lnTo>
              <a:close/>
            </a:path>
            <a:path w="702945" h="2066925">
              <a:moveTo>
                <a:pt x="702564" y="414528"/>
              </a:moveTo>
              <a:lnTo>
                <a:pt x="0" y="414528"/>
              </a:lnTo>
              <a:lnTo>
                <a:pt x="0" y="618744"/>
              </a:lnTo>
              <a:lnTo>
                <a:pt x="702564" y="618744"/>
              </a:lnTo>
              <a:lnTo>
                <a:pt x="702564" y="414528"/>
              </a:lnTo>
              <a:close/>
            </a:path>
            <a:path w="702945" h="2066925">
              <a:moveTo>
                <a:pt x="702564" y="207264"/>
              </a:moveTo>
              <a:lnTo>
                <a:pt x="0" y="207264"/>
              </a:lnTo>
              <a:lnTo>
                <a:pt x="0" y="411480"/>
              </a:lnTo>
              <a:lnTo>
                <a:pt x="702564" y="411480"/>
              </a:lnTo>
              <a:lnTo>
                <a:pt x="702564" y="207264"/>
              </a:lnTo>
              <a:close/>
            </a:path>
            <a:path w="702945" h="2066925">
              <a:moveTo>
                <a:pt x="702564" y="0"/>
              </a:moveTo>
              <a:lnTo>
                <a:pt x="0" y="0"/>
              </a:lnTo>
              <a:lnTo>
                <a:pt x="0" y="204216"/>
              </a:lnTo>
              <a:lnTo>
                <a:pt x="702564" y="204216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541909</xdr:colOff>
      <xdr:row>21</xdr:row>
      <xdr:rowOff>206501</xdr:rowOff>
    </xdr:from>
    <xdr:ext cx="3313429" cy="37528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235457</xdr:colOff>
      <xdr:row>3</xdr:row>
      <xdr:rowOff>762</xdr:rowOff>
    </xdr:from>
    <xdr:ext cx="381000" cy="381000"/>
    <xdr:pic>
      <xdr:nvPicPr>
        <xdr:cNvPr id="14" name="image1.jpe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330696</xdr:colOff>
      <xdr:row>3</xdr:row>
      <xdr:rowOff>49142</xdr:rowOff>
    </xdr:from>
    <xdr:ext cx="193523" cy="290285"/>
    <xdr:pic>
      <xdr:nvPicPr>
        <xdr:cNvPr id="15" name="image2.jpe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7</xdr:col>
      <xdr:colOff>235458</xdr:colOff>
      <xdr:row>3</xdr:row>
      <xdr:rowOff>49142</xdr:rowOff>
    </xdr:from>
    <xdr:ext cx="381000" cy="290285"/>
    <xdr:pic>
      <xdr:nvPicPr>
        <xdr:cNvPr id="16" name="image3.jpe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49142</xdr:rowOff>
    </xdr:from>
    <xdr:ext cx="381000" cy="290285"/>
    <xdr:pic>
      <xdr:nvPicPr>
        <xdr:cNvPr id="17" name="image4.jpe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198754</xdr:colOff>
      <xdr:row>23</xdr:row>
      <xdr:rowOff>0</xdr:rowOff>
    </xdr:from>
    <xdr:ext cx="7315200" cy="3816350"/>
    <xdr:grpSp>
      <xdr:nvGrpSpPr>
        <xdr:cNvPr id="18" name="Group 18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610234" y="5707380"/>
          <a:ext cx="7315200" cy="3816350"/>
          <a:chOff x="0" y="0"/>
          <a:chExt cx="7315200" cy="3816350"/>
        </a:xfrm>
      </xdr:grpSpPr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/>
        </xdr:nvSpPr>
        <xdr:spPr>
          <a:xfrm>
            <a:off x="0" y="0"/>
            <a:ext cx="7315200" cy="2367280"/>
          </a:xfrm>
          <a:custGeom>
            <a:avLst/>
            <a:gdLst/>
            <a:ahLst/>
            <a:cxnLst/>
            <a:rect l="0" t="0" r="0" b="0"/>
            <a:pathLst>
              <a:path w="7315200" h="2367280">
                <a:moveTo>
                  <a:pt x="339852" y="300228"/>
                </a:moveTo>
                <a:lnTo>
                  <a:pt x="0" y="300228"/>
                </a:lnTo>
                <a:lnTo>
                  <a:pt x="0" y="1539240"/>
                </a:lnTo>
                <a:lnTo>
                  <a:pt x="339852" y="1539240"/>
                </a:lnTo>
                <a:lnTo>
                  <a:pt x="339852" y="300228"/>
                </a:lnTo>
                <a:close/>
              </a:path>
              <a:path w="7315200" h="2367280">
                <a:moveTo>
                  <a:pt x="339852" y="0"/>
                </a:moveTo>
                <a:lnTo>
                  <a:pt x="0" y="0"/>
                </a:lnTo>
                <a:lnTo>
                  <a:pt x="0" y="297180"/>
                </a:lnTo>
                <a:lnTo>
                  <a:pt x="339852" y="297180"/>
                </a:lnTo>
                <a:lnTo>
                  <a:pt x="339852" y="0"/>
                </a:lnTo>
                <a:close/>
              </a:path>
              <a:path w="7315200" h="2367280">
                <a:moveTo>
                  <a:pt x="1376172" y="300228"/>
                </a:moveTo>
                <a:lnTo>
                  <a:pt x="342900" y="300228"/>
                </a:lnTo>
                <a:lnTo>
                  <a:pt x="342900" y="1539240"/>
                </a:lnTo>
                <a:lnTo>
                  <a:pt x="1376172" y="1539240"/>
                </a:lnTo>
                <a:lnTo>
                  <a:pt x="1376172" y="300228"/>
                </a:lnTo>
                <a:close/>
              </a:path>
              <a:path w="7315200" h="2367280">
                <a:moveTo>
                  <a:pt x="1376172" y="0"/>
                </a:moveTo>
                <a:lnTo>
                  <a:pt x="342900" y="0"/>
                </a:lnTo>
                <a:lnTo>
                  <a:pt x="342900" y="297180"/>
                </a:lnTo>
                <a:lnTo>
                  <a:pt x="1376172" y="297180"/>
                </a:lnTo>
                <a:lnTo>
                  <a:pt x="1376172" y="0"/>
                </a:lnTo>
                <a:close/>
              </a:path>
              <a:path w="7315200" h="2367280">
                <a:moveTo>
                  <a:pt x="2753868" y="1542288"/>
                </a:moveTo>
                <a:lnTo>
                  <a:pt x="1379220" y="1542288"/>
                </a:lnTo>
                <a:lnTo>
                  <a:pt x="1379220" y="2366772"/>
                </a:lnTo>
                <a:lnTo>
                  <a:pt x="2753868" y="2366772"/>
                </a:lnTo>
                <a:lnTo>
                  <a:pt x="2753868" y="1542288"/>
                </a:lnTo>
                <a:close/>
              </a:path>
              <a:path w="7315200" h="2367280">
                <a:moveTo>
                  <a:pt x="2753868" y="300228"/>
                </a:moveTo>
                <a:lnTo>
                  <a:pt x="1379220" y="300228"/>
                </a:lnTo>
                <a:lnTo>
                  <a:pt x="1379220" y="1539240"/>
                </a:lnTo>
                <a:lnTo>
                  <a:pt x="2753868" y="1539240"/>
                </a:lnTo>
                <a:lnTo>
                  <a:pt x="2753868" y="300228"/>
                </a:lnTo>
                <a:close/>
              </a:path>
              <a:path w="7315200" h="2367280">
                <a:moveTo>
                  <a:pt x="2753868" y="0"/>
                </a:moveTo>
                <a:lnTo>
                  <a:pt x="1379220" y="0"/>
                </a:lnTo>
                <a:lnTo>
                  <a:pt x="1379220" y="297180"/>
                </a:lnTo>
                <a:lnTo>
                  <a:pt x="2753868" y="297180"/>
                </a:lnTo>
                <a:lnTo>
                  <a:pt x="2753868" y="0"/>
                </a:lnTo>
                <a:close/>
              </a:path>
              <a:path w="7315200" h="2367280">
                <a:moveTo>
                  <a:pt x="3304032" y="2164080"/>
                </a:moveTo>
                <a:lnTo>
                  <a:pt x="2756916" y="2164080"/>
                </a:lnTo>
                <a:lnTo>
                  <a:pt x="2756916" y="2366772"/>
                </a:lnTo>
                <a:lnTo>
                  <a:pt x="3304032" y="2366772"/>
                </a:lnTo>
                <a:lnTo>
                  <a:pt x="3304032" y="2164080"/>
                </a:lnTo>
                <a:close/>
              </a:path>
              <a:path w="7315200" h="2367280">
                <a:moveTo>
                  <a:pt x="3304032" y="1956816"/>
                </a:moveTo>
                <a:lnTo>
                  <a:pt x="2756916" y="1956816"/>
                </a:lnTo>
                <a:lnTo>
                  <a:pt x="2756916" y="2161032"/>
                </a:lnTo>
                <a:lnTo>
                  <a:pt x="3304032" y="2161032"/>
                </a:lnTo>
                <a:lnTo>
                  <a:pt x="3304032" y="1956816"/>
                </a:lnTo>
                <a:close/>
              </a:path>
              <a:path w="7315200" h="2367280">
                <a:moveTo>
                  <a:pt x="3304032" y="1749552"/>
                </a:moveTo>
                <a:lnTo>
                  <a:pt x="2756916" y="1749552"/>
                </a:lnTo>
                <a:lnTo>
                  <a:pt x="2756916" y="1953768"/>
                </a:lnTo>
                <a:lnTo>
                  <a:pt x="3304032" y="1953768"/>
                </a:lnTo>
                <a:lnTo>
                  <a:pt x="3304032" y="1749552"/>
                </a:lnTo>
                <a:close/>
              </a:path>
              <a:path w="7315200" h="2367280">
                <a:moveTo>
                  <a:pt x="3304032" y="1542288"/>
                </a:moveTo>
                <a:lnTo>
                  <a:pt x="2756916" y="1542288"/>
                </a:lnTo>
                <a:lnTo>
                  <a:pt x="2756916" y="1746504"/>
                </a:lnTo>
                <a:lnTo>
                  <a:pt x="3304032" y="1746504"/>
                </a:lnTo>
                <a:lnTo>
                  <a:pt x="3304032" y="1542288"/>
                </a:lnTo>
                <a:close/>
              </a:path>
              <a:path w="7315200" h="2367280">
                <a:moveTo>
                  <a:pt x="3304032" y="1336548"/>
                </a:moveTo>
                <a:lnTo>
                  <a:pt x="2756916" y="1336548"/>
                </a:lnTo>
                <a:lnTo>
                  <a:pt x="2756916" y="1539240"/>
                </a:lnTo>
                <a:lnTo>
                  <a:pt x="3304032" y="1539240"/>
                </a:lnTo>
                <a:lnTo>
                  <a:pt x="3304032" y="1336548"/>
                </a:lnTo>
                <a:close/>
              </a:path>
              <a:path w="7315200" h="2367280">
                <a:moveTo>
                  <a:pt x="3304032" y="1129284"/>
                </a:moveTo>
                <a:lnTo>
                  <a:pt x="2756916" y="1129284"/>
                </a:lnTo>
                <a:lnTo>
                  <a:pt x="2756916" y="1333500"/>
                </a:lnTo>
                <a:lnTo>
                  <a:pt x="3304032" y="1333500"/>
                </a:lnTo>
                <a:lnTo>
                  <a:pt x="3304032" y="1129284"/>
                </a:lnTo>
                <a:close/>
              </a:path>
              <a:path w="7315200" h="2367280">
                <a:moveTo>
                  <a:pt x="3304032" y="922020"/>
                </a:moveTo>
                <a:lnTo>
                  <a:pt x="2756916" y="922020"/>
                </a:lnTo>
                <a:lnTo>
                  <a:pt x="2756916" y="1126236"/>
                </a:lnTo>
                <a:lnTo>
                  <a:pt x="3304032" y="1126236"/>
                </a:lnTo>
                <a:lnTo>
                  <a:pt x="3304032" y="922020"/>
                </a:lnTo>
                <a:close/>
              </a:path>
              <a:path w="7315200" h="2367280">
                <a:moveTo>
                  <a:pt x="3304032" y="714756"/>
                </a:moveTo>
                <a:lnTo>
                  <a:pt x="2756916" y="714756"/>
                </a:lnTo>
                <a:lnTo>
                  <a:pt x="2756916" y="918972"/>
                </a:lnTo>
                <a:lnTo>
                  <a:pt x="3304032" y="918972"/>
                </a:lnTo>
                <a:lnTo>
                  <a:pt x="3304032" y="714756"/>
                </a:lnTo>
                <a:close/>
              </a:path>
              <a:path w="7315200" h="2367280">
                <a:moveTo>
                  <a:pt x="3304032" y="507492"/>
                </a:moveTo>
                <a:lnTo>
                  <a:pt x="2756916" y="507492"/>
                </a:lnTo>
                <a:lnTo>
                  <a:pt x="2756916" y="711708"/>
                </a:lnTo>
                <a:lnTo>
                  <a:pt x="3304032" y="711708"/>
                </a:lnTo>
                <a:lnTo>
                  <a:pt x="3304032" y="507492"/>
                </a:lnTo>
                <a:close/>
              </a:path>
              <a:path w="7315200" h="2367280">
                <a:moveTo>
                  <a:pt x="3304032" y="300228"/>
                </a:moveTo>
                <a:lnTo>
                  <a:pt x="2756916" y="300228"/>
                </a:lnTo>
                <a:lnTo>
                  <a:pt x="2756916" y="504444"/>
                </a:lnTo>
                <a:lnTo>
                  <a:pt x="3304032" y="504444"/>
                </a:lnTo>
                <a:lnTo>
                  <a:pt x="3304032" y="300228"/>
                </a:lnTo>
                <a:close/>
              </a:path>
              <a:path w="7315200" h="2367280">
                <a:moveTo>
                  <a:pt x="3304032" y="0"/>
                </a:moveTo>
                <a:lnTo>
                  <a:pt x="2756916" y="0"/>
                </a:lnTo>
                <a:lnTo>
                  <a:pt x="2756916" y="297180"/>
                </a:lnTo>
                <a:lnTo>
                  <a:pt x="3304032" y="297180"/>
                </a:lnTo>
                <a:lnTo>
                  <a:pt x="3304032" y="0"/>
                </a:lnTo>
                <a:close/>
              </a:path>
              <a:path w="7315200" h="2367280">
                <a:moveTo>
                  <a:pt x="3998976" y="2164080"/>
                </a:moveTo>
                <a:lnTo>
                  <a:pt x="3307080" y="2164080"/>
                </a:lnTo>
                <a:lnTo>
                  <a:pt x="3307080" y="2366772"/>
                </a:lnTo>
                <a:lnTo>
                  <a:pt x="3998976" y="2366772"/>
                </a:lnTo>
                <a:lnTo>
                  <a:pt x="3998976" y="2164080"/>
                </a:lnTo>
                <a:close/>
              </a:path>
              <a:path w="7315200" h="2367280">
                <a:moveTo>
                  <a:pt x="3998976" y="1956816"/>
                </a:moveTo>
                <a:lnTo>
                  <a:pt x="3307080" y="1956816"/>
                </a:lnTo>
                <a:lnTo>
                  <a:pt x="3307080" y="2161032"/>
                </a:lnTo>
                <a:lnTo>
                  <a:pt x="3998976" y="2161032"/>
                </a:lnTo>
                <a:lnTo>
                  <a:pt x="3998976" y="1956816"/>
                </a:lnTo>
                <a:close/>
              </a:path>
              <a:path w="7315200" h="2367280">
                <a:moveTo>
                  <a:pt x="3998976" y="1749552"/>
                </a:moveTo>
                <a:lnTo>
                  <a:pt x="3307080" y="1749552"/>
                </a:lnTo>
                <a:lnTo>
                  <a:pt x="3307080" y="1953768"/>
                </a:lnTo>
                <a:lnTo>
                  <a:pt x="3998976" y="1953768"/>
                </a:lnTo>
                <a:lnTo>
                  <a:pt x="3998976" y="1749552"/>
                </a:lnTo>
                <a:close/>
              </a:path>
              <a:path w="7315200" h="2367280">
                <a:moveTo>
                  <a:pt x="3998976" y="1542288"/>
                </a:moveTo>
                <a:lnTo>
                  <a:pt x="3307080" y="1542288"/>
                </a:lnTo>
                <a:lnTo>
                  <a:pt x="3307080" y="1746504"/>
                </a:lnTo>
                <a:lnTo>
                  <a:pt x="3998976" y="1746504"/>
                </a:lnTo>
                <a:lnTo>
                  <a:pt x="3998976" y="1542288"/>
                </a:lnTo>
                <a:close/>
              </a:path>
              <a:path w="7315200" h="2367280">
                <a:moveTo>
                  <a:pt x="3998976" y="1336548"/>
                </a:moveTo>
                <a:lnTo>
                  <a:pt x="3307080" y="1336548"/>
                </a:lnTo>
                <a:lnTo>
                  <a:pt x="3307080" y="1539240"/>
                </a:lnTo>
                <a:lnTo>
                  <a:pt x="3998976" y="1539240"/>
                </a:lnTo>
                <a:lnTo>
                  <a:pt x="3998976" y="1336548"/>
                </a:lnTo>
                <a:close/>
              </a:path>
              <a:path w="7315200" h="2367280">
                <a:moveTo>
                  <a:pt x="3998976" y="1129284"/>
                </a:moveTo>
                <a:lnTo>
                  <a:pt x="3307080" y="1129284"/>
                </a:lnTo>
                <a:lnTo>
                  <a:pt x="3307080" y="1333500"/>
                </a:lnTo>
                <a:lnTo>
                  <a:pt x="3998976" y="1333500"/>
                </a:lnTo>
                <a:lnTo>
                  <a:pt x="3998976" y="1129284"/>
                </a:lnTo>
                <a:close/>
              </a:path>
              <a:path w="7315200" h="2367280">
                <a:moveTo>
                  <a:pt x="3998976" y="922020"/>
                </a:moveTo>
                <a:lnTo>
                  <a:pt x="3307080" y="922020"/>
                </a:lnTo>
                <a:lnTo>
                  <a:pt x="3307080" y="1126236"/>
                </a:lnTo>
                <a:lnTo>
                  <a:pt x="3998976" y="1126236"/>
                </a:lnTo>
                <a:lnTo>
                  <a:pt x="3998976" y="922020"/>
                </a:lnTo>
                <a:close/>
              </a:path>
              <a:path w="7315200" h="2367280">
                <a:moveTo>
                  <a:pt x="3998976" y="714756"/>
                </a:moveTo>
                <a:lnTo>
                  <a:pt x="3307080" y="714756"/>
                </a:lnTo>
                <a:lnTo>
                  <a:pt x="3307080" y="918972"/>
                </a:lnTo>
                <a:lnTo>
                  <a:pt x="3998976" y="918972"/>
                </a:lnTo>
                <a:lnTo>
                  <a:pt x="3998976" y="714756"/>
                </a:lnTo>
                <a:close/>
              </a:path>
              <a:path w="7315200" h="2367280">
                <a:moveTo>
                  <a:pt x="3998976" y="507492"/>
                </a:moveTo>
                <a:lnTo>
                  <a:pt x="3307080" y="507492"/>
                </a:lnTo>
                <a:lnTo>
                  <a:pt x="3307080" y="711708"/>
                </a:lnTo>
                <a:lnTo>
                  <a:pt x="3998976" y="711708"/>
                </a:lnTo>
                <a:lnTo>
                  <a:pt x="3998976" y="507492"/>
                </a:lnTo>
                <a:close/>
              </a:path>
              <a:path w="7315200" h="2367280">
                <a:moveTo>
                  <a:pt x="3998976" y="300228"/>
                </a:moveTo>
                <a:lnTo>
                  <a:pt x="3307080" y="300228"/>
                </a:lnTo>
                <a:lnTo>
                  <a:pt x="3307080" y="504444"/>
                </a:lnTo>
                <a:lnTo>
                  <a:pt x="3998976" y="504444"/>
                </a:lnTo>
                <a:lnTo>
                  <a:pt x="3998976" y="300228"/>
                </a:lnTo>
                <a:close/>
              </a:path>
              <a:path w="7315200" h="2367280">
                <a:moveTo>
                  <a:pt x="3998976" y="0"/>
                </a:moveTo>
                <a:lnTo>
                  <a:pt x="3307080" y="0"/>
                </a:lnTo>
                <a:lnTo>
                  <a:pt x="3307080" y="297180"/>
                </a:lnTo>
                <a:lnTo>
                  <a:pt x="3998976" y="297180"/>
                </a:lnTo>
                <a:lnTo>
                  <a:pt x="3998976" y="0"/>
                </a:lnTo>
                <a:close/>
              </a:path>
              <a:path w="7315200" h="2367280">
                <a:moveTo>
                  <a:pt x="4828032" y="2164080"/>
                </a:moveTo>
                <a:lnTo>
                  <a:pt x="4002024" y="2164080"/>
                </a:lnTo>
                <a:lnTo>
                  <a:pt x="4002024" y="2366772"/>
                </a:lnTo>
                <a:lnTo>
                  <a:pt x="4828032" y="2366772"/>
                </a:lnTo>
                <a:lnTo>
                  <a:pt x="4828032" y="2164080"/>
                </a:lnTo>
                <a:close/>
              </a:path>
              <a:path w="7315200" h="2367280">
                <a:moveTo>
                  <a:pt x="4828032" y="1956816"/>
                </a:moveTo>
                <a:lnTo>
                  <a:pt x="4002024" y="1956816"/>
                </a:lnTo>
                <a:lnTo>
                  <a:pt x="4002024" y="2161032"/>
                </a:lnTo>
                <a:lnTo>
                  <a:pt x="4828032" y="2161032"/>
                </a:lnTo>
                <a:lnTo>
                  <a:pt x="4828032" y="1956816"/>
                </a:lnTo>
                <a:close/>
              </a:path>
              <a:path w="7315200" h="2367280">
                <a:moveTo>
                  <a:pt x="4828032" y="1749552"/>
                </a:moveTo>
                <a:lnTo>
                  <a:pt x="4002024" y="1749552"/>
                </a:lnTo>
                <a:lnTo>
                  <a:pt x="4002024" y="1953768"/>
                </a:lnTo>
                <a:lnTo>
                  <a:pt x="4828032" y="1953768"/>
                </a:lnTo>
                <a:lnTo>
                  <a:pt x="4828032" y="1749552"/>
                </a:lnTo>
                <a:close/>
              </a:path>
              <a:path w="7315200" h="2367280">
                <a:moveTo>
                  <a:pt x="4828032" y="1542288"/>
                </a:moveTo>
                <a:lnTo>
                  <a:pt x="4002024" y="1542288"/>
                </a:lnTo>
                <a:lnTo>
                  <a:pt x="4002024" y="1746504"/>
                </a:lnTo>
                <a:lnTo>
                  <a:pt x="4828032" y="1746504"/>
                </a:lnTo>
                <a:lnTo>
                  <a:pt x="4828032" y="1542288"/>
                </a:lnTo>
                <a:close/>
              </a:path>
              <a:path w="7315200" h="2367280">
                <a:moveTo>
                  <a:pt x="4828032" y="1336548"/>
                </a:moveTo>
                <a:lnTo>
                  <a:pt x="4002024" y="1336548"/>
                </a:lnTo>
                <a:lnTo>
                  <a:pt x="4002024" y="1539240"/>
                </a:lnTo>
                <a:lnTo>
                  <a:pt x="4828032" y="1539240"/>
                </a:lnTo>
                <a:lnTo>
                  <a:pt x="4828032" y="1336548"/>
                </a:lnTo>
                <a:close/>
              </a:path>
              <a:path w="7315200" h="2367280">
                <a:moveTo>
                  <a:pt x="4828032" y="1129284"/>
                </a:moveTo>
                <a:lnTo>
                  <a:pt x="4002024" y="1129284"/>
                </a:lnTo>
                <a:lnTo>
                  <a:pt x="4002024" y="1333500"/>
                </a:lnTo>
                <a:lnTo>
                  <a:pt x="4828032" y="1333500"/>
                </a:lnTo>
                <a:lnTo>
                  <a:pt x="4828032" y="1129284"/>
                </a:lnTo>
                <a:close/>
              </a:path>
              <a:path w="7315200" h="2367280">
                <a:moveTo>
                  <a:pt x="4828032" y="922020"/>
                </a:moveTo>
                <a:lnTo>
                  <a:pt x="4002024" y="922020"/>
                </a:lnTo>
                <a:lnTo>
                  <a:pt x="4002024" y="1126236"/>
                </a:lnTo>
                <a:lnTo>
                  <a:pt x="4828032" y="1126236"/>
                </a:lnTo>
                <a:lnTo>
                  <a:pt x="4828032" y="922020"/>
                </a:lnTo>
                <a:close/>
              </a:path>
              <a:path w="7315200" h="2367280">
                <a:moveTo>
                  <a:pt x="4828032" y="714756"/>
                </a:moveTo>
                <a:lnTo>
                  <a:pt x="4002024" y="714756"/>
                </a:lnTo>
                <a:lnTo>
                  <a:pt x="4002024" y="918972"/>
                </a:lnTo>
                <a:lnTo>
                  <a:pt x="4828032" y="918972"/>
                </a:lnTo>
                <a:lnTo>
                  <a:pt x="4828032" y="714756"/>
                </a:lnTo>
                <a:close/>
              </a:path>
              <a:path w="7315200" h="2367280">
                <a:moveTo>
                  <a:pt x="4828032" y="507492"/>
                </a:moveTo>
                <a:lnTo>
                  <a:pt x="4002024" y="507492"/>
                </a:lnTo>
                <a:lnTo>
                  <a:pt x="4002024" y="711708"/>
                </a:lnTo>
                <a:lnTo>
                  <a:pt x="4828032" y="711708"/>
                </a:lnTo>
                <a:lnTo>
                  <a:pt x="4828032" y="507492"/>
                </a:lnTo>
                <a:close/>
              </a:path>
              <a:path w="7315200" h="2367280">
                <a:moveTo>
                  <a:pt x="4828032" y="300228"/>
                </a:moveTo>
                <a:lnTo>
                  <a:pt x="4002024" y="300228"/>
                </a:lnTo>
                <a:lnTo>
                  <a:pt x="4002024" y="504444"/>
                </a:lnTo>
                <a:lnTo>
                  <a:pt x="4828032" y="504444"/>
                </a:lnTo>
                <a:lnTo>
                  <a:pt x="4828032" y="300228"/>
                </a:lnTo>
                <a:close/>
              </a:path>
              <a:path w="7315200" h="2367280">
                <a:moveTo>
                  <a:pt x="4828032" y="0"/>
                </a:moveTo>
                <a:lnTo>
                  <a:pt x="4002024" y="0"/>
                </a:lnTo>
                <a:lnTo>
                  <a:pt x="4002024" y="297180"/>
                </a:lnTo>
                <a:lnTo>
                  <a:pt x="4828032" y="297180"/>
                </a:lnTo>
                <a:lnTo>
                  <a:pt x="4828032" y="0"/>
                </a:lnTo>
                <a:close/>
              </a:path>
              <a:path w="7315200" h="2367280">
                <a:moveTo>
                  <a:pt x="5657088" y="2164080"/>
                </a:moveTo>
                <a:lnTo>
                  <a:pt x="4831080" y="2164080"/>
                </a:lnTo>
                <a:lnTo>
                  <a:pt x="4831080" y="2366772"/>
                </a:lnTo>
                <a:lnTo>
                  <a:pt x="5657088" y="2366772"/>
                </a:lnTo>
                <a:lnTo>
                  <a:pt x="5657088" y="2164080"/>
                </a:lnTo>
                <a:close/>
              </a:path>
              <a:path w="7315200" h="2367280">
                <a:moveTo>
                  <a:pt x="5657088" y="1956816"/>
                </a:moveTo>
                <a:lnTo>
                  <a:pt x="4831080" y="1956816"/>
                </a:lnTo>
                <a:lnTo>
                  <a:pt x="4831080" y="2161032"/>
                </a:lnTo>
                <a:lnTo>
                  <a:pt x="5657088" y="2161032"/>
                </a:lnTo>
                <a:lnTo>
                  <a:pt x="5657088" y="1956816"/>
                </a:lnTo>
                <a:close/>
              </a:path>
              <a:path w="7315200" h="2367280">
                <a:moveTo>
                  <a:pt x="5657088" y="1749552"/>
                </a:moveTo>
                <a:lnTo>
                  <a:pt x="4831080" y="1749552"/>
                </a:lnTo>
                <a:lnTo>
                  <a:pt x="4831080" y="1953768"/>
                </a:lnTo>
                <a:lnTo>
                  <a:pt x="5657088" y="1953768"/>
                </a:lnTo>
                <a:lnTo>
                  <a:pt x="5657088" y="1749552"/>
                </a:lnTo>
                <a:close/>
              </a:path>
              <a:path w="7315200" h="2367280">
                <a:moveTo>
                  <a:pt x="5657088" y="1542288"/>
                </a:moveTo>
                <a:lnTo>
                  <a:pt x="4831080" y="1542288"/>
                </a:lnTo>
                <a:lnTo>
                  <a:pt x="4831080" y="1746504"/>
                </a:lnTo>
                <a:lnTo>
                  <a:pt x="5657088" y="1746504"/>
                </a:lnTo>
                <a:lnTo>
                  <a:pt x="5657088" y="1542288"/>
                </a:lnTo>
                <a:close/>
              </a:path>
              <a:path w="7315200" h="2367280">
                <a:moveTo>
                  <a:pt x="5657088" y="1336548"/>
                </a:moveTo>
                <a:lnTo>
                  <a:pt x="4831080" y="1336548"/>
                </a:lnTo>
                <a:lnTo>
                  <a:pt x="4831080" y="1539240"/>
                </a:lnTo>
                <a:lnTo>
                  <a:pt x="5657088" y="1539240"/>
                </a:lnTo>
                <a:lnTo>
                  <a:pt x="5657088" y="1336548"/>
                </a:lnTo>
                <a:close/>
              </a:path>
              <a:path w="7315200" h="2367280">
                <a:moveTo>
                  <a:pt x="5657088" y="1129284"/>
                </a:moveTo>
                <a:lnTo>
                  <a:pt x="4831080" y="1129284"/>
                </a:lnTo>
                <a:lnTo>
                  <a:pt x="4831080" y="1333500"/>
                </a:lnTo>
                <a:lnTo>
                  <a:pt x="5657088" y="1333500"/>
                </a:lnTo>
                <a:lnTo>
                  <a:pt x="5657088" y="1129284"/>
                </a:lnTo>
                <a:close/>
              </a:path>
              <a:path w="7315200" h="2367280">
                <a:moveTo>
                  <a:pt x="5657088" y="922020"/>
                </a:moveTo>
                <a:lnTo>
                  <a:pt x="4831080" y="922020"/>
                </a:lnTo>
                <a:lnTo>
                  <a:pt x="4831080" y="1126236"/>
                </a:lnTo>
                <a:lnTo>
                  <a:pt x="5657088" y="1126236"/>
                </a:lnTo>
                <a:lnTo>
                  <a:pt x="5657088" y="922020"/>
                </a:lnTo>
                <a:close/>
              </a:path>
              <a:path w="7315200" h="2367280">
                <a:moveTo>
                  <a:pt x="5657088" y="714756"/>
                </a:moveTo>
                <a:lnTo>
                  <a:pt x="4831080" y="714756"/>
                </a:lnTo>
                <a:lnTo>
                  <a:pt x="4831080" y="918972"/>
                </a:lnTo>
                <a:lnTo>
                  <a:pt x="5657088" y="918972"/>
                </a:lnTo>
                <a:lnTo>
                  <a:pt x="5657088" y="714756"/>
                </a:lnTo>
                <a:close/>
              </a:path>
              <a:path w="7315200" h="2367280">
                <a:moveTo>
                  <a:pt x="5657088" y="507492"/>
                </a:moveTo>
                <a:lnTo>
                  <a:pt x="4831080" y="507492"/>
                </a:lnTo>
                <a:lnTo>
                  <a:pt x="4831080" y="711708"/>
                </a:lnTo>
                <a:lnTo>
                  <a:pt x="5657088" y="711708"/>
                </a:lnTo>
                <a:lnTo>
                  <a:pt x="5657088" y="507492"/>
                </a:lnTo>
                <a:close/>
              </a:path>
              <a:path w="7315200" h="2367280">
                <a:moveTo>
                  <a:pt x="5657088" y="300228"/>
                </a:moveTo>
                <a:lnTo>
                  <a:pt x="4831080" y="300228"/>
                </a:lnTo>
                <a:lnTo>
                  <a:pt x="4831080" y="504444"/>
                </a:lnTo>
                <a:lnTo>
                  <a:pt x="5657088" y="504444"/>
                </a:lnTo>
                <a:lnTo>
                  <a:pt x="5657088" y="300228"/>
                </a:lnTo>
                <a:close/>
              </a:path>
              <a:path w="7315200" h="2367280">
                <a:moveTo>
                  <a:pt x="5657088" y="0"/>
                </a:moveTo>
                <a:lnTo>
                  <a:pt x="4831080" y="0"/>
                </a:lnTo>
                <a:lnTo>
                  <a:pt x="4831080" y="297180"/>
                </a:lnTo>
                <a:lnTo>
                  <a:pt x="5657088" y="297180"/>
                </a:lnTo>
                <a:lnTo>
                  <a:pt x="5657088" y="0"/>
                </a:lnTo>
                <a:close/>
              </a:path>
              <a:path w="7315200" h="2367280">
                <a:moveTo>
                  <a:pt x="6486144" y="1956816"/>
                </a:moveTo>
                <a:lnTo>
                  <a:pt x="5660136" y="1956816"/>
                </a:lnTo>
                <a:lnTo>
                  <a:pt x="5660136" y="2161032"/>
                </a:lnTo>
                <a:lnTo>
                  <a:pt x="6486144" y="2161032"/>
                </a:lnTo>
                <a:lnTo>
                  <a:pt x="6486144" y="1956816"/>
                </a:lnTo>
                <a:close/>
              </a:path>
              <a:path w="7315200" h="2367280">
                <a:moveTo>
                  <a:pt x="6486144" y="1749552"/>
                </a:moveTo>
                <a:lnTo>
                  <a:pt x="5660136" y="1749552"/>
                </a:lnTo>
                <a:lnTo>
                  <a:pt x="5660136" y="1953768"/>
                </a:lnTo>
                <a:lnTo>
                  <a:pt x="6486144" y="1953768"/>
                </a:lnTo>
                <a:lnTo>
                  <a:pt x="6486144" y="1749552"/>
                </a:lnTo>
                <a:close/>
              </a:path>
              <a:path w="7315200" h="2367280">
                <a:moveTo>
                  <a:pt x="6486144" y="1542288"/>
                </a:moveTo>
                <a:lnTo>
                  <a:pt x="5660136" y="1542288"/>
                </a:lnTo>
                <a:lnTo>
                  <a:pt x="5660136" y="1746504"/>
                </a:lnTo>
                <a:lnTo>
                  <a:pt x="6486144" y="1746504"/>
                </a:lnTo>
                <a:lnTo>
                  <a:pt x="6486144" y="1542288"/>
                </a:lnTo>
                <a:close/>
              </a:path>
              <a:path w="7315200" h="2367280">
                <a:moveTo>
                  <a:pt x="6486144" y="1336548"/>
                </a:moveTo>
                <a:lnTo>
                  <a:pt x="5660136" y="1336548"/>
                </a:lnTo>
                <a:lnTo>
                  <a:pt x="5660136" y="1539240"/>
                </a:lnTo>
                <a:lnTo>
                  <a:pt x="6486144" y="1539240"/>
                </a:lnTo>
                <a:lnTo>
                  <a:pt x="6486144" y="1336548"/>
                </a:lnTo>
                <a:close/>
              </a:path>
              <a:path w="7315200" h="2367280">
                <a:moveTo>
                  <a:pt x="6486144" y="1129284"/>
                </a:moveTo>
                <a:lnTo>
                  <a:pt x="5660136" y="1129284"/>
                </a:lnTo>
                <a:lnTo>
                  <a:pt x="5660136" y="1333500"/>
                </a:lnTo>
                <a:lnTo>
                  <a:pt x="6486144" y="1333500"/>
                </a:lnTo>
                <a:lnTo>
                  <a:pt x="6486144" y="1129284"/>
                </a:lnTo>
                <a:close/>
              </a:path>
              <a:path w="7315200" h="2367280">
                <a:moveTo>
                  <a:pt x="6486144" y="922020"/>
                </a:moveTo>
                <a:lnTo>
                  <a:pt x="5660136" y="922020"/>
                </a:lnTo>
                <a:lnTo>
                  <a:pt x="5660136" y="1126236"/>
                </a:lnTo>
                <a:lnTo>
                  <a:pt x="6486144" y="1126236"/>
                </a:lnTo>
                <a:lnTo>
                  <a:pt x="6486144" y="922020"/>
                </a:lnTo>
                <a:close/>
              </a:path>
              <a:path w="7315200" h="2367280">
                <a:moveTo>
                  <a:pt x="6486144" y="714756"/>
                </a:moveTo>
                <a:lnTo>
                  <a:pt x="5660136" y="714756"/>
                </a:lnTo>
                <a:lnTo>
                  <a:pt x="5660136" y="918972"/>
                </a:lnTo>
                <a:lnTo>
                  <a:pt x="6486144" y="918972"/>
                </a:lnTo>
                <a:lnTo>
                  <a:pt x="6486144" y="714756"/>
                </a:lnTo>
                <a:close/>
              </a:path>
              <a:path w="7315200" h="2367280">
                <a:moveTo>
                  <a:pt x="6486144" y="507492"/>
                </a:moveTo>
                <a:lnTo>
                  <a:pt x="5660136" y="507492"/>
                </a:lnTo>
                <a:lnTo>
                  <a:pt x="5660136" y="711708"/>
                </a:lnTo>
                <a:lnTo>
                  <a:pt x="6486144" y="711708"/>
                </a:lnTo>
                <a:lnTo>
                  <a:pt x="6486144" y="507492"/>
                </a:lnTo>
                <a:close/>
              </a:path>
              <a:path w="7315200" h="2367280">
                <a:moveTo>
                  <a:pt x="6486144" y="300228"/>
                </a:moveTo>
                <a:lnTo>
                  <a:pt x="5660136" y="300228"/>
                </a:lnTo>
                <a:lnTo>
                  <a:pt x="5660136" y="504444"/>
                </a:lnTo>
                <a:lnTo>
                  <a:pt x="6486144" y="504444"/>
                </a:lnTo>
                <a:lnTo>
                  <a:pt x="6486144" y="300228"/>
                </a:lnTo>
                <a:close/>
              </a:path>
              <a:path w="7315200" h="2367280">
                <a:moveTo>
                  <a:pt x="6486144" y="0"/>
                </a:moveTo>
                <a:lnTo>
                  <a:pt x="5660136" y="0"/>
                </a:lnTo>
                <a:lnTo>
                  <a:pt x="5660136" y="297180"/>
                </a:lnTo>
                <a:lnTo>
                  <a:pt x="6486144" y="297180"/>
                </a:lnTo>
                <a:lnTo>
                  <a:pt x="6486144" y="0"/>
                </a:lnTo>
                <a:close/>
              </a:path>
              <a:path w="7315200" h="2367280">
                <a:moveTo>
                  <a:pt x="7315200" y="1956816"/>
                </a:moveTo>
                <a:lnTo>
                  <a:pt x="6489192" y="1956816"/>
                </a:lnTo>
                <a:lnTo>
                  <a:pt x="6489192" y="2161032"/>
                </a:lnTo>
                <a:lnTo>
                  <a:pt x="7315200" y="2161032"/>
                </a:lnTo>
                <a:lnTo>
                  <a:pt x="7315200" y="1956816"/>
                </a:lnTo>
                <a:close/>
              </a:path>
              <a:path w="7315200" h="2367280">
                <a:moveTo>
                  <a:pt x="7315200" y="1749552"/>
                </a:moveTo>
                <a:lnTo>
                  <a:pt x="6489192" y="1749552"/>
                </a:lnTo>
                <a:lnTo>
                  <a:pt x="6489192" y="1953768"/>
                </a:lnTo>
                <a:lnTo>
                  <a:pt x="7315200" y="1953768"/>
                </a:lnTo>
                <a:lnTo>
                  <a:pt x="7315200" y="1749552"/>
                </a:lnTo>
                <a:close/>
              </a:path>
              <a:path w="7315200" h="2367280">
                <a:moveTo>
                  <a:pt x="7315200" y="1542288"/>
                </a:moveTo>
                <a:lnTo>
                  <a:pt x="6489192" y="1542288"/>
                </a:lnTo>
                <a:lnTo>
                  <a:pt x="6489192" y="1746504"/>
                </a:lnTo>
                <a:lnTo>
                  <a:pt x="7315200" y="1746504"/>
                </a:lnTo>
                <a:lnTo>
                  <a:pt x="7315200" y="1542288"/>
                </a:lnTo>
                <a:close/>
              </a:path>
              <a:path w="7315200" h="2367280">
                <a:moveTo>
                  <a:pt x="7315200" y="1336548"/>
                </a:moveTo>
                <a:lnTo>
                  <a:pt x="6489192" y="1336548"/>
                </a:lnTo>
                <a:lnTo>
                  <a:pt x="6489192" y="1539240"/>
                </a:lnTo>
                <a:lnTo>
                  <a:pt x="7315200" y="1539240"/>
                </a:lnTo>
                <a:lnTo>
                  <a:pt x="7315200" y="1336548"/>
                </a:lnTo>
                <a:close/>
              </a:path>
              <a:path w="7315200" h="2367280">
                <a:moveTo>
                  <a:pt x="7315200" y="1129284"/>
                </a:moveTo>
                <a:lnTo>
                  <a:pt x="6489192" y="1129284"/>
                </a:lnTo>
                <a:lnTo>
                  <a:pt x="6489192" y="1333500"/>
                </a:lnTo>
                <a:lnTo>
                  <a:pt x="7315200" y="1333500"/>
                </a:lnTo>
                <a:lnTo>
                  <a:pt x="7315200" y="1129284"/>
                </a:lnTo>
                <a:close/>
              </a:path>
              <a:path w="7315200" h="2367280">
                <a:moveTo>
                  <a:pt x="7315200" y="922020"/>
                </a:moveTo>
                <a:lnTo>
                  <a:pt x="6489192" y="922020"/>
                </a:lnTo>
                <a:lnTo>
                  <a:pt x="6489192" y="1126236"/>
                </a:lnTo>
                <a:lnTo>
                  <a:pt x="7315200" y="1126236"/>
                </a:lnTo>
                <a:lnTo>
                  <a:pt x="7315200" y="922020"/>
                </a:lnTo>
                <a:close/>
              </a:path>
              <a:path w="7315200" h="2367280">
                <a:moveTo>
                  <a:pt x="7315200" y="714756"/>
                </a:moveTo>
                <a:lnTo>
                  <a:pt x="6489192" y="714756"/>
                </a:lnTo>
                <a:lnTo>
                  <a:pt x="6489192" y="918972"/>
                </a:lnTo>
                <a:lnTo>
                  <a:pt x="7315200" y="918972"/>
                </a:lnTo>
                <a:lnTo>
                  <a:pt x="7315200" y="714756"/>
                </a:lnTo>
                <a:close/>
              </a:path>
              <a:path w="7315200" h="2367280">
                <a:moveTo>
                  <a:pt x="7315200" y="507492"/>
                </a:moveTo>
                <a:lnTo>
                  <a:pt x="6489192" y="507492"/>
                </a:lnTo>
                <a:lnTo>
                  <a:pt x="6489192" y="711708"/>
                </a:lnTo>
                <a:lnTo>
                  <a:pt x="7315200" y="711708"/>
                </a:lnTo>
                <a:lnTo>
                  <a:pt x="7315200" y="507492"/>
                </a:lnTo>
                <a:close/>
              </a:path>
              <a:path w="7315200" h="2367280">
                <a:moveTo>
                  <a:pt x="7315200" y="300228"/>
                </a:moveTo>
                <a:lnTo>
                  <a:pt x="6489192" y="300228"/>
                </a:lnTo>
                <a:lnTo>
                  <a:pt x="6489192" y="504444"/>
                </a:lnTo>
                <a:lnTo>
                  <a:pt x="7315200" y="504444"/>
                </a:lnTo>
                <a:lnTo>
                  <a:pt x="7315200" y="300228"/>
                </a:lnTo>
                <a:close/>
              </a:path>
              <a:path w="7315200" h="2367280">
                <a:moveTo>
                  <a:pt x="7315200" y="0"/>
                </a:moveTo>
                <a:lnTo>
                  <a:pt x="6489192" y="0"/>
                </a:lnTo>
                <a:lnTo>
                  <a:pt x="6489192" y="297180"/>
                </a:lnTo>
                <a:lnTo>
                  <a:pt x="7315200" y="297180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0" y="1542287"/>
            <a:ext cx="7315200" cy="2273935"/>
          </a:xfrm>
          <a:custGeom>
            <a:avLst/>
            <a:gdLst/>
            <a:ahLst/>
            <a:cxnLst/>
            <a:rect l="0" t="0" r="0" b="0"/>
            <a:pathLst>
              <a:path w="7315200" h="2273935">
                <a:moveTo>
                  <a:pt x="339852" y="0"/>
                </a:moveTo>
                <a:lnTo>
                  <a:pt x="0" y="0"/>
                </a:lnTo>
                <a:lnTo>
                  <a:pt x="0" y="2273808"/>
                </a:lnTo>
                <a:lnTo>
                  <a:pt x="339852" y="2273808"/>
                </a:lnTo>
                <a:lnTo>
                  <a:pt x="339852" y="0"/>
                </a:lnTo>
                <a:close/>
              </a:path>
              <a:path w="7315200" h="2273935">
                <a:moveTo>
                  <a:pt x="1376172" y="0"/>
                </a:moveTo>
                <a:lnTo>
                  <a:pt x="342900" y="0"/>
                </a:lnTo>
                <a:lnTo>
                  <a:pt x="342900" y="2273808"/>
                </a:lnTo>
                <a:lnTo>
                  <a:pt x="1376172" y="2273808"/>
                </a:lnTo>
                <a:lnTo>
                  <a:pt x="1376172" y="0"/>
                </a:lnTo>
                <a:close/>
              </a:path>
              <a:path w="7315200" h="2273935">
                <a:moveTo>
                  <a:pt x="2753868" y="1656588"/>
                </a:moveTo>
                <a:lnTo>
                  <a:pt x="1379220" y="1656588"/>
                </a:lnTo>
                <a:lnTo>
                  <a:pt x="1379220" y="2273808"/>
                </a:lnTo>
                <a:lnTo>
                  <a:pt x="2753868" y="2273808"/>
                </a:lnTo>
                <a:lnTo>
                  <a:pt x="2753868" y="1656588"/>
                </a:lnTo>
                <a:close/>
              </a:path>
              <a:path w="7315200" h="2273935">
                <a:moveTo>
                  <a:pt x="2753868" y="827532"/>
                </a:moveTo>
                <a:lnTo>
                  <a:pt x="1379220" y="827532"/>
                </a:lnTo>
                <a:lnTo>
                  <a:pt x="1379220" y="1653540"/>
                </a:lnTo>
                <a:lnTo>
                  <a:pt x="2753868" y="1653540"/>
                </a:lnTo>
                <a:lnTo>
                  <a:pt x="2753868" y="827532"/>
                </a:lnTo>
                <a:close/>
              </a:path>
              <a:path w="7315200" h="2273935">
                <a:moveTo>
                  <a:pt x="3304032" y="2069592"/>
                </a:moveTo>
                <a:lnTo>
                  <a:pt x="2756916" y="2069592"/>
                </a:lnTo>
                <a:lnTo>
                  <a:pt x="2756916" y="2273808"/>
                </a:lnTo>
                <a:lnTo>
                  <a:pt x="3304032" y="2273808"/>
                </a:lnTo>
                <a:lnTo>
                  <a:pt x="3304032" y="2069592"/>
                </a:lnTo>
                <a:close/>
              </a:path>
              <a:path w="7315200" h="2273935">
                <a:moveTo>
                  <a:pt x="3304032" y="1862328"/>
                </a:moveTo>
                <a:lnTo>
                  <a:pt x="2756916" y="1862328"/>
                </a:lnTo>
                <a:lnTo>
                  <a:pt x="2756916" y="2066544"/>
                </a:lnTo>
                <a:lnTo>
                  <a:pt x="3304032" y="2066544"/>
                </a:lnTo>
                <a:lnTo>
                  <a:pt x="3304032" y="1862328"/>
                </a:lnTo>
                <a:close/>
              </a:path>
              <a:path w="7315200" h="2273935">
                <a:moveTo>
                  <a:pt x="3304032" y="1656588"/>
                </a:moveTo>
                <a:lnTo>
                  <a:pt x="2756916" y="1656588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6588"/>
                </a:lnTo>
                <a:close/>
              </a:path>
              <a:path w="7315200" h="2273935">
                <a:moveTo>
                  <a:pt x="3304032" y="1449324"/>
                </a:moveTo>
                <a:lnTo>
                  <a:pt x="2756916" y="1449324"/>
                </a:lnTo>
                <a:lnTo>
                  <a:pt x="2756916" y="1653540"/>
                </a:lnTo>
                <a:lnTo>
                  <a:pt x="3304032" y="1653540"/>
                </a:lnTo>
                <a:lnTo>
                  <a:pt x="3304032" y="1449324"/>
                </a:lnTo>
                <a:close/>
              </a:path>
              <a:path w="7315200" h="2273935">
                <a:moveTo>
                  <a:pt x="3304032" y="1242060"/>
                </a:moveTo>
                <a:lnTo>
                  <a:pt x="2756916" y="1242060"/>
                </a:lnTo>
                <a:lnTo>
                  <a:pt x="2756916" y="1446276"/>
                </a:lnTo>
                <a:lnTo>
                  <a:pt x="3304032" y="1446276"/>
                </a:lnTo>
                <a:lnTo>
                  <a:pt x="3304032" y="1242060"/>
                </a:lnTo>
                <a:close/>
              </a:path>
              <a:path w="7315200" h="2273935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2273935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2273935">
                <a:moveTo>
                  <a:pt x="3998976" y="2069592"/>
                </a:moveTo>
                <a:lnTo>
                  <a:pt x="3307080" y="2069592"/>
                </a:lnTo>
                <a:lnTo>
                  <a:pt x="3307080" y="2273808"/>
                </a:lnTo>
                <a:lnTo>
                  <a:pt x="3998976" y="2273808"/>
                </a:lnTo>
                <a:lnTo>
                  <a:pt x="3998976" y="2069592"/>
                </a:lnTo>
                <a:close/>
              </a:path>
              <a:path w="7315200" h="2273935">
                <a:moveTo>
                  <a:pt x="3998976" y="1862328"/>
                </a:moveTo>
                <a:lnTo>
                  <a:pt x="3307080" y="1862328"/>
                </a:lnTo>
                <a:lnTo>
                  <a:pt x="3307080" y="2066544"/>
                </a:lnTo>
                <a:lnTo>
                  <a:pt x="3998976" y="2066544"/>
                </a:lnTo>
                <a:lnTo>
                  <a:pt x="3998976" y="1862328"/>
                </a:lnTo>
                <a:close/>
              </a:path>
              <a:path w="7315200" h="2273935">
                <a:moveTo>
                  <a:pt x="3998976" y="1656588"/>
                </a:moveTo>
                <a:lnTo>
                  <a:pt x="3307080" y="1656588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6588"/>
                </a:lnTo>
                <a:close/>
              </a:path>
              <a:path w="7315200" h="2273935">
                <a:moveTo>
                  <a:pt x="3998976" y="1449324"/>
                </a:moveTo>
                <a:lnTo>
                  <a:pt x="3307080" y="1449324"/>
                </a:lnTo>
                <a:lnTo>
                  <a:pt x="3307080" y="1653540"/>
                </a:lnTo>
                <a:lnTo>
                  <a:pt x="3998976" y="1653540"/>
                </a:lnTo>
                <a:lnTo>
                  <a:pt x="3998976" y="1449324"/>
                </a:lnTo>
                <a:close/>
              </a:path>
              <a:path w="7315200" h="2273935">
                <a:moveTo>
                  <a:pt x="3998976" y="1242060"/>
                </a:moveTo>
                <a:lnTo>
                  <a:pt x="3307080" y="1242060"/>
                </a:lnTo>
                <a:lnTo>
                  <a:pt x="3307080" y="1446276"/>
                </a:lnTo>
                <a:lnTo>
                  <a:pt x="3998976" y="1446276"/>
                </a:lnTo>
                <a:lnTo>
                  <a:pt x="3998976" y="1242060"/>
                </a:lnTo>
                <a:close/>
              </a:path>
              <a:path w="7315200" h="2273935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2273935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2273935">
                <a:moveTo>
                  <a:pt x="4828032" y="2069592"/>
                </a:moveTo>
                <a:lnTo>
                  <a:pt x="4002024" y="2069592"/>
                </a:lnTo>
                <a:lnTo>
                  <a:pt x="4002024" y="2273808"/>
                </a:lnTo>
                <a:lnTo>
                  <a:pt x="4828032" y="2273808"/>
                </a:lnTo>
                <a:lnTo>
                  <a:pt x="4828032" y="2069592"/>
                </a:lnTo>
                <a:close/>
              </a:path>
              <a:path w="7315200" h="2273935">
                <a:moveTo>
                  <a:pt x="4828032" y="1862328"/>
                </a:moveTo>
                <a:lnTo>
                  <a:pt x="4002024" y="1862328"/>
                </a:lnTo>
                <a:lnTo>
                  <a:pt x="4002024" y="2066544"/>
                </a:lnTo>
                <a:lnTo>
                  <a:pt x="4828032" y="2066544"/>
                </a:lnTo>
                <a:lnTo>
                  <a:pt x="4828032" y="1862328"/>
                </a:lnTo>
                <a:close/>
              </a:path>
              <a:path w="7315200" h="2273935">
                <a:moveTo>
                  <a:pt x="4828032" y="1656588"/>
                </a:moveTo>
                <a:lnTo>
                  <a:pt x="4002024" y="1656588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6588"/>
                </a:lnTo>
                <a:close/>
              </a:path>
              <a:path w="7315200" h="2273935">
                <a:moveTo>
                  <a:pt x="4828032" y="1449324"/>
                </a:moveTo>
                <a:lnTo>
                  <a:pt x="4002024" y="1449324"/>
                </a:lnTo>
                <a:lnTo>
                  <a:pt x="4002024" y="1653540"/>
                </a:lnTo>
                <a:lnTo>
                  <a:pt x="4828032" y="1653540"/>
                </a:lnTo>
                <a:lnTo>
                  <a:pt x="4828032" y="1449324"/>
                </a:lnTo>
                <a:close/>
              </a:path>
              <a:path w="7315200" h="2273935">
                <a:moveTo>
                  <a:pt x="4828032" y="1242060"/>
                </a:moveTo>
                <a:lnTo>
                  <a:pt x="4002024" y="1242060"/>
                </a:lnTo>
                <a:lnTo>
                  <a:pt x="4002024" y="1446276"/>
                </a:lnTo>
                <a:lnTo>
                  <a:pt x="4828032" y="1446276"/>
                </a:lnTo>
                <a:lnTo>
                  <a:pt x="4828032" y="1242060"/>
                </a:lnTo>
                <a:close/>
              </a:path>
              <a:path w="7315200" h="2273935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2273935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2273935">
                <a:moveTo>
                  <a:pt x="5657088" y="2069592"/>
                </a:moveTo>
                <a:lnTo>
                  <a:pt x="4831080" y="2069592"/>
                </a:lnTo>
                <a:lnTo>
                  <a:pt x="4831080" y="2273808"/>
                </a:lnTo>
                <a:lnTo>
                  <a:pt x="5657088" y="2273808"/>
                </a:lnTo>
                <a:lnTo>
                  <a:pt x="5657088" y="2069592"/>
                </a:lnTo>
                <a:close/>
              </a:path>
              <a:path w="7315200" h="2273935">
                <a:moveTo>
                  <a:pt x="5657088" y="1862328"/>
                </a:moveTo>
                <a:lnTo>
                  <a:pt x="4831080" y="1862328"/>
                </a:lnTo>
                <a:lnTo>
                  <a:pt x="4831080" y="2066544"/>
                </a:lnTo>
                <a:lnTo>
                  <a:pt x="5657088" y="2066544"/>
                </a:lnTo>
                <a:lnTo>
                  <a:pt x="5657088" y="1862328"/>
                </a:lnTo>
                <a:close/>
              </a:path>
              <a:path w="7315200" h="2273935">
                <a:moveTo>
                  <a:pt x="5657088" y="1656588"/>
                </a:moveTo>
                <a:lnTo>
                  <a:pt x="4831080" y="1656588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6588"/>
                </a:lnTo>
                <a:close/>
              </a:path>
              <a:path w="7315200" h="2273935">
                <a:moveTo>
                  <a:pt x="5657088" y="1449324"/>
                </a:moveTo>
                <a:lnTo>
                  <a:pt x="4831080" y="1449324"/>
                </a:lnTo>
                <a:lnTo>
                  <a:pt x="4831080" y="1653540"/>
                </a:lnTo>
                <a:lnTo>
                  <a:pt x="5657088" y="1653540"/>
                </a:lnTo>
                <a:lnTo>
                  <a:pt x="5657088" y="1449324"/>
                </a:lnTo>
                <a:close/>
              </a:path>
              <a:path w="7315200" h="2273935">
                <a:moveTo>
                  <a:pt x="5657088" y="1242060"/>
                </a:moveTo>
                <a:lnTo>
                  <a:pt x="4831080" y="1242060"/>
                </a:lnTo>
                <a:lnTo>
                  <a:pt x="4831080" y="1446276"/>
                </a:lnTo>
                <a:lnTo>
                  <a:pt x="5657088" y="1446276"/>
                </a:lnTo>
                <a:lnTo>
                  <a:pt x="5657088" y="1242060"/>
                </a:lnTo>
                <a:close/>
              </a:path>
              <a:path w="7315200" h="2273935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2273935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2273935">
                <a:moveTo>
                  <a:pt x="5657088" y="621792"/>
                </a:moveTo>
                <a:lnTo>
                  <a:pt x="4831080" y="621792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1792"/>
                </a:lnTo>
                <a:close/>
              </a:path>
              <a:path w="7315200" h="2273935">
                <a:moveTo>
                  <a:pt x="6486144" y="2069592"/>
                </a:moveTo>
                <a:lnTo>
                  <a:pt x="5660136" y="2069592"/>
                </a:lnTo>
                <a:lnTo>
                  <a:pt x="5660136" y="2273808"/>
                </a:lnTo>
                <a:lnTo>
                  <a:pt x="6486144" y="2273808"/>
                </a:lnTo>
                <a:lnTo>
                  <a:pt x="6486144" y="2069592"/>
                </a:lnTo>
                <a:close/>
              </a:path>
              <a:path w="7315200" h="2273935">
                <a:moveTo>
                  <a:pt x="6486144" y="1862328"/>
                </a:moveTo>
                <a:lnTo>
                  <a:pt x="5660136" y="1862328"/>
                </a:lnTo>
                <a:lnTo>
                  <a:pt x="5660136" y="2066544"/>
                </a:lnTo>
                <a:lnTo>
                  <a:pt x="6486144" y="2066544"/>
                </a:lnTo>
                <a:lnTo>
                  <a:pt x="6486144" y="1862328"/>
                </a:lnTo>
                <a:close/>
              </a:path>
              <a:path w="7315200" h="2273935">
                <a:moveTo>
                  <a:pt x="6486144" y="1656588"/>
                </a:moveTo>
                <a:lnTo>
                  <a:pt x="5660136" y="1656588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6588"/>
                </a:lnTo>
                <a:close/>
              </a:path>
              <a:path w="7315200" h="2273935">
                <a:moveTo>
                  <a:pt x="6486144" y="1449324"/>
                </a:moveTo>
                <a:lnTo>
                  <a:pt x="5660136" y="1449324"/>
                </a:lnTo>
                <a:lnTo>
                  <a:pt x="5660136" y="1653540"/>
                </a:lnTo>
                <a:lnTo>
                  <a:pt x="6486144" y="1653540"/>
                </a:lnTo>
                <a:lnTo>
                  <a:pt x="6486144" y="1449324"/>
                </a:lnTo>
                <a:close/>
              </a:path>
              <a:path w="7315200" h="2273935">
                <a:moveTo>
                  <a:pt x="6486144" y="1242060"/>
                </a:moveTo>
                <a:lnTo>
                  <a:pt x="5660136" y="1242060"/>
                </a:lnTo>
                <a:lnTo>
                  <a:pt x="5660136" y="1446276"/>
                </a:lnTo>
                <a:lnTo>
                  <a:pt x="6486144" y="1446276"/>
                </a:lnTo>
                <a:lnTo>
                  <a:pt x="6486144" y="1242060"/>
                </a:lnTo>
                <a:close/>
              </a:path>
              <a:path w="7315200" h="2273935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2273935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2273935">
                <a:moveTo>
                  <a:pt x="6486144" y="621792"/>
                </a:moveTo>
                <a:lnTo>
                  <a:pt x="5660136" y="621792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1792"/>
                </a:lnTo>
                <a:close/>
              </a:path>
              <a:path w="7315200" h="2273935">
                <a:moveTo>
                  <a:pt x="7315200" y="2069592"/>
                </a:moveTo>
                <a:lnTo>
                  <a:pt x="6489192" y="2069592"/>
                </a:lnTo>
                <a:lnTo>
                  <a:pt x="6489192" y="2273808"/>
                </a:lnTo>
                <a:lnTo>
                  <a:pt x="7315200" y="2273808"/>
                </a:lnTo>
                <a:lnTo>
                  <a:pt x="7315200" y="2069592"/>
                </a:lnTo>
                <a:close/>
              </a:path>
              <a:path w="7315200" h="2273935">
                <a:moveTo>
                  <a:pt x="7315200" y="1862328"/>
                </a:moveTo>
                <a:lnTo>
                  <a:pt x="6489192" y="1862328"/>
                </a:lnTo>
                <a:lnTo>
                  <a:pt x="6489192" y="2066544"/>
                </a:lnTo>
                <a:lnTo>
                  <a:pt x="7315200" y="2066544"/>
                </a:lnTo>
                <a:lnTo>
                  <a:pt x="7315200" y="1862328"/>
                </a:lnTo>
                <a:close/>
              </a:path>
              <a:path w="7315200" h="2273935">
                <a:moveTo>
                  <a:pt x="7315200" y="1656588"/>
                </a:moveTo>
                <a:lnTo>
                  <a:pt x="6489192" y="1656588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6588"/>
                </a:lnTo>
                <a:close/>
              </a:path>
              <a:path w="7315200" h="2273935">
                <a:moveTo>
                  <a:pt x="7315200" y="1449324"/>
                </a:moveTo>
                <a:lnTo>
                  <a:pt x="6489192" y="1449324"/>
                </a:lnTo>
                <a:lnTo>
                  <a:pt x="6489192" y="1653540"/>
                </a:lnTo>
                <a:lnTo>
                  <a:pt x="7315200" y="1653540"/>
                </a:lnTo>
                <a:lnTo>
                  <a:pt x="7315200" y="1449324"/>
                </a:lnTo>
                <a:close/>
              </a:path>
              <a:path w="7315200" h="2273935">
                <a:moveTo>
                  <a:pt x="7315200" y="1242060"/>
                </a:moveTo>
                <a:lnTo>
                  <a:pt x="6489192" y="1242060"/>
                </a:lnTo>
                <a:lnTo>
                  <a:pt x="6489192" y="1446276"/>
                </a:lnTo>
                <a:lnTo>
                  <a:pt x="7315200" y="1446276"/>
                </a:lnTo>
                <a:lnTo>
                  <a:pt x="7315200" y="1242060"/>
                </a:lnTo>
                <a:close/>
              </a:path>
              <a:path w="7315200" h="2273935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2273935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2273935">
                <a:moveTo>
                  <a:pt x="7315200" y="621792"/>
                </a:moveTo>
                <a:lnTo>
                  <a:pt x="6489192" y="621792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179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536321</xdr:colOff>
      <xdr:row>24</xdr:row>
      <xdr:rowOff>0</xdr:rowOff>
    </xdr:from>
    <xdr:ext cx="702945" cy="381635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0"/>
          <a:ext cx="702945" cy="3816350"/>
        </a:xfrm>
        <a:custGeom>
          <a:avLst/>
          <a:gdLst/>
          <a:ahLst/>
          <a:cxnLst/>
          <a:rect l="0" t="0" r="0" b="0"/>
          <a:pathLst>
            <a:path w="702945" h="3816350">
              <a:moveTo>
                <a:pt x="702564" y="3611880"/>
              </a:moveTo>
              <a:lnTo>
                <a:pt x="0" y="3611880"/>
              </a:lnTo>
              <a:lnTo>
                <a:pt x="0" y="3816096"/>
              </a:lnTo>
              <a:lnTo>
                <a:pt x="702564" y="3816096"/>
              </a:lnTo>
              <a:lnTo>
                <a:pt x="702564" y="3611880"/>
              </a:lnTo>
              <a:close/>
            </a:path>
            <a:path w="702945" h="3816350">
              <a:moveTo>
                <a:pt x="702564" y="3404616"/>
              </a:moveTo>
              <a:lnTo>
                <a:pt x="0" y="3404616"/>
              </a:lnTo>
              <a:lnTo>
                <a:pt x="0" y="3608832"/>
              </a:lnTo>
              <a:lnTo>
                <a:pt x="702564" y="3608832"/>
              </a:lnTo>
              <a:lnTo>
                <a:pt x="702564" y="3404616"/>
              </a:lnTo>
              <a:close/>
            </a:path>
            <a:path w="702945" h="3816350">
              <a:moveTo>
                <a:pt x="702564" y="3198876"/>
              </a:moveTo>
              <a:lnTo>
                <a:pt x="0" y="3198876"/>
              </a:lnTo>
              <a:lnTo>
                <a:pt x="0" y="3401568"/>
              </a:lnTo>
              <a:lnTo>
                <a:pt x="702564" y="3401568"/>
              </a:lnTo>
              <a:lnTo>
                <a:pt x="702564" y="3198876"/>
              </a:lnTo>
              <a:close/>
            </a:path>
            <a:path w="702945" h="3816350">
              <a:moveTo>
                <a:pt x="702564" y="2991612"/>
              </a:moveTo>
              <a:lnTo>
                <a:pt x="0" y="2991612"/>
              </a:lnTo>
              <a:lnTo>
                <a:pt x="0" y="3195828"/>
              </a:lnTo>
              <a:lnTo>
                <a:pt x="702564" y="3195828"/>
              </a:lnTo>
              <a:lnTo>
                <a:pt x="702564" y="2991612"/>
              </a:lnTo>
              <a:close/>
            </a:path>
            <a:path w="702945" h="3816350">
              <a:moveTo>
                <a:pt x="702564" y="2784348"/>
              </a:moveTo>
              <a:lnTo>
                <a:pt x="0" y="2784348"/>
              </a:lnTo>
              <a:lnTo>
                <a:pt x="0" y="2988564"/>
              </a:lnTo>
              <a:lnTo>
                <a:pt x="702564" y="2988564"/>
              </a:lnTo>
              <a:lnTo>
                <a:pt x="702564" y="2784348"/>
              </a:lnTo>
              <a:close/>
            </a:path>
            <a:path w="702945" h="3816350">
              <a:moveTo>
                <a:pt x="702564" y="2577084"/>
              </a:moveTo>
              <a:lnTo>
                <a:pt x="0" y="2577084"/>
              </a:lnTo>
              <a:lnTo>
                <a:pt x="0" y="2781300"/>
              </a:lnTo>
              <a:lnTo>
                <a:pt x="702564" y="2781300"/>
              </a:lnTo>
              <a:lnTo>
                <a:pt x="702564" y="2577084"/>
              </a:lnTo>
              <a:close/>
            </a:path>
            <a:path w="702945" h="3816350">
              <a:moveTo>
                <a:pt x="702564" y="2369820"/>
              </a:moveTo>
              <a:lnTo>
                <a:pt x="0" y="2369820"/>
              </a:lnTo>
              <a:lnTo>
                <a:pt x="0" y="2574036"/>
              </a:lnTo>
              <a:lnTo>
                <a:pt x="702564" y="2574036"/>
              </a:lnTo>
              <a:lnTo>
                <a:pt x="702564" y="2369820"/>
              </a:lnTo>
              <a:close/>
            </a:path>
            <a:path w="702945" h="3816350">
              <a:moveTo>
                <a:pt x="702564" y="2164080"/>
              </a:moveTo>
              <a:lnTo>
                <a:pt x="0" y="2164080"/>
              </a:lnTo>
              <a:lnTo>
                <a:pt x="0" y="2366772"/>
              </a:lnTo>
              <a:lnTo>
                <a:pt x="702564" y="2366772"/>
              </a:lnTo>
              <a:lnTo>
                <a:pt x="702564" y="2164080"/>
              </a:lnTo>
              <a:close/>
            </a:path>
            <a:path w="702945" h="3816350">
              <a:moveTo>
                <a:pt x="702564" y="1956816"/>
              </a:moveTo>
              <a:lnTo>
                <a:pt x="0" y="1956816"/>
              </a:lnTo>
              <a:lnTo>
                <a:pt x="0" y="2161032"/>
              </a:lnTo>
              <a:lnTo>
                <a:pt x="702564" y="2161032"/>
              </a:lnTo>
              <a:lnTo>
                <a:pt x="702564" y="1956816"/>
              </a:lnTo>
              <a:close/>
            </a:path>
            <a:path w="702945" h="3816350">
              <a:moveTo>
                <a:pt x="702564" y="1749552"/>
              </a:moveTo>
              <a:lnTo>
                <a:pt x="0" y="1749552"/>
              </a:lnTo>
              <a:lnTo>
                <a:pt x="0" y="1953768"/>
              </a:lnTo>
              <a:lnTo>
                <a:pt x="702564" y="1953768"/>
              </a:lnTo>
              <a:lnTo>
                <a:pt x="702564" y="1749552"/>
              </a:lnTo>
              <a:close/>
            </a:path>
            <a:path w="702945" h="3816350">
              <a:moveTo>
                <a:pt x="702564" y="1542288"/>
              </a:moveTo>
              <a:lnTo>
                <a:pt x="0" y="1542288"/>
              </a:lnTo>
              <a:lnTo>
                <a:pt x="0" y="1746504"/>
              </a:lnTo>
              <a:lnTo>
                <a:pt x="702564" y="1746504"/>
              </a:lnTo>
              <a:lnTo>
                <a:pt x="702564" y="1542288"/>
              </a:lnTo>
              <a:close/>
            </a:path>
            <a:path w="702945" h="3816350">
              <a:moveTo>
                <a:pt x="702564" y="1336548"/>
              </a:moveTo>
              <a:lnTo>
                <a:pt x="0" y="1336548"/>
              </a:lnTo>
              <a:lnTo>
                <a:pt x="0" y="1539240"/>
              </a:lnTo>
              <a:lnTo>
                <a:pt x="702564" y="1539240"/>
              </a:lnTo>
              <a:lnTo>
                <a:pt x="702564" y="1336548"/>
              </a:lnTo>
              <a:close/>
            </a:path>
            <a:path w="702945" h="3816350">
              <a:moveTo>
                <a:pt x="702564" y="1129284"/>
              </a:moveTo>
              <a:lnTo>
                <a:pt x="0" y="1129284"/>
              </a:lnTo>
              <a:lnTo>
                <a:pt x="0" y="1333500"/>
              </a:lnTo>
              <a:lnTo>
                <a:pt x="702564" y="1333500"/>
              </a:lnTo>
              <a:lnTo>
                <a:pt x="702564" y="1129284"/>
              </a:lnTo>
              <a:close/>
            </a:path>
            <a:path w="702945" h="3816350">
              <a:moveTo>
                <a:pt x="702564" y="922020"/>
              </a:moveTo>
              <a:lnTo>
                <a:pt x="0" y="922020"/>
              </a:lnTo>
              <a:lnTo>
                <a:pt x="0" y="1126236"/>
              </a:lnTo>
              <a:lnTo>
                <a:pt x="702564" y="1126236"/>
              </a:lnTo>
              <a:lnTo>
                <a:pt x="702564" y="922020"/>
              </a:lnTo>
              <a:close/>
            </a:path>
            <a:path w="702945" h="3816350">
              <a:moveTo>
                <a:pt x="702564" y="714756"/>
              </a:moveTo>
              <a:lnTo>
                <a:pt x="0" y="714756"/>
              </a:lnTo>
              <a:lnTo>
                <a:pt x="0" y="918972"/>
              </a:lnTo>
              <a:lnTo>
                <a:pt x="702564" y="918972"/>
              </a:lnTo>
              <a:lnTo>
                <a:pt x="702564" y="714756"/>
              </a:lnTo>
              <a:close/>
            </a:path>
            <a:path w="702945" h="3816350">
              <a:moveTo>
                <a:pt x="702564" y="507492"/>
              </a:moveTo>
              <a:lnTo>
                <a:pt x="0" y="507492"/>
              </a:lnTo>
              <a:lnTo>
                <a:pt x="0" y="711708"/>
              </a:lnTo>
              <a:lnTo>
                <a:pt x="702564" y="711708"/>
              </a:lnTo>
              <a:lnTo>
                <a:pt x="702564" y="507492"/>
              </a:lnTo>
              <a:close/>
            </a:path>
            <a:path w="702945" h="3816350">
              <a:moveTo>
                <a:pt x="702564" y="300228"/>
              </a:moveTo>
              <a:lnTo>
                <a:pt x="0" y="300228"/>
              </a:lnTo>
              <a:lnTo>
                <a:pt x="0" y="504444"/>
              </a:lnTo>
              <a:lnTo>
                <a:pt x="702564" y="504444"/>
              </a:lnTo>
              <a:lnTo>
                <a:pt x="702564" y="300228"/>
              </a:lnTo>
              <a:close/>
            </a:path>
            <a:path w="702945" h="3816350">
              <a:moveTo>
                <a:pt x="702564" y="0"/>
              </a:moveTo>
              <a:lnTo>
                <a:pt x="0" y="0"/>
              </a:lnTo>
              <a:lnTo>
                <a:pt x="0" y="297180"/>
              </a:lnTo>
              <a:lnTo>
                <a:pt x="702564" y="297180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541909</xdr:colOff>
      <xdr:row>21</xdr:row>
      <xdr:rowOff>0</xdr:rowOff>
    </xdr:from>
    <xdr:ext cx="3313429" cy="37528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235457</xdr:colOff>
      <xdr:row>3</xdr:row>
      <xdr:rowOff>762</xdr:rowOff>
    </xdr:from>
    <xdr:ext cx="381000" cy="381000"/>
    <xdr:pic>
      <xdr:nvPicPr>
        <xdr:cNvPr id="23" name="image1.jpe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330696</xdr:colOff>
      <xdr:row>3</xdr:row>
      <xdr:rowOff>49142</xdr:rowOff>
    </xdr:from>
    <xdr:ext cx="193523" cy="290285"/>
    <xdr:pic>
      <xdr:nvPicPr>
        <xdr:cNvPr id="24" name="image2.jpe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7</xdr:col>
      <xdr:colOff>235458</xdr:colOff>
      <xdr:row>3</xdr:row>
      <xdr:rowOff>49142</xdr:rowOff>
    </xdr:from>
    <xdr:ext cx="381000" cy="290285"/>
    <xdr:pic>
      <xdr:nvPicPr>
        <xdr:cNvPr id="25" name="image3.jpe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49142</xdr:rowOff>
    </xdr:from>
    <xdr:ext cx="381000" cy="290285"/>
    <xdr:pic>
      <xdr:nvPicPr>
        <xdr:cNvPr id="26" name="image4.jpe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198754</xdr:colOff>
      <xdr:row>22</xdr:row>
      <xdr:rowOff>0</xdr:rowOff>
    </xdr:from>
    <xdr:ext cx="7315200" cy="3724910"/>
    <xdr:grpSp>
      <xdr:nvGrpSpPr>
        <xdr:cNvPr id="27" name="Group 27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pSpPr/>
      </xdr:nvGrpSpPr>
      <xdr:grpSpPr>
        <a:xfrm>
          <a:off x="610234" y="5608320"/>
          <a:ext cx="7315200" cy="3724910"/>
          <a:chOff x="0" y="0"/>
          <a:chExt cx="7315200" cy="3724910"/>
        </a:xfrm>
      </xdr:grpSpPr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/>
        </xdr:nvSpPr>
        <xdr:spPr>
          <a:xfrm>
            <a:off x="0" y="0"/>
            <a:ext cx="7315200" cy="2481580"/>
          </a:xfrm>
          <a:custGeom>
            <a:avLst/>
            <a:gdLst/>
            <a:ahLst/>
            <a:cxnLst/>
            <a:rect l="0" t="0" r="0" b="0"/>
            <a:pathLst>
              <a:path w="7315200" h="2481580">
                <a:moveTo>
                  <a:pt x="339852" y="0"/>
                </a:moveTo>
                <a:lnTo>
                  <a:pt x="0" y="0"/>
                </a:lnTo>
                <a:lnTo>
                  <a:pt x="0" y="2273808"/>
                </a:lnTo>
                <a:lnTo>
                  <a:pt x="339852" y="2273808"/>
                </a:lnTo>
                <a:lnTo>
                  <a:pt x="339852" y="0"/>
                </a:lnTo>
                <a:close/>
              </a:path>
              <a:path w="7315200" h="2481580">
                <a:moveTo>
                  <a:pt x="1376172" y="0"/>
                </a:moveTo>
                <a:lnTo>
                  <a:pt x="342900" y="0"/>
                </a:lnTo>
                <a:lnTo>
                  <a:pt x="342900" y="2273808"/>
                </a:lnTo>
                <a:lnTo>
                  <a:pt x="1376172" y="2273808"/>
                </a:lnTo>
                <a:lnTo>
                  <a:pt x="1376172" y="0"/>
                </a:lnTo>
                <a:close/>
              </a:path>
              <a:path w="7315200" h="2481580">
                <a:moveTo>
                  <a:pt x="2753868" y="827532"/>
                </a:moveTo>
                <a:lnTo>
                  <a:pt x="1379220" y="827532"/>
                </a:lnTo>
                <a:lnTo>
                  <a:pt x="1379220" y="2273808"/>
                </a:lnTo>
                <a:lnTo>
                  <a:pt x="2753868" y="2273808"/>
                </a:lnTo>
                <a:lnTo>
                  <a:pt x="2753868" y="827532"/>
                </a:lnTo>
                <a:close/>
              </a:path>
              <a:path w="7315200" h="2481580">
                <a:moveTo>
                  <a:pt x="2753868" y="0"/>
                </a:moveTo>
                <a:lnTo>
                  <a:pt x="1379220" y="0"/>
                </a:lnTo>
                <a:lnTo>
                  <a:pt x="1379220" y="824484"/>
                </a:lnTo>
                <a:lnTo>
                  <a:pt x="2753868" y="824484"/>
                </a:lnTo>
                <a:lnTo>
                  <a:pt x="2753868" y="0"/>
                </a:lnTo>
                <a:close/>
              </a:path>
              <a:path w="7315200" h="2481580">
                <a:moveTo>
                  <a:pt x="3304032" y="2276856"/>
                </a:moveTo>
                <a:lnTo>
                  <a:pt x="2756916" y="2276856"/>
                </a:lnTo>
                <a:lnTo>
                  <a:pt x="2756916" y="2481072"/>
                </a:lnTo>
                <a:lnTo>
                  <a:pt x="3304032" y="2481072"/>
                </a:lnTo>
                <a:lnTo>
                  <a:pt x="3304032" y="2276856"/>
                </a:lnTo>
                <a:close/>
              </a:path>
              <a:path w="7315200" h="2481580">
                <a:moveTo>
                  <a:pt x="3304032" y="2069592"/>
                </a:moveTo>
                <a:lnTo>
                  <a:pt x="2756916" y="2069592"/>
                </a:lnTo>
                <a:lnTo>
                  <a:pt x="2756916" y="2273808"/>
                </a:lnTo>
                <a:lnTo>
                  <a:pt x="3304032" y="2273808"/>
                </a:lnTo>
                <a:lnTo>
                  <a:pt x="3304032" y="2069592"/>
                </a:lnTo>
                <a:close/>
              </a:path>
              <a:path w="7315200" h="2481580">
                <a:moveTo>
                  <a:pt x="3304032" y="1862328"/>
                </a:moveTo>
                <a:lnTo>
                  <a:pt x="2756916" y="1862328"/>
                </a:lnTo>
                <a:lnTo>
                  <a:pt x="2756916" y="2066544"/>
                </a:lnTo>
                <a:lnTo>
                  <a:pt x="3304032" y="2066544"/>
                </a:lnTo>
                <a:lnTo>
                  <a:pt x="3304032" y="1862328"/>
                </a:lnTo>
                <a:close/>
              </a:path>
              <a:path w="7315200" h="2481580">
                <a:moveTo>
                  <a:pt x="3304032" y="1656588"/>
                </a:moveTo>
                <a:lnTo>
                  <a:pt x="2756916" y="1656588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6588"/>
                </a:lnTo>
                <a:close/>
              </a:path>
              <a:path w="7315200" h="2481580">
                <a:moveTo>
                  <a:pt x="3304032" y="1449324"/>
                </a:moveTo>
                <a:lnTo>
                  <a:pt x="2756916" y="1449324"/>
                </a:lnTo>
                <a:lnTo>
                  <a:pt x="2756916" y="1653540"/>
                </a:lnTo>
                <a:lnTo>
                  <a:pt x="3304032" y="1653540"/>
                </a:lnTo>
                <a:lnTo>
                  <a:pt x="3304032" y="1449324"/>
                </a:lnTo>
                <a:close/>
              </a:path>
              <a:path w="7315200" h="2481580">
                <a:moveTo>
                  <a:pt x="3304032" y="1242060"/>
                </a:moveTo>
                <a:lnTo>
                  <a:pt x="2756916" y="1242060"/>
                </a:lnTo>
                <a:lnTo>
                  <a:pt x="2756916" y="1446276"/>
                </a:lnTo>
                <a:lnTo>
                  <a:pt x="3304032" y="1446276"/>
                </a:lnTo>
                <a:lnTo>
                  <a:pt x="3304032" y="1242060"/>
                </a:lnTo>
                <a:close/>
              </a:path>
              <a:path w="7315200" h="2481580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2481580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2481580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2481580">
                <a:moveTo>
                  <a:pt x="3304032" y="414528"/>
                </a:moveTo>
                <a:lnTo>
                  <a:pt x="2756916" y="414528"/>
                </a:lnTo>
                <a:lnTo>
                  <a:pt x="2756916" y="617220"/>
                </a:lnTo>
                <a:lnTo>
                  <a:pt x="3304032" y="617220"/>
                </a:lnTo>
                <a:lnTo>
                  <a:pt x="3304032" y="414528"/>
                </a:lnTo>
                <a:close/>
              </a:path>
              <a:path w="7315200" h="2481580">
                <a:moveTo>
                  <a:pt x="3304032" y="207264"/>
                </a:moveTo>
                <a:lnTo>
                  <a:pt x="2756916" y="207264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207264"/>
                </a:lnTo>
                <a:close/>
              </a:path>
              <a:path w="7315200" h="2481580">
                <a:moveTo>
                  <a:pt x="3304032" y="0"/>
                </a:moveTo>
                <a:lnTo>
                  <a:pt x="2756916" y="0"/>
                </a:lnTo>
                <a:lnTo>
                  <a:pt x="2756916" y="204216"/>
                </a:lnTo>
                <a:lnTo>
                  <a:pt x="3304032" y="204216"/>
                </a:lnTo>
                <a:lnTo>
                  <a:pt x="3304032" y="0"/>
                </a:lnTo>
                <a:close/>
              </a:path>
              <a:path w="7315200" h="2481580">
                <a:moveTo>
                  <a:pt x="3998976" y="2069592"/>
                </a:moveTo>
                <a:lnTo>
                  <a:pt x="3307080" y="2069592"/>
                </a:lnTo>
                <a:lnTo>
                  <a:pt x="3307080" y="2273808"/>
                </a:lnTo>
                <a:lnTo>
                  <a:pt x="3998976" y="2273808"/>
                </a:lnTo>
                <a:lnTo>
                  <a:pt x="3998976" y="2069592"/>
                </a:lnTo>
                <a:close/>
              </a:path>
              <a:path w="7315200" h="2481580">
                <a:moveTo>
                  <a:pt x="3998976" y="1862328"/>
                </a:moveTo>
                <a:lnTo>
                  <a:pt x="3307080" y="1862328"/>
                </a:lnTo>
                <a:lnTo>
                  <a:pt x="3307080" y="2066544"/>
                </a:lnTo>
                <a:lnTo>
                  <a:pt x="3998976" y="2066544"/>
                </a:lnTo>
                <a:lnTo>
                  <a:pt x="3998976" y="1862328"/>
                </a:lnTo>
                <a:close/>
              </a:path>
              <a:path w="7315200" h="2481580">
                <a:moveTo>
                  <a:pt x="3998976" y="1656588"/>
                </a:moveTo>
                <a:lnTo>
                  <a:pt x="3307080" y="1656588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6588"/>
                </a:lnTo>
                <a:close/>
              </a:path>
              <a:path w="7315200" h="2481580">
                <a:moveTo>
                  <a:pt x="3998976" y="1449324"/>
                </a:moveTo>
                <a:lnTo>
                  <a:pt x="3307080" y="1449324"/>
                </a:lnTo>
                <a:lnTo>
                  <a:pt x="3307080" y="1653540"/>
                </a:lnTo>
                <a:lnTo>
                  <a:pt x="3998976" y="1653540"/>
                </a:lnTo>
                <a:lnTo>
                  <a:pt x="3998976" y="1449324"/>
                </a:lnTo>
                <a:close/>
              </a:path>
              <a:path w="7315200" h="2481580">
                <a:moveTo>
                  <a:pt x="3998976" y="1242060"/>
                </a:moveTo>
                <a:lnTo>
                  <a:pt x="3307080" y="1242060"/>
                </a:lnTo>
                <a:lnTo>
                  <a:pt x="3307080" y="1446276"/>
                </a:lnTo>
                <a:lnTo>
                  <a:pt x="3998976" y="1446276"/>
                </a:lnTo>
                <a:lnTo>
                  <a:pt x="3998976" y="1242060"/>
                </a:lnTo>
                <a:close/>
              </a:path>
              <a:path w="7315200" h="2481580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2481580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2481580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2481580">
                <a:moveTo>
                  <a:pt x="3998976" y="414528"/>
                </a:moveTo>
                <a:lnTo>
                  <a:pt x="3307080" y="414528"/>
                </a:lnTo>
                <a:lnTo>
                  <a:pt x="3307080" y="617220"/>
                </a:lnTo>
                <a:lnTo>
                  <a:pt x="3998976" y="617220"/>
                </a:lnTo>
                <a:lnTo>
                  <a:pt x="3998976" y="414528"/>
                </a:lnTo>
                <a:close/>
              </a:path>
              <a:path w="7315200" h="2481580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2481580">
                <a:moveTo>
                  <a:pt x="3998976" y="0"/>
                </a:moveTo>
                <a:lnTo>
                  <a:pt x="3307080" y="0"/>
                </a:lnTo>
                <a:lnTo>
                  <a:pt x="3307080" y="204216"/>
                </a:lnTo>
                <a:lnTo>
                  <a:pt x="3998976" y="204216"/>
                </a:lnTo>
                <a:lnTo>
                  <a:pt x="3998976" y="0"/>
                </a:lnTo>
                <a:close/>
              </a:path>
              <a:path w="7315200" h="2481580">
                <a:moveTo>
                  <a:pt x="4828032" y="2069592"/>
                </a:moveTo>
                <a:lnTo>
                  <a:pt x="4002024" y="2069592"/>
                </a:lnTo>
                <a:lnTo>
                  <a:pt x="4002024" y="2273808"/>
                </a:lnTo>
                <a:lnTo>
                  <a:pt x="4828032" y="2273808"/>
                </a:lnTo>
                <a:lnTo>
                  <a:pt x="4828032" y="2069592"/>
                </a:lnTo>
                <a:close/>
              </a:path>
              <a:path w="7315200" h="2481580">
                <a:moveTo>
                  <a:pt x="4828032" y="1862328"/>
                </a:moveTo>
                <a:lnTo>
                  <a:pt x="4002024" y="1862328"/>
                </a:lnTo>
                <a:lnTo>
                  <a:pt x="4002024" y="2066544"/>
                </a:lnTo>
                <a:lnTo>
                  <a:pt x="4828032" y="2066544"/>
                </a:lnTo>
                <a:lnTo>
                  <a:pt x="4828032" y="1862328"/>
                </a:lnTo>
                <a:close/>
              </a:path>
              <a:path w="7315200" h="2481580">
                <a:moveTo>
                  <a:pt x="4828032" y="1656588"/>
                </a:moveTo>
                <a:lnTo>
                  <a:pt x="4002024" y="1656588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6588"/>
                </a:lnTo>
                <a:close/>
              </a:path>
              <a:path w="7315200" h="2481580">
                <a:moveTo>
                  <a:pt x="4828032" y="1449324"/>
                </a:moveTo>
                <a:lnTo>
                  <a:pt x="4002024" y="1449324"/>
                </a:lnTo>
                <a:lnTo>
                  <a:pt x="4002024" y="1653540"/>
                </a:lnTo>
                <a:lnTo>
                  <a:pt x="4828032" y="1653540"/>
                </a:lnTo>
                <a:lnTo>
                  <a:pt x="4828032" y="1449324"/>
                </a:lnTo>
                <a:close/>
              </a:path>
              <a:path w="7315200" h="2481580">
                <a:moveTo>
                  <a:pt x="4828032" y="1242060"/>
                </a:moveTo>
                <a:lnTo>
                  <a:pt x="4002024" y="1242060"/>
                </a:lnTo>
                <a:lnTo>
                  <a:pt x="4002024" y="1446276"/>
                </a:lnTo>
                <a:lnTo>
                  <a:pt x="4828032" y="1446276"/>
                </a:lnTo>
                <a:lnTo>
                  <a:pt x="4828032" y="1242060"/>
                </a:lnTo>
                <a:close/>
              </a:path>
              <a:path w="7315200" h="2481580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2481580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2481580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2481580">
                <a:moveTo>
                  <a:pt x="4828032" y="414528"/>
                </a:moveTo>
                <a:lnTo>
                  <a:pt x="4002024" y="414528"/>
                </a:lnTo>
                <a:lnTo>
                  <a:pt x="4002024" y="617220"/>
                </a:lnTo>
                <a:lnTo>
                  <a:pt x="4828032" y="617220"/>
                </a:lnTo>
                <a:lnTo>
                  <a:pt x="4828032" y="414528"/>
                </a:lnTo>
                <a:close/>
              </a:path>
              <a:path w="7315200" h="2481580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2481580">
                <a:moveTo>
                  <a:pt x="4828032" y="0"/>
                </a:moveTo>
                <a:lnTo>
                  <a:pt x="4002024" y="0"/>
                </a:lnTo>
                <a:lnTo>
                  <a:pt x="4002024" y="204216"/>
                </a:lnTo>
                <a:lnTo>
                  <a:pt x="4828032" y="204216"/>
                </a:lnTo>
                <a:lnTo>
                  <a:pt x="4828032" y="0"/>
                </a:lnTo>
                <a:close/>
              </a:path>
              <a:path w="7315200" h="2481580">
                <a:moveTo>
                  <a:pt x="5657088" y="2069592"/>
                </a:moveTo>
                <a:lnTo>
                  <a:pt x="4831080" y="2069592"/>
                </a:lnTo>
                <a:lnTo>
                  <a:pt x="4831080" y="2273808"/>
                </a:lnTo>
                <a:lnTo>
                  <a:pt x="5657088" y="2273808"/>
                </a:lnTo>
                <a:lnTo>
                  <a:pt x="5657088" y="2069592"/>
                </a:lnTo>
                <a:close/>
              </a:path>
              <a:path w="7315200" h="2481580">
                <a:moveTo>
                  <a:pt x="5657088" y="1862328"/>
                </a:moveTo>
                <a:lnTo>
                  <a:pt x="4831080" y="1862328"/>
                </a:lnTo>
                <a:lnTo>
                  <a:pt x="4831080" y="2066544"/>
                </a:lnTo>
                <a:lnTo>
                  <a:pt x="5657088" y="2066544"/>
                </a:lnTo>
                <a:lnTo>
                  <a:pt x="5657088" y="1862328"/>
                </a:lnTo>
                <a:close/>
              </a:path>
              <a:path w="7315200" h="2481580">
                <a:moveTo>
                  <a:pt x="5657088" y="1656588"/>
                </a:moveTo>
                <a:lnTo>
                  <a:pt x="4831080" y="1656588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6588"/>
                </a:lnTo>
                <a:close/>
              </a:path>
              <a:path w="7315200" h="2481580">
                <a:moveTo>
                  <a:pt x="5657088" y="1449324"/>
                </a:moveTo>
                <a:lnTo>
                  <a:pt x="4831080" y="1449324"/>
                </a:lnTo>
                <a:lnTo>
                  <a:pt x="4831080" y="1653540"/>
                </a:lnTo>
                <a:lnTo>
                  <a:pt x="5657088" y="1653540"/>
                </a:lnTo>
                <a:lnTo>
                  <a:pt x="5657088" y="1449324"/>
                </a:lnTo>
                <a:close/>
              </a:path>
              <a:path w="7315200" h="2481580">
                <a:moveTo>
                  <a:pt x="5657088" y="1242060"/>
                </a:moveTo>
                <a:lnTo>
                  <a:pt x="4831080" y="1242060"/>
                </a:lnTo>
                <a:lnTo>
                  <a:pt x="4831080" y="1446276"/>
                </a:lnTo>
                <a:lnTo>
                  <a:pt x="5657088" y="1446276"/>
                </a:lnTo>
                <a:lnTo>
                  <a:pt x="5657088" y="1242060"/>
                </a:lnTo>
                <a:close/>
              </a:path>
              <a:path w="7315200" h="2481580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2481580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2481580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2481580">
                <a:moveTo>
                  <a:pt x="5657088" y="414528"/>
                </a:moveTo>
                <a:lnTo>
                  <a:pt x="4831080" y="414528"/>
                </a:lnTo>
                <a:lnTo>
                  <a:pt x="4831080" y="617220"/>
                </a:lnTo>
                <a:lnTo>
                  <a:pt x="5657088" y="617220"/>
                </a:lnTo>
                <a:lnTo>
                  <a:pt x="5657088" y="414528"/>
                </a:lnTo>
                <a:close/>
              </a:path>
              <a:path w="7315200" h="2481580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2481580">
                <a:moveTo>
                  <a:pt x="5657088" y="0"/>
                </a:moveTo>
                <a:lnTo>
                  <a:pt x="4831080" y="0"/>
                </a:lnTo>
                <a:lnTo>
                  <a:pt x="4831080" y="204216"/>
                </a:lnTo>
                <a:lnTo>
                  <a:pt x="5657088" y="204216"/>
                </a:lnTo>
                <a:lnTo>
                  <a:pt x="5657088" y="0"/>
                </a:lnTo>
                <a:close/>
              </a:path>
              <a:path w="7315200" h="2481580">
                <a:moveTo>
                  <a:pt x="6486144" y="2069592"/>
                </a:moveTo>
                <a:lnTo>
                  <a:pt x="5660136" y="2069592"/>
                </a:lnTo>
                <a:lnTo>
                  <a:pt x="5660136" y="2273808"/>
                </a:lnTo>
                <a:lnTo>
                  <a:pt x="6486144" y="2273808"/>
                </a:lnTo>
                <a:lnTo>
                  <a:pt x="6486144" y="2069592"/>
                </a:lnTo>
                <a:close/>
              </a:path>
              <a:path w="7315200" h="2481580">
                <a:moveTo>
                  <a:pt x="6486144" y="1862328"/>
                </a:moveTo>
                <a:lnTo>
                  <a:pt x="5660136" y="1862328"/>
                </a:lnTo>
                <a:lnTo>
                  <a:pt x="5660136" y="2066544"/>
                </a:lnTo>
                <a:lnTo>
                  <a:pt x="6486144" y="2066544"/>
                </a:lnTo>
                <a:lnTo>
                  <a:pt x="6486144" y="1862328"/>
                </a:lnTo>
                <a:close/>
              </a:path>
              <a:path w="7315200" h="2481580">
                <a:moveTo>
                  <a:pt x="6486144" y="1656588"/>
                </a:moveTo>
                <a:lnTo>
                  <a:pt x="5660136" y="1656588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6588"/>
                </a:lnTo>
                <a:close/>
              </a:path>
              <a:path w="7315200" h="2481580">
                <a:moveTo>
                  <a:pt x="6486144" y="1449324"/>
                </a:moveTo>
                <a:lnTo>
                  <a:pt x="5660136" y="1449324"/>
                </a:lnTo>
                <a:lnTo>
                  <a:pt x="5660136" y="1653540"/>
                </a:lnTo>
                <a:lnTo>
                  <a:pt x="6486144" y="1653540"/>
                </a:lnTo>
                <a:lnTo>
                  <a:pt x="6486144" y="1449324"/>
                </a:lnTo>
                <a:close/>
              </a:path>
              <a:path w="7315200" h="2481580">
                <a:moveTo>
                  <a:pt x="6486144" y="1242060"/>
                </a:moveTo>
                <a:lnTo>
                  <a:pt x="5660136" y="1242060"/>
                </a:lnTo>
                <a:lnTo>
                  <a:pt x="5660136" y="1446276"/>
                </a:lnTo>
                <a:lnTo>
                  <a:pt x="6486144" y="1446276"/>
                </a:lnTo>
                <a:lnTo>
                  <a:pt x="6486144" y="1242060"/>
                </a:lnTo>
                <a:close/>
              </a:path>
              <a:path w="7315200" h="2481580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2481580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2481580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2481580">
                <a:moveTo>
                  <a:pt x="6486144" y="414528"/>
                </a:moveTo>
                <a:lnTo>
                  <a:pt x="5660136" y="414528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4528"/>
                </a:lnTo>
                <a:close/>
              </a:path>
              <a:path w="7315200" h="2481580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2481580">
                <a:moveTo>
                  <a:pt x="6486144" y="0"/>
                </a:moveTo>
                <a:lnTo>
                  <a:pt x="5660136" y="0"/>
                </a:lnTo>
                <a:lnTo>
                  <a:pt x="5660136" y="204216"/>
                </a:lnTo>
                <a:lnTo>
                  <a:pt x="6486144" y="204216"/>
                </a:lnTo>
                <a:lnTo>
                  <a:pt x="6486144" y="0"/>
                </a:lnTo>
                <a:close/>
              </a:path>
              <a:path w="7315200" h="2481580">
                <a:moveTo>
                  <a:pt x="7315200" y="2069592"/>
                </a:moveTo>
                <a:lnTo>
                  <a:pt x="6489192" y="2069592"/>
                </a:lnTo>
                <a:lnTo>
                  <a:pt x="6489192" y="2273808"/>
                </a:lnTo>
                <a:lnTo>
                  <a:pt x="7315200" y="2273808"/>
                </a:lnTo>
                <a:lnTo>
                  <a:pt x="7315200" y="2069592"/>
                </a:lnTo>
                <a:close/>
              </a:path>
              <a:path w="7315200" h="2481580">
                <a:moveTo>
                  <a:pt x="7315200" y="1862328"/>
                </a:moveTo>
                <a:lnTo>
                  <a:pt x="6489192" y="1862328"/>
                </a:lnTo>
                <a:lnTo>
                  <a:pt x="6489192" y="2066544"/>
                </a:lnTo>
                <a:lnTo>
                  <a:pt x="7315200" y="2066544"/>
                </a:lnTo>
                <a:lnTo>
                  <a:pt x="7315200" y="1862328"/>
                </a:lnTo>
                <a:close/>
              </a:path>
              <a:path w="7315200" h="2481580">
                <a:moveTo>
                  <a:pt x="7315200" y="1656588"/>
                </a:moveTo>
                <a:lnTo>
                  <a:pt x="6489192" y="1656588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6588"/>
                </a:lnTo>
                <a:close/>
              </a:path>
              <a:path w="7315200" h="2481580">
                <a:moveTo>
                  <a:pt x="7315200" y="1449324"/>
                </a:moveTo>
                <a:lnTo>
                  <a:pt x="6489192" y="1449324"/>
                </a:lnTo>
                <a:lnTo>
                  <a:pt x="6489192" y="1653540"/>
                </a:lnTo>
                <a:lnTo>
                  <a:pt x="7315200" y="1653540"/>
                </a:lnTo>
                <a:lnTo>
                  <a:pt x="7315200" y="1449324"/>
                </a:lnTo>
                <a:close/>
              </a:path>
              <a:path w="7315200" h="2481580">
                <a:moveTo>
                  <a:pt x="7315200" y="1242060"/>
                </a:moveTo>
                <a:lnTo>
                  <a:pt x="6489192" y="1242060"/>
                </a:lnTo>
                <a:lnTo>
                  <a:pt x="6489192" y="1446276"/>
                </a:lnTo>
                <a:lnTo>
                  <a:pt x="7315200" y="1446276"/>
                </a:lnTo>
                <a:lnTo>
                  <a:pt x="7315200" y="1242060"/>
                </a:lnTo>
                <a:close/>
              </a:path>
              <a:path w="7315200" h="2481580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2481580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2481580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2481580">
                <a:moveTo>
                  <a:pt x="7315200" y="414528"/>
                </a:moveTo>
                <a:lnTo>
                  <a:pt x="6489192" y="414528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4528"/>
                </a:lnTo>
                <a:close/>
              </a:path>
              <a:path w="7315200" h="2481580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  <a:path w="7315200" h="2481580">
                <a:moveTo>
                  <a:pt x="7315200" y="0"/>
                </a:moveTo>
                <a:lnTo>
                  <a:pt x="6489192" y="0"/>
                </a:lnTo>
                <a:lnTo>
                  <a:pt x="6489192" y="204216"/>
                </a:lnTo>
                <a:lnTo>
                  <a:pt x="7315200" y="204216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/>
        </xdr:nvSpPr>
        <xdr:spPr>
          <a:xfrm>
            <a:off x="0" y="2276855"/>
            <a:ext cx="7315200" cy="1447800"/>
          </a:xfrm>
          <a:custGeom>
            <a:avLst/>
            <a:gdLst/>
            <a:ahLst/>
            <a:cxnLst/>
            <a:rect l="0" t="0" r="0" b="0"/>
            <a:pathLst>
              <a:path w="7315200" h="1447800">
                <a:moveTo>
                  <a:pt x="339852" y="1036320"/>
                </a:moveTo>
                <a:lnTo>
                  <a:pt x="0" y="1036320"/>
                </a:lnTo>
                <a:lnTo>
                  <a:pt x="0" y="1447800"/>
                </a:lnTo>
                <a:lnTo>
                  <a:pt x="339852" y="1447800"/>
                </a:lnTo>
                <a:lnTo>
                  <a:pt x="339852" y="1036320"/>
                </a:lnTo>
                <a:close/>
              </a:path>
              <a:path w="7315200" h="1447800">
                <a:moveTo>
                  <a:pt x="339852" y="416052"/>
                </a:moveTo>
                <a:lnTo>
                  <a:pt x="0" y="416052"/>
                </a:lnTo>
                <a:lnTo>
                  <a:pt x="0" y="1033272"/>
                </a:lnTo>
                <a:lnTo>
                  <a:pt x="339852" y="1033272"/>
                </a:lnTo>
                <a:lnTo>
                  <a:pt x="339852" y="416052"/>
                </a:lnTo>
                <a:close/>
              </a:path>
              <a:path w="7315200" h="1447800">
                <a:moveTo>
                  <a:pt x="339852" y="0"/>
                </a:moveTo>
                <a:lnTo>
                  <a:pt x="0" y="0"/>
                </a:lnTo>
                <a:lnTo>
                  <a:pt x="0" y="413004"/>
                </a:lnTo>
                <a:lnTo>
                  <a:pt x="339852" y="413004"/>
                </a:lnTo>
                <a:lnTo>
                  <a:pt x="339852" y="0"/>
                </a:lnTo>
                <a:close/>
              </a:path>
              <a:path w="7315200" h="1447800">
                <a:moveTo>
                  <a:pt x="1376172" y="1036320"/>
                </a:moveTo>
                <a:lnTo>
                  <a:pt x="342900" y="1036320"/>
                </a:lnTo>
                <a:lnTo>
                  <a:pt x="342900" y="1447800"/>
                </a:lnTo>
                <a:lnTo>
                  <a:pt x="1376172" y="1447800"/>
                </a:lnTo>
                <a:lnTo>
                  <a:pt x="1376172" y="1036320"/>
                </a:lnTo>
                <a:close/>
              </a:path>
              <a:path w="7315200" h="1447800">
                <a:moveTo>
                  <a:pt x="1376172" y="416052"/>
                </a:moveTo>
                <a:lnTo>
                  <a:pt x="342900" y="416052"/>
                </a:lnTo>
                <a:lnTo>
                  <a:pt x="342900" y="1033272"/>
                </a:lnTo>
                <a:lnTo>
                  <a:pt x="1376172" y="1033272"/>
                </a:lnTo>
                <a:lnTo>
                  <a:pt x="1376172" y="416052"/>
                </a:lnTo>
                <a:close/>
              </a:path>
              <a:path w="7315200" h="1447800">
                <a:moveTo>
                  <a:pt x="1376172" y="0"/>
                </a:moveTo>
                <a:lnTo>
                  <a:pt x="342900" y="0"/>
                </a:lnTo>
                <a:lnTo>
                  <a:pt x="342900" y="413004"/>
                </a:lnTo>
                <a:lnTo>
                  <a:pt x="1376172" y="413004"/>
                </a:lnTo>
                <a:lnTo>
                  <a:pt x="1376172" y="0"/>
                </a:lnTo>
                <a:close/>
              </a:path>
              <a:path w="7315200" h="1447800">
                <a:moveTo>
                  <a:pt x="2753868" y="1036320"/>
                </a:moveTo>
                <a:lnTo>
                  <a:pt x="1379220" y="1036320"/>
                </a:lnTo>
                <a:lnTo>
                  <a:pt x="1379220" y="1447800"/>
                </a:lnTo>
                <a:lnTo>
                  <a:pt x="2753868" y="1447800"/>
                </a:lnTo>
                <a:lnTo>
                  <a:pt x="2753868" y="1036320"/>
                </a:lnTo>
                <a:close/>
              </a:path>
              <a:path w="7315200" h="1447800">
                <a:moveTo>
                  <a:pt x="2753868" y="416052"/>
                </a:moveTo>
                <a:lnTo>
                  <a:pt x="1379220" y="416052"/>
                </a:lnTo>
                <a:lnTo>
                  <a:pt x="1379220" y="1033272"/>
                </a:lnTo>
                <a:lnTo>
                  <a:pt x="2753868" y="1033272"/>
                </a:lnTo>
                <a:lnTo>
                  <a:pt x="2753868" y="416052"/>
                </a:lnTo>
                <a:close/>
              </a:path>
              <a:path w="7315200" h="1447800">
                <a:moveTo>
                  <a:pt x="2753868" y="0"/>
                </a:moveTo>
                <a:lnTo>
                  <a:pt x="1379220" y="0"/>
                </a:lnTo>
                <a:lnTo>
                  <a:pt x="1379220" y="413004"/>
                </a:lnTo>
                <a:lnTo>
                  <a:pt x="2753868" y="413004"/>
                </a:lnTo>
                <a:lnTo>
                  <a:pt x="2753868" y="0"/>
                </a:lnTo>
                <a:close/>
              </a:path>
              <a:path w="7315200" h="1447800">
                <a:moveTo>
                  <a:pt x="3304032" y="1036320"/>
                </a:moveTo>
                <a:lnTo>
                  <a:pt x="2756916" y="1036320"/>
                </a:lnTo>
                <a:lnTo>
                  <a:pt x="2756916" y="1447800"/>
                </a:lnTo>
                <a:lnTo>
                  <a:pt x="3304032" y="1447800"/>
                </a:lnTo>
                <a:lnTo>
                  <a:pt x="3304032" y="1036320"/>
                </a:lnTo>
                <a:close/>
              </a:path>
              <a:path w="7315200" h="1447800">
                <a:moveTo>
                  <a:pt x="3304032" y="829056"/>
                </a:moveTo>
                <a:lnTo>
                  <a:pt x="2756916" y="829056"/>
                </a:lnTo>
                <a:lnTo>
                  <a:pt x="2756916" y="1033272"/>
                </a:lnTo>
                <a:lnTo>
                  <a:pt x="3304032" y="1033272"/>
                </a:lnTo>
                <a:lnTo>
                  <a:pt x="3304032" y="829056"/>
                </a:lnTo>
                <a:close/>
              </a:path>
              <a:path w="7315200" h="1447800">
                <a:moveTo>
                  <a:pt x="3304032" y="621792"/>
                </a:moveTo>
                <a:lnTo>
                  <a:pt x="2756916" y="621792"/>
                </a:lnTo>
                <a:lnTo>
                  <a:pt x="2756916" y="826008"/>
                </a:lnTo>
                <a:lnTo>
                  <a:pt x="3304032" y="826008"/>
                </a:lnTo>
                <a:lnTo>
                  <a:pt x="3304032" y="621792"/>
                </a:lnTo>
                <a:close/>
              </a:path>
              <a:path w="7315200" h="1447800">
                <a:moveTo>
                  <a:pt x="3304032" y="416052"/>
                </a:moveTo>
                <a:lnTo>
                  <a:pt x="2756916" y="416052"/>
                </a:lnTo>
                <a:lnTo>
                  <a:pt x="2756916" y="618744"/>
                </a:lnTo>
                <a:lnTo>
                  <a:pt x="3304032" y="618744"/>
                </a:lnTo>
                <a:lnTo>
                  <a:pt x="3304032" y="416052"/>
                </a:lnTo>
                <a:close/>
              </a:path>
              <a:path w="7315200" h="1447800">
                <a:moveTo>
                  <a:pt x="3304032" y="207264"/>
                </a:moveTo>
                <a:lnTo>
                  <a:pt x="2756916" y="207264"/>
                </a:lnTo>
                <a:lnTo>
                  <a:pt x="2756916" y="413004"/>
                </a:lnTo>
                <a:lnTo>
                  <a:pt x="3304032" y="413004"/>
                </a:lnTo>
                <a:lnTo>
                  <a:pt x="3304032" y="207264"/>
                </a:lnTo>
                <a:close/>
              </a:path>
              <a:path w="7315200" h="1447800">
                <a:moveTo>
                  <a:pt x="3304032" y="0"/>
                </a:moveTo>
                <a:lnTo>
                  <a:pt x="2756916" y="0"/>
                </a:lnTo>
                <a:lnTo>
                  <a:pt x="2756916" y="204216"/>
                </a:lnTo>
                <a:lnTo>
                  <a:pt x="3304032" y="204216"/>
                </a:lnTo>
                <a:lnTo>
                  <a:pt x="3304032" y="0"/>
                </a:lnTo>
                <a:close/>
              </a:path>
              <a:path w="7315200" h="1447800">
                <a:moveTo>
                  <a:pt x="3998976" y="1036320"/>
                </a:moveTo>
                <a:lnTo>
                  <a:pt x="3307080" y="1036320"/>
                </a:lnTo>
                <a:lnTo>
                  <a:pt x="3307080" y="1447800"/>
                </a:lnTo>
                <a:lnTo>
                  <a:pt x="3998976" y="1447800"/>
                </a:lnTo>
                <a:lnTo>
                  <a:pt x="3998976" y="1036320"/>
                </a:lnTo>
                <a:close/>
              </a:path>
              <a:path w="7315200" h="1447800">
                <a:moveTo>
                  <a:pt x="3998976" y="829056"/>
                </a:moveTo>
                <a:lnTo>
                  <a:pt x="3307080" y="829056"/>
                </a:lnTo>
                <a:lnTo>
                  <a:pt x="3307080" y="1033272"/>
                </a:lnTo>
                <a:lnTo>
                  <a:pt x="3998976" y="1033272"/>
                </a:lnTo>
                <a:lnTo>
                  <a:pt x="3998976" y="829056"/>
                </a:lnTo>
                <a:close/>
              </a:path>
              <a:path w="7315200" h="1447800">
                <a:moveTo>
                  <a:pt x="3998976" y="621792"/>
                </a:moveTo>
                <a:lnTo>
                  <a:pt x="3307080" y="621792"/>
                </a:lnTo>
                <a:lnTo>
                  <a:pt x="3307080" y="826008"/>
                </a:lnTo>
                <a:lnTo>
                  <a:pt x="3998976" y="826008"/>
                </a:lnTo>
                <a:lnTo>
                  <a:pt x="3998976" y="621792"/>
                </a:lnTo>
                <a:close/>
              </a:path>
              <a:path w="7315200" h="1447800">
                <a:moveTo>
                  <a:pt x="3998976" y="416052"/>
                </a:moveTo>
                <a:lnTo>
                  <a:pt x="3307080" y="416052"/>
                </a:lnTo>
                <a:lnTo>
                  <a:pt x="3307080" y="618744"/>
                </a:lnTo>
                <a:lnTo>
                  <a:pt x="3998976" y="618744"/>
                </a:lnTo>
                <a:lnTo>
                  <a:pt x="3998976" y="416052"/>
                </a:lnTo>
                <a:close/>
              </a:path>
              <a:path w="7315200" h="1447800">
                <a:moveTo>
                  <a:pt x="3998976" y="207264"/>
                </a:moveTo>
                <a:lnTo>
                  <a:pt x="3307080" y="207264"/>
                </a:lnTo>
                <a:lnTo>
                  <a:pt x="3307080" y="413004"/>
                </a:lnTo>
                <a:lnTo>
                  <a:pt x="3998976" y="413004"/>
                </a:lnTo>
                <a:lnTo>
                  <a:pt x="3998976" y="207264"/>
                </a:lnTo>
                <a:close/>
              </a:path>
              <a:path w="7315200" h="1447800">
                <a:moveTo>
                  <a:pt x="3998976" y="0"/>
                </a:moveTo>
                <a:lnTo>
                  <a:pt x="3307080" y="0"/>
                </a:lnTo>
                <a:lnTo>
                  <a:pt x="3307080" y="204216"/>
                </a:lnTo>
                <a:lnTo>
                  <a:pt x="3998976" y="204216"/>
                </a:lnTo>
                <a:lnTo>
                  <a:pt x="3998976" y="0"/>
                </a:lnTo>
                <a:close/>
              </a:path>
              <a:path w="7315200" h="1447800">
                <a:moveTo>
                  <a:pt x="4828032" y="1036320"/>
                </a:moveTo>
                <a:lnTo>
                  <a:pt x="4002024" y="1036320"/>
                </a:lnTo>
                <a:lnTo>
                  <a:pt x="4002024" y="1447800"/>
                </a:lnTo>
                <a:lnTo>
                  <a:pt x="4828032" y="1447800"/>
                </a:lnTo>
                <a:lnTo>
                  <a:pt x="4828032" y="1036320"/>
                </a:lnTo>
                <a:close/>
              </a:path>
              <a:path w="7315200" h="1447800">
                <a:moveTo>
                  <a:pt x="4828032" y="829056"/>
                </a:moveTo>
                <a:lnTo>
                  <a:pt x="4002024" y="829056"/>
                </a:lnTo>
                <a:lnTo>
                  <a:pt x="4002024" y="1033272"/>
                </a:lnTo>
                <a:lnTo>
                  <a:pt x="4828032" y="1033272"/>
                </a:lnTo>
                <a:lnTo>
                  <a:pt x="4828032" y="829056"/>
                </a:lnTo>
                <a:close/>
              </a:path>
              <a:path w="7315200" h="1447800">
                <a:moveTo>
                  <a:pt x="4828032" y="621792"/>
                </a:moveTo>
                <a:lnTo>
                  <a:pt x="4002024" y="621792"/>
                </a:lnTo>
                <a:lnTo>
                  <a:pt x="4002024" y="826008"/>
                </a:lnTo>
                <a:lnTo>
                  <a:pt x="4828032" y="826008"/>
                </a:lnTo>
                <a:lnTo>
                  <a:pt x="4828032" y="621792"/>
                </a:lnTo>
                <a:close/>
              </a:path>
              <a:path w="7315200" h="1447800">
                <a:moveTo>
                  <a:pt x="4828032" y="416052"/>
                </a:moveTo>
                <a:lnTo>
                  <a:pt x="4002024" y="416052"/>
                </a:lnTo>
                <a:lnTo>
                  <a:pt x="4002024" y="618744"/>
                </a:lnTo>
                <a:lnTo>
                  <a:pt x="4828032" y="618744"/>
                </a:lnTo>
                <a:lnTo>
                  <a:pt x="4828032" y="416052"/>
                </a:lnTo>
                <a:close/>
              </a:path>
              <a:path w="7315200" h="1447800">
                <a:moveTo>
                  <a:pt x="4828032" y="207264"/>
                </a:moveTo>
                <a:lnTo>
                  <a:pt x="4002024" y="207264"/>
                </a:lnTo>
                <a:lnTo>
                  <a:pt x="4002024" y="413004"/>
                </a:lnTo>
                <a:lnTo>
                  <a:pt x="4828032" y="413004"/>
                </a:lnTo>
                <a:lnTo>
                  <a:pt x="4828032" y="207264"/>
                </a:lnTo>
                <a:close/>
              </a:path>
              <a:path w="7315200" h="1447800">
                <a:moveTo>
                  <a:pt x="4828032" y="0"/>
                </a:moveTo>
                <a:lnTo>
                  <a:pt x="4002024" y="0"/>
                </a:lnTo>
                <a:lnTo>
                  <a:pt x="4002024" y="204216"/>
                </a:lnTo>
                <a:lnTo>
                  <a:pt x="4828032" y="204216"/>
                </a:lnTo>
                <a:lnTo>
                  <a:pt x="4828032" y="0"/>
                </a:lnTo>
                <a:close/>
              </a:path>
              <a:path w="7315200" h="1447800">
                <a:moveTo>
                  <a:pt x="5657088" y="1036320"/>
                </a:moveTo>
                <a:lnTo>
                  <a:pt x="4831080" y="1036320"/>
                </a:lnTo>
                <a:lnTo>
                  <a:pt x="4831080" y="1447800"/>
                </a:lnTo>
                <a:lnTo>
                  <a:pt x="5657088" y="1447800"/>
                </a:lnTo>
                <a:lnTo>
                  <a:pt x="5657088" y="1036320"/>
                </a:lnTo>
                <a:close/>
              </a:path>
              <a:path w="7315200" h="1447800">
                <a:moveTo>
                  <a:pt x="5657088" y="829056"/>
                </a:moveTo>
                <a:lnTo>
                  <a:pt x="4831080" y="829056"/>
                </a:lnTo>
                <a:lnTo>
                  <a:pt x="4831080" y="1033272"/>
                </a:lnTo>
                <a:lnTo>
                  <a:pt x="5657088" y="1033272"/>
                </a:lnTo>
                <a:lnTo>
                  <a:pt x="5657088" y="829056"/>
                </a:lnTo>
                <a:close/>
              </a:path>
              <a:path w="7315200" h="1447800">
                <a:moveTo>
                  <a:pt x="5657088" y="621792"/>
                </a:moveTo>
                <a:lnTo>
                  <a:pt x="4831080" y="621792"/>
                </a:lnTo>
                <a:lnTo>
                  <a:pt x="4831080" y="826008"/>
                </a:lnTo>
                <a:lnTo>
                  <a:pt x="5657088" y="826008"/>
                </a:lnTo>
                <a:lnTo>
                  <a:pt x="5657088" y="621792"/>
                </a:lnTo>
                <a:close/>
              </a:path>
              <a:path w="7315200" h="1447800">
                <a:moveTo>
                  <a:pt x="5657088" y="416052"/>
                </a:moveTo>
                <a:lnTo>
                  <a:pt x="4831080" y="416052"/>
                </a:lnTo>
                <a:lnTo>
                  <a:pt x="4831080" y="618744"/>
                </a:lnTo>
                <a:lnTo>
                  <a:pt x="5657088" y="618744"/>
                </a:lnTo>
                <a:lnTo>
                  <a:pt x="5657088" y="416052"/>
                </a:lnTo>
                <a:close/>
              </a:path>
              <a:path w="7315200" h="1447800">
                <a:moveTo>
                  <a:pt x="5657088" y="207264"/>
                </a:moveTo>
                <a:lnTo>
                  <a:pt x="4831080" y="207264"/>
                </a:lnTo>
                <a:lnTo>
                  <a:pt x="4831080" y="413004"/>
                </a:lnTo>
                <a:lnTo>
                  <a:pt x="5657088" y="413004"/>
                </a:lnTo>
                <a:lnTo>
                  <a:pt x="5657088" y="207264"/>
                </a:lnTo>
                <a:close/>
              </a:path>
              <a:path w="7315200" h="1447800">
                <a:moveTo>
                  <a:pt x="5657088" y="0"/>
                </a:moveTo>
                <a:lnTo>
                  <a:pt x="4831080" y="0"/>
                </a:lnTo>
                <a:lnTo>
                  <a:pt x="4831080" y="204216"/>
                </a:lnTo>
                <a:lnTo>
                  <a:pt x="5657088" y="204216"/>
                </a:lnTo>
                <a:lnTo>
                  <a:pt x="5657088" y="0"/>
                </a:lnTo>
                <a:close/>
              </a:path>
              <a:path w="7315200" h="1447800">
                <a:moveTo>
                  <a:pt x="6486144" y="1036320"/>
                </a:moveTo>
                <a:lnTo>
                  <a:pt x="5660136" y="1036320"/>
                </a:lnTo>
                <a:lnTo>
                  <a:pt x="5660136" y="1447800"/>
                </a:lnTo>
                <a:lnTo>
                  <a:pt x="6486144" y="1447800"/>
                </a:lnTo>
                <a:lnTo>
                  <a:pt x="6486144" y="1036320"/>
                </a:lnTo>
                <a:close/>
              </a:path>
              <a:path w="7315200" h="1447800">
                <a:moveTo>
                  <a:pt x="6486144" y="829056"/>
                </a:moveTo>
                <a:lnTo>
                  <a:pt x="5660136" y="829056"/>
                </a:lnTo>
                <a:lnTo>
                  <a:pt x="5660136" y="1033272"/>
                </a:lnTo>
                <a:lnTo>
                  <a:pt x="6486144" y="1033272"/>
                </a:lnTo>
                <a:lnTo>
                  <a:pt x="6486144" y="829056"/>
                </a:lnTo>
                <a:close/>
              </a:path>
              <a:path w="7315200" h="1447800">
                <a:moveTo>
                  <a:pt x="6486144" y="621792"/>
                </a:moveTo>
                <a:lnTo>
                  <a:pt x="5660136" y="621792"/>
                </a:lnTo>
                <a:lnTo>
                  <a:pt x="5660136" y="826008"/>
                </a:lnTo>
                <a:lnTo>
                  <a:pt x="6486144" y="826008"/>
                </a:lnTo>
                <a:lnTo>
                  <a:pt x="6486144" y="621792"/>
                </a:lnTo>
                <a:close/>
              </a:path>
              <a:path w="7315200" h="1447800">
                <a:moveTo>
                  <a:pt x="6486144" y="416052"/>
                </a:moveTo>
                <a:lnTo>
                  <a:pt x="5660136" y="416052"/>
                </a:lnTo>
                <a:lnTo>
                  <a:pt x="5660136" y="618744"/>
                </a:lnTo>
                <a:lnTo>
                  <a:pt x="6486144" y="618744"/>
                </a:lnTo>
                <a:lnTo>
                  <a:pt x="6486144" y="416052"/>
                </a:lnTo>
                <a:close/>
              </a:path>
              <a:path w="7315200" h="1447800">
                <a:moveTo>
                  <a:pt x="6486144" y="207264"/>
                </a:moveTo>
                <a:lnTo>
                  <a:pt x="5660136" y="207264"/>
                </a:lnTo>
                <a:lnTo>
                  <a:pt x="5660136" y="413004"/>
                </a:lnTo>
                <a:lnTo>
                  <a:pt x="6486144" y="413004"/>
                </a:lnTo>
                <a:lnTo>
                  <a:pt x="6486144" y="207264"/>
                </a:lnTo>
                <a:close/>
              </a:path>
              <a:path w="7315200" h="1447800">
                <a:moveTo>
                  <a:pt x="6486144" y="0"/>
                </a:moveTo>
                <a:lnTo>
                  <a:pt x="5660136" y="0"/>
                </a:lnTo>
                <a:lnTo>
                  <a:pt x="5660136" y="204216"/>
                </a:lnTo>
                <a:lnTo>
                  <a:pt x="6486144" y="204216"/>
                </a:lnTo>
                <a:lnTo>
                  <a:pt x="6486144" y="0"/>
                </a:lnTo>
                <a:close/>
              </a:path>
              <a:path w="7315200" h="1447800">
                <a:moveTo>
                  <a:pt x="7315200" y="1036320"/>
                </a:moveTo>
                <a:lnTo>
                  <a:pt x="6489192" y="1036320"/>
                </a:lnTo>
                <a:lnTo>
                  <a:pt x="6489192" y="1447800"/>
                </a:lnTo>
                <a:lnTo>
                  <a:pt x="7315200" y="1447800"/>
                </a:lnTo>
                <a:lnTo>
                  <a:pt x="7315200" y="1036320"/>
                </a:lnTo>
                <a:close/>
              </a:path>
              <a:path w="7315200" h="1447800">
                <a:moveTo>
                  <a:pt x="7315200" y="829056"/>
                </a:moveTo>
                <a:lnTo>
                  <a:pt x="6489192" y="829056"/>
                </a:lnTo>
                <a:lnTo>
                  <a:pt x="6489192" y="1033272"/>
                </a:lnTo>
                <a:lnTo>
                  <a:pt x="7315200" y="1033272"/>
                </a:lnTo>
                <a:lnTo>
                  <a:pt x="7315200" y="829056"/>
                </a:lnTo>
                <a:close/>
              </a:path>
              <a:path w="7315200" h="1447800">
                <a:moveTo>
                  <a:pt x="7315200" y="621792"/>
                </a:moveTo>
                <a:lnTo>
                  <a:pt x="6489192" y="621792"/>
                </a:lnTo>
                <a:lnTo>
                  <a:pt x="6489192" y="826008"/>
                </a:lnTo>
                <a:lnTo>
                  <a:pt x="7315200" y="826008"/>
                </a:lnTo>
                <a:lnTo>
                  <a:pt x="7315200" y="621792"/>
                </a:lnTo>
                <a:close/>
              </a:path>
              <a:path w="7315200" h="1447800">
                <a:moveTo>
                  <a:pt x="7315200" y="416052"/>
                </a:moveTo>
                <a:lnTo>
                  <a:pt x="6489192" y="416052"/>
                </a:lnTo>
                <a:lnTo>
                  <a:pt x="6489192" y="618744"/>
                </a:lnTo>
                <a:lnTo>
                  <a:pt x="7315200" y="618744"/>
                </a:lnTo>
                <a:lnTo>
                  <a:pt x="7315200" y="416052"/>
                </a:lnTo>
                <a:close/>
              </a:path>
              <a:path w="7315200" h="1447800">
                <a:moveTo>
                  <a:pt x="7315200" y="207264"/>
                </a:moveTo>
                <a:lnTo>
                  <a:pt x="6489192" y="207264"/>
                </a:lnTo>
                <a:lnTo>
                  <a:pt x="6489192" y="413004"/>
                </a:lnTo>
                <a:lnTo>
                  <a:pt x="7315200" y="413004"/>
                </a:lnTo>
                <a:lnTo>
                  <a:pt x="7315200" y="207264"/>
                </a:lnTo>
                <a:close/>
              </a:path>
              <a:path w="7315200" h="1447800">
                <a:moveTo>
                  <a:pt x="7315200" y="0"/>
                </a:moveTo>
                <a:lnTo>
                  <a:pt x="6489192" y="0"/>
                </a:lnTo>
                <a:lnTo>
                  <a:pt x="6489192" y="204216"/>
                </a:lnTo>
                <a:lnTo>
                  <a:pt x="7315200" y="204216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536321</xdr:colOff>
      <xdr:row>23</xdr:row>
      <xdr:rowOff>0</xdr:rowOff>
    </xdr:from>
    <xdr:ext cx="702945" cy="372491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0" y="0"/>
          <a:ext cx="702945" cy="3724910"/>
        </a:xfrm>
        <a:custGeom>
          <a:avLst/>
          <a:gdLst/>
          <a:ahLst/>
          <a:cxnLst/>
          <a:rect l="0" t="0" r="0" b="0"/>
          <a:pathLst>
            <a:path w="702945" h="3724910">
              <a:moveTo>
                <a:pt x="702564" y="3313176"/>
              </a:moveTo>
              <a:lnTo>
                <a:pt x="0" y="3313176"/>
              </a:lnTo>
              <a:lnTo>
                <a:pt x="0" y="3724656"/>
              </a:lnTo>
              <a:lnTo>
                <a:pt x="702564" y="3724656"/>
              </a:lnTo>
              <a:lnTo>
                <a:pt x="702564" y="3313176"/>
              </a:lnTo>
              <a:close/>
            </a:path>
            <a:path w="702945" h="3724910">
              <a:moveTo>
                <a:pt x="702564" y="3105912"/>
              </a:moveTo>
              <a:lnTo>
                <a:pt x="0" y="3105912"/>
              </a:lnTo>
              <a:lnTo>
                <a:pt x="0" y="3310128"/>
              </a:lnTo>
              <a:lnTo>
                <a:pt x="702564" y="3310128"/>
              </a:lnTo>
              <a:lnTo>
                <a:pt x="702564" y="3105912"/>
              </a:lnTo>
              <a:close/>
            </a:path>
            <a:path w="702945" h="3724910">
              <a:moveTo>
                <a:pt x="702564" y="2898648"/>
              </a:moveTo>
              <a:lnTo>
                <a:pt x="0" y="2898648"/>
              </a:lnTo>
              <a:lnTo>
                <a:pt x="0" y="3102864"/>
              </a:lnTo>
              <a:lnTo>
                <a:pt x="702564" y="3102864"/>
              </a:lnTo>
              <a:lnTo>
                <a:pt x="702564" y="2898648"/>
              </a:lnTo>
              <a:close/>
            </a:path>
            <a:path w="702945" h="3724910">
              <a:moveTo>
                <a:pt x="702564" y="2692908"/>
              </a:moveTo>
              <a:lnTo>
                <a:pt x="0" y="2692908"/>
              </a:lnTo>
              <a:lnTo>
                <a:pt x="0" y="2895600"/>
              </a:lnTo>
              <a:lnTo>
                <a:pt x="702564" y="2895600"/>
              </a:lnTo>
              <a:lnTo>
                <a:pt x="702564" y="2692908"/>
              </a:lnTo>
              <a:close/>
            </a:path>
            <a:path w="702945" h="3724910">
              <a:moveTo>
                <a:pt x="702564" y="2484120"/>
              </a:moveTo>
              <a:lnTo>
                <a:pt x="0" y="2484120"/>
              </a:lnTo>
              <a:lnTo>
                <a:pt x="0" y="2689860"/>
              </a:lnTo>
              <a:lnTo>
                <a:pt x="702564" y="2689860"/>
              </a:lnTo>
              <a:lnTo>
                <a:pt x="702564" y="2484120"/>
              </a:lnTo>
              <a:close/>
            </a:path>
            <a:path w="702945" h="3724910">
              <a:moveTo>
                <a:pt x="702564" y="2276856"/>
              </a:moveTo>
              <a:lnTo>
                <a:pt x="0" y="2276856"/>
              </a:lnTo>
              <a:lnTo>
                <a:pt x="0" y="2481072"/>
              </a:lnTo>
              <a:lnTo>
                <a:pt x="702564" y="2481072"/>
              </a:lnTo>
              <a:lnTo>
                <a:pt x="702564" y="2276856"/>
              </a:lnTo>
              <a:close/>
            </a:path>
            <a:path w="702945" h="3724910">
              <a:moveTo>
                <a:pt x="702564" y="2069592"/>
              </a:moveTo>
              <a:lnTo>
                <a:pt x="0" y="2069592"/>
              </a:lnTo>
              <a:lnTo>
                <a:pt x="0" y="2273808"/>
              </a:lnTo>
              <a:lnTo>
                <a:pt x="702564" y="2273808"/>
              </a:lnTo>
              <a:lnTo>
                <a:pt x="702564" y="2069592"/>
              </a:lnTo>
              <a:close/>
            </a:path>
            <a:path w="702945" h="3724910">
              <a:moveTo>
                <a:pt x="702564" y="1862328"/>
              </a:moveTo>
              <a:lnTo>
                <a:pt x="0" y="1862328"/>
              </a:lnTo>
              <a:lnTo>
                <a:pt x="0" y="2066544"/>
              </a:lnTo>
              <a:lnTo>
                <a:pt x="702564" y="2066544"/>
              </a:lnTo>
              <a:lnTo>
                <a:pt x="702564" y="1862328"/>
              </a:lnTo>
              <a:close/>
            </a:path>
            <a:path w="702945" h="3724910">
              <a:moveTo>
                <a:pt x="702564" y="1656588"/>
              </a:moveTo>
              <a:lnTo>
                <a:pt x="0" y="1656588"/>
              </a:lnTo>
              <a:lnTo>
                <a:pt x="0" y="1859280"/>
              </a:lnTo>
              <a:lnTo>
                <a:pt x="702564" y="1859280"/>
              </a:lnTo>
              <a:lnTo>
                <a:pt x="702564" y="1656588"/>
              </a:lnTo>
              <a:close/>
            </a:path>
            <a:path w="702945" h="3724910">
              <a:moveTo>
                <a:pt x="702564" y="1449324"/>
              </a:moveTo>
              <a:lnTo>
                <a:pt x="0" y="1449324"/>
              </a:lnTo>
              <a:lnTo>
                <a:pt x="0" y="1653540"/>
              </a:lnTo>
              <a:lnTo>
                <a:pt x="702564" y="1653540"/>
              </a:lnTo>
              <a:lnTo>
                <a:pt x="702564" y="1449324"/>
              </a:lnTo>
              <a:close/>
            </a:path>
            <a:path w="702945" h="3724910">
              <a:moveTo>
                <a:pt x="702564" y="1242060"/>
              </a:moveTo>
              <a:lnTo>
                <a:pt x="0" y="1242060"/>
              </a:lnTo>
              <a:lnTo>
                <a:pt x="0" y="1446276"/>
              </a:lnTo>
              <a:lnTo>
                <a:pt x="702564" y="1446276"/>
              </a:lnTo>
              <a:lnTo>
                <a:pt x="702564" y="1242060"/>
              </a:lnTo>
              <a:close/>
            </a:path>
            <a:path w="702945" h="3724910">
              <a:moveTo>
                <a:pt x="702564" y="1034796"/>
              </a:moveTo>
              <a:lnTo>
                <a:pt x="0" y="1034796"/>
              </a:lnTo>
              <a:lnTo>
                <a:pt x="0" y="1239012"/>
              </a:lnTo>
              <a:lnTo>
                <a:pt x="702564" y="1239012"/>
              </a:lnTo>
              <a:lnTo>
                <a:pt x="702564" y="1034796"/>
              </a:lnTo>
              <a:close/>
            </a:path>
            <a:path w="702945" h="3724910">
              <a:moveTo>
                <a:pt x="702564" y="827532"/>
              </a:moveTo>
              <a:lnTo>
                <a:pt x="0" y="827532"/>
              </a:lnTo>
              <a:lnTo>
                <a:pt x="0" y="1031748"/>
              </a:lnTo>
              <a:lnTo>
                <a:pt x="702564" y="1031748"/>
              </a:lnTo>
              <a:lnTo>
                <a:pt x="702564" y="827532"/>
              </a:lnTo>
              <a:close/>
            </a:path>
            <a:path w="702945" h="3724910">
              <a:moveTo>
                <a:pt x="702564" y="620268"/>
              </a:moveTo>
              <a:lnTo>
                <a:pt x="0" y="620268"/>
              </a:lnTo>
              <a:lnTo>
                <a:pt x="0" y="824484"/>
              </a:lnTo>
              <a:lnTo>
                <a:pt x="702564" y="824484"/>
              </a:lnTo>
              <a:lnTo>
                <a:pt x="702564" y="620268"/>
              </a:lnTo>
              <a:close/>
            </a:path>
            <a:path w="702945" h="3724910">
              <a:moveTo>
                <a:pt x="702564" y="414528"/>
              </a:moveTo>
              <a:lnTo>
                <a:pt x="0" y="414528"/>
              </a:lnTo>
              <a:lnTo>
                <a:pt x="0" y="617220"/>
              </a:lnTo>
              <a:lnTo>
                <a:pt x="702564" y="617220"/>
              </a:lnTo>
              <a:lnTo>
                <a:pt x="702564" y="414528"/>
              </a:lnTo>
              <a:close/>
            </a:path>
            <a:path w="702945" h="3724910">
              <a:moveTo>
                <a:pt x="702564" y="207264"/>
              </a:moveTo>
              <a:lnTo>
                <a:pt x="0" y="207264"/>
              </a:lnTo>
              <a:lnTo>
                <a:pt x="0" y="411480"/>
              </a:lnTo>
              <a:lnTo>
                <a:pt x="702564" y="411480"/>
              </a:lnTo>
              <a:lnTo>
                <a:pt x="702564" y="207264"/>
              </a:lnTo>
              <a:close/>
            </a:path>
            <a:path w="702945" h="3724910">
              <a:moveTo>
                <a:pt x="702564" y="0"/>
              </a:moveTo>
              <a:lnTo>
                <a:pt x="0" y="0"/>
              </a:lnTo>
              <a:lnTo>
                <a:pt x="0" y="204216"/>
              </a:lnTo>
              <a:lnTo>
                <a:pt x="702564" y="204216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541909</xdr:colOff>
      <xdr:row>22</xdr:row>
      <xdr:rowOff>205739</xdr:rowOff>
    </xdr:from>
    <xdr:ext cx="3313429" cy="37528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235457</xdr:colOff>
      <xdr:row>3</xdr:row>
      <xdr:rowOff>762</xdr:rowOff>
    </xdr:from>
    <xdr:ext cx="381000" cy="381000"/>
    <xdr:pic>
      <xdr:nvPicPr>
        <xdr:cNvPr id="32" name="image1.jpeg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330696</xdr:colOff>
      <xdr:row>3</xdr:row>
      <xdr:rowOff>49142</xdr:rowOff>
    </xdr:from>
    <xdr:ext cx="193523" cy="290285"/>
    <xdr:pic>
      <xdr:nvPicPr>
        <xdr:cNvPr id="33" name="image2.jpeg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7</xdr:col>
      <xdr:colOff>235458</xdr:colOff>
      <xdr:row>3</xdr:row>
      <xdr:rowOff>49142</xdr:rowOff>
    </xdr:from>
    <xdr:ext cx="381000" cy="290285"/>
    <xdr:pic>
      <xdr:nvPicPr>
        <xdr:cNvPr id="34" name="image3.jpeg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49142</xdr:rowOff>
    </xdr:from>
    <xdr:ext cx="381000" cy="290285"/>
    <xdr:pic>
      <xdr:nvPicPr>
        <xdr:cNvPr id="35" name="image4.jpeg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198754</xdr:colOff>
      <xdr:row>24</xdr:row>
      <xdr:rowOff>0</xdr:rowOff>
    </xdr:from>
    <xdr:ext cx="7315200" cy="3929379"/>
    <xdr:grpSp>
      <xdr:nvGrpSpPr>
        <xdr:cNvPr id="36" name="Group 36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GrpSpPr/>
      </xdr:nvGrpSpPr>
      <xdr:grpSpPr>
        <a:xfrm>
          <a:off x="610234" y="5836920"/>
          <a:ext cx="7315200" cy="3929379"/>
          <a:chOff x="0" y="0"/>
          <a:chExt cx="7315200" cy="3929379"/>
        </a:xfrm>
      </xdr:grpSpPr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300-000025000000}"/>
              </a:ext>
            </a:extLst>
          </xdr:cNvPr>
          <xdr:cNvSpPr/>
        </xdr:nvSpPr>
        <xdr:spPr>
          <a:xfrm>
            <a:off x="0" y="0"/>
            <a:ext cx="7315200" cy="2481580"/>
          </a:xfrm>
          <a:custGeom>
            <a:avLst/>
            <a:gdLst/>
            <a:ahLst/>
            <a:cxnLst/>
            <a:rect l="0" t="0" r="0" b="0"/>
            <a:pathLst>
              <a:path w="7315200" h="2481580">
                <a:moveTo>
                  <a:pt x="339852" y="0"/>
                </a:moveTo>
                <a:lnTo>
                  <a:pt x="0" y="0"/>
                </a:lnTo>
                <a:lnTo>
                  <a:pt x="0" y="2066544"/>
                </a:lnTo>
                <a:lnTo>
                  <a:pt x="339852" y="2066544"/>
                </a:lnTo>
                <a:lnTo>
                  <a:pt x="339852" y="0"/>
                </a:lnTo>
                <a:close/>
              </a:path>
              <a:path w="7315200" h="2481580">
                <a:moveTo>
                  <a:pt x="1376172" y="0"/>
                </a:moveTo>
                <a:lnTo>
                  <a:pt x="342900" y="0"/>
                </a:lnTo>
                <a:lnTo>
                  <a:pt x="342900" y="2066544"/>
                </a:lnTo>
                <a:lnTo>
                  <a:pt x="1376172" y="2066544"/>
                </a:lnTo>
                <a:lnTo>
                  <a:pt x="1376172" y="0"/>
                </a:lnTo>
                <a:close/>
              </a:path>
              <a:path w="7315200" h="2481580">
                <a:moveTo>
                  <a:pt x="2753868" y="1034796"/>
                </a:moveTo>
                <a:lnTo>
                  <a:pt x="1379220" y="1034796"/>
                </a:lnTo>
                <a:lnTo>
                  <a:pt x="1379220" y="2066544"/>
                </a:lnTo>
                <a:lnTo>
                  <a:pt x="2753868" y="2066544"/>
                </a:lnTo>
                <a:lnTo>
                  <a:pt x="2753868" y="1034796"/>
                </a:lnTo>
                <a:close/>
              </a:path>
              <a:path w="7315200" h="2481580">
                <a:moveTo>
                  <a:pt x="2753868" y="0"/>
                </a:moveTo>
                <a:lnTo>
                  <a:pt x="1379220" y="0"/>
                </a:lnTo>
                <a:lnTo>
                  <a:pt x="1379220" y="1031748"/>
                </a:lnTo>
                <a:lnTo>
                  <a:pt x="2753868" y="1031748"/>
                </a:lnTo>
                <a:lnTo>
                  <a:pt x="2753868" y="0"/>
                </a:lnTo>
                <a:close/>
              </a:path>
              <a:path w="7315200" h="2481580">
                <a:moveTo>
                  <a:pt x="3304032" y="2276856"/>
                </a:moveTo>
                <a:lnTo>
                  <a:pt x="2756916" y="2276856"/>
                </a:lnTo>
                <a:lnTo>
                  <a:pt x="2756916" y="2481072"/>
                </a:lnTo>
                <a:lnTo>
                  <a:pt x="3304032" y="2481072"/>
                </a:lnTo>
                <a:lnTo>
                  <a:pt x="3304032" y="2276856"/>
                </a:lnTo>
                <a:close/>
              </a:path>
              <a:path w="7315200" h="2481580">
                <a:moveTo>
                  <a:pt x="3304032" y="2069592"/>
                </a:moveTo>
                <a:lnTo>
                  <a:pt x="2756916" y="2069592"/>
                </a:lnTo>
                <a:lnTo>
                  <a:pt x="2756916" y="2273808"/>
                </a:lnTo>
                <a:lnTo>
                  <a:pt x="3304032" y="2273808"/>
                </a:lnTo>
                <a:lnTo>
                  <a:pt x="3304032" y="2069592"/>
                </a:lnTo>
                <a:close/>
              </a:path>
              <a:path w="7315200" h="2481580">
                <a:moveTo>
                  <a:pt x="3304032" y="1862328"/>
                </a:moveTo>
                <a:lnTo>
                  <a:pt x="2756916" y="1862328"/>
                </a:lnTo>
                <a:lnTo>
                  <a:pt x="2756916" y="2066544"/>
                </a:lnTo>
                <a:lnTo>
                  <a:pt x="3304032" y="2066544"/>
                </a:lnTo>
                <a:lnTo>
                  <a:pt x="3304032" y="1862328"/>
                </a:lnTo>
                <a:close/>
              </a:path>
              <a:path w="7315200" h="2481580">
                <a:moveTo>
                  <a:pt x="3304032" y="1656588"/>
                </a:moveTo>
                <a:lnTo>
                  <a:pt x="2756916" y="1656588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6588"/>
                </a:lnTo>
                <a:close/>
              </a:path>
              <a:path w="7315200" h="2481580">
                <a:moveTo>
                  <a:pt x="3304032" y="1449324"/>
                </a:moveTo>
                <a:lnTo>
                  <a:pt x="2756916" y="1449324"/>
                </a:lnTo>
                <a:lnTo>
                  <a:pt x="2756916" y="1653540"/>
                </a:lnTo>
                <a:lnTo>
                  <a:pt x="3304032" y="1653540"/>
                </a:lnTo>
                <a:lnTo>
                  <a:pt x="3304032" y="1449324"/>
                </a:lnTo>
                <a:close/>
              </a:path>
              <a:path w="7315200" h="2481580">
                <a:moveTo>
                  <a:pt x="3304032" y="1242060"/>
                </a:moveTo>
                <a:lnTo>
                  <a:pt x="2756916" y="1242060"/>
                </a:lnTo>
                <a:lnTo>
                  <a:pt x="2756916" y="1446276"/>
                </a:lnTo>
                <a:lnTo>
                  <a:pt x="3304032" y="1446276"/>
                </a:lnTo>
                <a:lnTo>
                  <a:pt x="3304032" y="1242060"/>
                </a:lnTo>
                <a:close/>
              </a:path>
              <a:path w="7315200" h="2481580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2481580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2481580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2481580">
                <a:moveTo>
                  <a:pt x="3304032" y="414528"/>
                </a:moveTo>
                <a:lnTo>
                  <a:pt x="2756916" y="414528"/>
                </a:lnTo>
                <a:lnTo>
                  <a:pt x="2756916" y="617220"/>
                </a:lnTo>
                <a:lnTo>
                  <a:pt x="3304032" y="617220"/>
                </a:lnTo>
                <a:lnTo>
                  <a:pt x="3304032" y="414528"/>
                </a:lnTo>
                <a:close/>
              </a:path>
              <a:path w="7315200" h="2481580">
                <a:moveTo>
                  <a:pt x="3304032" y="207264"/>
                </a:moveTo>
                <a:lnTo>
                  <a:pt x="2756916" y="207264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207264"/>
                </a:lnTo>
                <a:close/>
              </a:path>
              <a:path w="7315200" h="2481580">
                <a:moveTo>
                  <a:pt x="3304032" y="0"/>
                </a:moveTo>
                <a:lnTo>
                  <a:pt x="2756916" y="0"/>
                </a:lnTo>
                <a:lnTo>
                  <a:pt x="2756916" y="204216"/>
                </a:lnTo>
                <a:lnTo>
                  <a:pt x="3304032" y="204216"/>
                </a:lnTo>
                <a:lnTo>
                  <a:pt x="3304032" y="0"/>
                </a:lnTo>
                <a:close/>
              </a:path>
              <a:path w="7315200" h="2481580">
                <a:moveTo>
                  <a:pt x="3998976" y="2069592"/>
                </a:moveTo>
                <a:lnTo>
                  <a:pt x="3307080" y="2069592"/>
                </a:lnTo>
                <a:lnTo>
                  <a:pt x="3307080" y="2273808"/>
                </a:lnTo>
                <a:lnTo>
                  <a:pt x="3998976" y="2273808"/>
                </a:lnTo>
                <a:lnTo>
                  <a:pt x="3998976" y="2069592"/>
                </a:lnTo>
                <a:close/>
              </a:path>
              <a:path w="7315200" h="2481580">
                <a:moveTo>
                  <a:pt x="3998976" y="1862328"/>
                </a:moveTo>
                <a:lnTo>
                  <a:pt x="3307080" y="1862328"/>
                </a:lnTo>
                <a:lnTo>
                  <a:pt x="3307080" y="2066544"/>
                </a:lnTo>
                <a:lnTo>
                  <a:pt x="3998976" y="2066544"/>
                </a:lnTo>
                <a:lnTo>
                  <a:pt x="3998976" y="1862328"/>
                </a:lnTo>
                <a:close/>
              </a:path>
              <a:path w="7315200" h="2481580">
                <a:moveTo>
                  <a:pt x="3998976" y="1656588"/>
                </a:moveTo>
                <a:lnTo>
                  <a:pt x="3307080" y="1656588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6588"/>
                </a:lnTo>
                <a:close/>
              </a:path>
              <a:path w="7315200" h="2481580">
                <a:moveTo>
                  <a:pt x="3998976" y="1449324"/>
                </a:moveTo>
                <a:lnTo>
                  <a:pt x="3307080" y="1449324"/>
                </a:lnTo>
                <a:lnTo>
                  <a:pt x="3307080" y="1653540"/>
                </a:lnTo>
                <a:lnTo>
                  <a:pt x="3998976" y="1653540"/>
                </a:lnTo>
                <a:lnTo>
                  <a:pt x="3998976" y="1449324"/>
                </a:lnTo>
                <a:close/>
              </a:path>
              <a:path w="7315200" h="2481580">
                <a:moveTo>
                  <a:pt x="3998976" y="1242060"/>
                </a:moveTo>
                <a:lnTo>
                  <a:pt x="3307080" y="1242060"/>
                </a:lnTo>
                <a:lnTo>
                  <a:pt x="3307080" y="1446276"/>
                </a:lnTo>
                <a:lnTo>
                  <a:pt x="3998976" y="1446276"/>
                </a:lnTo>
                <a:lnTo>
                  <a:pt x="3998976" y="1242060"/>
                </a:lnTo>
                <a:close/>
              </a:path>
              <a:path w="7315200" h="2481580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2481580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2481580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2481580">
                <a:moveTo>
                  <a:pt x="3998976" y="414528"/>
                </a:moveTo>
                <a:lnTo>
                  <a:pt x="3307080" y="414528"/>
                </a:lnTo>
                <a:lnTo>
                  <a:pt x="3307080" y="617220"/>
                </a:lnTo>
                <a:lnTo>
                  <a:pt x="3998976" y="617220"/>
                </a:lnTo>
                <a:lnTo>
                  <a:pt x="3998976" y="414528"/>
                </a:lnTo>
                <a:close/>
              </a:path>
              <a:path w="7315200" h="2481580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2481580">
                <a:moveTo>
                  <a:pt x="3998976" y="0"/>
                </a:moveTo>
                <a:lnTo>
                  <a:pt x="3307080" y="0"/>
                </a:lnTo>
                <a:lnTo>
                  <a:pt x="3307080" y="204216"/>
                </a:lnTo>
                <a:lnTo>
                  <a:pt x="3998976" y="204216"/>
                </a:lnTo>
                <a:lnTo>
                  <a:pt x="3998976" y="0"/>
                </a:lnTo>
                <a:close/>
              </a:path>
              <a:path w="7315200" h="2481580">
                <a:moveTo>
                  <a:pt x="4828032" y="2069592"/>
                </a:moveTo>
                <a:lnTo>
                  <a:pt x="4002024" y="2069592"/>
                </a:lnTo>
                <a:lnTo>
                  <a:pt x="4002024" y="2273808"/>
                </a:lnTo>
                <a:lnTo>
                  <a:pt x="4828032" y="2273808"/>
                </a:lnTo>
                <a:lnTo>
                  <a:pt x="4828032" y="2069592"/>
                </a:lnTo>
                <a:close/>
              </a:path>
              <a:path w="7315200" h="2481580">
                <a:moveTo>
                  <a:pt x="4828032" y="1862328"/>
                </a:moveTo>
                <a:lnTo>
                  <a:pt x="4002024" y="1862328"/>
                </a:lnTo>
                <a:lnTo>
                  <a:pt x="4002024" y="2066544"/>
                </a:lnTo>
                <a:lnTo>
                  <a:pt x="4828032" y="2066544"/>
                </a:lnTo>
                <a:lnTo>
                  <a:pt x="4828032" y="1862328"/>
                </a:lnTo>
                <a:close/>
              </a:path>
              <a:path w="7315200" h="2481580">
                <a:moveTo>
                  <a:pt x="4828032" y="1656588"/>
                </a:moveTo>
                <a:lnTo>
                  <a:pt x="4002024" y="1656588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6588"/>
                </a:lnTo>
                <a:close/>
              </a:path>
              <a:path w="7315200" h="2481580">
                <a:moveTo>
                  <a:pt x="4828032" y="1449324"/>
                </a:moveTo>
                <a:lnTo>
                  <a:pt x="4002024" y="1449324"/>
                </a:lnTo>
                <a:lnTo>
                  <a:pt x="4002024" y="1653540"/>
                </a:lnTo>
                <a:lnTo>
                  <a:pt x="4828032" y="1653540"/>
                </a:lnTo>
                <a:lnTo>
                  <a:pt x="4828032" y="1449324"/>
                </a:lnTo>
                <a:close/>
              </a:path>
              <a:path w="7315200" h="2481580">
                <a:moveTo>
                  <a:pt x="4828032" y="1242060"/>
                </a:moveTo>
                <a:lnTo>
                  <a:pt x="4002024" y="1242060"/>
                </a:lnTo>
                <a:lnTo>
                  <a:pt x="4002024" y="1446276"/>
                </a:lnTo>
                <a:lnTo>
                  <a:pt x="4828032" y="1446276"/>
                </a:lnTo>
                <a:lnTo>
                  <a:pt x="4828032" y="1242060"/>
                </a:lnTo>
                <a:close/>
              </a:path>
              <a:path w="7315200" h="2481580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2481580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2481580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2481580">
                <a:moveTo>
                  <a:pt x="4828032" y="414528"/>
                </a:moveTo>
                <a:lnTo>
                  <a:pt x="4002024" y="414528"/>
                </a:lnTo>
                <a:lnTo>
                  <a:pt x="4002024" y="617220"/>
                </a:lnTo>
                <a:lnTo>
                  <a:pt x="4828032" y="617220"/>
                </a:lnTo>
                <a:lnTo>
                  <a:pt x="4828032" y="414528"/>
                </a:lnTo>
                <a:close/>
              </a:path>
              <a:path w="7315200" h="2481580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2481580">
                <a:moveTo>
                  <a:pt x="4828032" y="0"/>
                </a:moveTo>
                <a:lnTo>
                  <a:pt x="4002024" y="0"/>
                </a:lnTo>
                <a:lnTo>
                  <a:pt x="4002024" y="204216"/>
                </a:lnTo>
                <a:lnTo>
                  <a:pt x="4828032" y="204216"/>
                </a:lnTo>
                <a:lnTo>
                  <a:pt x="4828032" y="0"/>
                </a:lnTo>
                <a:close/>
              </a:path>
              <a:path w="7315200" h="2481580">
                <a:moveTo>
                  <a:pt x="5657088" y="2069592"/>
                </a:moveTo>
                <a:lnTo>
                  <a:pt x="4831080" y="2069592"/>
                </a:lnTo>
                <a:lnTo>
                  <a:pt x="4831080" y="2273808"/>
                </a:lnTo>
                <a:lnTo>
                  <a:pt x="5657088" y="2273808"/>
                </a:lnTo>
                <a:lnTo>
                  <a:pt x="5657088" y="2069592"/>
                </a:lnTo>
                <a:close/>
              </a:path>
              <a:path w="7315200" h="2481580">
                <a:moveTo>
                  <a:pt x="5657088" y="1862328"/>
                </a:moveTo>
                <a:lnTo>
                  <a:pt x="4831080" y="1862328"/>
                </a:lnTo>
                <a:lnTo>
                  <a:pt x="4831080" y="2066544"/>
                </a:lnTo>
                <a:lnTo>
                  <a:pt x="5657088" y="2066544"/>
                </a:lnTo>
                <a:lnTo>
                  <a:pt x="5657088" y="1862328"/>
                </a:lnTo>
                <a:close/>
              </a:path>
              <a:path w="7315200" h="2481580">
                <a:moveTo>
                  <a:pt x="5657088" y="1656588"/>
                </a:moveTo>
                <a:lnTo>
                  <a:pt x="4831080" y="1656588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6588"/>
                </a:lnTo>
                <a:close/>
              </a:path>
              <a:path w="7315200" h="2481580">
                <a:moveTo>
                  <a:pt x="5657088" y="1449324"/>
                </a:moveTo>
                <a:lnTo>
                  <a:pt x="4831080" y="1449324"/>
                </a:lnTo>
                <a:lnTo>
                  <a:pt x="4831080" y="1653540"/>
                </a:lnTo>
                <a:lnTo>
                  <a:pt x="5657088" y="1653540"/>
                </a:lnTo>
                <a:lnTo>
                  <a:pt x="5657088" y="1449324"/>
                </a:lnTo>
                <a:close/>
              </a:path>
              <a:path w="7315200" h="2481580">
                <a:moveTo>
                  <a:pt x="5657088" y="1242060"/>
                </a:moveTo>
                <a:lnTo>
                  <a:pt x="4831080" y="1242060"/>
                </a:lnTo>
                <a:lnTo>
                  <a:pt x="4831080" y="1446276"/>
                </a:lnTo>
                <a:lnTo>
                  <a:pt x="5657088" y="1446276"/>
                </a:lnTo>
                <a:lnTo>
                  <a:pt x="5657088" y="1242060"/>
                </a:lnTo>
                <a:close/>
              </a:path>
              <a:path w="7315200" h="2481580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2481580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2481580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2481580">
                <a:moveTo>
                  <a:pt x="5657088" y="414528"/>
                </a:moveTo>
                <a:lnTo>
                  <a:pt x="4831080" y="414528"/>
                </a:lnTo>
                <a:lnTo>
                  <a:pt x="4831080" y="617220"/>
                </a:lnTo>
                <a:lnTo>
                  <a:pt x="5657088" y="617220"/>
                </a:lnTo>
                <a:lnTo>
                  <a:pt x="5657088" y="414528"/>
                </a:lnTo>
                <a:close/>
              </a:path>
              <a:path w="7315200" h="2481580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2481580">
                <a:moveTo>
                  <a:pt x="5657088" y="0"/>
                </a:moveTo>
                <a:lnTo>
                  <a:pt x="4831080" y="0"/>
                </a:lnTo>
                <a:lnTo>
                  <a:pt x="4831080" y="204216"/>
                </a:lnTo>
                <a:lnTo>
                  <a:pt x="5657088" y="204216"/>
                </a:lnTo>
                <a:lnTo>
                  <a:pt x="5657088" y="0"/>
                </a:lnTo>
                <a:close/>
              </a:path>
              <a:path w="7315200" h="2481580">
                <a:moveTo>
                  <a:pt x="6486144" y="2069592"/>
                </a:moveTo>
                <a:lnTo>
                  <a:pt x="5660136" y="2069592"/>
                </a:lnTo>
                <a:lnTo>
                  <a:pt x="5660136" y="2273808"/>
                </a:lnTo>
                <a:lnTo>
                  <a:pt x="6486144" y="2273808"/>
                </a:lnTo>
                <a:lnTo>
                  <a:pt x="6486144" y="2069592"/>
                </a:lnTo>
                <a:close/>
              </a:path>
              <a:path w="7315200" h="2481580">
                <a:moveTo>
                  <a:pt x="6486144" y="1862328"/>
                </a:moveTo>
                <a:lnTo>
                  <a:pt x="5660136" y="1862328"/>
                </a:lnTo>
                <a:lnTo>
                  <a:pt x="5660136" y="2066544"/>
                </a:lnTo>
                <a:lnTo>
                  <a:pt x="6486144" y="2066544"/>
                </a:lnTo>
                <a:lnTo>
                  <a:pt x="6486144" y="1862328"/>
                </a:lnTo>
                <a:close/>
              </a:path>
              <a:path w="7315200" h="2481580">
                <a:moveTo>
                  <a:pt x="6486144" y="1656588"/>
                </a:moveTo>
                <a:lnTo>
                  <a:pt x="5660136" y="1656588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6588"/>
                </a:lnTo>
                <a:close/>
              </a:path>
              <a:path w="7315200" h="2481580">
                <a:moveTo>
                  <a:pt x="6486144" y="1449324"/>
                </a:moveTo>
                <a:lnTo>
                  <a:pt x="5660136" y="1449324"/>
                </a:lnTo>
                <a:lnTo>
                  <a:pt x="5660136" y="1653540"/>
                </a:lnTo>
                <a:lnTo>
                  <a:pt x="6486144" y="1653540"/>
                </a:lnTo>
                <a:lnTo>
                  <a:pt x="6486144" y="1449324"/>
                </a:lnTo>
                <a:close/>
              </a:path>
              <a:path w="7315200" h="2481580">
                <a:moveTo>
                  <a:pt x="6486144" y="1242060"/>
                </a:moveTo>
                <a:lnTo>
                  <a:pt x="5660136" y="1242060"/>
                </a:lnTo>
                <a:lnTo>
                  <a:pt x="5660136" y="1446276"/>
                </a:lnTo>
                <a:lnTo>
                  <a:pt x="6486144" y="1446276"/>
                </a:lnTo>
                <a:lnTo>
                  <a:pt x="6486144" y="1242060"/>
                </a:lnTo>
                <a:close/>
              </a:path>
              <a:path w="7315200" h="2481580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2481580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2481580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2481580">
                <a:moveTo>
                  <a:pt x="6486144" y="414528"/>
                </a:moveTo>
                <a:lnTo>
                  <a:pt x="5660136" y="414528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4528"/>
                </a:lnTo>
                <a:close/>
              </a:path>
              <a:path w="7315200" h="2481580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2481580">
                <a:moveTo>
                  <a:pt x="6486144" y="0"/>
                </a:moveTo>
                <a:lnTo>
                  <a:pt x="5660136" y="0"/>
                </a:lnTo>
                <a:lnTo>
                  <a:pt x="5660136" y="204216"/>
                </a:lnTo>
                <a:lnTo>
                  <a:pt x="6486144" y="204216"/>
                </a:lnTo>
                <a:lnTo>
                  <a:pt x="6486144" y="0"/>
                </a:lnTo>
                <a:close/>
              </a:path>
              <a:path w="7315200" h="2481580">
                <a:moveTo>
                  <a:pt x="7315200" y="2069592"/>
                </a:moveTo>
                <a:lnTo>
                  <a:pt x="6489192" y="2069592"/>
                </a:lnTo>
                <a:lnTo>
                  <a:pt x="6489192" y="2273808"/>
                </a:lnTo>
                <a:lnTo>
                  <a:pt x="7315200" y="2273808"/>
                </a:lnTo>
                <a:lnTo>
                  <a:pt x="7315200" y="2069592"/>
                </a:lnTo>
                <a:close/>
              </a:path>
              <a:path w="7315200" h="2481580">
                <a:moveTo>
                  <a:pt x="7315200" y="1862328"/>
                </a:moveTo>
                <a:lnTo>
                  <a:pt x="6489192" y="1862328"/>
                </a:lnTo>
                <a:lnTo>
                  <a:pt x="6489192" y="2066544"/>
                </a:lnTo>
                <a:lnTo>
                  <a:pt x="7315200" y="2066544"/>
                </a:lnTo>
                <a:lnTo>
                  <a:pt x="7315200" y="1862328"/>
                </a:lnTo>
                <a:close/>
              </a:path>
              <a:path w="7315200" h="2481580">
                <a:moveTo>
                  <a:pt x="7315200" y="1656588"/>
                </a:moveTo>
                <a:lnTo>
                  <a:pt x="6489192" y="1656588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6588"/>
                </a:lnTo>
                <a:close/>
              </a:path>
              <a:path w="7315200" h="2481580">
                <a:moveTo>
                  <a:pt x="7315200" y="1449324"/>
                </a:moveTo>
                <a:lnTo>
                  <a:pt x="6489192" y="1449324"/>
                </a:lnTo>
                <a:lnTo>
                  <a:pt x="6489192" y="1653540"/>
                </a:lnTo>
                <a:lnTo>
                  <a:pt x="7315200" y="1653540"/>
                </a:lnTo>
                <a:lnTo>
                  <a:pt x="7315200" y="1449324"/>
                </a:lnTo>
                <a:close/>
              </a:path>
              <a:path w="7315200" h="2481580">
                <a:moveTo>
                  <a:pt x="7315200" y="1242060"/>
                </a:moveTo>
                <a:lnTo>
                  <a:pt x="6489192" y="1242060"/>
                </a:lnTo>
                <a:lnTo>
                  <a:pt x="6489192" y="1446276"/>
                </a:lnTo>
                <a:lnTo>
                  <a:pt x="7315200" y="1446276"/>
                </a:lnTo>
                <a:lnTo>
                  <a:pt x="7315200" y="1242060"/>
                </a:lnTo>
                <a:close/>
              </a:path>
              <a:path w="7315200" h="2481580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2481580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2481580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2481580">
                <a:moveTo>
                  <a:pt x="7315200" y="414528"/>
                </a:moveTo>
                <a:lnTo>
                  <a:pt x="6489192" y="414528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4528"/>
                </a:lnTo>
                <a:close/>
              </a:path>
              <a:path w="7315200" h="2481580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  <a:path w="7315200" h="2481580">
                <a:moveTo>
                  <a:pt x="7315200" y="0"/>
                </a:moveTo>
                <a:lnTo>
                  <a:pt x="6489192" y="0"/>
                </a:lnTo>
                <a:lnTo>
                  <a:pt x="6489192" y="204216"/>
                </a:lnTo>
                <a:lnTo>
                  <a:pt x="7315200" y="204216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38" name="Shape 38">
            <a:extLst>
              <a:ext uri="{FF2B5EF4-FFF2-40B4-BE49-F238E27FC236}">
                <a16:creationId xmlns:a16="http://schemas.microsoft.com/office/drawing/2014/main" id="{00000000-0008-0000-0300-000026000000}"/>
              </a:ext>
            </a:extLst>
          </xdr:cNvPr>
          <xdr:cNvSpPr/>
        </xdr:nvSpPr>
        <xdr:spPr>
          <a:xfrm>
            <a:off x="0" y="2069591"/>
            <a:ext cx="7315200" cy="1859280"/>
          </a:xfrm>
          <a:custGeom>
            <a:avLst/>
            <a:gdLst/>
            <a:ahLst/>
            <a:cxnLst/>
            <a:rect l="0" t="0" r="0" b="0"/>
            <a:pathLst>
              <a:path w="7315200" h="1859280">
                <a:moveTo>
                  <a:pt x="339852" y="620268"/>
                </a:moveTo>
                <a:lnTo>
                  <a:pt x="0" y="620268"/>
                </a:lnTo>
                <a:lnTo>
                  <a:pt x="0" y="1859280"/>
                </a:lnTo>
                <a:lnTo>
                  <a:pt x="339852" y="1859280"/>
                </a:lnTo>
                <a:lnTo>
                  <a:pt x="339852" y="620268"/>
                </a:lnTo>
                <a:close/>
              </a:path>
              <a:path w="7315200" h="1859280">
                <a:moveTo>
                  <a:pt x="339852" y="0"/>
                </a:moveTo>
                <a:lnTo>
                  <a:pt x="0" y="0"/>
                </a:lnTo>
                <a:lnTo>
                  <a:pt x="0" y="617220"/>
                </a:lnTo>
                <a:lnTo>
                  <a:pt x="339852" y="617220"/>
                </a:lnTo>
                <a:lnTo>
                  <a:pt x="339852" y="0"/>
                </a:lnTo>
                <a:close/>
              </a:path>
              <a:path w="7315200" h="1859280">
                <a:moveTo>
                  <a:pt x="1376172" y="620268"/>
                </a:moveTo>
                <a:lnTo>
                  <a:pt x="342900" y="620268"/>
                </a:lnTo>
                <a:lnTo>
                  <a:pt x="342900" y="1859280"/>
                </a:lnTo>
                <a:lnTo>
                  <a:pt x="1376172" y="1859280"/>
                </a:lnTo>
                <a:lnTo>
                  <a:pt x="1376172" y="620268"/>
                </a:lnTo>
                <a:close/>
              </a:path>
              <a:path w="7315200" h="1859280">
                <a:moveTo>
                  <a:pt x="1376172" y="0"/>
                </a:moveTo>
                <a:lnTo>
                  <a:pt x="342900" y="0"/>
                </a:lnTo>
                <a:lnTo>
                  <a:pt x="342900" y="617220"/>
                </a:lnTo>
                <a:lnTo>
                  <a:pt x="1376172" y="617220"/>
                </a:lnTo>
                <a:lnTo>
                  <a:pt x="1376172" y="0"/>
                </a:lnTo>
                <a:close/>
              </a:path>
              <a:path w="7315200" h="1859280">
                <a:moveTo>
                  <a:pt x="2753868" y="620268"/>
                </a:moveTo>
                <a:lnTo>
                  <a:pt x="1379220" y="620268"/>
                </a:lnTo>
                <a:lnTo>
                  <a:pt x="1379220" y="1859280"/>
                </a:lnTo>
                <a:lnTo>
                  <a:pt x="2753868" y="1859280"/>
                </a:lnTo>
                <a:lnTo>
                  <a:pt x="2753868" y="620268"/>
                </a:lnTo>
                <a:close/>
              </a:path>
              <a:path w="7315200" h="1859280">
                <a:moveTo>
                  <a:pt x="2753868" y="0"/>
                </a:moveTo>
                <a:lnTo>
                  <a:pt x="1379220" y="0"/>
                </a:lnTo>
                <a:lnTo>
                  <a:pt x="1379220" y="617220"/>
                </a:lnTo>
                <a:lnTo>
                  <a:pt x="2753868" y="617220"/>
                </a:lnTo>
                <a:lnTo>
                  <a:pt x="2753868" y="0"/>
                </a:lnTo>
                <a:close/>
              </a:path>
              <a:path w="7315200" h="1859280">
                <a:moveTo>
                  <a:pt x="3304032" y="1656588"/>
                </a:moveTo>
                <a:lnTo>
                  <a:pt x="2756916" y="1656588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6588"/>
                </a:lnTo>
                <a:close/>
              </a:path>
              <a:path w="7315200" h="1859280">
                <a:moveTo>
                  <a:pt x="3304032" y="1449324"/>
                </a:moveTo>
                <a:lnTo>
                  <a:pt x="2756916" y="1449324"/>
                </a:lnTo>
                <a:lnTo>
                  <a:pt x="2756916" y="1652016"/>
                </a:lnTo>
                <a:lnTo>
                  <a:pt x="3304032" y="1652016"/>
                </a:lnTo>
                <a:lnTo>
                  <a:pt x="3304032" y="1449324"/>
                </a:lnTo>
                <a:close/>
              </a:path>
              <a:path w="7315200" h="1859280">
                <a:moveTo>
                  <a:pt x="3304032" y="1242060"/>
                </a:moveTo>
                <a:lnTo>
                  <a:pt x="2756916" y="1242060"/>
                </a:lnTo>
                <a:lnTo>
                  <a:pt x="2756916" y="1446276"/>
                </a:lnTo>
                <a:lnTo>
                  <a:pt x="3304032" y="1446276"/>
                </a:lnTo>
                <a:lnTo>
                  <a:pt x="3304032" y="1242060"/>
                </a:lnTo>
                <a:close/>
              </a:path>
              <a:path w="7315200" h="1859280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1859280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1859280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1859280">
                <a:moveTo>
                  <a:pt x="3304032" y="414528"/>
                </a:moveTo>
                <a:lnTo>
                  <a:pt x="2756916" y="414528"/>
                </a:lnTo>
                <a:lnTo>
                  <a:pt x="2756916" y="617220"/>
                </a:lnTo>
                <a:lnTo>
                  <a:pt x="3304032" y="617220"/>
                </a:lnTo>
                <a:lnTo>
                  <a:pt x="3304032" y="414528"/>
                </a:lnTo>
                <a:close/>
              </a:path>
              <a:path w="7315200" h="1859280">
                <a:moveTo>
                  <a:pt x="3304032" y="207264"/>
                </a:moveTo>
                <a:lnTo>
                  <a:pt x="2756916" y="207264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207264"/>
                </a:lnTo>
                <a:close/>
              </a:path>
              <a:path w="7315200" h="1859280">
                <a:moveTo>
                  <a:pt x="3998976" y="1656588"/>
                </a:moveTo>
                <a:lnTo>
                  <a:pt x="3307080" y="1656588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6588"/>
                </a:lnTo>
                <a:close/>
              </a:path>
              <a:path w="7315200" h="1859280">
                <a:moveTo>
                  <a:pt x="3998976" y="1449324"/>
                </a:moveTo>
                <a:lnTo>
                  <a:pt x="3307080" y="1449324"/>
                </a:lnTo>
                <a:lnTo>
                  <a:pt x="3307080" y="1652016"/>
                </a:lnTo>
                <a:lnTo>
                  <a:pt x="3998976" y="1652016"/>
                </a:lnTo>
                <a:lnTo>
                  <a:pt x="3998976" y="1449324"/>
                </a:lnTo>
                <a:close/>
              </a:path>
              <a:path w="7315200" h="1859280">
                <a:moveTo>
                  <a:pt x="3998976" y="1242060"/>
                </a:moveTo>
                <a:lnTo>
                  <a:pt x="3307080" y="1242060"/>
                </a:lnTo>
                <a:lnTo>
                  <a:pt x="3307080" y="1446276"/>
                </a:lnTo>
                <a:lnTo>
                  <a:pt x="3998976" y="1446276"/>
                </a:lnTo>
                <a:lnTo>
                  <a:pt x="3998976" y="1242060"/>
                </a:lnTo>
                <a:close/>
              </a:path>
              <a:path w="7315200" h="1859280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1859280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1859280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1859280">
                <a:moveTo>
                  <a:pt x="3998976" y="414528"/>
                </a:moveTo>
                <a:lnTo>
                  <a:pt x="3307080" y="414528"/>
                </a:lnTo>
                <a:lnTo>
                  <a:pt x="3307080" y="617220"/>
                </a:lnTo>
                <a:lnTo>
                  <a:pt x="3998976" y="617220"/>
                </a:lnTo>
                <a:lnTo>
                  <a:pt x="3998976" y="414528"/>
                </a:lnTo>
                <a:close/>
              </a:path>
              <a:path w="7315200" h="1859280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1859280">
                <a:moveTo>
                  <a:pt x="4828032" y="1656588"/>
                </a:moveTo>
                <a:lnTo>
                  <a:pt x="4002024" y="1656588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6588"/>
                </a:lnTo>
                <a:close/>
              </a:path>
              <a:path w="7315200" h="1859280">
                <a:moveTo>
                  <a:pt x="4828032" y="1449324"/>
                </a:moveTo>
                <a:lnTo>
                  <a:pt x="4002024" y="1449324"/>
                </a:lnTo>
                <a:lnTo>
                  <a:pt x="4002024" y="1652016"/>
                </a:lnTo>
                <a:lnTo>
                  <a:pt x="4828032" y="1652016"/>
                </a:lnTo>
                <a:lnTo>
                  <a:pt x="4828032" y="1449324"/>
                </a:lnTo>
                <a:close/>
              </a:path>
              <a:path w="7315200" h="1859280">
                <a:moveTo>
                  <a:pt x="4828032" y="1242060"/>
                </a:moveTo>
                <a:lnTo>
                  <a:pt x="4002024" y="1242060"/>
                </a:lnTo>
                <a:lnTo>
                  <a:pt x="4002024" y="1446276"/>
                </a:lnTo>
                <a:lnTo>
                  <a:pt x="4828032" y="1446276"/>
                </a:lnTo>
                <a:lnTo>
                  <a:pt x="4828032" y="1242060"/>
                </a:lnTo>
                <a:close/>
              </a:path>
              <a:path w="7315200" h="1859280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1859280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1859280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1859280">
                <a:moveTo>
                  <a:pt x="4828032" y="414528"/>
                </a:moveTo>
                <a:lnTo>
                  <a:pt x="4002024" y="414528"/>
                </a:lnTo>
                <a:lnTo>
                  <a:pt x="4002024" y="617220"/>
                </a:lnTo>
                <a:lnTo>
                  <a:pt x="4828032" y="617220"/>
                </a:lnTo>
                <a:lnTo>
                  <a:pt x="4828032" y="414528"/>
                </a:lnTo>
                <a:close/>
              </a:path>
              <a:path w="7315200" h="1859280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1859280">
                <a:moveTo>
                  <a:pt x="5657088" y="1656588"/>
                </a:moveTo>
                <a:lnTo>
                  <a:pt x="4831080" y="1656588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6588"/>
                </a:lnTo>
                <a:close/>
              </a:path>
              <a:path w="7315200" h="1859280">
                <a:moveTo>
                  <a:pt x="5657088" y="1449324"/>
                </a:moveTo>
                <a:lnTo>
                  <a:pt x="4831080" y="1449324"/>
                </a:lnTo>
                <a:lnTo>
                  <a:pt x="4831080" y="1652016"/>
                </a:lnTo>
                <a:lnTo>
                  <a:pt x="5657088" y="1652016"/>
                </a:lnTo>
                <a:lnTo>
                  <a:pt x="5657088" y="1449324"/>
                </a:lnTo>
                <a:close/>
              </a:path>
              <a:path w="7315200" h="1859280">
                <a:moveTo>
                  <a:pt x="5657088" y="1242060"/>
                </a:moveTo>
                <a:lnTo>
                  <a:pt x="4831080" y="1242060"/>
                </a:lnTo>
                <a:lnTo>
                  <a:pt x="4831080" y="1446276"/>
                </a:lnTo>
                <a:lnTo>
                  <a:pt x="5657088" y="1446276"/>
                </a:lnTo>
                <a:lnTo>
                  <a:pt x="5657088" y="1242060"/>
                </a:lnTo>
                <a:close/>
              </a:path>
              <a:path w="7315200" h="1859280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1859280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1859280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1859280">
                <a:moveTo>
                  <a:pt x="5657088" y="414528"/>
                </a:moveTo>
                <a:lnTo>
                  <a:pt x="4831080" y="414528"/>
                </a:lnTo>
                <a:lnTo>
                  <a:pt x="4831080" y="617220"/>
                </a:lnTo>
                <a:lnTo>
                  <a:pt x="5657088" y="617220"/>
                </a:lnTo>
                <a:lnTo>
                  <a:pt x="5657088" y="414528"/>
                </a:lnTo>
                <a:close/>
              </a:path>
              <a:path w="7315200" h="1859280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1859280">
                <a:moveTo>
                  <a:pt x="6486144" y="1656588"/>
                </a:moveTo>
                <a:lnTo>
                  <a:pt x="5660136" y="1656588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6588"/>
                </a:lnTo>
                <a:close/>
              </a:path>
              <a:path w="7315200" h="1859280">
                <a:moveTo>
                  <a:pt x="6486144" y="1449324"/>
                </a:moveTo>
                <a:lnTo>
                  <a:pt x="5660136" y="1449324"/>
                </a:lnTo>
                <a:lnTo>
                  <a:pt x="5660136" y="1652016"/>
                </a:lnTo>
                <a:lnTo>
                  <a:pt x="6486144" y="1652016"/>
                </a:lnTo>
                <a:lnTo>
                  <a:pt x="6486144" y="1449324"/>
                </a:lnTo>
                <a:close/>
              </a:path>
              <a:path w="7315200" h="1859280">
                <a:moveTo>
                  <a:pt x="6486144" y="1242060"/>
                </a:moveTo>
                <a:lnTo>
                  <a:pt x="5660136" y="1242060"/>
                </a:lnTo>
                <a:lnTo>
                  <a:pt x="5660136" y="1446276"/>
                </a:lnTo>
                <a:lnTo>
                  <a:pt x="6486144" y="1446276"/>
                </a:lnTo>
                <a:lnTo>
                  <a:pt x="6486144" y="1242060"/>
                </a:lnTo>
                <a:close/>
              </a:path>
              <a:path w="7315200" h="1859280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1859280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1859280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1859280">
                <a:moveTo>
                  <a:pt x="6486144" y="414528"/>
                </a:moveTo>
                <a:lnTo>
                  <a:pt x="5660136" y="414528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4528"/>
                </a:lnTo>
                <a:close/>
              </a:path>
              <a:path w="7315200" h="1859280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1859280">
                <a:moveTo>
                  <a:pt x="7315200" y="1656588"/>
                </a:moveTo>
                <a:lnTo>
                  <a:pt x="6489192" y="1656588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6588"/>
                </a:lnTo>
                <a:close/>
              </a:path>
              <a:path w="7315200" h="1859280">
                <a:moveTo>
                  <a:pt x="7315200" y="1449324"/>
                </a:moveTo>
                <a:lnTo>
                  <a:pt x="6489192" y="1449324"/>
                </a:lnTo>
                <a:lnTo>
                  <a:pt x="6489192" y="1652016"/>
                </a:lnTo>
                <a:lnTo>
                  <a:pt x="7315200" y="1652016"/>
                </a:lnTo>
                <a:lnTo>
                  <a:pt x="7315200" y="1449324"/>
                </a:lnTo>
                <a:close/>
              </a:path>
              <a:path w="7315200" h="1859280">
                <a:moveTo>
                  <a:pt x="7315200" y="1242060"/>
                </a:moveTo>
                <a:lnTo>
                  <a:pt x="6489192" y="1242060"/>
                </a:lnTo>
                <a:lnTo>
                  <a:pt x="6489192" y="1446276"/>
                </a:lnTo>
                <a:lnTo>
                  <a:pt x="7315200" y="1446276"/>
                </a:lnTo>
                <a:lnTo>
                  <a:pt x="7315200" y="1242060"/>
                </a:lnTo>
                <a:close/>
              </a:path>
              <a:path w="7315200" h="1859280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1859280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1859280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1859280">
                <a:moveTo>
                  <a:pt x="7315200" y="414528"/>
                </a:moveTo>
                <a:lnTo>
                  <a:pt x="6489192" y="414528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4528"/>
                </a:lnTo>
                <a:close/>
              </a:path>
              <a:path w="7315200" h="1859280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536321</xdr:colOff>
      <xdr:row>25</xdr:row>
      <xdr:rowOff>0</xdr:rowOff>
    </xdr:from>
    <xdr:ext cx="702945" cy="3929379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/>
      </xdr:nvSpPr>
      <xdr:spPr>
        <a:xfrm>
          <a:off x="0" y="0"/>
          <a:ext cx="702945" cy="3929379"/>
        </a:xfrm>
        <a:custGeom>
          <a:avLst/>
          <a:gdLst/>
          <a:ahLst/>
          <a:cxnLst/>
          <a:rect l="0" t="0" r="0" b="0"/>
          <a:pathLst>
            <a:path w="702945" h="3929379">
              <a:moveTo>
                <a:pt x="702564" y="3726180"/>
              </a:moveTo>
              <a:lnTo>
                <a:pt x="0" y="3726180"/>
              </a:lnTo>
              <a:lnTo>
                <a:pt x="0" y="3928872"/>
              </a:lnTo>
              <a:lnTo>
                <a:pt x="702564" y="3928872"/>
              </a:lnTo>
              <a:lnTo>
                <a:pt x="702564" y="3726180"/>
              </a:lnTo>
              <a:close/>
            </a:path>
            <a:path w="702945" h="3929379">
              <a:moveTo>
                <a:pt x="702564" y="3518916"/>
              </a:moveTo>
              <a:lnTo>
                <a:pt x="0" y="3518916"/>
              </a:lnTo>
              <a:lnTo>
                <a:pt x="0" y="3721608"/>
              </a:lnTo>
              <a:lnTo>
                <a:pt x="702564" y="3721608"/>
              </a:lnTo>
              <a:lnTo>
                <a:pt x="702564" y="3518916"/>
              </a:lnTo>
              <a:close/>
            </a:path>
            <a:path w="702945" h="3929379">
              <a:moveTo>
                <a:pt x="702564" y="3311652"/>
              </a:moveTo>
              <a:lnTo>
                <a:pt x="0" y="3311652"/>
              </a:lnTo>
              <a:lnTo>
                <a:pt x="0" y="3515868"/>
              </a:lnTo>
              <a:lnTo>
                <a:pt x="702564" y="3515868"/>
              </a:lnTo>
              <a:lnTo>
                <a:pt x="702564" y="3311652"/>
              </a:lnTo>
              <a:close/>
            </a:path>
            <a:path w="702945" h="3929379">
              <a:moveTo>
                <a:pt x="702564" y="3104388"/>
              </a:moveTo>
              <a:lnTo>
                <a:pt x="0" y="3104388"/>
              </a:lnTo>
              <a:lnTo>
                <a:pt x="0" y="3308604"/>
              </a:lnTo>
              <a:lnTo>
                <a:pt x="702564" y="3308604"/>
              </a:lnTo>
              <a:lnTo>
                <a:pt x="702564" y="3104388"/>
              </a:lnTo>
              <a:close/>
            </a:path>
            <a:path w="702945" h="3929379">
              <a:moveTo>
                <a:pt x="702564" y="2897124"/>
              </a:moveTo>
              <a:lnTo>
                <a:pt x="0" y="2897124"/>
              </a:lnTo>
              <a:lnTo>
                <a:pt x="0" y="3101340"/>
              </a:lnTo>
              <a:lnTo>
                <a:pt x="702564" y="3101340"/>
              </a:lnTo>
              <a:lnTo>
                <a:pt x="702564" y="2897124"/>
              </a:lnTo>
              <a:close/>
            </a:path>
            <a:path w="702945" h="3929379">
              <a:moveTo>
                <a:pt x="702564" y="2689860"/>
              </a:moveTo>
              <a:lnTo>
                <a:pt x="0" y="2689860"/>
              </a:lnTo>
              <a:lnTo>
                <a:pt x="0" y="2894076"/>
              </a:lnTo>
              <a:lnTo>
                <a:pt x="702564" y="2894076"/>
              </a:lnTo>
              <a:lnTo>
                <a:pt x="702564" y="2689860"/>
              </a:lnTo>
              <a:close/>
            </a:path>
            <a:path w="702945" h="3929379">
              <a:moveTo>
                <a:pt x="702564" y="2484120"/>
              </a:moveTo>
              <a:lnTo>
                <a:pt x="0" y="2484120"/>
              </a:lnTo>
              <a:lnTo>
                <a:pt x="0" y="2686812"/>
              </a:lnTo>
              <a:lnTo>
                <a:pt x="702564" y="2686812"/>
              </a:lnTo>
              <a:lnTo>
                <a:pt x="702564" y="2484120"/>
              </a:lnTo>
              <a:close/>
            </a:path>
            <a:path w="702945" h="3929379">
              <a:moveTo>
                <a:pt x="702564" y="2276856"/>
              </a:moveTo>
              <a:lnTo>
                <a:pt x="0" y="2276856"/>
              </a:lnTo>
              <a:lnTo>
                <a:pt x="0" y="2481072"/>
              </a:lnTo>
              <a:lnTo>
                <a:pt x="702564" y="2481072"/>
              </a:lnTo>
              <a:lnTo>
                <a:pt x="702564" y="2276856"/>
              </a:lnTo>
              <a:close/>
            </a:path>
            <a:path w="702945" h="3929379">
              <a:moveTo>
                <a:pt x="702564" y="2069592"/>
              </a:moveTo>
              <a:lnTo>
                <a:pt x="0" y="2069592"/>
              </a:lnTo>
              <a:lnTo>
                <a:pt x="0" y="2273808"/>
              </a:lnTo>
              <a:lnTo>
                <a:pt x="702564" y="2273808"/>
              </a:lnTo>
              <a:lnTo>
                <a:pt x="702564" y="2069592"/>
              </a:lnTo>
              <a:close/>
            </a:path>
            <a:path w="702945" h="3929379">
              <a:moveTo>
                <a:pt x="702564" y="1862328"/>
              </a:moveTo>
              <a:lnTo>
                <a:pt x="0" y="1862328"/>
              </a:lnTo>
              <a:lnTo>
                <a:pt x="0" y="2066544"/>
              </a:lnTo>
              <a:lnTo>
                <a:pt x="702564" y="2066544"/>
              </a:lnTo>
              <a:lnTo>
                <a:pt x="702564" y="1862328"/>
              </a:lnTo>
              <a:close/>
            </a:path>
            <a:path w="702945" h="3929379">
              <a:moveTo>
                <a:pt x="702564" y="1656588"/>
              </a:moveTo>
              <a:lnTo>
                <a:pt x="0" y="1656588"/>
              </a:lnTo>
              <a:lnTo>
                <a:pt x="0" y="1859280"/>
              </a:lnTo>
              <a:lnTo>
                <a:pt x="702564" y="1859280"/>
              </a:lnTo>
              <a:lnTo>
                <a:pt x="702564" y="1656588"/>
              </a:lnTo>
              <a:close/>
            </a:path>
            <a:path w="702945" h="3929379">
              <a:moveTo>
                <a:pt x="702564" y="1449324"/>
              </a:moveTo>
              <a:lnTo>
                <a:pt x="0" y="1449324"/>
              </a:lnTo>
              <a:lnTo>
                <a:pt x="0" y="1653540"/>
              </a:lnTo>
              <a:lnTo>
                <a:pt x="702564" y="1653540"/>
              </a:lnTo>
              <a:lnTo>
                <a:pt x="702564" y="1449324"/>
              </a:lnTo>
              <a:close/>
            </a:path>
            <a:path w="702945" h="3929379">
              <a:moveTo>
                <a:pt x="702564" y="1242060"/>
              </a:moveTo>
              <a:lnTo>
                <a:pt x="0" y="1242060"/>
              </a:lnTo>
              <a:lnTo>
                <a:pt x="0" y="1446276"/>
              </a:lnTo>
              <a:lnTo>
                <a:pt x="702564" y="1446276"/>
              </a:lnTo>
              <a:lnTo>
                <a:pt x="702564" y="1242060"/>
              </a:lnTo>
              <a:close/>
            </a:path>
            <a:path w="702945" h="3929379">
              <a:moveTo>
                <a:pt x="702564" y="1034796"/>
              </a:moveTo>
              <a:lnTo>
                <a:pt x="0" y="1034796"/>
              </a:lnTo>
              <a:lnTo>
                <a:pt x="0" y="1239012"/>
              </a:lnTo>
              <a:lnTo>
                <a:pt x="702564" y="1239012"/>
              </a:lnTo>
              <a:lnTo>
                <a:pt x="702564" y="1034796"/>
              </a:lnTo>
              <a:close/>
            </a:path>
            <a:path w="702945" h="3929379">
              <a:moveTo>
                <a:pt x="702564" y="827532"/>
              </a:moveTo>
              <a:lnTo>
                <a:pt x="0" y="827532"/>
              </a:lnTo>
              <a:lnTo>
                <a:pt x="0" y="1031748"/>
              </a:lnTo>
              <a:lnTo>
                <a:pt x="702564" y="1031748"/>
              </a:lnTo>
              <a:lnTo>
                <a:pt x="702564" y="827532"/>
              </a:lnTo>
              <a:close/>
            </a:path>
            <a:path w="702945" h="3929379">
              <a:moveTo>
                <a:pt x="702564" y="620268"/>
              </a:moveTo>
              <a:lnTo>
                <a:pt x="0" y="620268"/>
              </a:lnTo>
              <a:lnTo>
                <a:pt x="0" y="824484"/>
              </a:lnTo>
              <a:lnTo>
                <a:pt x="702564" y="824484"/>
              </a:lnTo>
              <a:lnTo>
                <a:pt x="702564" y="620268"/>
              </a:lnTo>
              <a:close/>
            </a:path>
            <a:path w="702945" h="3929379">
              <a:moveTo>
                <a:pt x="702564" y="414528"/>
              </a:moveTo>
              <a:lnTo>
                <a:pt x="0" y="414528"/>
              </a:lnTo>
              <a:lnTo>
                <a:pt x="0" y="617220"/>
              </a:lnTo>
              <a:lnTo>
                <a:pt x="702564" y="617220"/>
              </a:lnTo>
              <a:lnTo>
                <a:pt x="702564" y="414528"/>
              </a:lnTo>
              <a:close/>
            </a:path>
            <a:path w="702945" h="3929379">
              <a:moveTo>
                <a:pt x="702564" y="207264"/>
              </a:moveTo>
              <a:lnTo>
                <a:pt x="0" y="207264"/>
              </a:lnTo>
              <a:lnTo>
                <a:pt x="0" y="411480"/>
              </a:lnTo>
              <a:lnTo>
                <a:pt x="702564" y="411480"/>
              </a:lnTo>
              <a:lnTo>
                <a:pt x="702564" y="207264"/>
              </a:lnTo>
              <a:close/>
            </a:path>
            <a:path w="702945" h="3929379">
              <a:moveTo>
                <a:pt x="702564" y="0"/>
              </a:moveTo>
              <a:lnTo>
                <a:pt x="0" y="0"/>
              </a:lnTo>
              <a:lnTo>
                <a:pt x="0" y="204216"/>
              </a:lnTo>
              <a:lnTo>
                <a:pt x="702564" y="204216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541909</xdr:colOff>
      <xdr:row>23</xdr:row>
      <xdr:rowOff>206501</xdr:rowOff>
    </xdr:from>
    <xdr:ext cx="3313429" cy="375285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235457</xdr:colOff>
      <xdr:row>3</xdr:row>
      <xdr:rowOff>762</xdr:rowOff>
    </xdr:from>
    <xdr:ext cx="381000" cy="381000"/>
    <xdr:pic>
      <xdr:nvPicPr>
        <xdr:cNvPr id="41" name="image1.jpe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330696</xdr:colOff>
      <xdr:row>3</xdr:row>
      <xdr:rowOff>49142</xdr:rowOff>
    </xdr:from>
    <xdr:ext cx="193523" cy="290285"/>
    <xdr:pic>
      <xdr:nvPicPr>
        <xdr:cNvPr id="42" name="image2.jpe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7</xdr:col>
      <xdr:colOff>235458</xdr:colOff>
      <xdr:row>3</xdr:row>
      <xdr:rowOff>49142</xdr:rowOff>
    </xdr:from>
    <xdr:ext cx="381000" cy="290285"/>
    <xdr:pic>
      <xdr:nvPicPr>
        <xdr:cNvPr id="43" name="image3.jpe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49142</xdr:rowOff>
    </xdr:from>
    <xdr:ext cx="381000" cy="290285"/>
    <xdr:pic>
      <xdr:nvPicPr>
        <xdr:cNvPr id="44" name="image4.jpe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198754</xdr:colOff>
      <xdr:row>25</xdr:row>
      <xdr:rowOff>0</xdr:rowOff>
    </xdr:from>
    <xdr:ext cx="7315200" cy="4136390"/>
    <xdr:grpSp>
      <xdr:nvGrpSpPr>
        <xdr:cNvPr id="45" name="Group 45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GrpSpPr/>
      </xdr:nvGrpSpPr>
      <xdr:grpSpPr>
        <a:xfrm>
          <a:off x="610234" y="6050280"/>
          <a:ext cx="7315200" cy="4136390"/>
          <a:chOff x="0" y="0"/>
          <a:chExt cx="7315200" cy="4136390"/>
        </a:xfrm>
      </xdr:grpSpPr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400-00002E000000}"/>
              </a:ext>
            </a:extLst>
          </xdr:cNvPr>
          <xdr:cNvSpPr/>
        </xdr:nvSpPr>
        <xdr:spPr>
          <a:xfrm>
            <a:off x="0" y="0"/>
            <a:ext cx="7315200" cy="2273935"/>
          </a:xfrm>
          <a:custGeom>
            <a:avLst/>
            <a:gdLst/>
            <a:ahLst/>
            <a:cxnLst/>
            <a:rect l="0" t="0" r="0" b="0"/>
            <a:pathLst>
              <a:path w="7315200" h="2273935">
                <a:moveTo>
                  <a:pt x="339852" y="620268"/>
                </a:moveTo>
                <a:lnTo>
                  <a:pt x="0" y="620268"/>
                </a:lnTo>
                <a:lnTo>
                  <a:pt x="0" y="1653540"/>
                </a:lnTo>
                <a:lnTo>
                  <a:pt x="339852" y="1653540"/>
                </a:lnTo>
                <a:lnTo>
                  <a:pt x="339852" y="620268"/>
                </a:lnTo>
                <a:close/>
              </a:path>
              <a:path w="7315200" h="2273935">
                <a:moveTo>
                  <a:pt x="339852" y="0"/>
                </a:moveTo>
                <a:lnTo>
                  <a:pt x="0" y="0"/>
                </a:lnTo>
                <a:lnTo>
                  <a:pt x="0" y="617220"/>
                </a:lnTo>
                <a:lnTo>
                  <a:pt x="339852" y="617220"/>
                </a:lnTo>
                <a:lnTo>
                  <a:pt x="339852" y="0"/>
                </a:lnTo>
                <a:close/>
              </a:path>
              <a:path w="7315200" h="2273935">
                <a:moveTo>
                  <a:pt x="1376172" y="620268"/>
                </a:moveTo>
                <a:lnTo>
                  <a:pt x="342900" y="620268"/>
                </a:lnTo>
                <a:lnTo>
                  <a:pt x="342900" y="1653540"/>
                </a:lnTo>
                <a:lnTo>
                  <a:pt x="1376172" y="1653540"/>
                </a:lnTo>
                <a:lnTo>
                  <a:pt x="1376172" y="620268"/>
                </a:lnTo>
                <a:close/>
              </a:path>
              <a:path w="7315200" h="2273935">
                <a:moveTo>
                  <a:pt x="1376172" y="0"/>
                </a:moveTo>
                <a:lnTo>
                  <a:pt x="342900" y="0"/>
                </a:lnTo>
                <a:lnTo>
                  <a:pt x="342900" y="617220"/>
                </a:lnTo>
                <a:lnTo>
                  <a:pt x="1376172" y="617220"/>
                </a:lnTo>
                <a:lnTo>
                  <a:pt x="1376172" y="0"/>
                </a:lnTo>
                <a:close/>
              </a:path>
              <a:path w="7315200" h="2273935">
                <a:moveTo>
                  <a:pt x="2753868" y="620268"/>
                </a:moveTo>
                <a:lnTo>
                  <a:pt x="1379220" y="620268"/>
                </a:lnTo>
                <a:lnTo>
                  <a:pt x="1379220" y="1653540"/>
                </a:lnTo>
                <a:lnTo>
                  <a:pt x="2753868" y="1653540"/>
                </a:lnTo>
                <a:lnTo>
                  <a:pt x="2753868" y="620268"/>
                </a:lnTo>
                <a:close/>
              </a:path>
              <a:path w="7315200" h="2273935">
                <a:moveTo>
                  <a:pt x="2753868" y="0"/>
                </a:moveTo>
                <a:lnTo>
                  <a:pt x="1379220" y="0"/>
                </a:lnTo>
                <a:lnTo>
                  <a:pt x="1379220" y="617220"/>
                </a:lnTo>
                <a:lnTo>
                  <a:pt x="2753868" y="617220"/>
                </a:lnTo>
                <a:lnTo>
                  <a:pt x="2753868" y="0"/>
                </a:lnTo>
                <a:close/>
              </a:path>
              <a:path w="7315200" h="2273935">
                <a:moveTo>
                  <a:pt x="3304032" y="2069592"/>
                </a:moveTo>
                <a:lnTo>
                  <a:pt x="2756916" y="2069592"/>
                </a:lnTo>
                <a:lnTo>
                  <a:pt x="2756916" y="2273808"/>
                </a:lnTo>
                <a:lnTo>
                  <a:pt x="3304032" y="2273808"/>
                </a:lnTo>
                <a:lnTo>
                  <a:pt x="3304032" y="2069592"/>
                </a:lnTo>
                <a:close/>
              </a:path>
              <a:path w="7315200" h="2273935">
                <a:moveTo>
                  <a:pt x="3304032" y="1862328"/>
                </a:moveTo>
                <a:lnTo>
                  <a:pt x="2756916" y="1862328"/>
                </a:lnTo>
                <a:lnTo>
                  <a:pt x="2756916" y="2066544"/>
                </a:lnTo>
                <a:lnTo>
                  <a:pt x="3304032" y="2066544"/>
                </a:lnTo>
                <a:lnTo>
                  <a:pt x="3304032" y="1862328"/>
                </a:lnTo>
                <a:close/>
              </a:path>
              <a:path w="7315200" h="2273935">
                <a:moveTo>
                  <a:pt x="3304032" y="1656588"/>
                </a:moveTo>
                <a:lnTo>
                  <a:pt x="2756916" y="1656588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6588"/>
                </a:lnTo>
                <a:close/>
              </a:path>
              <a:path w="7315200" h="2273935">
                <a:moveTo>
                  <a:pt x="3304032" y="1449324"/>
                </a:moveTo>
                <a:lnTo>
                  <a:pt x="2756916" y="1449324"/>
                </a:lnTo>
                <a:lnTo>
                  <a:pt x="2756916" y="1653540"/>
                </a:lnTo>
                <a:lnTo>
                  <a:pt x="3304032" y="1653540"/>
                </a:lnTo>
                <a:lnTo>
                  <a:pt x="3304032" y="1449324"/>
                </a:lnTo>
                <a:close/>
              </a:path>
              <a:path w="7315200" h="2273935">
                <a:moveTo>
                  <a:pt x="3304032" y="1242060"/>
                </a:moveTo>
                <a:lnTo>
                  <a:pt x="2756916" y="1242060"/>
                </a:lnTo>
                <a:lnTo>
                  <a:pt x="2756916" y="1446276"/>
                </a:lnTo>
                <a:lnTo>
                  <a:pt x="3304032" y="1446276"/>
                </a:lnTo>
                <a:lnTo>
                  <a:pt x="3304032" y="1242060"/>
                </a:lnTo>
                <a:close/>
              </a:path>
              <a:path w="7315200" h="2273935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2273935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2273935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2273935">
                <a:moveTo>
                  <a:pt x="3304032" y="414528"/>
                </a:moveTo>
                <a:lnTo>
                  <a:pt x="2756916" y="414528"/>
                </a:lnTo>
                <a:lnTo>
                  <a:pt x="2756916" y="617220"/>
                </a:lnTo>
                <a:lnTo>
                  <a:pt x="3304032" y="617220"/>
                </a:lnTo>
                <a:lnTo>
                  <a:pt x="3304032" y="414528"/>
                </a:lnTo>
                <a:close/>
              </a:path>
              <a:path w="7315200" h="2273935">
                <a:moveTo>
                  <a:pt x="3304032" y="207264"/>
                </a:moveTo>
                <a:lnTo>
                  <a:pt x="2756916" y="207264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207264"/>
                </a:lnTo>
                <a:close/>
              </a:path>
              <a:path w="7315200" h="2273935">
                <a:moveTo>
                  <a:pt x="3304032" y="0"/>
                </a:moveTo>
                <a:lnTo>
                  <a:pt x="2756916" y="0"/>
                </a:lnTo>
                <a:lnTo>
                  <a:pt x="2756916" y="204216"/>
                </a:lnTo>
                <a:lnTo>
                  <a:pt x="3304032" y="204216"/>
                </a:lnTo>
                <a:lnTo>
                  <a:pt x="3304032" y="0"/>
                </a:lnTo>
                <a:close/>
              </a:path>
              <a:path w="7315200" h="2273935">
                <a:moveTo>
                  <a:pt x="3998976" y="2069592"/>
                </a:moveTo>
                <a:lnTo>
                  <a:pt x="3307080" y="2069592"/>
                </a:lnTo>
                <a:lnTo>
                  <a:pt x="3307080" y="2273808"/>
                </a:lnTo>
                <a:lnTo>
                  <a:pt x="3998976" y="2273808"/>
                </a:lnTo>
                <a:lnTo>
                  <a:pt x="3998976" y="2069592"/>
                </a:lnTo>
                <a:close/>
              </a:path>
              <a:path w="7315200" h="2273935">
                <a:moveTo>
                  <a:pt x="3998976" y="1862328"/>
                </a:moveTo>
                <a:lnTo>
                  <a:pt x="3307080" y="1862328"/>
                </a:lnTo>
                <a:lnTo>
                  <a:pt x="3307080" y="2066544"/>
                </a:lnTo>
                <a:lnTo>
                  <a:pt x="3998976" y="2066544"/>
                </a:lnTo>
                <a:lnTo>
                  <a:pt x="3998976" y="1862328"/>
                </a:lnTo>
                <a:close/>
              </a:path>
              <a:path w="7315200" h="2273935">
                <a:moveTo>
                  <a:pt x="3998976" y="1656588"/>
                </a:moveTo>
                <a:lnTo>
                  <a:pt x="3307080" y="1656588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6588"/>
                </a:lnTo>
                <a:close/>
              </a:path>
              <a:path w="7315200" h="2273935">
                <a:moveTo>
                  <a:pt x="3998976" y="1449324"/>
                </a:moveTo>
                <a:lnTo>
                  <a:pt x="3307080" y="1449324"/>
                </a:lnTo>
                <a:lnTo>
                  <a:pt x="3307080" y="1653540"/>
                </a:lnTo>
                <a:lnTo>
                  <a:pt x="3998976" y="1653540"/>
                </a:lnTo>
                <a:lnTo>
                  <a:pt x="3998976" y="1449324"/>
                </a:lnTo>
                <a:close/>
              </a:path>
              <a:path w="7315200" h="2273935">
                <a:moveTo>
                  <a:pt x="3998976" y="1242060"/>
                </a:moveTo>
                <a:lnTo>
                  <a:pt x="3307080" y="1242060"/>
                </a:lnTo>
                <a:lnTo>
                  <a:pt x="3307080" y="1446276"/>
                </a:lnTo>
                <a:lnTo>
                  <a:pt x="3998976" y="1446276"/>
                </a:lnTo>
                <a:lnTo>
                  <a:pt x="3998976" y="1242060"/>
                </a:lnTo>
                <a:close/>
              </a:path>
              <a:path w="7315200" h="2273935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2273935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2273935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2273935">
                <a:moveTo>
                  <a:pt x="3998976" y="414528"/>
                </a:moveTo>
                <a:lnTo>
                  <a:pt x="3307080" y="414528"/>
                </a:lnTo>
                <a:lnTo>
                  <a:pt x="3307080" y="617220"/>
                </a:lnTo>
                <a:lnTo>
                  <a:pt x="3998976" y="617220"/>
                </a:lnTo>
                <a:lnTo>
                  <a:pt x="3998976" y="414528"/>
                </a:lnTo>
                <a:close/>
              </a:path>
              <a:path w="7315200" h="2273935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2273935">
                <a:moveTo>
                  <a:pt x="3998976" y="0"/>
                </a:moveTo>
                <a:lnTo>
                  <a:pt x="3307080" y="0"/>
                </a:lnTo>
                <a:lnTo>
                  <a:pt x="3307080" y="204216"/>
                </a:lnTo>
                <a:lnTo>
                  <a:pt x="3998976" y="204216"/>
                </a:lnTo>
                <a:lnTo>
                  <a:pt x="3998976" y="0"/>
                </a:lnTo>
                <a:close/>
              </a:path>
              <a:path w="7315200" h="2273935">
                <a:moveTo>
                  <a:pt x="4828032" y="2069592"/>
                </a:moveTo>
                <a:lnTo>
                  <a:pt x="4002024" y="2069592"/>
                </a:lnTo>
                <a:lnTo>
                  <a:pt x="4002024" y="2273808"/>
                </a:lnTo>
                <a:lnTo>
                  <a:pt x="4828032" y="2273808"/>
                </a:lnTo>
                <a:lnTo>
                  <a:pt x="4828032" y="2069592"/>
                </a:lnTo>
                <a:close/>
              </a:path>
              <a:path w="7315200" h="2273935">
                <a:moveTo>
                  <a:pt x="4828032" y="1862328"/>
                </a:moveTo>
                <a:lnTo>
                  <a:pt x="4002024" y="1862328"/>
                </a:lnTo>
                <a:lnTo>
                  <a:pt x="4002024" y="2066544"/>
                </a:lnTo>
                <a:lnTo>
                  <a:pt x="4828032" y="2066544"/>
                </a:lnTo>
                <a:lnTo>
                  <a:pt x="4828032" y="1862328"/>
                </a:lnTo>
                <a:close/>
              </a:path>
              <a:path w="7315200" h="2273935">
                <a:moveTo>
                  <a:pt x="4828032" y="1656588"/>
                </a:moveTo>
                <a:lnTo>
                  <a:pt x="4002024" y="1656588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6588"/>
                </a:lnTo>
                <a:close/>
              </a:path>
              <a:path w="7315200" h="2273935">
                <a:moveTo>
                  <a:pt x="4828032" y="1449324"/>
                </a:moveTo>
                <a:lnTo>
                  <a:pt x="4002024" y="1449324"/>
                </a:lnTo>
                <a:lnTo>
                  <a:pt x="4002024" y="1653540"/>
                </a:lnTo>
                <a:lnTo>
                  <a:pt x="4828032" y="1653540"/>
                </a:lnTo>
                <a:lnTo>
                  <a:pt x="4828032" y="1449324"/>
                </a:lnTo>
                <a:close/>
              </a:path>
              <a:path w="7315200" h="2273935">
                <a:moveTo>
                  <a:pt x="4828032" y="1242060"/>
                </a:moveTo>
                <a:lnTo>
                  <a:pt x="4002024" y="1242060"/>
                </a:lnTo>
                <a:lnTo>
                  <a:pt x="4002024" y="1446276"/>
                </a:lnTo>
                <a:lnTo>
                  <a:pt x="4828032" y="1446276"/>
                </a:lnTo>
                <a:lnTo>
                  <a:pt x="4828032" y="1242060"/>
                </a:lnTo>
                <a:close/>
              </a:path>
              <a:path w="7315200" h="2273935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2273935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2273935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2273935">
                <a:moveTo>
                  <a:pt x="4828032" y="414528"/>
                </a:moveTo>
                <a:lnTo>
                  <a:pt x="4002024" y="414528"/>
                </a:lnTo>
                <a:lnTo>
                  <a:pt x="4002024" y="617220"/>
                </a:lnTo>
                <a:lnTo>
                  <a:pt x="4828032" y="617220"/>
                </a:lnTo>
                <a:lnTo>
                  <a:pt x="4828032" y="414528"/>
                </a:lnTo>
                <a:close/>
              </a:path>
              <a:path w="7315200" h="2273935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2273935">
                <a:moveTo>
                  <a:pt x="4828032" y="0"/>
                </a:moveTo>
                <a:lnTo>
                  <a:pt x="4002024" y="0"/>
                </a:lnTo>
                <a:lnTo>
                  <a:pt x="4002024" y="204216"/>
                </a:lnTo>
                <a:lnTo>
                  <a:pt x="4828032" y="204216"/>
                </a:lnTo>
                <a:lnTo>
                  <a:pt x="4828032" y="0"/>
                </a:lnTo>
                <a:close/>
              </a:path>
              <a:path w="7315200" h="2273935">
                <a:moveTo>
                  <a:pt x="5657088" y="2069592"/>
                </a:moveTo>
                <a:lnTo>
                  <a:pt x="4831080" y="2069592"/>
                </a:lnTo>
                <a:lnTo>
                  <a:pt x="4831080" y="2273808"/>
                </a:lnTo>
                <a:lnTo>
                  <a:pt x="5657088" y="2273808"/>
                </a:lnTo>
                <a:lnTo>
                  <a:pt x="5657088" y="2069592"/>
                </a:lnTo>
                <a:close/>
              </a:path>
              <a:path w="7315200" h="2273935">
                <a:moveTo>
                  <a:pt x="5657088" y="1862328"/>
                </a:moveTo>
                <a:lnTo>
                  <a:pt x="4831080" y="1862328"/>
                </a:lnTo>
                <a:lnTo>
                  <a:pt x="4831080" y="2066544"/>
                </a:lnTo>
                <a:lnTo>
                  <a:pt x="5657088" y="2066544"/>
                </a:lnTo>
                <a:lnTo>
                  <a:pt x="5657088" y="1862328"/>
                </a:lnTo>
                <a:close/>
              </a:path>
              <a:path w="7315200" h="2273935">
                <a:moveTo>
                  <a:pt x="5657088" y="1656588"/>
                </a:moveTo>
                <a:lnTo>
                  <a:pt x="4831080" y="1656588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6588"/>
                </a:lnTo>
                <a:close/>
              </a:path>
              <a:path w="7315200" h="2273935">
                <a:moveTo>
                  <a:pt x="5657088" y="1449324"/>
                </a:moveTo>
                <a:lnTo>
                  <a:pt x="4831080" y="1449324"/>
                </a:lnTo>
                <a:lnTo>
                  <a:pt x="4831080" y="1653540"/>
                </a:lnTo>
                <a:lnTo>
                  <a:pt x="5657088" y="1653540"/>
                </a:lnTo>
                <a:lnTo>
                  <a:pt x="5657088" y="1449324"/>
                </a:lnTo>
                <a:close/>
              </a:path>
              <a:path w="7315200" h="2273935">
                <a:moveTo>
                  <a:pt x="5657088" y="1242060"/>
                </a:moveTo>
                <a:lnTo>
                  <a:pt x="4831080" y="1242060"/>
                </a:lnTo>
                <a:lnTo>
                  <a:pt x="4831080" y="1446276"/>
                </a:lnTo>
                <a:lnTo>
                  <a:pt x="5657088" y="1446276"/>
                </a:lnTo>
                <a:lnTo>
                  <a:pt x="5657088" y="1242060"/>
                </a:lnTo>
                <a:close/>
              </a:path>
              <a:path w="7315200" h="2273935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2273935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2273935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2273935">
                <a:moveTo>
                  <a:pt x="5657088" y="414528"/>
                </a:moveTo>
                <a:lnTo>
                  <a:pt x="4831080" y="414528"/>
                </a:lnTo>
                <a:lnTo>
                  <a:pt x="4831080" y="617220"/>
                </a:lnTo>
                <a:lnTo>
                  <a:pt x="5657088" y="617220"/>
                </a:lnTo>
                <a:lnTo>
                  <a:pt x="5657088" y="414528"/>
                </a:lnTo>
                <a:close/>
              </a:path>
              <a:path w="7315200" h="2273935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2273935">
                <a:moveTo>
                  <a:pt x="5657088" y="0"/>
                </a:moveTo>
                <a:lnTo>
                  <a:pt x="4831080" y="0"/>
                </a:lnTo>
                <a:lnTo>
                  <a:pt x="4831080" y="204216"/>
                </a:lnTo>
                <a:lnTo>
                  <a:pt x="5657088" y="204216"/>
                </a:lnTo>
                <a:lnTo>
                  <a:pt x="5657088" y="0"/>
                </a:lnTo>
                <a:close/>
              </a:path>
              <a:path w="7315200" h="2273935">
                <a:moveTo>
                  <a:pt x="6486144" y="2069592"/>
                </a:moveTo>
                <a:lnTo>
                  <a:pt x="5660136" y="2069592"/>
                </a:lnTo>
                <a:lnTo>
                  <a:pt x="5660136" y="2273808"/>
                </a:lnTo>
                <a:lnTo>
                  <a:pt x="6486144" y="2273808"/>
                </a:lnTo>
                <a:lnTo>
                  <a:pt x="6486144" y="2069592"/>
                </a:lnTo>
                <a:close/>
              </a:path>
              <a:path w="7315200" h="2273935">
                <a:moveTo>
                  <a:pt x="6486144" y="1862328"/>
                </a:moveTo>
                <a:lnTo>
                  <a:pt x="5660136" y="1862328"/>
                </a:lnTo>
                <a:lnTo>
                  <a:pt x="5660136" y="2066544"/>
                </a:lnTo>
                <a:lnTo>
                  <a:pt x="6486144" y="2066544"/>
                </a:lnTo>
                <a:lnTo>
                  <a:pt x="6486144" y="1862328"/>
                </a:lnTo>
                <a:close/>
              </a:path>
              <a:path w="7315200" h="2273935">
                <a:moveTo>
                  <a:pt x="6486144" y="1656588"/>
                </a:moveTo>
                <a:lnTo>
                  <a:pt x="5660136" y="1656588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6588"/>
                </a:lnTo>
                <a:close/>
              </a:path>
              <a:path w="7315200" h="2273935">
                <a:moveTo>
                  <a:pt x="6486144" y="1449324"/>
                </a:moveTo>
                <a:lnTo>
                  <a:pt x="5660136" y="1449324"/>
                </a:lnTo>
                <a:lnTo>
                  <a:pt x="5660136" y="1653540"/>
                </a:lnTo>
                <a:lnTo>
                  <a:pt x="6486144" y="1653540"/>
                </a:lnTo>
                <a:lnTo>
                  <a:pt x="6486144" y="1449324"/>
                </a:lnTo>
                <a:close/>
              </a:path>
              <a:path w="7315200" h="2273935">
                <a:moveTo>
                  <a:pt x="6486144" y="1242060"/>
                </a:moveTo>
                <a:lnTo>
                  <a:pt x="5660136" y="1242060"/>
                </a:lnTo>
                <a:lnTo>
                  <a:pt x="5660136" y="1446276"/>
                </a:lnTo>
                <a:lnTo>
                  <a:pt x="6486144" y="1446276"/>
                </a:lnTo>
                <a:lnTo>
                  <a:pt x="6486144" y="1242060"/>
                </a:lnTo>
                <a:close/>
              </a:path>
              <a:path w="7315200" h="2273935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2273935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2273935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2273935">
                <a:moveTo>
                  <a:pt x="6486144" y="414528"/>
                </a:moveTo>
                <a:lnTo>
                  <a:pt x="5660136" y="414528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4528"/>
                </a:lnTo>
                <a:close/>
              </a:path>
              <a:path w="7315200" h="2273935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2273935">
                <a:moveTo>
                  <a:pt x="6486144" y="0"/>
                </a:moveTo>
                <a:lnTo>
                  <a:pt x="5660136" y="0"/>
                </a:lnTo>
                <a:lnTo>
                  <a:pt x="5660136" y="204216"/>
                </a:lnTo>
                <a:lnTo>
                  <a:pt x="6486144" y="204216"/>
                </a:lnTo>
                <a:lnTo>
                  <a:pt x="6486144" y="0"/>
                </a:lnTo>
                <a:close/>
              </a:path>
              <a:path w="7315200" h="2273935">
                <a:moveTo>
                  <a:pt x="7315200" y="1862328"/>
                </a:moveTo>
                <a:lnTo>
                  <a:pt x="6489192" y="1862328"/>
                </a:lnTo>
                <a:lnTo>
                  <a:pt x="6489192" y="2066544"/>
                </a:lnTo>
                <a:lnTo>
                  <a:pt x="7315200" y="2066544"/>
                </a:lnTo>
                <a:lnTo>
                  <a:pt x="7315200" y="1862328"/>
                </a:lnTo>
                <a:close/>
              </a:path>
              <a:path w="7315200" h="2273935">
                <a:moveTo>
                  <a:pt x="7315200" y="1656588"/>
                </a:moveTo>
                <a:lnTo>
                  <a:pt x="6489192" y="1656588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6588"/>
                </a:lnTo>
                <a:close/>
              </a:path>
              <a:path w="7315200" h="2273935">
                <a:moveTo>
                  <a:pt x="7315200" y="1449324"/>
                </a:moveTo>
                <a:lnTo>
                  <a:pt x="6489192" y="1449324"/>
                </a:lnTo>
                <a:lnTo>
                  <a:pt x="6489192" y="1653540"/>
                </a:lnTo>
                <a:lnTo>
                  <a:pt x="7315200" y="1653540"/>
                </a:lnTo>
                <a:lnTo>
                  <a:pt x="7315200" y="1449324"/>
                </a:lnTo>
                <a:close/>
              </a:path>
              <a:path w="7315200" h="2273935">
                <a:moveTo>
                  <a:pt x="7315200" y="1242060"/>
                </a:moveTo>
                <a:lnTo>
                  <a:pt x="6489192" y="1242060"/>
                </a:lnTo>
                <a:lnTo>
                  <a:pt x="6489192" y="1446276"/>
                </a:lnTo>
                <a:lnTo>
                  <a:pt x="7315200" y="1446276"/>
                </a:lnTo>
                <a:lnTo>
                  <a:pt x="7315200" y="1242060"/>
                </a:lnTo>
                <a:close/>
              </a:path>
              <a:path w="7315200" h="2273935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2273935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2273935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2273935">
                <a:moveTo>
                  <a:pt x="7315200" y="414528"/>
                </a:moveTo>
                <a:lnTo>
                  <a:pt x="6489192" y="414528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4528"/>
                </a:lnTo>
                <a:close/>
              </a:path>
              <a:path w="7315200" h="2273935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  <a:path w="7315200" h="2273935">
                <a:moveTo>
                  <a:pt x="7315200" y="0"/>
                </a:moveTo>
                <a:lnTo>
                  <a:pt x="6489192" y="0"/>
                </a:lnTo>
                <a:lnTo>
                  <a:pt x="6489192" y="204216"/>
                </a:lnTo>
                <a:lnTo>
                  <a:pt x="7315200" y="204216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47" name="Shape 47">
            <a:extLst>
              <a:ext uri="{FF2B5EF4-FFF2-40B4-BE49-F238E27FC236}">
                <a16:creationId xmlns:a16="http://schemas.microsoft.com/office/drawing/2014/main" id="{00000000-0008-0000-0400-00002F000000}"/>
              </a:ext>
            </a:extLst>
          </xdr:cNvPr>
          <xdr:cNvSpPr/>
        </xdr:nvSpPr>
        <xdr:spPr>
          <a:xfrm>
            <a:off x="0" y="1656587"/>
            <a:ext cx="7315200" cy="2479675"/>
          </a:xfrm>
          <a:custGeom>
            <a:avLst/>
            <a:gdLst/>
            <a:ahLst/>
            <a:cxnLst/>
            <a:rect l="0" t="0" r="0" b="0"/>
            <a:pathLst>
              <a:path w="7315200" h="2479675">
                <a:moveTo>
                  <a:pt x="339852" y="1447800"/>
                </a:moveTo>
                <a:lnTo>
                  <a:pt x="0" y="1447800"/>
                </a:lnTo>
                <a:lnTo>
                  <a:pt x="0" y="2479548"/>
                </a:lnTo>
                <a:lnTo>
                  <a:pt x="339852" y="2479548"/>
                </a:lnTo>
                <a:lnTo>
                  <a:pt x="339852" y="1447800"/>
                </a:lnTo>
                <a:close/>
              </a:path>
              <a:path w="7315200" h="2479675">
                <a:moveTo>
                  <a:pt x="339852" y="0"/>
                </a:moveTo>
                <a:lnTo>
                  <a:pt x="0" y="0"/>
                </a:lnTo>
                <a:lnTo>
                  <a:pt x="0" y="1444752"/>
                </a:lnTo>
                <a:lnTo>
                  <a:pt x="339852" y="1444752"/>
                </a:lnTo>
                <a:lnTo>
                  <a:pt x="339852" y="0"/>
                </a:lnTo>
                <a:close/>
              </a:path>
              <a:path w="7315200" h="2479675">
                <a:moveTo>
                  <a:pt x="1376172" y="1447800"/>
                </a:moveTo>
                <a:lnTo>
                  <a:pt x="342900" y="1447800"/>
                </a:lnTo>
                <a:lnTo>
                  <a:pt x="342900" y="2479548"/>
                </a:lnTo>
                <a:lnTo>
                  <a:pt x="1376172" y="2479548"/>
                </a:lnTo>
                <a:lnTo>
                  <a:pt x="1376172" y="1447800"/>
                </a:lnTo>
                <a:close/>
              </a:path>
              <a:path w="7315200" h="2479675">
                <a:moveTo>
                  <a:pt x="1376172" y="0"/>
                </a:moveTo>
                <a:lnTo>
                  <a:pt x="342900" y="0"/>
                </a:lnTo>
                <a:lnTo>
                  <a:pt x="342900" y="1444752"/>
                </a:lnTo>
                <a:lnTo>
                  <a:pt x="1376172" y="1444752"/>
                </a:lnTo>
                <a:lnTo>
                  <a:pt x="1376172" y="0"/>
                </a:lnTo>
                <a:close/>
              </a:path>
              <a:path w="7315200" h="2479675">
                <a:moveTo>
                  <a:pt x="2753868" y="1447800"/>
                </a:moveTo>
                <a:lnTo>
                  <a:pt x="1379220" y="1447800"/>
                </a:lnTo>
                <a:lnTo>
                  <a:pt x="1379220" y="2479548"/>
                </a:lnTo>
                <a:lnTo>
                  <a:pt x="2753868" y="2479548"/>
                </a:lnTo>
                <a:lnTo>
                  <a:pt x="2753868" y="1447800"/>
                </a:lnTo>
                <a:close/>
              </a:path>
              <a:path w="7315200" h="2479675">
                <a:moveTo>
                  <a:pt x="2753868" y="827532"/>
                </a:moveTo>
                <a:lnTo>
                  <a:pt x="1379220" y="827532"/>
                </a:lnTo>
                <a:lnTo>
                  <a:pt x="1379220" y="1444752"/>
                </a:lnTo>
                <a:lnTo>
                  <a:pt x="2753868" y="1444752"/>
                </a:lnTo>
                <a:lnTo>
                  <a:pt x="2753868" y="827532"/>
                </a:lnTo>
                <a:close/>
              </a:path>
              <a:path w="7315200" h="2479675">
                <a:moveTo>
                  <a:pt x="2753868" y="0"/>
                </a:moveTo>
                <a:lnTo>
                  <a:pt x="1379220" y="0"/>
                </a:lnTo>
                <a:lnTo>
                  <a:pt x="1379220" y="824484"/>
                </a:lnTo>
                <a:lnTo>
                  <a:pt x="2753868" y="824484"/>
                </a:lnTo>
                <a:lnTo>
                  <a:pt x="2753868" y="0"/>
                </a:lnTo>
                <a:close/>
              </a:path>
              <a:path w="7315200" h="2479675">
                <a:moveTo>
                  <a:pt x="3304032" y="2275332"/>
                </a:moveTo>
                <a:lnTo>
                  <a:pt x="2756916" y="2275332"/>
                </a:lnTo>
                <a:lnTo>
                  <a:pt x="2756916" y="2479548"/>
                </a:lnTo>
                <a:lnTo>
                  <a:pt x="3304032" y="2479548"/>
                </a:lnTo>
                <a:lnTo>
                  <a:pt x="3304032" y="2275332"/>
                </a:lnTo>
                <a:close/>
              </a:path>
              <a:path w="7315200" h="2479675">
                <a:moveTo>
                  <a:pt x="3304032" y="2069592"/>
                </a:moveTo>
                <a:lnTo>
                  <a:pt x="2756916" y="2069592"/>
                </a:lnTo>
                <a:lnTo>
                  <a:pt x="2756916" y="2272284"/>
                </a:lnTo>
                <a:lnTo>
                  <a:pt x="3304032" y="2272284"/>
                </a:lnTo>
                <a:lnTo>
                  <a:pt x="3304032" y="2069592"/>
                </a:lnTo>
                <a:close/>
              </a:path>
              <a:path w="7315200" h="2479675">
                <a:moveTo>
                  <a:pt x="3304032" y="1862328"/>
                </a:moveTo>
                <a:lnTo>
                  <a:pt x="2756916" y="1862328"/>
                </a:lnTo>
                <a:lnTo>
                  <a:pt x="2756916" y="2065020"/>
                </a:lnTo>
                <a:lnTo>
                  <a:pt x="3304032" y="2065020"/>
                </a:lnTo>
                <a:lnTo>
                  <a:pt x="3304032" y="1862328"/>
                </a:lnTo>
                <a:close/>
              </a:path>
              <a:path w="7315200" h="2479675">
                <a:moveTo>
                  <a:pt x="3304032" y="1655064"/>
                </a:moveTo>
                <a:lnTo>
                  <a:pt x="2756916" y="1655064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5064"/>
                </a:lnTo>
                <a:close/>
              </a:path>
              <a:path w="7315200" h="2479675">
                <a:moveTo>
                  <a:pt x="3304032" y="1447800"/>
                </a:moveTo>
                <a:lnTo>
                  <a:pt x="2756916" y="1447800"/>
                </a:lnTo>
                <a:lnTo>
                  <a:pt x="2756916" y="1652016"/>
                </a:lnTo>
                <a:lnTo>
                  <a:pt x="3304032" y="1652016"/>
                </a:lnTo>
                <a:lnTo>
                  <a:pt x="3304032" y="1447800"/>
                </a:lnTo>
                <a:close/>
              </a:path>
              <a:path w="7315200" h="2479675">
                <a:moveTo>
                  <a:pt x="3304032" y="1240536"/>
                </a:moveTo>
                <a:lnTo>
                  <a:pt x="2756916" y="1240536"/>
                </a:lnTo>
                <a:lnTo>
                  <a:pt x="2756916" y="1444752"/>
                </a:lnTo>
                <a:lnTo>
                  <a:pt x="3304032" y="1444752"/>
                </a:lnTo>
                <a:lnTo>
                  <a:pt x="3304032" y="1240536"/>
                </a:lnTo>
                <a:close/>
              </a:path>
              <a:path w="7315200" h="2479675">
                <a:moveTo>
                  <a:pt x="3304032" y="1033272"/>
                </a:moveTo>
                <a:lnTo>
                  <a:pt x="2756916" y="1033272"/>
                </a:lnTo>
                <a:lnTo>
                  <a:pt x="2756916" y="1237488"/>
                </a:lnTo>
                <a:lnTo>
                  <a:pt x="3304032" y="1237488"/>
                </a:lnTo>
                <a:lnTo>
                  <a:pt x="3304032" y="1033272"/>
                </a:lnTo>
                <a:close/>
              </a:path>
              <a:path w="7315200" h="2479675">
                <a:moveTo>
                  <a:pt x="3304032" y="827532"/>
                </a:moveTo>
                <a:lnTo>
                  <a:pt x="2756916" y="827532"/>
                </a:lnTo>
                <a:lnTo>
                  <a:pt x="2756916" y="1030224"/>
                </a:lnTo>
                <a:lnTo>
                  <a:pt x="3304032" y="1030224"/>
                </a:lnTo>
                <a:lnTo>
                  <a:pt x="3304032" y="827532"/>
                </a:lnTo>
                <a:close/>
              </a:path>
              <a:path w="7315200" h="2479675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2479675">
                <a:moveTo>
                  <a:pt x="3998976" y="2275332"/>
                </a:moveTo>
                <a:lnTo>
                  <a:pt x="3307080" y="2275332"/>
                </a:lnTo>
                <a:lnTo>
                  <a:pt x="3307080" y="2479548"/>
                </a:lnTo>
                <a:lnTo>
                  <a:pt x="3998976" y="2479548"/>
                </a:lnTo>
                <a:lnTo>
                  <a:pt x="3998976" y="2275332"/>
                </a:lnTo>
                <a:close/>
              </a:path>
              <a:path w="7315200" h="2479675">
                <a:moveTo>
                  <a:pt x="3998976" y="2069592"/>
                </a:moveTo>
                <a:lnTo>
                  <a:pt x="3307080" y="2069592"/>
                </a:lnTo>
                <a:lnTo>
                  <a:pt x="3307080" y="2272284"/>
                </a:lnTo>
                <a:lnTo>
                  <a:pt x="3998976" y="2272284"/>
                </a:lnTo>
                <a:lnTo>
                  <a:pt x="3998976" y="2069592"/>
                </a:lnTo>
                <a:close/>
              </a:path>
              <a:path w="7315200" h="2479675">
                <a:moveTo>
                  <a:pt x="3998976" y="1862328"/>
                </a:moveTo>
                <a:lnTo>
                  <a:pt x="3307080" y="1862328"/>
                </a:lnTo>
                <a:lnTo>
                  <a:pt x="3307080" y="2065020"/>
                </a:lnTo>
                <a:lnTo>
                  <a:pt x="3998976" y="2065020"/>
                </a:lnTo>
                <a:lnTo>
                  <a:pt x="3998976" y="1862328"/>
                </a:lnTo>
                <a:close/>
              </a:path>
              <a:path w="7315200" h="2479675">
                <a:moveTo>
                  <a:pt x="3998976" y="1655064"/>
                </a:moveTo>
                <a:lnTo>
                  <a:pt x="3307080" y="1655064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5064"/>
                </a:lnTo>
                <a:close/>
              </a:path>
              <a:path w="7315200" h="2479675">
                <a:moveTo>
                  <a:pt x="3998976" y="1447800"/>
                </a:moveTo>
                <a:lnTo>
                  <a:pt x="3307080" y="1447800"/>
                </a:lnTo>
                <a:lnTo>
                  <a:pt x="3307080" y="1652016"/>
                </a:lnTo>
                <a:lnTo>
                  <a:pt x="3998976" y="1652016"/>
                </a:lnTo>
                <a:lnTo>
                  <a:pt x="3998976" y="1447800"/>
                </a:lnTo>
                <a:close/>
              </a:path>
              <a:path w="7315200" h="2479675">
                <a:moveTo>
                  <a:pt x="3998976" y="1240536"/>
                </a:moveTo>
                <a:lnTo>
                  <a:pt x="3307080" y="1240536"/>
                </a:lnTo>
                <a:lnTo>
                  <a:pt x="3307080" y="1444752"/>
                </a:lnTo>
                <a:lnTo>
                  <a:pt x="3998976" y="1444752"/>
                </a:lnTo>
                <a:lnTo>
                  <a:pt x="3998976" y="1240536"/>
                </a:lnTo>
                <a:close/>
              </a:path>
              <a:path w="7315200" h="2479675">
                <a:moveTo>
                  <a:pt x="3998976" y="1033272"/>
                </a:moveTo>
                <a:lnTo>
                  <a:pt x="3307080" y="1033272"/>
                </a:lnTo>
                <a:lnTo>
                  <a:pt x="3307080" y="1237488"/>
                </a:lnTo>
                <a:lnTo>
                  <a:pt x="3998976" y="1237488"/>
                </a:lnTo>
                <a:lnTo>
                  <a:pt x="3998976" y="1033272"/>
                </a:lnTo>
                <a:close/>
              </a:path>
              <a:path w="7315200" h="2479675">
                <a:moveTo>
                  <a:pt x="3998976" y="827532"/>
                </a:moveTo>
                <a:lnTo>
                  <a:pt x="3307080" y="827532"/>
                </a:lnTo>
                <a:lnTo>
                  <a:pt x="3307080" y="1030224"/>
                </a:lnTo>
                <a:lnTo>
                  <a:pt x="3998976" y="1030224"/>
                </a:lnTo>
                <a:lnTo>
                  <a:pt x="3998976" y="827532"/>
                </a:lnTo>
                <a:close/>
              </a:path>
              <a:path w="7315200" h="2479675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2479675">
                <a:moveTo>
                  <a:pt x="4828032" y="2275332"/>
                </a:moveTo>
                <a:lnTo>
                  <a:pt x="4002024" y="2275332"/>
                </a:lnTo>
                <a:lnTo>
                  <a:pt x="4002024" y="2479548"/>
                </a:lnTo>
                <a:lnTo>
                  <a:pt x="4828032" y="2479548"/>
                </a:lnTo>
                <a:lnTo>
                  <a:pt x="4828032" y="2275332"/>
                </a:lnTo>
                <a:close/>
              </a:path>
              <a:path w="7315200" h="2479675">
                <a:moveTo>
                  <a:pt x="4828032" y="2069592"/>
                </a:moveTo>
                <a:lnTo>
                  <a:pt x="4002024" y="2069592"/>
                </a:lnTo>
                <a:lnTo>
                  <a:pt x="4002024" y="2272284"/>
                </a:lnTo>
                <a:lnTo>
                  <a:pt x="4828032" y="2272284"/>
                </a:lnTo>
                <a:lnTo>
                  <a:pt x="4828032" y="2069592"/>
                </a:lnTo>
                <a:close/>
              </a:path>
              <a:path w="7315200" h="2479675">
                <a:moveTo>
                  <a:pt x="4828032" y="1862328"/>
                </a:moveTo>
                <a:lnTo>
                  <a:pt x="4002024" y="1862328"/>
                </a:lnTo>
                <a:lnTo>
                  <a:pt x="4002024" y="2065020"/>
                </a:lnTo>
                <a:lnTo>
                  <a:pt x="4828032" y="2065020"/>
                </a:lnTo>
                <a:lnTo>
                  <a:pt x="4828032" y="1862328"/>
                </a:lnTo>
                <a:close/>
              </a:path>
              <a:path w="7315200" h="2479675">
                <a:moveTo>
                  <a:pt x="4828032" y="1655064"/>
                </a:moveTo>
                <a:lnTo>
                  <a:pt x="4002024" y="1655064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5064"/>
                </a:lnTo>
                <a:close/>
              </a:path>
              <a:path w="7315200" h="2479675">
                <a:moveTo>
                  <a:pt x="4828032" y="1447800"/>
                </a:moveTo>
                <a:lnTo>
                  <a:pt x="4002024" y="1447800"/>
                </a:lnTo>
                <a:lnTo>
                  <a:pt x="4002024" y="1652016"/>
                </a:lnTo>
                <a:lnTo>
                  <a:pt x="4828032" y="1652016"/>
                </a:lnTo>
                <a:lnTo>
                  <a:pt x="4828032" y="1447800"/>
                </a:lnTo>
                <a:close/>
              </a:path>
              <a:path w="7315200" h="2479675">
                <a:moveTo>
                  <a:pt x="4828032" y="1240536"/>
                </a:moveTo>
                <a:lnTo>
                  <a:pt x="4002024" y="1240536"/>
                </a:lnTo>
                <a:lnTo>
                  <a:pt x="4002024" y="1444752"/>
                </a:lnTo>
                <a:lnTo>
                  <a:pt x="4828032" y="1444752"/>
                </a:lnTo>
                <a:lnTo>
                  <a:pt x="4828032" y="1240536"/>
                </a:lnTo>
                <a:close/>
              </a:path>
              <a:path w="7315200" h="2479675">
                <a:moveTo>
                  <a:pt x="4828032" y="1033272"/>
                </a:moveTo>
                <a:lnTo>
                  <a:pt x="4002024" y="1033272"/>
                </a:lnTo>
                <a:lnTo>
                  <a:pt x="4002024" y="1237488"/>
                </a:lnTo>
                <a:lnTo>
                  <a:pt x="4828032" y="1237488"/>
                </a:lnTo>
                <a:lnTo>
                  <a:pt x="4828032" y="1033272"/>
                </a:lnTo>
                <a:close/>
              </a:path>
              <a:path w="7315200" h="2479675">
                <a:moveTo>
                  <a:pt x="4828032" y="827532"/>
                </a:moveTo>
                <a:lnTo>
                  <a:pt x="4002024" y="827532"/>
                </a:lnTo>
                <a:lnTo>
                  <a:pt x="4002024" y="1030224"/>
                </a:lnTo>
                <a:lnTo>
                  <a:pt x="4828032" y="1030224"/>
                </a:lnTo>
                <a:lnTo>
                  <a:pt x="4828032" y="827532"/>
                </a:lnTo>
                <a:close/>
              </a:path>
              <a:path w="7315200" h="2479675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2479675">
                <a:moveTo>
                  <a:pt x="5657088" y="2275332"/>
                </a:moveTo>
                <a:lnTo>
                  <a:pt x="4831080" y="2275332"/>
                </a:lnTo>
                <a:lnTo>
                  <a:pt x="4831080" y="2479548"/>
                </a:lnTo>
                <a:lnTo>
                  <a:pt x="5657088" y="2479548"/>
                </a:lnTo>
                <a:lnTo>
                  <a:pt x="5657088" y="2275332"/>
                </a:lnTo>
                <a:close/>
              </a:path>
              <a:path w="7315200" h="2479675">
                <a:moveTo>
                  <a:pt x="5657088" y="2069592"/>
                </a:moveTo>
                <a:lnTo>
                  <a:pt x="4831080" y="2069592"/>
                </a:lnTo>
                <a:lnTo>
                  <a:pt x="4831080" y="2272284"/>
                </a:lnTo>
                <a:lnTo>
                  <a:pt x="5657088" y="2272284"/>
                </a:lnTo>
                <a:lnTo>
                  <a:pt x="5657088" y="2069592"/>
                </a:lnTo>
                <a:close/>
              </a:path>
              <a:path w="7315200" h="2479675">
                <a:moveTo>
                  <a:pt x="5657088" y="1862328"/>
                </a:moveTo>
                <a:lnTo>
                  <a:pt x="4831080" y="1862328"/>
                </a:lnTo>
                <a:lnTo>
                  <a:pt x="4831080" y="2065020"/>
                </a:lnTo>
                <a:lnTo>
                  <a:pt x="5657088" y="2065020"/>
                </a:lnTo>
                <a:lnTo>
                  <a:pt x="5657088" y="1862328"/>
                </a:lnTo>
                <a:close/>
              </a:path>
              <a:path w="7315200" h="2479675">
                <a:moveTo>
                  <a:pt x="5657088" y="1655064"/>
                </a:moveTo>
                <a:lnTo>
                  <a:pt x="4831080" y="1655064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5064"/>
                </a:lnTo>
                <a:close/>
              </a:path>
              <a:path w="7315200" h="2479675">
                <a:moveTo>
                  <a:pt x="5657088" y="1447800"/>
                </a:moveTo>
                <a:lnTo>
                  <a:pt x="4831080" y="1447800"/>
                </a:lnTo>
                <a:lnTo>
                  <a:pt x="4831080" y="1652016"/>
                </a:lnTo>
                <a:lnTo>
                  <a:pt x="5657088" y="1652016"/>
                </a:lnTo>
                <a:lnTo>
                  <a:pt x="5657088" y="1447800"/>
                </a:lnTo>
                <a:close/>
              </a:path>
              <a:path w="7315200" h="2479675">
                <a:moveTo>
                  <a:pt x="5657088" y="1240536"/>
                </a:moveTo>
                <a:lnTo>
                  <a:pt x="4831080" y="1240536"/>
                </a:lnTo>
                <a:lnTo>
                  <a:pt x="4831080" y="1444752"/>
                </a:lnTo>
                <a:lnTo>
                  <a:pt x="5657088" y="1444752"/>
                </a:lnTo>
                <a:lnTo>
                  <a:pt x="5657088" y="1240536"/>
                </a:lnTo>
                <a:close/>
              </a:path>
              <a:path w="7315200" h="2479675">
                <a:moveTo>
                  <a:pt x="5657088" y="1033272"/>
                </a:moveTo>
                <a:lnTo>
                  <a:pt x="4831080" y="1033272"/>
                </a:lnTo>
                <a:lnTo>
                  <a:pt x="4831080" y="1237488"/>
                </a:lnTo>
                <a:lnTo>
                  <a:pt x="5657088" y="1237488"/>
                </a:lnTo>
                <a:lnTo>
                  <a:pt x="5657088" y="1033272"/>
                </a:lnTo>
                <a:close/>
              </a:path>
              <a:path w="7315200" h="2479675">
                <a:moveTo>
                  <a:pt x="5657088" y="827532"/>
                </a:moveTo>
                <a:lnTo>
                  <a:pt x="4831080" y="827532"/>
                </a:lnTo>
                <a:lnTo>
                  <a:pt x="4831080" y="1030224"/>
                </a:lnTo>
                <a:lnTo>
                  <a:pt x="5657088" y="1030224"/>
                </a:lnTo>
                <a:lnTo>
                  <a:pt x="5657088" y="827532"/>
                </a:lnTo>
                <a:close/>
              </a:path>
              <a:path w="7315200" h="2479675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2479675">
                <a:moveTo>
                  <a:pt x="6486144" y="2275332"/>
                </a:moveTo>
                <a:lnTo>
                  <a:pt x="5660136" y="2275332"/>
                </a:lnTo>
                <a:lnTo>
                  <a:pt x="5660136" y="2479548"/>
                </a:lnTo>
                <a:lnTo>
                  <a:pt x="6486144" y="2479548"/>
                </a:lnTo>
                <a:lnTo>
                  <a:pt x="6486144" y="2275332"/>
                </a:lnTo>
                <a:close/>
              </a:path>
              <a:path w="7315200" h="2479675">
                <a:moveTo>
                  <a:pt x="6486144" y="2069592"/>
                </a:moveTo>
                <a:lnTo>
                  <a:pt x="5660136" y="2069592"/>
                </a:lnTo>
                <a:lnTo>
                  <a:pt x="5660136" y="2272284"/>
                </a:lnTo>
                <a:lnTo>
                  <a:pt x="6486144" y="2272284"/>
                </a:lnTo>
                <a:lnTo>
                  <a:pt x="6486144" y="2069592"/>
                </a:lnTo>
                <a:close/>
              </a:path>
              <a:path w="7315200" h="2479675">
                <a:moveTo>
                  <a:pt x="6486144" y="1862328"/>
                </a:moveTo>
                <a:lnTo>
                  <a:pt x="5660136" y="1862328"/>
                </a:lnTo>
                <a:lnTo>
                  <a:pt x="5660136" y="2065020"/>
                </a:lnTo>
                <a:lnTo>
                  <a:pt x="6486144" y="2065020"/>
                </a:lnTo>
                <a:lnTo>
                  <a:pt x="6486144" y="1862328"/>
                </a:lnTo>
                <a:close/>
              </a:path>
              <a:path w="7315200" h="2479675">
                <a:moveTo>
                  <a:pt x="6486144" y="1655064"/>
                </a:moveTo>
                <a:lnTo>
                  <a:pt x="5660136" y="1655064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5064"/>
                </a:lnTo>
                <a:close/>
              </a:path>
              <a:path w="7315200" h="2479675">
                <a:moveTo>
                  <a:pt x="6486144" y="1447800"/>
                </a:moveTo>
                <a:lnTo>
                  <a:pt x="5660136" y="1447800"/>
                </a:lnTo>
                <a:lnTo>
                  <a:pt x="5660136" y="1652016"/>
                </a:lnTo>
                <a:lnTo>
                  <a:pt x="6486144" y="1652016"/>
                </a:lnTo>
                <a:lnTo>
                  <a:pt x="6486144" y="1447800"/>
                </a:lnTo>
                <a:close/>
              </a:path>
              <a:path w="7315200" h="2479675">
                <a:moveTo>
                  <a:pt x="6486144" y="1240536"/>
                </a:moveTo>
                <a:lnTo>
                  <a:pt x="5660136" y="1240536"/>
                </a:lnTo>
                <a:lnTo>
                  <a:pt x="5660136" y="1444752"/>
                </a:lnTo>
                <a:lnTo>
                  <a:pt x="6486144" y="1444752"/>
                </a:lnTo>
                <a:lnTo>
                  <a:pt x="6486144" y="1240536"/>
                </a:lnTo>
                <a:close/>
              </a:path>
              <a:path w="7315200" h="2479675">
                <a:moveTo>
                  <a:pt x="6486144" y="1033272"/>
                </a:moveTo>
                <a:lnTo>
                  <a:pt x="5660136" y="1033272"/>
                </a:lnTo>
                <a:lnTo>
                  <a:pt x="5660136" y="1237488"/>
                </a:lnTo>
                <a:lnTo>
                  <a:pt x="6486144" y="1237488"/>
                </a:lnTo>
                <a:lnTo>
                  <a:pt x="6486144" y="1033272"/>
                </a:lnTo>
                <a:close/>
              </a:path>
              <a:path w="7315200" h="2479675">
                <a:moveTo>
                  <a:pt x="6486144" y="827532"/>
                </a:moveTo>
                <a:lnTo>
                  <a:pt x="5660136" y="827532"/>
                </a:lnTo>
                <a:lnTo>
                  <a:pt x="5660136" y="1030224"/>
                </a:lnTo>
                <a:lnTo>
                  <a:pt x="6486144" y="1030224"/>
                </a:lnTo>
                <a:lnTo>
                  <a:pt x="6486144" y="827532"/>
                </a:lnTo>
                <a:close/>
              </a:path>
              <a:path w="7315200" h="2479675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2479675">
                <a:moveTo>
                  <a:pt x="6486144" y="413004"/>
                </a:moveTo>
                <a:lnTo>
                  <a:pt x="5660136" y="413004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3004"/>
                </a:lnTo>
                <a:close/>
              </a:path>
              <a:path w="7315200" h="2479675">
                <a:moveTo>
                  <a:pt x="7315200" y="2275332"/>
                </a:moveTo>
                <a:lnTo>
                  <a:pt x="6489192" y="2275332"/>
                </a:lnTo>
                <a:lnTo>
                  <a:pt x="6489192" y="2479548"/>
                </a:lnTo>
                <a:lnTo>
                  <a:pt x="7315200" y="2479548"/>
                </a:lnTo>
                <a:lnTo>
                  <a:pt x="7315200" y="2275332"/>
                </a:lnTo>
                <a:close/>
              </a:path>
              <a:path w="7315200" h="2479675">
                <a:moveTo>
                  <a:pt x="7315200" y="2069592"/>
                </a:moveTo>
                <a:lnTo>
                  <a:pt x="6489192" y="2069592"/>
                </a:lnTo>
                <a:lnTo>
                  <a:pt x="6489192" y="2272284"/>
                </a:lnTo>
                <a:lnTo>
                  <a:pt x="7315200" y="2272284"/>
                </a:lnTo>
                <a:lnTo>
                  <a:pt x="7315200" y="2069592"/>
                </a:lnTo>
                <a:close/>
              </a:path>
              <a:path w="7315200" h="2479675">
                <a:moveTo>
                  <a:pt x="7315200" y="1862328"/>
                </a:moveTo>
                <a:lnTo>
                  <a:pt x="6489192" y="1862328"/>
                </a:lnTo>
                <a:lnTo>
                  <a:pt x="6489192" y="2065020"/>
                </a:lnTo>
                <a:lnTo>
                  <a:pt x="7315200" y="2065020"/>
                </a:lnTo>
                <a:lnTo>
                  <a:pt x="7315200" y="1862328"/>
                </a:lnTo>
                <a:close/>
              </a:path>
              <a:path w="7315200" h="2479675">
                <a:moveTo>
                  <a:pt x="7315200" y="1655064"/>
                </a:moveTo>
                <a:lnTo>
                  <a:pt x="6489192" y="1655064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5064"/>
                </a:lnTo>
                <a:close/>
              </a:path>
              <a:path w="7315200" h="2479675">
                <a:moveTo>
                  <a:pt x="7315200" y="1447800"/>
                </a:moveTo>
                <a:lnTo>
                  <a:pt x="6489192" y="1447800"/>
                </a:lnTo>
                <a:lnTo>
                  <a:pt x="6489192" y="1652016"/>
                </a:lnTo>
                <a:lnTo>
                  <a:pt x="7315200" y="1652016"/>
                </a:lnTo>
                <a:lnTo>
                  <a:pt x="7315200" y="1447800"/>
                </a:lnTo>
                <a:close/>
              </a:path>
              <a:path w="7315200" h="2479675">
                <a:moveTo>
                  <a:pt x="7315200" y="1240536"/>
                </a:moveTo>
                <a:lnTo>
                  <a:pt x="6489192" y="1240536"/>
                </a:lnTo>
                <a:lnTo>
                  <a:pt x="6489192" y="1444752"/>
                </a:lnTo>
                <a:lnTo>
                  <a:pt x="7315200" y="1444752"/>
                </a:lnTo>
                <a:lnTo>
                  <a:pt x="7315200" y="1240536"/>
                </a:lnTo>
                <a:close/>
              </a:path>
              <a:path w="7315200" h="2479675">
                <a:moveTo>
                  <a:pt x="7315200" y="1033272"/>
                </a:moveTo>
                <a:lnTo>
                  <a:pt x="6489192" y="1033272"/>
                </a:lnTo>
                <a:lnTo>
                  <a:pt x="6489192" y="1237488"/>
                </a:lnTo>
                <a:lnTo>
                  <a:pt x="7315200" y="1237488"/>
                </a:lnTo>
                <a:lnTo>
                  <a:pt x="7315200" y="1033272"/>
                </a:lnTo>
                <a:close/>
              </a:path>
              <a:path w="7315200" h="2479675">
                <a:moveTo>
                  <a:pt x="7315200" y="827532"/>
                </a:moveTo>
                <a:lnTo>
                  <a:pt x="6489192" y="827532"/>
                </a:lnTo>
                <a:lnTo>
                  <a:pt x="6489192" y="1030224"/>
                </a:lnTo>
                <a:lnTo>
                  <a:pt x="7315200" y="1030224"/>
                </a:lnTo>
                <a:lnTo>
                  <a:pt x="7315200" y="827532"/>
                </a:lnTo>
                <a:close/>
              </a:path>
              <a:path w="7315200" h="2479675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2479675">
                <a:moveTo>
                  <a:pt x="7315200" y="413004"/>
                </a:moveTo>
                <a:lnTo>
                  <a:pt x="6489192" y="413004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3004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536321</xdr:colOff>
      <xdr:row>26</xdr:row>
      <xdr:rowOff>0</xdr:rowOff>
    </xdr:from>
    <xdr:ext cx="702945" cy="413639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0" y="0"/>
          <a:ext cx="702945" cy="4136390"/>
        </a:xfrm>
        <a:custGeom>
          <a:avLst/>
          <a:gdLst/>
          <a:ahLst/>
          <a:cxnLst/>
          <a:rect l="0" t="0" r="0" b="0"/>
          <a:pathLst>
            <a:path w="702945" h="4136390">
              <a:moveTo>
                <a:pt x="702564" y="3931920"/>
              </a:moveTo>
              <a:lnTo>
                <a:pt x="0" y="3931920"/>
              </a:lnTo>
              <a:lnTo>
                <a:pt x="0" y="4136136"/>
              </a:lnTo>
              <a:lnTo>
                <a:pt x="702564" y="4136136"/>
              </a:lnTo>
              <a:lnTo>
                <a:pt x="702564" y="3931920"/>
              </a:lnTo>
              <a:close/>
            </a:path>
            <a:path w="702945" h="4136390">
              <a:moveTo>
                <a:pt x="702564" y="3726180"/>
              </a:moveTo>
              <a:lnTo>
                <a:pt x="0" y="3726180"/>
              </a:lnTo>
              <a:lnTo>
                <a:pt x="0" y="3928872"/>
              </a:lnTo>
              <a:lnTo>
                <a:pt x="702564" y="3928872"/>
              </a:lnTo>
              <a:lnTo>
                <a:pt x="702564" y="3726180"/>
              </a:lnTo>
              <a:close/>
            </a:path>
            <a:path w="702945" h="4136390">
              <a:moveTo>
                <a:pt x="702564" y="3518916"/>
              </a:moveTo>
              <a:lnTo>
                <a:pt x="0" y="3518916"/>
              </a:lnTo>
              <a:lnTo>
                <a:pt x="0" y="3721608"/>
              </a:lnTo>
              <a:lnTo>
                <a:pt x="702564" y="3721608"/>
              </a:lnTo>
              <a:lnTo>
                <a:pt x="702564" y="3518916"/>
              </a:lnTo>
              <a:close/>
            </a:path>
            <a:path w="702945" h="4136390">
              <a:moveTo>
                <a:pt x="702564" y="3311652"/>
              </a:moveTo>
              <a:lnTo>
                <a:pt x="0" y="3311652"/>
              </a:lnTo>
              <a:lnTo>
                <a:pt x="0" y="3515868"/>
              </a:lnTo>
              <a:lnTo>
                <a:pt x="702564" y="3515868"/>
              </a:lnTo>
              <a:lnTo>
                <a:pt x="702564" y="3311652"/>
              </a:lnTo>
              <a:close/>
            </a:path>
            <a:path w="702945" h="4136390">
              <a:moveTo>
                <a:pt x="702564" y="3104388"/>
              </a:moveTo>
              <a:lnTo>
                <a:pt x="0" y="3104388"/>
              </a:lnTo>
              <a:lnTo>
                <a:pt x="0" y="3308604"/>
              </a:lnTo>
              <a:lnTo>
                <a:pt x="702564" y="3308604"/>
              </a:lnTo>
              <a:lnTo>
                <a:pt x="702564" y="3104388"/>
              </a:lnTo>
              <a:close/>
            </a:path>
            <a:path w="702945" h="4136390">
              <a:moveTo>
                <a:pt x="702564" y="2897124"/>
              </a:moveTo>
              <a:lnTo>
                <a:pt x="0" y="2897124"/>
              </a:lnTo>
              <a:lnTo>
                <a:pt x="0" y="3101340"/>
              </a:lnTo>
              <a:lnTo>
                <a:pt x="702564" y="3101340"/>
              </a:lnTo>
              <a:lnTo>
                <a:pt x="702564" y="2897124"/>
              </a:lnTo>
              <a:close/>
            </a:path>
            <a:path w="702945" h="4136390">
              <a:moveTo>
                <a:pt x="702564" y="2689860"/>
              </a:moveTo>
              <a:lnTo>
                <a:pt x="0" y="2689860"/>
              </a:lnTo>
              <a:lnTo>
                <a:pt x="0" y="2894076"/>
              </a:lnTo>
              <a:lnTo>
                <a:pt x="702564" y="2894076"/>
              </a:lnTo>
              <a:lnTo>
                <a:pt x="702564" y="2689860"/>
              </a:lnTo>
              <a:close/>
            </a:path>
            <a:path w="702945" h="4136390">
              <a:moveTo>
                <a:pt x="702564" y="2484120"/>
              </a:moveTo>
              <a:lnTo>
                <a:pt x="0" y="2484120"/>
              </a:lnTo>
              <a:lnTo>
                <a:pt x="0" y="2686812"/>
              </a:lnTo>
              <a:lnTo>
                <a:pt x="702564" y="2686812"/>
              </a:lnTo>
              <a:lnTo>
                <a:pt x="702564" y="2484120"/>
              </a:lnTo>
              <a:close/>
            </a:path>
            <a:path w="702945" h="4136390">
              <a:moveTo>
                <a:pt x="702564" y="2276856"/>
              </a:moveTo>
              <a:lnTo>
                <a:pt x="0" y="2276856"/>
              </a:lnTo>
              <a:lnTo>
                <a:pt x="0" y="2481072"/>
              </a:lnTo>
              <a:lnTo>
                <a:pt x="702564" y="2481072"/>
              </a:lnTo>
              <a:lnTo>
                <a:pt x="702564" y="2276856"/>
              </a:lnTo>
              <a:close/>
            </a:path>
            <a:path w="702945" h="4136390">
              <a:moveTo>
                <a:pt x="702564" y="2069592"/>
              </a:moveTo>
              <a:lnTo>
                <a:pt x="0" y="2069592"/>
              </a:lnTo>
              <a:lnTo>
                <a:pt x="0" y="2273808"/>
              </a:lnTo>
              <a:lnTo>
                <a:pt x="702564" y="2273808"/>
              </a:lnTo>
              <a:lnTo>
                <a:pt x="702564" y="2069592"/>
              </a:lnTo>
              <a:close/>
            </a:path>
            <a:path w="702945" h="4136390">
              <a:moveTo>
                <a:pt x="702564" y="1862328"/>
              </a:moveTo>
              <a:lnTo>
                <a:pt x="0" y="1862328"/>
              </a:lnTo>
              <a:lnTo>
                <a:pt x="0" y="2066544"/>
              </a:lnTo>
              <a:lnTo>
                <a:pt x="702564" y="2066544"/>
              </a:lnTo>
              <a:lnTo>
                <a:pt x="702564" y="1862328"/>
              </a:lnTo>
              <a:close/>
            </a:path>
            <a:path w="702945" h="4136390">
              <a:moveTo>
                <a:pt x="702564" y="1656588"/>
              </a:moveTo>
              <a:lnTo>
                <a:pt x="0" y="1656588"/>
              </a:lnTo>
              <a:lnTo>
                <a:pt x="0" y="1859280"/>
              </a:lnTo>
              <a:lnTo>
                <a:pt x="702564" y="1859280"/>
              </a:lnTo>
              <a:lnTo>
                <a:pt x="702564" y="1656588"/>
              </a:lnTo>
              <a:close/>
            </a:path>
            <a:path w="702945" h="4136390">
              <a:moveTo>
                <a:pt x="702564" y="1449324"/>
              </a:moveTo>
              <a:lnTo>
                <a:pt x="0" y="1449324"/>
              </a:lnTo>
              <a:lnTo>
                <a:pt x="0" y="1653540"/>
              </a:lnTo>
              <a:lnTo>
                <a:pt x="702564" y="1653540"/>
              </a:lnTo>
              <a:lnTo>
                <a:pt x="702564" y="1449324"/>
              </a:lnTo>
              <a:close/>
            </a:path>
            <a:path w="702945" h="4136390">
              <a:moveTo>
                <a:pt x="702564" y="1242060"/>
              </a:moveTo>
              <a:lnTo>
                <a:pt x="0" y="1242060"/>
              </a:lnTo>
              <a:lnTo>
                <a:pt x="0" y="1446276"/>
              </a:lnTo>
              <a:lnTo>
                <a:pt x="702564" y="1446276"/>
              </a:lnTo>
              <a:lnTo>
                <a:pt x="702564" y="1242060"/>
              </a:lnTo>
              <a:close/>
            </a:path>
            <a:path w="702945" h="4136390">
              <a:moveTo>
                <a:pt x="702564" y="1034796"/>
              </a:moveTo>
              <a:lnTo>
                <a:pt x="0" y="1034796"/>
              </a:lnTo>
              <a:lnTo>
                <a:pt x="0" y="1239012"/>
              </a:lnTo>
              <a:lnTo>
                <a:pt x="702564" y="1239012"/>
              </a:lnTo>
              <a:lnTo>
                <a:pt x="702564" y="1034796"/>
              </a:lnTo>
              <a:close/>
            </a:path>
            <a:path w="702945" h="4136390">
              <a:moveTo>
                <a:pt x="702564" y="827532"/>
              </a:moveTo>
              <a:lnTo>
                <a:pt x="0" y="827532"/>
              </a:lnTo>
              <a:lnTo>
                <a:pt x="0" y="1031748"/>
              </a:lnTo>
              <a:lnTo>
                <a:pt x="702564" y="1031748"/>
              </a:lnTo>
              <a:lnTo>
                <a:pt x="702564" y="827532"/>
              </a:lnTo>
              <a:close/>
            </a:path>
            <a:path w="702945" h="4136390">
              <a:moveTo>
                <a:pt x="702564" y="620268"/>
              </a:moveTo>
              <a:lnTo>
                <a:pt x="0" y="620268"/>
              </a:lnTo>
              <a:lnTo>
                <a:pt x="0" y="824484"/>
              </a:lnTo>
              <a:lnTo>
                <a:pt x="702564" y="824484"/>
              </a:lnTo>
              <a:lnTo>
                <a:pt x="702564" y="620268"/>
              </a:lnTo>
              <a:close/>
            </a:path>
            <a:path w="702945" h="4136390">
              <a:moveTo>
                <a:pt x="702564" y="414528"/>
              </a:moveTo>
              <a:lnTo>
                <a:pt x="0" y="414528"/>
              </a:lnTo>
              <a:lnTo>
                <a:pt x="0" y="617220"/>
              </a:lnTo>
              <a:lnTo>
                <a:pt x="702564" y="617220"/>
              </a:lnTo>
              <a:lnTo>
                <a:pt x="702564" y="414528"/>
              </a:lnTo>
              <a:close/>
            </a:path>
            <a:path w="702945" h="4136390">
              <a:moveTo>
                <a:pt x="702564" y="207264"/>
              </a:moveTo>
              <a:lnTo>
                <a:pt x="0" y="207264"/>
              </a:lnTo>
              <a:lnTo>
                <a:pt x="0" y="411480"/>
              </a:lnTo>
              <a:lnTo>
                <a:pt x="702564" y="411480"/>
              </a:lnTo>
              <a:lnTo>
                <a:pt x="702564" y="207264"/>
              </a:lnTo>
              <a:close/>
            </a:path>
            <a:path w="702945" h="4136390">
              <a:moveTo>
                <a:pt x="702564" y="0"/>
              </a:moveTo>
              <a:lnTo>
                <a:pt x="0" y="0"/>
              </a:lnTo>
              <a:lnTo>
                <a:pt x="0" y="204216"/>
              </a:lnTo>
              <a:lnTo>
                <a:pt x="702564" y="204216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541909</xdr:colOff>
      <xdr:row>19</xdr:row>
      <xdr:rowOff>0</xdr:rowOff>
    </xdr:from>
    <xdr:ext cx="3313429" cy="375285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235457</xdr:colOff>
      <xdr:row>3</xdr:row>
      <xdr:rowOff>762</xdr:rowOff>
    </xdr:from>
    <xdr:ext cx="381000" cy="381000"/>
    <xdr:pic>
      <xdr:nvPicPr>
        <xdr:cNvPr id="50" name="image1.jpeg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330696</xdr:colOff>
      <xdr:row>3</xdr:row>
      <xdr:rowOff>49142</xdr:rowOff>
    </xdr:from>
    <xdr:ext cx="193523" cy="290285"/>
    <xdr:pic>
      <xdr:nvPicPr>
        <xdr:cNvPr id="51" name="image2.jpeg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7</xdr:col>
      <xdr:colOff>235458</xdr:colOff>
      <xdr:row>3</xdr:row>
      <xdr:rowOff>49142</xdr:rowOff>
    </xdr:from>
    <xdr:ext cx="381000" cy="290285"/>
    <xdr:pic>
      <xdr:nvPicPr>
        <xdr:cNvPr id="52" name="image3.jpeg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49142</xdr:rowOff>
    </xdr:from>
    <xdr:ext cx="381000" cy="290285"/>
    <xdr:pic>
      <xdr:nvPicPr>
        <xdr:cNvPr id="53" name="image4.jpeg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198754</xdr:colOff>
      <xdr:row>20</xdr:row>
      <xdr:rowOff>0</xdr:rowOff>
    </xdr:from>
    <xdr:ext cx="7315200" cy="3310254"/>
    <xdr:grpSp>
      <xdr:nvGrpSpPr>
        <xdr:cNvPr id="54" name="Group 54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GrpSpPr/>
      </xdr:nvGrpSpPr>
      <xdr:grpSpPr>
        <a:xfrm>
          <a:off x="610234" y="5181600"/>
          <a:ext cx="7315200" cy="3310254"/>
          <a:chOff x="0" y="0"/>
          <a:chExt cx="7315200" cy="3310254"/>
        </a:xfrm>
      </xdr:grpSpPr>
      <xdr:sp macro="" textlink="">
        <xdr:nvSpPr>
          <xdr:cNvPr id="55" name="Shape 55">
            <a:extLst>
              <a:ext uri="{FF2B5EF4-FFF2-40B4-BE49-F238E27FC236}">
                <a16:creationId xmlns:a16="http://schemas.microsoft.com/office/drawing/2014/main" id="{00000000-0008-0000-0500-000037000000}"/>
              </a:ext>
            </a:extLst>
          </xdr:cNvPr>
          <xdr:cNvSpPr/>
        </xdr:nvSpPr>
        <xdr:spPr>
          <a:xfrm>
            <a:off x="0" y="0"/>
            <a:ext cx="7315200" cy="2273935"/>
          </a:xfrm>
          <a:custGeom>
            <a:avLst/>
            <a:gdLst/>
            <a:ahLst/>
            <a:cxnLst/>
            <a:rect l="0" t="0" r="0" b="0"/>
            <a:pathLst>
              <a:path w="7315200" h="2273935">
                <a:moveTo>
                  <a:pt x="339852" y="1034796"/>
                </a:moveTo>
                <a:lnTo>
                  <a:pt x="0" y="1034796"/>
                </a:lnTo>
                <a:lnTo>
                  <a:pt x="0" y="2066544"/>
                </a:lnTo>
                <a:lnTo>
                  <a:pt x="339852" y="2066544"/>
                </a:lnTo>
                <a:lnTo>
                  <a:pt x="339852" y="1034796"/>
                </a:lnTo>
                <a:close/>
              </a:path>
              <a:path w="7315200" h="2273935">
                <a:moveTo>
                  <a:pt x="339852" y="0"/>
                </a:moveTo>
                <a:lnTo>
                  <a:pt x="0" y="0"/>
                </a:lnTo>
                <a:lnTo>
                  <a:pt x="0" y="1031748"/>
                </a:lnTo>
                <a:lnTo>
                  <a:pt x="339852" y="1031748"/>
                </a:lnTo>
                <a:lnTo>
                  <a:pt x="339852" y="0"/>
                </a:lnTo>
                <a:close/>
              </a:path>
              <a:path w="7315200" h="2273935">
                <a:moveTo>
                  <a:pt x="1376172" y="1034796"/>
                </a:moveTo>
                <a:lnTo>
                  <a:pt x="342900" y="1034796"/>
                </a:lnTo>
                <a:lnTo>
                  <a:pt x="342900" y="2066544"/>
                </a:lnTo>
                <a:lnTo>
                  <a:pt x="1376172" y="2066544"/>
                </a:lnTo>
                <a:lnTo>
                  <a:pt x="1376172" y="1034796"/>
                </a:lnTo>
                <a:close/>
              </a:path>
              <a:path w="7315200" h="2273935">
                <a:moveTo>
                  <a:pt x="1376172" y="0"/>
                </a:moveTo>
                <a:lnTo>
                  <a:pt x="342900" y="0"/>
                </a:lnTo>
                <a:lnTo>
                  <a:pt x="342900" y="1031748"/>
                </a:lnTo>
                <a:lnTo>
                  <a:pt x="1376172" y="1031748"/>
                </a:lnTo>
                <a:lnTo>
                  <a:pt x="1376172" y="0"/>
                </a:lnTo>
                <a:close/>
              </a:path>
              <a:path w="7315200" h="2273935">
                <a:moveTo>
                  <a:pt x="2753868" y="1034796"/>
                </a:moveTo>
                <a:lnTo>
                  <a:pt x="1379220" y="1034796"/>
                </a:lnTo>
                <a:lnTo>
                  <a:pt x="1379220" y="2066544"/>
                </a:lnTo>
                <a:lnTo>
                  <a:pt x="2753868" y="2066544"/>
                </a:lnTo>
                <a:lnTo>
                  <a:pt x="2753868" y="1034796"/>
                </a:lnTo>
                <a:close/>
              </a:path>
              <a:path w="7315200" h="2273935">
                <a:moveTo>
                  <a:pt x="2753868" y="0"/>
                </a:moveTo>
                <a:lnTo>
                  <a:pt x="1379220" y="0"/>
                </a:lnTo>
                <a:lnTo>
                  <a:pt x="1379220" y="1031748"/>
                </a:lnTo>
                <a:lnTo>
                  <a:pt x="2753868" y="1031748"/>
                </a:lnTo>
                <a:lnTo>
                  <a:pt x="2753868" y="0"/>
                </a:lnTo>
                <a:close/>
              </a:path>
              <a:path w="7315200" h="2273935">
                <a:moveTo>
                  <a:pt x="3304032" y="2069592"/>
                </a:moveTo>
                <a:lnTo>
                  <a:pt x="2756916" y="2069592"/>
                </a:lnTo>
                <a:lnTo>
                  <a:pt x="2756916" y="2273808"/>
                </a:lnTo>
                <a:lnTo>
                  <a:pt x="3304032" y="2273808"/>
                </a:lnTo>
                <a:lnTo>
                  <a:pt x="3304032" y="2069592"/>
                </a:lnTo>
                <a:close/>
              </a:path>
              <a:path w="7315200" h="2273935">
                <a:moveTo>
                  <a:pt x="3304032" y="1862328"/>
                </a:moveTo>
                <a:lnTo>
                  <a:pt x="2756916" y="1862328"/>
                </a:lnTo>
                <a:lnTo>
                  <a:pt x="2756916" y="2066544"/>
                </a:lnTo>
                <a:lnTo>
                  <a:pt x="3304032" y="2066544"/>
                </a:lnTo>
                <a:lnTo>
                  <a:pt x="3304032" y="1862328"/>
                </a:lnTo>
                <a:close/>
              </a:path>
              <a:path w="7315200" h="2273935">
                <a:moveTo>
                  <a:pt x="3304032" y="1656588"/>
                </a:moveTo>
                <a:lnTo>
                  <a:pt x="2756916" y="1656588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6588"/>
                </a:lnTo>
                <a:close/>
              </a:path>
              <a:path w="7315200" h="2273935">
                <a:moveTo>
                  <a:pt x="3304032" y="1449324"/>
                </a:moveTo>
                <a:lnTo>
                  <a:pt x="2756916" y="1449324"/>
                </a:lnTo>
                <a:lnTo>
                  <a:pt x="2756916" y="1653540"/>
                </a:lnTo>
                <a:lnTo>
                  <a:pt x="3304032" y="1653540"/>
                </a:lnTo>
                <a:lnTo>
                  <a:pt x="3304032" y="1449324"/>
                </a:lnTo>
                <a:close/>
              </a:path>
              <a:path w="7315200" h="2273935">
                <a:moveTo>
                  <a:pt x="3304032" y="1242060"/>
                </a:moveTo>
                <a:lnTo>
                  <a:pt x="2756916" y="1242060"/>
                </a:lnTo>
                <a:lnTo>
                  <a:pt x="2756916" y="1446276"/>
                </a:lnTo>
                <a:lnTo>
                  <a:pt x="3304032" y="1446276"/>
                </a:lnTo>
                <a:lnTo>
                  <a:pt x="3304032" y="1242060"/>
                </a:lnTo>
                <a:close/>
              </a:path>
              <a:path w="7315200" h="2273935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2273935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2273935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2273935">
                <a:moveTo>
                  <a:pt x="3304032" y="414528"/>
                </a:moveTo>
                <a:lnTo>
                  <a:pt x="2756916" y="414528"/>
                </a:lnTo>
                <a:lnTo>
                  <a:pt x="2756916" y="617220"/>
                </a:lnTo>
                <a:lnTo>
                  <a:pt x="3304032" y="617220"/>
                </a:lnTo>
                <a:lnTo>
                  <a:pt x="3304032" y="414528"/>
                </a:lnTo>
                <a:close/>
              </a:path>
              <a:path w="7315200" h="2273935">
                <a:moveTo>
                  <a:pt x="3304032" y="207264"/>
                </a:moveTo>
                <a:lnTo>
                  <a:pt x="2756916" y="207264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207264"/>
                </a:lnTo>
                <a:close/>
              </a:path>
              <a:path w="7315200" h="2273935">
                <a:moveTo>
                  <a:pt x="3304032" y="0"/>
                </a:moveTo>
                <a:lnTo>
                  <a:pt x="2756916" y="0"/>
                </a:lnTo>
                <a:lnTo>
                  <a:pt x="2756916" y="204216"/>
                </a:lnTo>
                <a:lnTo>
                  <a:pt x="3304032" y="204216"/>
                </a:lnTo>
                <a:lnTo>
                  <a:pt x="3304032" y="0"/>
                </a:lnTo>
                <a:close/>
              </a:path>
              <a:path w="7315200" h="2273935">
                <a:moveTo>
                  <a:pt x="3998976" y="2069592"/>
                </a:moveTo>
                <a:lnTo>
                  <a:pt x="3307080" y="2069592"/>
                </a:lnTo>
                <a:lnTo>
                  <a:pt x="3307080" y="2273808"/>
                </a:lnTo>
                <a:lnTo>
                  <a:pt x="3998976" y="2273808"/>
                </a:lnTo>
                <a:lnTo>
                  <a:pt x="3998976" y="2069592"/>
                </a:lnTo>
                <a:close/>
              </a:path>
              <a:path w="7315200" h="2273935">
                <a:moveTo>
                  <a:pt x="3998976" y="1862328"/>
                </a:moveTo>
                <a:lnTo>
                  <a:pt x="3307080" y="1862328"/>
                </a:lnTo>
                <a:lnTo>
                  <a:pt x="3307080" y="2066544"/>
                </a:lnTo>
                <a:lnTo>
                  <a:pt x="3998976" y="2066544"/>
                </a:lnTo>
                <a:lnTo>
                  <a:pt x="3998976" y="1862328"/>
                </a:lnTo>
                <a:close/>
              </a:path>
              <a:path w="7315200" h="2273935">
                <a:moveTo>
                  <a:pt x="3998976" y="1656588"/>
                </a:moveTo>
                <a:lnTo>
                  <a:pt x="3307080" y="1656588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6588"/>
                </a:lnTo>
                <a:close/>
              </a:path>
              <a:path w="7315200" h="2273935">
                <a:moveTo>
                  <a:pt x="3998976" y="1449324"/>
                </a:moveTo>
                <a:lnTo>
                  <a:pt x="3307080" y="1449324"/>
                </a:lnTo>
                <a:lnTo>
                  <a:pt x="3307080" y="1653540"/>
                </a:lnTo>
                <a:lnTo>
                  <a:pt x="3998976" y="1653540"/>
                </a:lnTo>
                <a:lnTo>
                  <a:pt x="3998976" y="1449324"/>
                </a:lnTo>
                <a:close/>
              </a:path>
              <a:path w="7315200" h="2273935">
                <a:moveTo>
                  <a:pt x="3998976" y="1242060"/>
                </a:moveTo>
                <a:lnTo>
                  <a:pt x="3307080" y="1242060"/>
                </a:lnTo>
                <a:lnTo>
                  <a:pt x="3307080" y="1446276"/>
                </a:lnTo>
                <a:lnTo>
                  <a:pt x="3998976" y="1446276"/>
                </a:lnTo>
                <a:lnTo>
                  <a:pt x="3998976" y="1242060"/>
                </a:lnTo>
                <a:close/>
              </a:path>
              <a:path w="7315200" h="2273935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2273935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2273935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2273935">
                <a:moveTo>
                  <a:pt x="3998976" y="414528"/>
                </a:moveTo>
                <a:lnTo>
                  <a:pt x="3307080" y="414528"/>
                </a:lnTo>
                <a:lnTo>
                  <a:pt x="3307080" y="617220"/>
                </a:lnTo>
                <a:lnTo>
                  <a:pt x="3998976" y="617220"/>
                </a:lnTo>
                <a:lnTo>
                  <a:pt x="3998976" y="414528"/>
                </a:lnTo>
                <a:close/>
              </a:path>
              <a:path w="7315200" h="2273935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2273935">
                <a:moveTo>
                  <a:pt x="3998976" y="0"/>
                </a:moveTo>
                <a:lnTo>
                  <a:pt x="3307080" y="0"/>
                </a:lnTo>
                <a:lnTo>
                  <a:pt x="3307080" y="204216"/>
                </a:lnTo>
                <a:lnTo>
                  <a:pt x="3998976" y="204216"/>
                </a:lnTo>
                <a:lnTo>
                  <a:pt x="3998976" y="0"/>
                </a:lnTo>
                <a:close/>
              </a:path>
              <a:path w="7315200" h="2273935">
                <a:moveTo>
                  <a:pt x="4828032" y="2069592"/>
                </a:moveTo>
                <a:lnTo>
                  <a:pt x="4002024" y="2069592"/>
                </a:lnTo>
                <a:lnTo>
                  <a:pt x="4002024" y="2273808"/>
                </a:lnTo>
                <a:lnTo>
                  <a:pt x="4828032" y="2273808"/>
                </a:lnTo>
                <a:lnTo>
                  <a:pt x="4828032" y="2069592"/>
                </a:lnTo>
                <a:close/>
              </a:path>
              <a:path w="7315200" h="2273935">
                <a:moveTo>
                  <a:pt x="4828032" y="1862328"/>
                </a:moveTo>
                <a:lnTo>
                  <a:pt x="4002024" y="1862328"/>
                </a:lnTo>
                <a:lnTo>
                  <a:pt x="4002024" y="2066544"/>
                </a:lnTo>
                <a:lnTo>
                  <a:pt x="4828032" y="2066544"/>
                </a:lnTo>
                <a:lnTo>
                  <a:pt x="4828032" y="1862328"/>
                </a:lnTo>
                <a:close/>
              </a:path>
              <a:path w="7315200" h="2273935">
                <a:moveTo>
                  <a:pt x="4828032" y="1656588"/>
                </a:moveTo>
                <a:lnTo>
                  <a:pt x="4002024" y="1656588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6588"/>
                </a:lnTo>
                <a:close/>
              </a:path>
              <a:path w="7315200" h="2273935">
                <a:moveTo>
                  <a:pt x="4828032" y="1449324"/>
                </a:moveTo>
                <a:lnTo>
                  <a:pt x="4002024" y="1449324"/>
                </a:lnTo>
                <a:lnTo>
                  <a:pt x="4002024" y="1653540"/>
                </a:lnTo>
                <a:lnTo>
                  <a:pt x="4828032" y="1653540"/>
                </a:lnTo>
                <a:lnTo>
                  <a:pt x="4828032" y="1449324"/>
                </a:lnTo>
                <a:close/>
              </a:path>
              <a:path w="7315200" h="2273935">
                <a:moveTo>
                  <a:pt x="4828032" y="1242060"/>
                </a:moveTo>
                <a:lnTo>
                  <a:pt x="4002024" y="1242060"/>
                </a:lnTo>
                <a:lnTo>
                  <a:pt x="4002024" y="1446276"/>
                </a:lnTo>
                <a:lnTo>
                  <a:pt x="4828032" y="1446276"/>
                </a:lnTo>
                <a:lnTo>
                  <a:pt x="4828032" y="1242060"/>
                </a:lnTo>
                <a:close/>
              </a:path>
              <a:path w="7315200" h="2273935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2273935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2273935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2273935">
                <a:moveTo>
                  <a:pt x="4828032" y="414528"/>
                </a:moveTo>
                <a:lnTo>
                  <a:pt x="4002024" y="414528"/>
                </a:lnTo>
                <a:lnTo>
                  <a:pt x="4002024" y="617220"/>
                </a:lnTo>
                <a:lnTo>
                  <a:pt x="4828032" y="617220"/>
                </a:lnTo>
                <a:lnTo>
                  <a:pt x="4828032" y="414528"/>
                </a:lnTo>
                <a:close/>
              </a:path>
              <a:path w="7315200" h="2273935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2273935">
                <a:moveTo>
                  <a:pt x="4828032" y="0"/>
                </a:moveTo>
                <a:lnTo>
                  <a:pt x="4002024" y="0"/>
                </a:lnTo>
                <a:lnTo>
                  <a:pt x="4002024" y="204216"/>
                </a:lnTo>
                <a:lnTo>
                  <a:pt x="4828032" y="204216"/>
                </a:lnTo>
                <a:lnTo>
                  <a:pt x="4828032" y="0"/>
                </a:lnTo>
                <a:close/>
              </a:path>
              <a:path w="7315200" h="2273935">
                <a:moveTo>
                  <a:pt x="5657088" y="2069592"/>
                </a:moveTo>
                <a:lnTo>
                  <a:pt x="4831080" y="2069592"/>
                </a:lnTo>
                <a:lnTo>
                  <a:pt x="4831080" y="2273808"/>
                </a:lnTo>
                <a:lnTo>
                  <a:pt x="5657088" y="2273808"/>
                </a:lnTo>
                <a:lnTo>
                  <a:pt x="5657088" y="2069592"/>
                </a:lnTo>
                <a:close/>
              </a:path>
              <a:path w="7315200" h="2273935">
                <a:moveTo>
                  <a:pt x="5657088" y="1862328"/>
                </a:moveTo>
                <a:lnTo>
                  <a:pt x="4831080" y="1862328"/>
                </a:lnTo>
                <a:lnTo>
                  <a:pt x="4831080" y="2066544"/>
                </a:lnTo>
                <a:lnTo>
                  <a:pt x="5657088" y="2066544"/>
                </a:lnTo>
                <a:lnTo>
                  <a:pt x="5657088" y="1862328"/>
                </a:lnTo>
                <a:close/>
              </a:path>
              <a:path w="7315200" h="2273935">
                <a:moveTo>
                  <a:pt x="5657088" y="1656588"/>
                </a:moveTo>
                <a:lnTo>
                  <a:pt x="4831080" y="1656588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6588"/>
                </a:lnTo>
                <a:close/>
              </a:path>
              <a:path w="7315200" h="2273935">
                <a:moveTo>
                  <a:pt x="5657088" y="1449324"/>
                </a:moveTo>
                <a:lnTo>
                  <a:pt x="4831080" y="1449324"/>
                </a:lnTo>
                <a:lnTo>
                  <a:pt x="4831080" y="1653540"/>
                </a:lnTo>
                <a:lnTo>
                  <a:pt x="5657088" y="1653540"/>
                </a:lnTo>
                <a:lnTo>
                  <a:pt x="5657088" y="1449324"/>
                </a:lnTo>
                <a:close/>
              </a:path>
              <a:path w="7315200" h="2273935">
                <a:moveTo>
                  <a:pt x="5657088" y="1242060"/>
                </a:moveTo>
                <a:lnTo>
                  <a:pt x="4831080" y="1242060"/>
                </a:lnTo>
                <a:lnTo>
                  <a:pt x="4831080" y="1446276"/>
                </a:lnTo>
                <a:lnTo>
                  <a:pt x="5657088" y="1446276"/>
                </a:lnTo>
                <a:lnTo>
                  <a:pt x="5657088" y="1242060"/>
                </a:lnTo>
                <a:close/>
              </a:path>
              <a:path w="7315200" h="2273935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2273935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2273935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2273935">
                <a:moveTo>
                  <a:pt x="5657088" y="414528"/>
                </a:moveTo>
                <a:lnTo>
                  <a:pt x="4831080" y="414528"/>
                </a:lnTo>
                <a:lnTo>
                  <a:pt x="4831080" y="617220"/>
                </a:lnTo>
                <a:lnTo>
                  <a:pt x="5657088" y="617220"/>
                </a:lnTo>
                <a:lnTo>
                  <a:pt x="5657088" y="414528"/>
                </a:lnTo>
                <a:close/>
              </a:path>
              <a:path w="7315200" h="2273935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2273935">
                <a:moveTo>
                  <a:pt x="5657088" y="0"/>
                </a:moveTo>
                <a:lnTo>
                  <a:pt x="4831080" y="0"/>
                </a:lnTo>
                <a:lnTo>
                  <a:pt x="4831080" y="204216"/>
                </a:lnTo>
                <a:lnTo>
                  <a:pt x="5657088" y="204216"/>
                </a:lnTo>
                <a:lnTo>
                  <a:pt x="5657088" y="0"/>
                </a:lnTo>
                <a:close/>
              </a:path>
              <a:path w="7315200" h="2273935">
                <a:moveTo>
                  <a:pt x="6486144" y="2069592"/>
                </a:moveTo>
                <a:lnTo>
                  <a:pt x="5660136" y="2069592"/>
                </a:lnTo>
                <a:lnTo>
                  <a:pt x="5660136" y="2273808"/>
                </a:lnTo>
                <a:lnTo>
                  <a:pt x="6486144" y="2273808"/>
                </a:lnTo>
                <a:lnTo>
                  <a:pt x="6486144" y="2069592"/>
                </a:lnTo>
                <a:close/>
              </a:path>
              <a:path w="7315200" h="2273935">
                <a:moveTo>
                  <a:pt x="6486144" y="1862328"/>
                </a:moveTo>
                <a:lnTo>
                  <a:pt x="5660136" y="1862328"/>
                </a:lnTo>
                <a:lnTo>
                  <a:pt x="5660136" y="2066544"/>
                </a:lnTo>
                <a:lnTo>
                  <a:pt x="6486144" y="2066544"/>
                </a:lnTo>
                <a:lnTo>
                  <a:pt x="6486144" y="1862328"/>
                </a:lnTo>
                <a:close/>
              </a:path>
              <a:path w="7315200" h="2273935">
                <a:moveTo>
                  <a:pt x="6486144" y="1656588"/>
                </a:moveTo>
                <a:lnTo>
                  <a:pt x="5660136" y="1656588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6588"/>
                </a:lnTo>
                <a:close/>
              </a:path>
              <a:path w="7315200" h="2273935">
                <a:moveTo>
                  <a:pt x="6486144" y="1449324"/>
                </a:moveTo>
                <a:lnTo>
                  <a:pt x="5660136" y="1449324"/>
                </a:lnTo>
                <a:lnTo>
                  <a:pt x="5660136" y="1653540"/>
                </a:lnTo>
                <a:lnTo>
                  <a:pt x="6486144" y="1653540"/>
                </a:lnTo>
                <a:lnTo>
                  <a:pt x="6486144" y="1449324"/>
                </a:lnTo>
                <a:close/>
              </a:path>
              <a:path w="7315200" h="2273935">
                <a:moveTo>
                  <a:pt x="6486144" y="1242060"/>
                </a:moveTo>
                <a:lnTo>
                  <a:pt x="5660136" y="1242060"/>
                </a:lnTo>
                <a:lnTo>
                  <a:pt x="5660136" y="1446276"/>
                </a:lnTo>
                <a:lnTo>
                  <a:pt x="6486144" y="1446276"/>
                </a:lnTo>
                <a:lnTo>
                  <a:pt x="6486144" y="1242060"/>
                </a:lnTo>
                <a:close/>
              </a:path>
              <a:path w="7315200" h="2273935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2273935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2273935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2273935">
                <a:moveTo>
                  <a:pt x="6486144" y="414528"/>
                </a:moveTo>
                <a:lnTo>
                  <a:pt x="5660136" y="414528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4528"/>
                </a:lnTo>
                <a:close/>
              </a:path>
              <a:path w="7315200" h="2273935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2273935">
                <a:moveTo>
                  <a:pt x="6486144" y="0"/>
                </a:moveTo>
                <a:lnTo>
                  <a:pt x="5660136" y="0"/>
                </a:lnTo>
                <a:lnTo>
                  <a:pt x="5660136" y="204216"/>
                </a:lnTo>
                <a:lnTo>
                  <a:pt x="6486144" y="204216"/>
                </a:lnTo>
                <a:lnTo>
                  <a:pt x="6486144" y="0"/>
                </a:lnTo>
                <a:close/>
              </a:path>
              <a:path w="7315200" h="2273935">
                <a:moveTo>
                  <a:pt x="7315200" y="1862328"/>
                </a:moveTo>
                <a:lnTo>
                  <a:pt x="6489192" y="1862328"/>
                </a:lnTo>
                <a:lnTo>
                  <a:pt x="6489192" y="2066544"/>
                </a:lnTo>
                <a:lnTo>
                  <a:pt x="7315200" y="2066544"/>
                </a:lnTo>
                <a:lnTo>
                  <a:pt x="7315200" y="1862328"/>
                </a:lnTo>
                <a:close/>
              </a:path>
              <a:path w="7315200" h="2273935">
                <a:moveTo>
                  <a:pt x="7315200" y="1656588"/>
                </a:moveTo>
                <a:lnTo>
                  <a:pt x="6489192" y="1656588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6588"/>
                </a:lnTo>
                <a:close/>
              </a:path>
              <a:path w="7315200" h="2273935">
                <a:moveTo>
                  <a:pt x="7315200" y="1449324"/>
                </a:moveTo>
                <a:lnTo>
                  <a:pt x="6489192" y="1449324"/>
                </a:lnTo>
                <a:lnTo>
                  <a:pt x="6489192" y="1653540"/>
                </a:lnTo>
                <a:lnTo>
                  <a:pt x="7315200" y="1653540"/>
                </a:lnTo>
                <a:lnTo>
                  <a:pt x="7315200" y="1449324"/>
                </a:lnTo>
                <a:close/>
              </a:path>
              <a:path w="7315200" h="2273935">
                <a:moveTo>
                  <a:pt x="7315200" y="1242060"/>
                </a:moveTo>
                <a:lnTo>
                  <a:pt x="6489192" y="1242060"/>
                </a:lnTo>
                <a:lnTo>
                  <a:pt x="6489192" y="1446276"/>
                </a:lnTo>
                <a:lnTo>
                  <a:pt x="7315200" y="1446276"/>
                </a:lnTo>
                <a:lnTo>
                  <a:pt x="7315200" y="1242060"/>
                </a:lnTo>
                <a:close/>
              </a:path>
              <a:path w="7315200" h="2273935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2273935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2273935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2273935">
                <a:moveTo>
                  <a:pt x="7315200" y="414528"/>
                </a:moveTo>
                <a:lnTo>
                  <a:pt x="6489192" y="414528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4528"/>
                </a:lnTo>
                <a:close/>
              </a:path>
              <a:path w="7315200" h="2273935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  <a:path w="7315200" h="2273935">
                <a:moveTo>
                  <a:pt x="7315200" y="0"/>
                </a:moveTo>
                <a:lnTo>
                  <a:pt x="6489192" y="0"/>
                </a:lnTo>
                <a:lnTo>
                  <a:pt x="6489192" y="204216"/>
                </a:lnTo>
                <a:lnTo>
                  <a:pt x="7315200" y="204216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56" name="Shape 56">
            <a:extLst>
              <a:ext uri="{FF2B5EF4-FFF2-40B4-BE49-F238E27FC236}">
                <a16:creationId xmlns:a16="http://schemas.microsoft.com/office/drawing/2014/main" id="{00000000-0008-0000-0500-000038000000}"/>
              </a:ext>
            </a:extLst>
          </xdr:cNvPr>
          <xdr:cNvSpPr/>
        </xdr:nvSpPr>
        <xdr:spPr>
          <a:xfrm>
            <a:off x="0" y="2069591"/>
            <a:ext cx="7315200" cy="1240790"/>
          </a:xfrm>
          <a:custGeom>
            <a:avLst/>
            <a:gdLst/>
            <a:ahLst/>
            <a:cxnLst/>
            <a:rect l="0" t="0" r="0" b="0"/>
            <a:pathLst>
              <a:path w="7315200" h="1240790">
                <a:moveTo>
                  <a:pt x="339852" y="827532"/>
                </a:moveTo>
                <a:lnTo>
                  <a:pt x="0" y="827532"/>
                </a:lnTo>
                <a:lnTo>
                  <a:pt x="0" y="1240536"/>
                </a:lnTo>
                <a:lnTo>
                  <a:pt x="339852" y="1240536"/>
                </a:lnTo>
                <a:lnTo>
                  <a:pt x="339852" y="827532"/>
                </a:lnTo>
                <a:close/>
              </a:path>
              <a:path w="7315200" h="1240790">
                <a:moveTo>
                  <a:pt x="339852" y="0"/>
                </a:moveTo>
                <a:lnTo>
                  <a:pt x="0" y="0"/>
                </a:lnTo>
                <a:lnTo>
                  <a:pt x="0" y="824484"/>
                </a:lnTo>
                <a:lnTo>
                  <a:pt x="339852" y="824484"/>
                </a:lnTo>
                <a:lnTo>
                  <a:pt x="339852" y="0"/>
                </a:lnTo>
                <a:close/>
              </a:path>
              <a:path w="7315200" h="1240790">
                <a:moveTo>
                  <a:pt x="1376172" y="827532"/>
                </a:moveTo>
                <a:lnTo>
                  <a:pt x="342900" y="827532"/>
                </a:lnTo>
                <a:lnTo>
                  <a:pt x="342900" y="1240536"/>
                </a:lnTo>
                <a:lnTo>
                  <a:pt x="1376172" y="1240536"/>
                </a:lnTo>
                <a:lnTo>
                  <a:pt x="1376172" y="827532"/>
                </a:lnTo>
                <a:close/>
              </a:path>
              <a:path w="7315200" h="1240790">
                <a:moveTo>
                  <a:pt x="1376172" y="0"/>
                </a:moveTo>
                <a:lnTo>
                  <a:pt x="342900" y="0"/>
                </a:lnTo>
                <a:lnTo>
                  <a:pt x="342900" y="824484"/>
                </a:lnTo>
                <a:lnTo>
                  <a:pt x="1376172" y="824484"/>
                </a:lnTo>
                <a:lnTo>
                  <a:pt x="1376172" y="0"/>
                </a:lnTo>
                <a:close/>
              </a:path>
              <a:path w="7315200" h="1240790">
                <a:moveTo>
                  <a:pt x="2753868" y="827532"/>
                </a:moveTo>
                <a:lnTo>
                  <a:pt x="1379220" y="827532"/>
                </a:lnTo>
                <a:lnTo>
                  <a:pt x="1379220" y="1240536"/>
                </a:lnTo>
                <a:lnTo>
                  <a:pt x="2753868" y="1240536"/>
                </a:lnTo>
                <a:lnTo>
                  <a:pt x="2753868" y="827532"/>
                </a:lnTo>
                <a:close/>
              </a:path>
              <a:path w="7315200" h="1240790">
                <a:moveTo>
                  <a:pt x="2753868" y="0"/>
                </a:moveTo>
                <a:lnTo>
                  <a:pt x="1379220" y="0"/>
                </a:lnTo>
                <a:lnTo>
                  <a:pt x="1379220" y="824484"/>
                </a:lnTo>
                <a:lnTo>
                  <a:pt x="2753868" y="824484"/>
                </a:lnTo>
                <a:lnTo>
                  <a:pt x="2753868" y="0"/>
                </a:lnTo>
                <a:close/>
              </a:path>
              <a:path w="7315200" h="1240790">
                <a:moveTo>
                  <a:pt x="3304032" y="827532"/>
                </a:moveTo>
                <a:lnTo>
                  <a:pt x="2756916" y="827532"/>
                </a:lnTo>
                <a:lnTo>
                  <a:pt x="2756916" y="1240536"/>
                </a:lnTo>
                <a:lnTo>
                  <a:pt x="3304032" y="1240536"/>
                </a:lnTo>
                <a:lnTo>
                  <a:pt x="3304032" y="827532"/>
                </a:lnTo>
                <a:close/>
              </a:path>
              <a:path w="7315200" h="1240790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1240790">
                <a:moveTo>
                  <a:pt x="3304032" y="414528"/>
                </a:moveTo>
                <a:lnTo>
                  <a:pt x="2756916" y="414528"/>
                </a:lnTo>
                <a:lnTo>
                  <a:pt x="2756916" y="617220"/>
                </a:lnTo>
                <a:lnTo>
                  <a:pt x="3304032" y="617220"/>
                </a:lnTo>
                <a:lnTo>
                  <a:pt x="3304032" y="414528"/>
                </a:lnTo>
                <a:close/>
              </a:path>
              <a:path w="7315200" h="1240790">
                <a:moveTo>
                  <a:pt x="3304032" y="207264"/>
                </a:moveTo>
                <a:lnTo>
                  <a:pt x="2756916" y="207264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207264"/>
                </a:lnTo>
                <a:close/>
              </a:path>
              <a:path w="7315200" h="1240790">
                <a:moveTo>
                  <a:pt x="3998976" y="827532"/>
                </a:moveTo>
                <a:lnTo>
                  <a:pt x="3307080" y="827532"/>
                </a:lnTo>
                <a:lnTo>
                  <a:pt x="3307080" y="1240536"/>
                </a:lnTo>
                <a:lnTo>
                  <a:pt x="3998976" y="1240536"/>
                </a:lnTo>
                <a:lnTo>
                  <a:pt x="3998976" y="827532"/>
                </a:lnTo>
                <a:close/>
              </a:path>
              <a:path w="7315200" h="1240790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1240790">
                <a:moveTo>
                  <a:pt x="3998976" y="414528"/>
                </a:moveTo>
                <a:lnTo>
                  <a:pt x="3307080" y="414528"/>
                </a:lnTo>
                <a:lnTo>
                  <a:pt x="3307080" y="617220"/>
                </a:lnTo>
                <a:lnTo>
                  <a:pt x="3998976" y="617220"/>
                </a:lnTo>
                <a:lnTo>
                  <a:pt x="3998976" y="414528"/>
                </a:lnTo>
                <a:close/>
              </a:path>
              <a:path w="7315200" h="1240790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1240790">
                <a:moveTo>
                  <a:pt x="4828032" y="827532"/>
                </a:moveTo>
                <a:lnTo>
                  <a:pt x="4002024" y="827532"/>
                </a:lnTo>
                <a:lnTo>
                  <a:pt x="4002024" y="1240536"/>
                </a:lnTo>
                <a:lnTo>
                  <a:pt x="4828032" y="1240536"/>
                </a:lnTo>
                <a:lnTo>
                  <a:pt x="4828032" y="827532"/>
                </a:lnTo>
                <a:close/>
              </a:path>
              <a:path w="7315200" h="1240790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1240790">
                <a:moveTo>
                  <a:pt x="4828032" y="414528"/>
                </a:moveTo>
                <a:lnTo>
                  <a:pt x="4002024" y="414528"/>
                </a:lnTo>
                <a:lnTo>
                  <a:pt x="4002024" y="617220"/>
                </a:lnTo>
                <a:lnTo>
                  <a:pt x="4828032" y="617220"/>
                </a:lnTo>
                <a:lnTo>
                  <a:pt x="4828032" y="414528"/>
                </a:lnTo>
                <a:close/>
              </a:path>
              <a:path w="7315200" h="1240790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1240790">
                <a:moveTo>
                  <a:pt x="5657088" y="827532"/>
                </a:moveTo>
                <a:lnTo>
                  <a:pt x="4831080" y="827532"/>
                </a:lnTo>
                <a:lnTo>
                  <a:pt x="4831080" y="1240536"/>
                </a:lnTo>
                <a:lnTo>
                  <a:pt x="5657088" y="1240536"/>
                </a:lnTo>
                <a:lnTo>
                  <a:pt x="5657088" y="827532"/>
                </a:lnTo>
                <a:close/>
              </a:path>
              <a:path w="7315200" h="1240790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1240790">
                <a:moveTo>
                  <a:pt x="5657088" y="414528"/>
                </a:moveTo>
                <a:lnTo>
                  <a:pt x="4831080" y="414528"/>
                </a:lnTo>
                <a:lnTo>
                  <a:pt x="4831080" y="617220"/>
                </a:lnTo>
                <a:lnTo>
                  <a:pt x="5657088" y="617220"/>
                </a:lnTo>
                <a:lnTo>
                  <a:pt x="5657088" y="414528"/>
                </a:lnTo>
                <a:close/>
              </a:path>
              <a:path w="7315200" h="1240790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1240790">
                <a:moveTo>
                  <a:pt x="6486144" y="827532"/>
                </a:moveTo>
                <a:lnTo>
                  <a:pt x="5660136" y="827532"/>
                </a:lnTo>
                <a:lnTo>
                  <a:pt x="5660136" y="1240536"/>
                </a:lnTo>
                <a:lnTo>
                  <a:pt x="6486144" y="1240536"/>
                </a:lnTo>
                <a:lnTo>
                  <a:pt x="6486144" y="827532"/>
                </a:lnTo>
                <a:close/>
              </a:path>
              <a:path w="7315200" h="1240790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1240790">
                <a:moveTo>
                  <a:pt x="6486144" y="414528"/>
                </a:moveTo>
                <a:lnTo>
                  <a:pt x="5660136" y="414528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4528"/>
                </a:lnTo>
                <a:close/>
              </a:path>
              <a:path w="7315200" h="1240790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1240790">
                <a:moveTo>
                  <a:pt x="6486144" y="0"/>
                </a:moveTo>
                <a:lnTo>
                  <a:pt x="5660136" y="0"/>
                </a:lnTo>
                <a:lnTo>
                  <a:pt x="5660136" y="204216"/>
                </a:lnTo>
                <a:lnTo>
                  <a:pt x="6486144" y="204216"/>
                </a:lnTo>
                <a:lnTo>
                  <a:pt x="6486144" y="0"/>
                </a:lnTo>
                <a:close/>
              </a:path>
              <a:path w="7315200" h="1240790">
                <a:moveTo>
                  <a:pt x="7315200" y="827532"/>
                </a:moveTo>
                <a:lnTo>
                  <a:pt x="6489192" y="827532"/>
                </a:lnTo>
                <a:lnTo>
                  <a:pt x="6489192" y="1240536"/>
                </a:lnTo>
                <a:lnTo>
                  <a:pt x="7315200" y="1240536"/>
                </a:lnTo>
                <a:lnTo>
                  <a:pt x="7315200" y="827532"/>
                </a:lnTo>
                <a:close/>
              </a:path>
              <a:path w="7315200" h="1240790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1240790">
                <a:moveTo>
                  <a:pt x="7315200" y="414528"/>
                </a:moveTo>
                <a:lnTo>
                  <a:pt x="6489192" y="414528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4528"/>
                </a:lnTo>
                <a:close/>
              </a:path>
              <a:path w="7315200" h="1240790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  <a:path w="7315200" h="1240790">
                <a:moveTo>
                  <a:pt x="7315200" y="0"/>
                </a:moveTo>
                <a:lnTo>
                  <a:pt x="6489192" y="0"/>
                </a:lnTo>
                <a:lnTo>
                  <a:pt x="6489192" y="204216"/>
                </a:lnTo>
                <a:lnTo>
                  <a:pt x="7315200" y="204216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536321</xdr:colOff>
      <xdr:row>21</xdr:row>
      <xdr:rowOff>0</xdr:rowOff>
    </xdr:from>
    <xdr:ext cx="702945" cy="3310254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/>
      </xdr:nvSpPr>
      <xdr:spPr>
        <a:xfrm>
          <a:off x="0" y="0"/>
          <a:ext cx="702945" cy="3310254"/>
        </a:xfrm>
        <a:custGeom>
          <a:avLst/>
          <a:gdLst/>
          <a:ahLst/>
          <a:cxnLst/>
          <a:rect l="0" t="0" r="0" b="0"/>
          <a:pathLst>
            <a:path w="702945" h="3310254">
              <a:moveTo>
                <a:pt x="702564" y="2897124"/>
              </a:moveTo>
              <a:lnTo>
                <a:pt x="0" y="2897124"/>
              </a:lnTo>
              <a:lnTo>
                <a:pt x="0" y="3310128"/>
              </a:lnTo>
              <a:lnTo>
                <a:pt x="702564" y="3310128"/>
              </a:lnTo>
              <a:lnTo>
                <a:pt x="702564" y="2897124"/>
              </a:lnTo>
              <a:close/>
            </a:path>
            <a:path w="702945" h="3310254">
              <a:moveTo>
                <a:pt x="702564" y="2689860"/>
              </a:moveTo>
              <a:lnTo>
                <a:pt x="0" y="2689860"/>
              </a:lnTo>
              <a:lnTo>
                <a:pt x="0" y="2894076"/>
              </a:lnTo>
              <a:lnTo>
                <a:pt x="702564" y="2894076"/>
              </a:lnTo>
              <a:lnTo>
                <a:pt x="702564" y="2689860"/>
              </a:lnTo>
              <a:close/>
            </a:path>
            <a:path w="702945" h="3310254">
              <a:moveTo>
                <a:pt x="702564" y="2484120"/>
              </a:moveTo>
              <a:lnTo>
                <a:pt x="0" y="2484120"/>
              </a:lnTo>
              <a:lnTo>
                <a:pt x="0" y="2686812"/>
              </a:lnTo>
              <a:lnTo>
                <a:pt x="702564" y="2686812"/>
              </a:lnTo>
              <a:lnTo>
                <a:pt x="702564" y="2484120"/>
              </a:lnTo>
              <a:close/>
            </a:path>
            <a:path w="702945" h="3310254">
              <a:moveTo>
                <a:pt x="702564" y="2276856"/>
              </a:moveTo>
              <a:lnTo>
                <a:pt x="0" y="2276856"/>
              </a:lnTo>
              <a:lnTo>
                <a:pt x="0" y="2481072"/>
              </a:lnTo>
              <a:lnTo>
                <a:pt x="702564" y="2481072"/>
              </a:lnTo>
              <a:lnTo>
                <a:pt x="702564" y="2276856"/>
              </a:lnTo>
              <a:close/>
            </a:path>
            <a:path w="702945" h="3310254">
              <a:moveTo>
                <a:pt x="702564" y="2069592"/>
              </a:moveTo>
              <a:lnTo>
                <a:pt x="0" y="2069592"/>
              </a:lnTo>
              <a:lnTo>
                <a:pt x="0" y="2273808"/>
              </a:lnTo>
              <a:lnTo>
                <a:pt x="702564" y="2273808"/>
              </a:lnTo>
              <a:lnTo>
                <a:pt x="702564" y="2069592"/>
              </a:lnTo>
              <a:close/>
            </a:path>
            <a:path w="702945" h="3310254">
              <a:moveTo>
                <a:pt x="702564" y="1862328"/>
              </a:moveTo>
              <a:lnTo>
                <a:pt x="0" y="1862328"/>
              </a:lnTo>
              <a:lnTo>
                <a:pt x="0" y="2066544"/>
              </a:lnTo>
              <a:lnTo>
                <a:pt x="702564" y="2066544"/>
              </a:lnTo>
              <a:lnTo>
                <a:pt x="702564" y="1862328"/>
              </a:lnTo>
              <a:close/>
            </a:path>
            <a:path w="702945" h="3310254">
              <a:moveTo>
                <a:pt x="702564" y="1656588"/>
              </a:moveTo>
              <a:lnTo>
                <a:pt x="0" y="1656588"/>
              </a:lnTo>
              <a:lnTo>
                <a:pt x="0" y="1859280"/>
              </a:lnTo>
              <a:lnTo>
                <a:pt x="702564" y="1859280"/>
              </a:lnTo>
              <a:lnTo>
                <a:pt x="702564" y="1656588"/>
              </a:lnTo>
              <a:close/>
            </a:path>
            <a:path w="702945" h="3310254">
              <a:moveTo>
                <a:pt x="702564" y="1449324"/>
              </a:moveTo>
              <a:lnTo>
                <a:pt x="0" y="1449324"/>
              </a:lnTo>
              <a:lnTo>
                <a:pt x="0" y="1653540"/>
              </a:lnTo>
              <a:lnTo>
                <a:pt x="702564" y="1653540"/>
              </a:lnTo>
              <a:lnTo>
                <a:pt x="702564" y="1449324"/>
              </a:lnTo>
              <a:close/>
            </a:path>
            <a:path w="702945" h="3310254">
              <a:moveTo>
                <a:pt x="702564" y="1242060"/>
              </a:moveTo>
              <a:lnTo>
                <a:pt x="0" y="1242060"/>
              </a:lnTo>
              <a:lnTo>
                <a:pt x="0" y="1446276"/>
              </a:lnTo>
              <a:lnTo>
                <a:pt x="702564" y="1446276"/>
              </a:lnTo>
              <a:lnTo>
                <a:pt x="702564" y="1242060"/>
              </a:lnTo>
              <a:close/>
            </a:path>
            <a:path w="702945" h="3310254">
              <a:moveTo>
                <a:pt x="702564" y="1034796"/>
              </a:moveTo>
              <a:lnTo>
                <a:pt x="0" y="1034796"/>
              </a:lnTo>
              <a:lnTo>
                <a:pt x="0" y="1239012"/>
              </a:lnTo>
              <a:lnTo>
                <a:pt x="702564" y="1239012"/>
              </a:lnTo>
              <a:lnTo>
                <a:pt x="702564" y="1034796"/>
              </a:lnTo>
              <a:close/>
            </a:path>
            <a:path w="702945" h="3310254">
              <a:moveTo>
                <a:pt x="702564" y="827532"/>
              </a:moveTo>
              <a:lnTo>
                <a:pt x="0" y="827532"/>
              </a:lnTo>
              <a:lnTo>
                <a:pt x="0" y="1031748"/>
              </a:lnTo>
              <a:lnTo>
                <a:pt x="702564" y="1031748"/>
              </a:lnTo>
              <a:lnTo>
                <a:pt x="702564" y="827532"/>
              </a:lnTo>
              <a:close/>
            </a:path>
            <a:path w="702945" h="3310254">
              <a:moveTo>
                <a:pt x="702564" y="620268"/>
              </a:moveTo>
              <a:lnTo>
                <a:pt x="0" y="620268"/>
              </a:lnTo>
              <a:lnTo>
                <a:pt x="0" y="824484"/>
              </a:lnTo>
              <a:lnTo>
                <a:pt x="702564" y="824484"/>
              </a:lnTo>
              <a:lnTo>
                <a:pt x="702564" y="620268"/>
              </a:lnTo>
              <a:close/>
            </a:path>
            <a:path w="702945" h="3310254">
              <a:moveTo>
                <a:pt x="702564" y="414528"/>
              </a:moveTo>
              <a:lnTo>
                <a:pt x="0" y="414528"/>
              </a:lnTo>
              <a:lnTo>
                <a:pt x="0" y="617220"/>
              </a:lnTo>
              <a:lnTo>
                <a:pt x="702564" y="617220"/>
              </a:lnTo>
              <a:lnTo>
                <a:pt x="702564" y="414528"/>
              </a:lnTo>
              <a:close/>
            </a:path>
            <a:path w="702945" h="3310254">
              <a:moveTo>
                <a:pt x="702564" y="207264"/>
              </a:moveTo>
              <a:lnTo>
                <a:pt x="0" y="207264"/>
              </a:lnTo>
              <a:lnTo>
                <a:pt x="0" y="411480"/>
              </a:lnTo>
              <a:lnTo>
                <a:pt x="702564" y="411480"/>
              </a:lnTo>
              <a:lnTo>
                <a:pt x="702564" y="207264"/>
              </a:lnTo>
              <a:close/>
            </a:path>
            <a:path w="702945" h="3310254">
              <a:moveTo>
                <a:pt x="702564" y="0"/>
              </a:moveTo>
              <a:lnTo>
                <a:pt x="0" y="0"/>
              </a:lnTo>
              <a:lnTo>
                <a:pt x="0" y="204216"/>
              </a:lnTo>
              <a:lnTo>
                <a:pt x="702564" y="204216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541909</xdr:colOff>
      <xdr:row>19</xdr:row>
      <xdr:rowOff>0</xdr:rowOff>
    </xdr:from>
    <xdr:ext cx="3313429" cy="375285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235457</xdr:colOff>
      <xdr:row>3</xdr:row>
      <xdr:rowOff>762</xdr:rowOff>
    </xdr:from>
    <xdr:ext cx="381000" cy="381000"/>
    <xdr:pic>
      <xdr:nvPicPr>
        <xdr:cNvPr id="59" name="image1.jpeg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330696</xdr:colOff>
      <xdr:row>3</xdr:row>
      <xdr:rowOff>49142</xdr:rowOff>
    </xdr:from>
    <xdr:ext cx="193523" cy="290285"/>
    <xdr:pic>
      <xdr:nvPicPr>
        <xdr:cNvPr id="60" name="image2.jpeg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7</xdr:col>
      <xdr:colOff>235458</xdr:colOff>
      <xdr:row>3</xdr:row>
      <xdr:rowOff>49142</xdr:rowOff>
    </xdr:from>
    <xdr:ext cx="381000" cy="290285"/>
    <xdr:pic>
      <xdr:nvPicPr>
        <xdr:cNvPr id="61" name="image3.jpeg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49142</xdr:rowOff>
    </xdr:from>
    <xdr:ext cx="381000" cy="290285"/>
    <xdr:pic>
      <xdr:nvPicPr>
        <xdr:cNvPr id="62" name="image4.jpeg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198754</xdr:colOff>
      <xdr:row>20</xdr:row>
      <xdr:rowOff>0</xdr:rowOff>
    </xdr:from>
    <xdr:ext cx="7315200" cy="3522345"/>
    <xdr:grpSp>
      <xdr:nvGrpSpPr>
        <xdr:cNvPr id="63" name="Group 63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GrpSpPr/>
      </xdr:nvGrpSpPr>
      <xdr:grpSpPr>
        <a:xfrm>
          <a:off x="610234" y="5379720"/>
          <a:ext cx="7315200" cy="3522345"/>
          <a:chOff x="0" y="0"/>
          <a:chExt cx="7315200" cy="3522345"/>
        </a:xfrm>
      </xdr:grpSpPr>
      <xdr:sp macro="" textlink="">
        <xdr:nvSpPr>
          <xdr:cNvPr id="64" name="Shape 64">
            <a:extLst>
              <a:ext uri="{FF2B5EF4-FFF2-40B4-BE49-F238E27FC236}">
                <a16:creationId xmlns:a16="http://schemas.microsoft.com/office/drawing/2014/main" id="{00000000-0008-0000-0600-000040000000}"/>
              </a:ext>
            </a:extLst>
          </xdr:cNvPr>
          <xdr:cNvSpPr/>
        </xdr:nvSpPr>
        <xdr:spPr>
          <a:xfrm>
            <a:off x="0" y="0"/>
            <a:ext cx="7315200" cy="2275840"/>
          </a:xfrm>
          <a:custGeom>
            <a:avLst/>
            <a:gdLst/>
            <a:ahLst/>
            <a:cxnLst/>
            <a:rect l="0" t="0" r="0" b="0"/>
            <a:pathLst>
              <a:path w="7315200" h="2275840">
                <a:moveTo>
                  <a:pt x="339852" y="1863852"/>
                </a:moveTo>
                <a:lnTo>
                  <a:pt x="0" y="1863852"/>
                </a:lnTo>
                <a:lnTo>
                  <a:pt x="0" y="2275332"/>
                </a:lnTo>
                <a:lnTo>
                  <a:pt x="339852" y="2275332"/>
                </a:lnTo>
                <a:lnTo>
                  <a:pt x="339852" y="1863852"/>
                </a:lnTo>
                <a:close/>
              </a:path>
              <a:path w="7315200" h="2275840">
                <a:moveTo>
                  <a:pt x="339852" y="1449324"/>
                </a:moveTo>
                <a:lnTo>
                  <a:pt x="0" y="1449324"/>
                </a:lnTo>
                <a:lnTo>
                  <a:pt x="0" y="1860804"/>
                </a:lnTo>
                <a:lnTo>
                  <a:pt x="339852" y="1860804"/>
                </a:lnTo>
                <a:lnTo>
                  <a:pt x="339852" y="1449324"/>
                </a:lnTo>
                <a:close/>
              </a:path>
              <a:path w="7315200" h="2275840">
                <a:moveTo>
                  <a:pt x="339852" y="0"/>
                </a:moveTo>
                <a:lnTo>
                  <a:pt x="0" y="0"/>
                </a:lnTo>
                <a:lnTo>
                  <a:pt x="0" y="1446276"/>
                </a:lnTo>
                <a:lnTo>
                  <a:pt x="339852" y="1446276"/>
                </a:lnTo>
                <a:lnTo>
                  <a:pt x="339852" y="0"/>
                </a:lnTo>
                <a:close/>
              </a:path>
              <a:path w="7315200" h="2275840">
                <a:moveTo>
                  <a:pt x="1376172" y="1863852"/>
                </a:moveTo>
                <a:lnTo>
                  <a:pt x="342900" y="1863852"/>
                </a:lnTo>
                <a:lnTo>
                  <a:pt x="342900" y="2275332"/>
                </a:lnTo>
                <a:lnTo>
                  <a:pt x="1376172" y="2275332"/>
                </a:lnTo>
                <a:lnTo>
                  <a:pt x="1376172" y="1863852"/>
                </a:lnTo>
                <a:close/>
              </a:path>
              <a:path w="7315200" h="2275840">
                <a:moveTo>
                  <a:pt x="1376172" y="1449324"/>
                </a:moveTo>
                <a:lnTo>
                  <a:pt x="342900" y="1449324"/>
                </a:lnTo>
                <a:lnTo>
                  <a:pt x="342900" y="1860804"/>
                </a:lnTo>
                <a:lnTo>
                  <a:pt x="1376172" y="1860804"/>
                </a:lnTo>
                <a:lnTo>
                  <a:pt x="1376172" y="1449324"/>
                </a:lnTo>
                <a:close/>
              </a:path>
              <a:path w="7315200" h="2275840">
                <a:moveTo>
                  <a:pt x="1376172" y="0"/>
                </a:moveTo>
                <a:lnTo>
                  <a:pt x="342900" y="0"/>
                </a:lnTo>
                <a:lnTo>
                  <a:pt x="342900" y="1446276"/>
                </a:lnTo>
                <a:lnTo>
                  <a:pt x="1376172" y="1446276"/>
                </a:lnTo>
                <a:lnTo>
                  <a:pt x="1376172" y="0"/>
                </a:lnTo>
                <a:close/>
              </a:path>
              <a:path w="7315200" h="2275840">
                <a:moveTo>
                  <a:pt x="2753868" y="1863852"/>
                </a:moveTo>
                <a:lnTo>
                  <a:pt x="1379220" y="1863852"/>
                </a:lnTo>
                <a:lnTo>
                  <a:pt x="1379220" y="2275332"/>
                </a:lnTo>
                <a:lnTo>
                  <a:pt x="2753868" y="2275332"/>
                </a:lnTo>
                <a:lnTo>
                  <a:pt x="2753868" y="1863852"/>
                </a:lnTo>
                <a:close/>
              </a:path>
              <a:path w="7315200" h="2275840">
                <a:moveTo>
                  <a:pt x="2753868" y="1449324"/>
                </a:moveTo>
                <a:lnTo>
                  <a:pt x="1379220" y="1449324"/>
                </a:lnTo>
                <a:lnTo>
                  <a:pt x="1379220" y="1860804"/>
                </a:lnTo>
                <a:lnTo>
                  <a:pt x="2753868" y="1860804"/>
                </a:lnTo>
                <a:lnTo>
                  <a:pt x="2753868" y="1449324"/>
                </a:lnTo>
                <a:close/>
              </a:path>
              <a:path w="7315200" h="2275840">
                <a:moveTo>
                  <a:pt x="2753868" y="0"/>
                </a:moveTo>
                <a:lnTo>
                  <a:pt x="1379220" y="0"/>
                </a:lnTo>
                <a:lnTo>
                  <a:pt x="1379220" y="1446276"/>
                </a:lnTo>
                <a:lnTo>
                  <a:pt x="2753868" y="1446276"/>
                </a:lnTo>
                <a:lnTo>
                  <a:pt x="2753868" y="0"/>
                </a:lnTo>
                <a:close/>
              </a:path>
              <a:path w="7315200" h="2275840">
                <a:moveTo>
                  <a:pt x="3304032" y="2071116"/>
                </a:moveTo>
                <a:lnTo>
                  <a:pt x="2756916" y="2071116"/>
                </a:lnTo>
                <a:lnTo>
                  <a:pt x="2756916" y="2275332"/>
                </a:lnTo>
                <a:lnTo>
                  <a:pt x="3304032" y="2275332"/>
                </a:lnTo>
                <a:lnTo>
                  <a:pt x="3304032" y="2071116"/>
                </a:lnTo>
                <a:close/>
              </a:path>
              <a:path w="7315200" h="2275840">
                <a:moveTo>
                  <a:pt x="3304032" y="1863852"/>
                </a:moveTo>
                <a:lnTo>
                  <a:pt x="2756916" y="1863852"/>
                </a:lnTo>
                <a:lnTo>
                  <a:pt x="2756916" y="2068068"/>
                </a:lnTo>
                <a:lnTo>
                  <a:pt x="3304032" y="2068068"/>
                </a:lnTo>
                <a:lnTo>
                  <a:pt x="3304032" y="1863852"/>
                </a:lnTo>
                <a:close/>
              </a:path>
              <a:path w="7315200" h="2275840">
                <a:moveTo>
                  <a:pt x="3304032" y="1656588"/>
                </a:moveTo>
                <a:lnTo>
                  <a:pt x="2756916" y="1656588"/>
                </a:lnTo>
                <a:lnTo>
                  <a:pt x="2756916" y="1860804"/>
                </a:lnTo>
                <a:lnTo>
                  <a:pt x="3304032" y="1860804"/>
                </a:lnTo>
                <a:lnTo>
                  <a:pt x="3304032" y="1656588"/>
                </a:lnTo>
                <a:close/>
              </a:path>
              <a:path w="7315200" h="2275840">
                <a:moveTo>
                  <a:pt x="3304032" y="1449324"/>
                </a:moveTo>
                <a:lnTo>
                  <a:pt x="2756916" y="1449324"/>
                </a:lnTo>
                <a:lnTo>
                  <a:pt x="2756916" y="1653540"/>
                </a:lnTo>
                <a:lnTo>
                  <a:pt x="3304032" y="1653540"/>
                </a:lnTo>
                <a:lnTo>
                  <a:pt x="3304032" y="1449324"/>
                </a:lnTo>
                <a:close/>
              </a:path>
              <a:path w="7315200" h="2275840">
                <a:moveTo>
                  <a:pt x="3304032" y="1242060"/>
                </a:moveTo>
                <a:lnTo>
                  <a:pt x="2756916" y="1242060"/>
                </a:lnTo>
                <a:lnTo>
                  <a:pt x="2756916" y="1446276"/>
                </a:lnTo>
                <a:lnTo>
                  <a:pt x="3304032" y="1446276"/>
                </a:lnTo>
                <a:lnTo>
                  <a:pt x="3304032" y="1242060"/>
                </a:lnTo>
                <a:close/>
              </a:path>
              <a:path w="7315200" h="2275840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2275840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2275840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2275840">
                <a:moveTo>
                  <a:pt x="3304032" y="414528"/>
                </a:moveTo>
                <a:lnTo>
                  <a:pt x="2756916" y="414528"/>
                </a:lnTo>
                <a:lnTo>
                  <a:pt x="2756916" y="617220"/>
                </a:lnTo>
                <a:lnTo>
                  <a:pt x="3304032" y="617220"/>
                </a:lnTo>
                <a:lnTo>
                  <a:pt x="3304032" y="414528"/>
                </a:lnTo>
                <a:close/>
              </a:path>
              <a:path w="7315200" h="2275840">
                <a:moveTo>
                  <a:pt x="3304032" y="207264"/>
                </a:moveTo>
                <a:lnTo>
                  <a:pt x="2756916" y="207264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207264"/>
                </a:lnTo>
                <a:close/>
              </a:path>
              <a:path w="7315200" h="2275840">
                <a:moveTo>
                  <a:pt x="3304032" y="0"/>
                </a:moveTo>
                <a:lnTo>
                  <a:pt x="2756916" y="0"/>
                </a:lnTo>
                <a:lnTo>
                  <a:pt x="2756916" y="204216"/>
                </a:lnTo>
                <a:lnTo>
                  <a:pt x="3304032" y="204216"/>
                </a:lnTo>
                <a:lnTo>
                  <a:pt x="3304032" y="0"/>
                </a:lnTo>
                <a:close/>
              </a:path>
              <a:path w="7315200" h="2275840">
                <a:moveTo>
                  <a:pt x="3998976" y="2071116"/>
                </a:moveTo>
                <a:lnTo>
                  <a:pt x="3307080" y="2071116"/>
                </a:lnTo>
                <a:lnTo>
                  <a:pt x="3307080" y="2275332"/>
                </a:lnTo>
                <a:lnTo>
                  <a:pt x="3998976" y="2275332"/>
                </a:lnTo>
                <a:lnTo>
                  <a:pt x="3998976" y="2071116"/>
                </a:lnTo>
                <a:close/>
              </a:path>
              <a:path w="7315200" h="2275840">
                <a:moveTo>
                  <a:pt x="3998976" y="1863852"/>
                </a:moveTo>
                <a:lnTo>
                  <a:pt x="3307080" y="1863852"/>
                </a:lnTo>
                <a:lnTo>
                  <a:pt x="3307080" y="2068068"/>
                </a:lnTo>
                <a:lnTo>
                  <a:pt x="3998976" y="2068068"/>
                </a:lnTo>
                <a:lnTo>
                  <a:pt x="3998976" y="1863852"/>
                </a:lnTo>
                <a:close/>
              </a:path>
              <a:path w="7315200" h="2275840">
                <a:moveTo>
                  <a:pt x="3998976" y="1656588"/>
                </a:moveTo>
                <a:lnTo>
                  <a:pt x="3307080" y="1656588"/>
                </a:lnTo>
                <a:lnTo>
                  <a:pt x="3307080" y="1860804"/>
                </a:lnTo>
                <a:lnTo>
                  <a:pt x="3998976" y="1860804"/>
                </a:lnTo>
                <a:lnTo>
                  <a:pt x="3998976" y="1656588"/>
                </a:lnTo>
                <a:close/>
              </a:path>
              <a:path w="7315200" h="2275840">
                <a:moveTo>
                  <a:pt x="3998976" y="1449324"/>
                </a:moveTo>
                <a:lnTo>
                  <a:pt x="3307080" y="1449324"/>
                </a:lnTo>
                <a:lnTo>
                  <a:pt x="3307080" y="1653540"/>
                </a:lnTo>
                <a:lnTo>
                  <a:pt x="3998976" y="1653540"/>
                </a:lnTo>
                <a:lnTo>
                  <a:pt x="3998976" y="1449324"/>
                </a:lnTo>
                <a:close/>
              </a:path>
              <a:path w="7315200" h="2275840">
                <a:moveTo>
                  <a:pt x="3998976" y="1242060"/>
                </a:moveTo>
                <a:lnTo>
                  <a:pt x="3307080" y="1242060"/>
                </a:lnTo>
                <a:lnTo>
                  <a:pt x="3307080" y="1446276"/>
                </a:lnTo>
                <a:lnTo>
                  <a:pt x="3998976" y="1446276"/>
                </a:lnTo>
                <a:lnTo>
                  <a:pt x="3998976" y="1242060"/>
                </a:lnTo>
                <a:close/>
              </a:path>
              <a:path w="7315200" h="2275840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2275840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2275840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2275840">
                <a:moveTo>
                  <a:pt x="3998976" y="414528"/>
                </a:moveTo>
                <a:lnTo>
                  <a:pt x="3307080" y="414528"/>
                </a:lnTo>
                <a:lnTo>
                  <a:pt x="3307080" y="617220"/>
                </a:lnTo>
                <a:lnTo>
                  <a:pt x="3998976" y="617220"/>
                </a:lnTo>
                <a:lnTo>
                  <a:pt x="3998976" y="414528"/>
                </a:lnTo>
                <a:close/>
              </a:path>
              <a:path w="7315200" h="2275840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2275840">
                <a:moveTo>
                  <a:pt x="3998976" y="0"/>
                </a:moveTo>
                <a:lnTo>
                  <a:pt x="3307080" y="0"/>
                </a:lnTo>
                <a:lnTo>
                  <a:pt x="3307080" y="204216"/>
                </a:lnTo>
                <a:lnTo>
                  <a:pt x="3998976" y="204216"/>
                </a:lnTo>
                <a:lnTo>
                  <a:pt x="3998976" y="0"/>
                </a:lnTo>
                <a:close/>
              </a:path>
              <a:path w="7315200" h="2275840">
                <a:moveTo>
                  <a:pt x="4828032" y="1863852"/>
                </a:moveTo>
                <a:lnTo>
                  <a:pt x="4002024" y="1863852"/>
                </a:lnTo>
                <a:lnTo>
                  <a:pt x="4002024" y="2068068"/>
                </a:lnTo>
                <a:lnTo>
                  <a:pt x="4828032" y="2068068"/>
                </a:lnTo>
                <a:lnTo>
                  <a:pt x="4828032" y="1863852"/>
                </a:lnTo>
                <a:close/>
              </a:path>
              <a:path w="7315200" h="2275840">
                <a:moveTo>
                  <a:pt x="4828032" y="1656588"/>
                </a:moveTo>
                <a:lnTo>
                  <a:pt x="4002024" y="1656588"/>
                </a:lnTo>
                <a:lnTo>
                  <a:pt x="4002024" y="1860804"/>
                </a:lnTo>
                <a:lnTo>
                  <a:pt x="4828032" y="1860804"/>
                </a:lnTo>
                <a:lnTo>
                  <a:pt x="4828032" y="1656588"/>
                </a:lnTo>
                <a:close/>
              </a:path>
              <a:path w="7315200" h="2275840">
                <a:moveTo>
                  <a:pt x="4828032" y="1449324"/>
                </a:moveTo>
                <a:lnTo>
                  <a:pt x="4002024" y="1449324"/>
                </a:lnTo>
                <a:lnTo>
                  <a:pt x="4002024" y="1653540"/>
                </a:lnTo>
                <a:lnTo>
                  <a:pt x="4828032" y="1653540"/>
                </a:lnTo>
                <a:lnTo>
                  <a:pt x="4828032" y="1449324"/>
                </a:lnTo>
                <a:close/>
              </a:path>
              <a:path w="7315200" h="2275840">
                <a:moveTo>
                  <a:pt x="4828032" y="1242060"/>
                </a:moveTo>
                <a:lnTo>
                  <a:pt x="4002024" y="1242060"/>
                </a:lnTo>
                <a:lnTo>
                  <a:pt x="4002024" y="1446276"/>
                </a:lnTo>
                <a:lnTo>
                  <a:pt x="4828032" y="1446276"/>
                </a:lnTo>
                <a:lnTo>
                  <a:pt x="4828032" y="1242060"/>
                </a:lnTo>
                <a:close/>
              </a:path>
              <a:path w="7315200" h="2275840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2275840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2275840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2275840">
                <a:moveTo>
                  <a:pt x="4828032" y="414528"/>
                </a:moveTo>
                <a:lnTo>
                  <a:pt x="4002024" y="414528"/>
                </a:lnTo>
                <a:lnTo>
                  <a:pt x="4002024" y="617220"/>
                </a:lnTo>
                <a:lnTo>
                  <a:pt x="4828032" y="617220"/>
                </a:lnTo>
                <a:lnTo>
                  <a:pt x="4828032" y="414528"/>
                </a:lnTo>
                <a:close/>
              </a:path>
              <a:path w="7315200" h="2275840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2275840">
                <a:moveTo>
                  <a:pt x="4828032" y="0"/>
                </a:moveTo>
                <a:lnTo>
                  <a:pt x="4002024" y="0"/>
                </a:lnTo>
                <a:lnTo>
                  <a:pt x="4002024" y="204216"/>
                </a:lnTo>
                <a:lnTo>
                  <a:pt x="4828032" y="204216"/>
                </a:lnTo>
                <a:lnTo>
                  <a:pt x="4828032" y="0"/>
                </a:lnTo>
                <a:close/>
              </a:path>
              <a:path w="7315200" h="2275840">
                <a:moveTo>
                  <a:pt x="5657088" y="1863852"/>
                </a:moveTo>
                <a:lnTo>
                  <a:pt x="4831080" y="1863852"/>
                </a:lnTo>
                <a:lnTo>
                  <a:pt x="4831080" y="2068068"/>
                </a:lnTo>
                <a:lnTo>
                  <a:pt x="5657088" y="2068068"/>
                </a:lnTo>
                <a:lnTo>
                  <a:pt x="5657088" y="1863852"/>
                </a:lnTo>
                <a:close/>
              </a:path>
              <a:path w="7315200" h="2275840">
                <a:moveTo>
                  <a:pt x="5657088" y="1656588"/>
                </a:moveTo>
                <a:lnTo>
                  <a:pt x="4831080" y="1656588"/>
                </a:lnTo>
                <a:lnTo>
                  <a:pt x="4831080" y="1860804"/>
                </a:lnTo>
                <a:lnTo>
                  <a:pt x="5657088" y="1860804"/>
                </a:lnTo>
                <a:lnTo>
                  <a:pt x="5657088" y="1656588"/>
                </a:lnTo>
                <a:close/>
              </a:path>
              <a:path w="7315200" h="2275840">
                <a:moveTo>
                  <a:pt x="5657088" y="1449324"/>
                </a:moveTo>
                <a:lnTo>
                  <a:pt x="4831080" y="1449324"/>
                </a:lnTo>
                <a:lnTo>
                  <a:pt x="4831080" y="1653540"/>
                </a:lnTo>
                <a:lnTo>
                  <a:pt x="5657088" y="1653540"/>
                </a:lnTo>
                <a:lnTo>
                  <a:pt x="5657088" y="1449324"/>
                </a:lnTo>
                <a:close/>
              </a:path>
              <a:path w="7315200" h="2275840">
                <a:moveTo>
                  <a:pt x="5657088" y="1242060"/>
                </a:moveTo>
                <a:lnTo>
                  <a:pt x="4831080" y="1242060"/>
                </a:lnTo>
                <a:lnTo>
                  <a:pt x="4831080" y="1446276"/>
                </a:lnTo>
                <a:lnTo>
                  <a:pt x="5657088" y="1446276"/>
                </a:lnTo>
                <a:lnTo>
                  <a:pt x="5657088" y="1242060"/>
                </a:lnTo>
                <a:close/>
              </a:path>
              <a:path w="7315200" h="2275840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2275840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2275840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2275840">
                <a:moveTo>
                  <a:pt x="5657088" y="414528"/>
                </a:moveTo>
                <a:lnTo>
                  <a:pt x="4831080" y="414528"/>
                </a:lnTo>
                <a:lnTo>
                  <a:pt x="4831080" y="617220"/>
                </a:lnTo>
                <a:lnTo>
                  <a:pt x="5657088" y="617220"/>
                </a:lnTo>
                <a:lnTo>
                  <a:pt x="5657088" y="414528"/>
                </a:lnTo>
                <a:close/>
              </a:path>
              <a:path w="7315200" h="2275840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2275840">
                <a:moveTo>
                  <a:pt x="5657088" y="0"/>
                </a:moveTo>
                <a:lnTo>
                  <a:pt x="4831080" y="0"/>
                </a:lnTo>
                <a:lnTo>
                  <a:pt x="4831080" y="204216"/>
                </a:lnTo>
                <a:lnTo>
                  <a:pt x="5657088" y="204216"/>
                </a:lnTo>
                <a:lnTo>
                  <a:pt x="5657088" y="0"/>
                </a:lnTo>
                <a:close/>
              </a:path>
              <a:path w="7315200" h="2275840">
                <a:moveTo>
                  <a:pt x="6486144" y="1863852"/>
                </a:moveTo>
                <a:lnTo>
                  <a:pt x="5660136" y="1863852"/>
                </a:lnTo>
                <a:lnTo>
                  <a:pt x="5660136" y="2068068"/>
                </a:lnTo>
                <a:lnTo>
                  <a:pt x="6486144" y="2068068"/>
                </a:lnTo>
                <a:lnTo>
                  <a:pt x="6486144" y="1863852"/>
                </a:lnTo>
                <a:close/>
              </a:path>
              <a:path w="7315200" h="2275840">
                <a:moveTo>
                  <a:pt x="6486144" y="1656588"/>
                </a:moveTo>
                <a:lnTo>
                  <a:pt x="5660136" y="1656588"/>
                </a:lnTo>
                <a:lnTo>
                  <a:pt x="5660136" y="1860804"/>
                </a:lnTo>
                <a:lnTo>
                  <a:pt x="6486144" y="1860804"/>
                </a:lnTo>
                <a:lnTo>
                  <a:pt x="6486144" y="1656588"/>
                </a:lnTo>
                <a:close/>
              </a:path>
              <a:path w="7315200" h="2275840">
                <a:moveTo>
                  <a:pt x="6486144" y="1449324"/>
                </a:moveTo>
                <a:lnTo>
                  <a:pt x="5660136" y="1449324"/>
                </a:lnTo>
                <a:lnTo>
                  <a:pt x="5660136" y="1653540"/>
                </a:lnTo>
                <a:lnTo>
                  <a:pt x="6486144" y="1653540"/>
                </a:lnTo>
                <a:lnTo>
                  <a:pt x="6486144" y="1449324"/>
                </a:lnTo>
                <a:close/>
              </a:path>
              <a:path w="7315200" h="2275840">
                <a:moveTo>
                  <a:pt x="6486144" y="1242060"/>
                </a:moveTo>
                <a:lnTo>
                  <a:pt x="5660136" y="1242060"/>
                </a:lnTo>
                <a:lnTo>
                  <a:pt x="5660136" y="1446276"/>
                </a:lnTo>
                <a:lnTo>
                  <a:pt x="6486144" y="1446276"/>
                </a:lnTo>
                <a:lnTo>
                  <a:pt x="6486144" y="1242060"/>
                </a:lnTo>
                <a:close/>
              </a:path>
              <a:path w="7315200" h="2275840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2275840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2275840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2275840">
                <a:moveTo>
                  <a:pt x="6486144" y="414528"/>
                </a:moveTo>
                <a:lnTo>
                  <a:pt x="5660136" y="414528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4528"/>
                </a:lnTo>
                <a:close/>
              </a:path>
              <a:path w="7315200" h="2275840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2275840">
                <a:moveTo>
                  <a:pt x="6486144" y="0"/>
                </a:moveTo>
                <a:lnTo>
                  <a:pt x="5660136" y="0"/>
                </a:lnTo>
                <a:lnTo>
                  <a:pt x="5660136" y="204216"/>
                </a:lnTo>
                <a:lnTo>
                  <a:pt x="6486144" y="204216"/>
                </a:lnTo>
                <a:lnTo>
                  <a:pt x="6486144" y="0"/>
                </a:lnTo>
                <a:close/>
              </a:path>
              <a:path w="7315200" h="2275840">
                <a:moveTo>
                  <a:pt x="7315200" y="1863852"/>
                </a:moveTo>
                <a:lnTo>
                  <a:pt x="6489192" y="1863852"/>
                </a:lnTo>
                <a:lnTo>
                  <a:pt x="6489192" y="2068068"/>
                </a:lnTo>
                <a:lnTo>
                  <a:pt x="7315200" y="2068068"/>
                </a:lnTo>
                <a:lnTo>
                  <a:pt x="7315200" y="1863852"/>
                </a:lnTo>
                <a:close/>
              </a:path>
              <a:path w="7315200" h="2275840">
                <a:moveTo>
                  <a:pt x="7315200" y="1656588"/>
                </a:moveTo>
                <a:lnTo>
                  <a:pt x="6489192" y="1656588"/>
                </a:lnTo>
                <a:lnTo>
                  <a:pt x="6489192" y="1860804"/>
                </a:lnTo>
                <a:lnTo>
                  <a:pt x="7315200" y="1860804"/>
                </a:lnTo>
                <a:lnTo>
                  <a:pt x="7315200" y="1656588"/>
                </a:lnTo>
                <a:close/>
              </a:path>
              <a:path w="7315200" h="2275840">
                <a:moveTo>
                  <a:pt x="7315200" y="1449324"/>
                </a:moveTo>
                <a:lnTo>
                  <a:pt x="6489192" y="1449324"/>
                </a:lnTo>
                <a:lnTo>
                  <a:pt x="6489192" y="1653540"/>
                </a:lnTo>
                <a:lnTo>
                  <a:pt x="7315200" y="1653540"/>
                </a:lnTo>
                <a:lnTo>
                  <a:pt x="7315200" y="1449324"/>
                </a:lnTo>
                <a:close/>
              </a:path>
              <a:path w="7315200" h="2275840">
                <a:moveTo>
                  <a:pt x="7315200" y="1242060"/>
                </a:moveTo>
                <a:lnTo>
                  <a:pt x="6489192" y="1242060"/>
                </a:lnTo>
                <a:lnTo>
                  <a:pt x="6489192" y="1446276"/>
                </a:lnTo>
                <a:lnTo>
                  <a:pt x="7315200" y="1446276"/>
                </a:lnTo>
                <a:lnTo>
                  <a:pt x="7315200" y="1242060"/>
                </a:lnTo>
                <a:close/>
              </a:path>
              <a:path w="7315200" h="2275840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2275840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2275840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2275840">
                <a:moveTo>
                  <a:pt x="7315200" y="414528"/>
                </a:moveTo>
                <a:lnTo>
                  <a:pt x="6489192" y="414528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4528"/>
                </a:lnTo>
                <a:close/>
              </a:path>
              <a:path w="7315200" h="2275840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  <a:path w="7315200" h="2275840">
                <a:moveTo>
                  <a:pt x="7315200" y="0"/>
                </a:moveTo>
                <a:lnTo>
                  <a:pt x="6489192" y="0"/>
                </a:lnTo>
                <a:lnTo>
                  <a:pt x="6489192" y="204216"/>
                </a:lnTo>
                <a:lnTo>
                  <a:pt x="7315200" y="204216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65" name="Shape 65">
            <a:extLst>
              <a:ext uri="{FF2B5EF4-FFF2-40B4-BE49-F238E27FC236}">
                <a16:creationId xmlns:a16="http://schemas.microsoft.com/office/drawing/2014/main" id="{00000000-0008-0000-0600-000041000000}"/>
              </a:ext>
            </a:extLst>
          </xdr:cNvPr>
          <xdr:cNvSpPr/>
        </xdr:nvSpPr>
        <xdr:spPr>
          <a:xfrm>
            <a:off x="0" y="2071115"/>
            <a:ext cx="7315200" cy="1450975"/>
          </a:xfrm>
          <a:custGeom>
            <a:avLst/>
            <a:gdLst/>
            <a:ahLst/>
            <a:cxnLst/>
            <a:rect l="0" t="0" r="0" b="0"/>
            <a:pathLst>
              <a:path w="7315200" h="1450975">
                <a:moveTo>
                  <a:pt x="339852" y="1037844"/>
                </a:moveTo>
                <a:lnTo>
                  <a:pt x="0" y="1037844"/>
                </a:lnTo>
                <a:lnTo>
                  <a:pt x="0" y="1450848"/>
                </a:lnTo>
                <a:lnTo>
                  <a:pt x="339852" y="1450848"/>
                </a:lnTo>
                <a:lnTo>
                  <a:pt x="339852" y="1037844"/>
                </a:lnTo>
                <a:close/>
              </a:path>
              <a:path w="7315200" h="1450975">
                <a:moveTo>
                  <a:pt x="339852" y="623316"/>
                </a:moveTo>
                <a:lnTo>
                  <a:pt x="0" y="623316"/>
                </a:lnTo>
                <a:lnTo>
                  <a:pt x="0" y="1034796"/>
                </a:lnTo>
                <a:lnTo>
                  <a:pt x="339852" y="1034796"/>
                </a:lnTo>
                <a:lnTo>
                  <a:pt x="339852" y="623316"/>
                </a:lnTo>
                <a:close/>
              </a:path>
              <a:path w="7315200" h="1450975">
                <a:moveTo>
                  <a:pt x="339852" y="207264"/>
                </a:moveTo>
                <a:lnTo>
                  <a:pt x="0" y="207264"/>
                </a:lnTo>
                <a:lnTo>
                  <a:pt x="0" y="620268"/>
                </a:lnTo>
                <a:lnTo>
                  <a:pt x="339852" y="620268"/>
                </a:lnTo>
                <a:lnTo>
                  <a:pt x="339852" y="207264"/>
                </a:lnTo>
                <a:close/>
              </a:path>
              <a:path w="7315200" h="1450975">
                <a:moveTo>
                  <a:pt x="1376172" y="1037844"/>
                </a:moveTo>
                <a:lnTo>
                  <a:pt x="342900" y="1037844"/>
                </a:lnTo>
                <a:lnTo>
                  <a:pt x="342900" y="1450848"/>
                </a:lnTo>
                <a:lnTo>
                  <a:pt x="1376172" y="1450848"/>
                </a:lnTo>
                <a:lnTo>
                  <a:pt x="1376172" y="1037844"/>
                </a:lnTo>
                <a:close/>
              </a:path>
              <a:path w="7315200" h="1450975">
                <a:moveTo>
                  <a:pt x="1376172" y="623316"/>
                </a:moveTo>
                <a:lnTo>
                  <a:pt x="342900" y="623316"/>
                </a:lnTo>
                <a:lnTo>
                  <a:pt x="342900" y="1034796"/>
                </a:lnTo>
                <a:lnTo>
                  <a:pt x="1376172" y="1034796"/>
                </a:lnTo>
                <a:lnTo>
                  <a:pt x="1376172" y="623316"/>
                </a:lnTo>
                <a:close/>
              </a:path>
              <a:path w="7315200" h="1450975">
                <a:moveTo>
                  <a:pt x="1376172" y="207264"/>
                </a:moveTo>
                <a:lnTo>
                  <a:pt x="342900" y="207264"/>
                </a:lnTo>
                <a:lnTo>
                  <a:pt x="342900" y="620268"/>
                </a:lnTo>
                <a:lnTo>
                  <a:pt x="1376172" y="620268"/>
                </a:lnTo>
                <a:lnTo>
                  <a:pt x="1376172" y="207264"/>
                </a:lnTo>
                <a:close/>
              </a:path>
              <a:path w="7315200" h="1450975">
                <a:moveTo>
                  <a:pt x="2753868" y="1037844"/>
                </a:moveTo>
                <a:lnTo>
                  <a:pt x="1379220" y="1037844"/>
                </a:lnTo>
                <a:lnTo>
                  <a:pt x="1379220" y="1450848"/>
                </a:lnTo>
                <a:lnTo>
                  <a:pt x="2753868" y="1450848"/>
                </a:lnTo>
                <a:lnTo>
                  <a:pt x="2753868" y="1037844"/>
                </a:lnTo>
                <a:close/>
              </a:path>
              <a:path w="7315200" h="1450975">
                <a:moveTo>
                  <a:pt x="2753868" y="623316"/>
                </a:moveTo>
                <a:lnTo>
                  <a:pt x="1379220" y="623316"/>
                </a:lnTo>
                <a:lnTo>
                  <a:pt x="1379220" y="1034796"/>
                </a:lnTo>
                <a:lnTo>
                  <a:pt x="2753868" y="1034796"/>
                </a:lnTo>
                <a:lnTo>
                  <a:pt x="2753868" y="623316"/>
                </a:lnTo>
                <a:close/>
              </a:path>
              <a:path w="7315200" h="1450975">
                <a:moveTo>
                  <a:pt x="2753868" y="207264"/>
                </a:moveTo>
                <a:lnTo>
                  <a:pt x="1379220" y="207264"/>
                </a:lnTo>
                <a:lnTo>
                  <a:pt x="1379220" y="620268"/>
                </a:lnTo>
                <a:lnTo>
                  <a:pt x="2753868" y="620268"/>
                </a:lnTo>
                <a:lnTo>
                  <a:pt x="2753868" y="207264"/>
                </a:lnTo>
                <a:close/>
              </a:path>
              <a:path w="7315200" h="1450975">
                <a:moveTo>
                  <a:pt x="3304032" y="1037844"/>
                </a:moveTo>
                <a:lnTo>
                  <a:pt x="2756916" y="1037844"/>
                </a:lnTo>
                <a:lnTo>
                  <a:pt x="2756916" y="1450848"/>
                </a:lnTo>
                <a:lnTo>
                  <a:pt x="3304032" y="1450848"/>
                </a:lnTo>
                <a:lnTo>
                  <a:pt x="3304032" y="1037844"/>
                </a:lnTo>
                <a:close/>
              </a:path>
              <a:path w="7315200" h="1450975">
                <a:moveTo>
                  <a:pt x="3304032" y="623316"/>
                </a:moveTo>
                <a:lnTo>
                  <a:pt x="2756916" y="623316"/>
                </a:lnTo>
                <a:lnTo>
                  <a:pt x="2756916" y="1034796"/>
                </a:lnTo>
                <a:lnTo>
                  <a:pt x="3304032" y="1034796"/>
                </a:lnTo>
                <a:lnTo>
                  <a:pt x="3304032" y="623316"/>
                </a:lnTo>
                <a:close/>
              </a:path>
              <a:path w="7315200" h="1450975">
                <a:moveTo>
                  <a:pt x="3304032" y="414528"/>
                </a:moveTo>
                <a:lnTo>
                  <a:pt x="2756916" y="414528"/>
                </a:lnTo>
                <a:lnTo>
                  <a:pt x="2756916" y="620268"/>
                </a:lnTo>
                <a:lnTo>
                  <a:pt x="3304032" y="620268"/>
                </a:lnTo>
                <a:lnTo>
                  <a:pt x="3304032" y="414528"/>
                </a:lnTo>
                <a:close/>
              </a:path>
              <a:path w="7315200" h="1450975">
                <a:moveTo>
                  <a:pt x="3304032" y="207264"/>
                </a:moveTo>
                <a:lnTo>
                  <a:pt x="2756916" y="207264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207264"/>
                </a:lnTo>
                <a:close/>
              </a:path>
              <a:path w="7315200" h="1450975">
                <a:moveTo>
                  <a:pt x="3998976" y="1037844"/>
                </a:moveTo>
                <a:lnTo>
                  <a:pt x="3307080" y="1037844"/>
                </a:lnTo>
                <a:lnTo>
                  <a:pt x="3307080" y="1450848"/>
                </a:lnTo>
                <a:lnTo>
                  <a:pt x="3998976" y="1450848"/>
                </a:lnTo>
                <a:lnTo>
                  <a:pt x="3998976" y="1037844"/>
                </a:lnTo>
                <a:close/>
              </a:path>
              <a:path w="7315200" h="1450975">
                <a:moveTo>
                  <a:pt x="3998976" y="623316"/>
                </a:moveTo>
                <a:lnTo>
                  <a:pt x="3307080" y="623316"/>
                </a:lnTo>
                <a:lnTo>
                  <a:pt x="3307080" y="1034796"/>
                </a:lnTo>
                <a:lnTo>
                  <a:pt x="3998976" y="1034796"/>
                </a:lnTo>
                <a:lnTo>
                  <a:pt x="3998976" y="623316"/>
                </a:lnTo>
                <a:close/>
              </a:path>
              <a:path w="7315200" h="1450975">
                <a:moveTo>
                  <a:pt x="3998976" y="414528"/>
                </a:moveTo>
                <a:lnTo>
                  <a:pt x="3307080" y="414528"/>
                </a:lnTo>
                <a:lnTo>
                  <a:pt x="3307080" y="620268"/>
                </a:lnTo>
                <a:lnTo>
                  <a:pt x="3998976" y="620268"/>
                </a:lnTo>
                <a:lnTo>
                  <a:pt x="3998976" y="414528"/>
                </a:lnTo>
                <a:close/>
              </a:path>
              <a:path w="7315200" h="1450975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1450975">
                <a:moveTo>
                  <a:pt x="3998976" y="0"/>
                </a:moveTo>
                <a:lnTo>
                  <a:pt x="3307080" y="0"/>
                </a:lnTo>
                <a:lnTo>
                  <a:pt x="3307080" y="204216"/>
                </a:lnTo>
                <a:lnTo>
                  <a:pt x="3998976" y="204216"/>
                </a:lnTo>
                <a:lnTo>
                  <a:pt x="3998976" y="0"/>
                </a:lnTo>
                <a:close/>
              </a:path>
              <a:path w="7315200" h="1450975">
                <a:moveTo>
                  <a:pt x="4828032" y="1037844"/>
                </a:moveTo>
                <a:lnTo>
                  <a:pt x="4002024" y="1037844"/>
                </a:lnTo>
                <a:lnTo>
                  <a:pt x="4002024" y="1450848"/>
                </a:lnTo>
                <a:lnTo>
                  <a:pt x="4828032" y="1450848"/>
                </a:lnTo>
                <a:lnTo>
                  <a:pt x="4828032" y="1037844"/>
                </a:lnTo>
                <a:close/>
              </a:path>
              <a:path w="7315200" h="1450975">
                <a:moveTo>
                  <a:pt x="4828032" y="623316"/>
                </a:moveTo>
                <a:lnTo>
                  <a:pt x="4002024" y="623316"/>
                </a:lnTo>
                <a:lnTo>
                  <a:pt x="4002024" y="1034796"/>
                </a:lnTo>
                <a:lnTo>
                  <a:pt x="4828032" y="1034796"/>
                </a:lnTo>
                <a:lnTo>
                  <a:pt x="4828032" y="623316"/>
                </a:lnTo>
                <a:close/>
              </a:path>
              <a:path w="7315200" h="1450975">
                <a:moveTo>
                  <a:pt x="4828032" y="414528"/>
                </a:moveTo>
                <a:lnTo>
                  <a:pt x="4002024" y="414528"/>
                </a:lnTo>
                <a:lnTo>
                  <a:pt x="4002024" y="620268"/>
                </a:lnTo>
                <a:lnTo>
                  <a:pt x="4828032" y="620268"/>
                </a:lnTo>
                <a:lnTo>
                  <a:pt x="4828032" y="414528"/>
                </a:lnTo>
                <a:close/>
              </a:path>
              <a:path w="7315200" h="1450975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1450975">
                <a:moveTo>
                  <a:pt x="4828032" y="0"/>
                </a:moveTo>
                <a:lnTo>
                  <a:pt x="4002024" y="0"/>
                </a:lnTo>
                <a:lnTo>
                  <a:pt x="4002024" y="204216"/>
                </a:lnTo>
                <a:lnTo>
                  <a:pt x="4828032" y="204216"/>
                </a:lnTo>
                <a:lnTo>
                  <a:pt x="4828032" y="0"/>
                </a:lnTo>
                <a:close/>
              </a:path>
              <a:path w="7315200" h="1450975">
                <a:moveTo>
                  <a:pt x="5657088" y="1037844"/>
                </a:moveTo>
                <a:lnTo>
                  <a:pt x="4831080" y="1037844"/>
                </a:lnTo>
                <a:lnTo>
                  <a:pt x="4831080" y="1450848"/>
                </a:lnTo>
                <a:lnTo>
                  <a:pt x="5657088" y="1450848"/>
                </a:lnTo>
                <a:lnTo>
                  <a:pt x="5657088" y="1037844"/>
                </a:lnTo>
                <a:close/>
              </a:path>
              <a:path w="7315200" h="1450975">
                <a:moveTo>
                  <a:pt x="5657088" y="623316"/>
                </a:moveTo>
                <a:lnTo>
                  <a:pt x="4831080" y="623316"/>
                </a:lnTo>
                <a:lnTo>
                  <a:pt x="4831080" y="1034796"/>
                </a:lnTo>
                <a:lnTo>
                  <a:pt x="5657088" y="1034796"/>
                </a:lnTo>
                <a:lnTo>
                  <a:pt x="5657088" y="623316"/>
                </a:lnTo>
                <a:close/>
              </a:path>
              <a:path w="7315200" h="1450975">
                <a:moveTo>
                  <a:pt x="5657088" y="414528"/>
                </a:moveTo>
                <a:lnTo>
                  <a:pt x="4831080" y="414528"/>
                </a:lnTo>
                <a:lnTo>
                  <a:pt x="4831080" y="620268"/>
                </a:lnTo>
                <a:lnTo>
                  <a:pt x="5657088" y="620268"/>
                </a:lnTo>
                <a:lnTo>
                  <a:pt x="5657088" y="414528"/>
                </a:lnTo>
                <a:close/>
              </a:path>
              <a:path w="7315200" h="1450975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1450975">
                <a:moveTo>
                  <a:pt x="5657088" y="0"/>
                </a:moveTo>
                <a:lnTo>
                  <a:pt x="4831080" y="0"/>
                </a:lnTo>
                <a:lnTo>
                  <a:pt x="4831080" y="204216"/>
                </a:lnTo>
                <a:lnTo>
                  <a:pt x="5657088" y="204216"/>
                </a:lnTo>
                <a:lnTo>
                  <a:pt x="5657088" y="0"/>
                </a:lnTo>
                <a:close/>
              </a:path>
              <a:path w="7315200" h="1450975">
                <a:moveTo>
                  <a:pt x="6486144" y="1037844"/>
                </a:moveTo>
                <a:lnTo>
                  <a:pt x="5660136" y="1037844"/>
                </a:lnTo>
                <a:lnTo>
                  <a:pt x="5660136" y="1450848"/>
                </a:lnTo>
                <a:lnTo>
                  <a:pt x="6486144" y="1450848"/>
                </a:lnTo>
                <a:lnTo>
                  <a:pt x="6486144" y="1037844"/>
                </a:lnTo>
                <a:close/>
              </a:path>
              <a:path w="7315200" h="1450975">
                <a:moveTo>
                  <a:pt x="6486144" y="623316"/>
                </a:moveTo>
                <a:lnTo>
                  <a:pt x="5660136" y="623316"/>
                </a:lnTo>
                <a:lnTo>
                  <a:pt x="5660136" y="1034796"/>
                </a:lnTo>
                <a:lnTo>
                  <a:pt x="6486144" y="1034796"/>
                </a:lnTo>
                <a:lnTo>
                  <a:pt x="6486144" y="623316"/>
                </a:lnTo>
                <a:close/>
              </a:path>
              <a:path w="7315200" h="1450975">
                <a:moveTo>
                  <a:pt x="6486144" y="414528"/>
                </a:moveTo>
                <a:lnTo>
                  <a:pt x="5660136" y="414528"/>
                </a:lnTo>
                <a:lnTo>
                  <a:pt x="5660136" y="620268"/>
                </a:lnTo>
                <a:lnTo>
                  <a:pt x="6486144" y="620268"/>
                </a:lnTo>
                <a:lnTo>
                  <a:pt x="6486144" y="414528"/>
                </a:lnTo>
                <a:close/>
              </a:path>
              <a:path w="7315200" h="1450975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1450975">
                <a:moveTo>
                  <a:pt x="6486144" y="0"/>
                </a:moveTo>
                <a:lnTo>
                  <a:pt x="5660136" y="0"/>
                </a:lnTo>
                <a:lnTo>
                  <a:pt x="5660136" y="204216"/>
                </a:lnTo>
                <a:lnTo>
                  <a:pt x="6486144" y="204216"/>
                </a:lnTo>
                <a:lnTo>
                  <a:pt x="6486144" y="0"/>
                </a:lnTo>
                <a:close/>
              </a:path>
              <a:path w="7315200" h="1450975">
                <a:moveTo>
                  <a:pt x="7315200" y="1037844"/>
                </a:moveTo>
                <a:lnTo>
                  <a:pt x="6489192" y="1037844"/>
                </a:lnTo>
                <a:lnTo>
                  <a:pt x="6489192" y="1450848"/>
                </a:lnTo>
                <a:lnTo>
                  <a:pt x="7315200" y="1450848"/>
                </a:lnTo>
                <a:lnTo>
                  <a:pt x="7315200" y="1037844"/>
                </a:lnTo>
                <a:close/>
              </a:path>
              <a:path w="7315200" h="1450975">
                <a:moveTo>
                  <a:pt x="7315200" y="623316"/>
                </a:moveTo>
                <a:lnTo>
                  <a:pt x="6489192" y="623316"/>
                </a:lnTo>
                <a:lnTo>
                  <a:pt x="6489192" y="1034796"/>
                </a:lnTo>
                <a:lnTo>
                  <a:pt x="7315200" y="1034796"/>
                </a:lnTo>
                <a:lnTo>
                  <a:pt x="7315200" y="623316"/>
                </a:lnTo>
                <a:close/>
              </a:path>
              <a:path w="7315200" h="1450975">
                <a:moveTo>
                  <a:pt x="7315200" y="414528"/>
                </a:moveTo>
                <a:lnTo>
                  <a:pt x="6489192" y="414528"/>
                </a:lnTo>
                <a:lnTo>
                  <a:pt x="6489192" y="620268"/>
                </a:lnTo>
                <a:lnTo>
                  <a:pt x="7315200" y="620268"/>
                </a:lnTo>
                <a:lnTo>
                  <a:pt x="7315200" y="414528"/>
                </a:lnTo>
                <a:close/>
              </a:path>
              <a:path w="7315200" h="1450975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  <a:path w="7315200" h="1450975">
                <a:moveTo>
                  <a:pt x="7315200" y="0"/>
                </a:moveTo>
                <a:lnTo>
                  <a:pt x="6489192" y="0"/>
                </a:lnTo>
                <a:lnTo>
                  <a:pt x="6489192" y="204216"/>
                </a:lnTo>
                <a:lnTo>
                  <a:pt x="7315200" y="204216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536321</xdr:colOff>
      <xdr:row>21</xdr:row>
      <xdr:rowOff>0</xdr:rowOff>
    </xdr:from>
    <xdr:ext cx="702945" cy="3522345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/>
      </xdr:nvSpPr>
      <xdr:spPr>
        <a:xfrm>
          <a:off x="0" y="0"/>
          <a:ext cx="702945" cy="3522345"/>
        </a:xfrm>
        <a:custGeom>
          <a:avLst/>
          <a:gdLst/>
          <a:ahLst/>
          <a:cxnLst/>
          <a:rect l="0" t="0" r="0" b="0"/>
          <a:pathLst>
            <a:path w="702945" h="3522345">
              <a:moveTo>
                <a:pt x="702564" y="3108960"/>
              </a:moveTo>
              <a:lnTo>
                <a:pt x="0" y="3108960"/>
              </a:lnTo>
              <a:lnTo>
                <a:pt x="0" y="3521964"/>
              </a:lnTo>
              <a:lnTo>
                <a:pt x="702564" y="3521964"/>
              </a:lnTo>
              <a:lnTo>
                <a:pt x="702564" y="3108960"/>
              </a:lnTo>
              <a:close/>
            </a:path>
            <a:path w="702945" h="3522345">
              <a:moveTo>
                <a:pt x="702564" y="2694432"/>
              </a:moveTo>
              <a:lnTo>
                <a:pt x="0" y="2694432"/>
              </a:lnTo>
              <a:lnTo>
                <a:pt x="0" y="3105912"/>
              </a:lnTo>
              <a:lnTo>
                <a:pt x="702564" y="3105912"/>
              </a:lnTo>
              <a:lnTo>
                <a:pt x="702564" y="2694432"/>
              </a:lnTo>
              <a:close/>
            </a:path>
            <a:path w="702945" h="3522345">
              <a:moveTo>
                <a:pt x="702564" y="2485644"/>
              </a:moveTo>
              <a:lnTo>
                <a:pt x="0" y="2485644"/>
              </a:lnTo>
              <a:lnTo>
                <a:pt x="0" y="2691384"/>
              </a:lnTo>
              <a:lnTo>
                <a:pt x="702564" y="2691384"/>
              </a:lnTo>
              <a:lnTo>
                <a:pt x="702564" y="2485644"/>
              </a:lnTo>
              <a:close/>
            </a:path>
            <a:path w="702945" h="3522345">
              <a:moveTo>
                <a:pt x="702564" y="2278380"/>
              </a:moveTo>
              <a:lnTo>
                <a:pt x="0" y="2278380"/>
              </a:lnTo>
              <a:lnTo>
                <a:pt x="0" y="2482596"/>
              </a:lnTo>
              <a:lnTo>
                <a:pt x="702564" y="2482596"/>
              </a:lnTo>
              <a:lnTo>
                <a:pt x="702564" y="2278380"/>
              </a:lnTo>
              <a:close/>
            </a:path>
            <a:path w="702945" h="3522345">
              <a:moveTo>
                <a:pt x="702564" y="2071116"/>
              </a:moveTo>
              <a:lnTo>
                <a:pt x="0" y="2071116"/>
              </a:lnTo>
              <a:lnTo>
                <a:pt x="0" y="2275332"/>
              </a:lnTo>
              <a:lnTo>
                <a:pt x="702564" y="2275332"/>
              </a:lnTo>
              <a:lnTo>
                <a:pt x="702564" y="2071116"/>
              </a:lnTo>
              <a:close/>
            </a:path>
            <a:path w="702945" h="3522345">
              <a:moveTo>
                <a:pt x="702564" y="1863852"/>
              </a:moveTo>
              <a:lnTo>
                <a:pt x="0" y="1863852"/>
              </a:lnTo>
              <a:lnTo>
                <a:pt x="0" y="2068068"/>
              </a:lnTo>
              <a:lnTo>
                <a:pt x="702564" y="2068068"/>
              </a:lnTo>
              <a:lnTo>
                <a:pt x="702564" y="1863852"/>
              </a:lnTo>
              <a:close/>
            </a:path>
            <a:path w="702945" h="3522345">
              <a:moveTo>
                <a:pt x="702564" y="1656588"/>
              </a:moveTo>
              <a:lnTo>
                <a:pt x="0" y="1656588"/>
              </a:lnTo>
              <a:lnTo>
                <a:pt x="0" y="1860804"/>
              </a:lnTo>
              <a:lnTo>
                <a:pt x="702564" y="1860804"/>
              </a:lnTo>
              <a:lnTo>
                <a:pt x="702564" y="1656588"/>
              </a:lnTo>
              <a:close/>
            </a:path>
            <a:path w="702945" h="3522345">
              <a:moveTo>
                <a:pt x="702564" y="1449324"/>
              </a:moveTo>
              <a:lnTo>
                <a:pt x="0" y="1449324"/>
              </a:lnTo>
              <a:lnTo>
                <a:pt x="0" y="1653540"/>
              </a:lnTo>
              <a:lnTo>
                <a:pt x="702564" y="1653540"/>
              </a:lnTo>
              <a:lnTo>
                <a:pt x="702564" y="1449324"/>
              </a:lnTo>
              <a:close/>
            </a:path>
            <a:path w="702945" h="3522345">
              <a:moveTo>
                <a:pt x="702564" y="1242060"/>
              </a:moveTo>
              <a:lnTo>
                <a:pt x="0" y="1242060"/>
              </a:lnTo>
              <a:lnTo>
                <a:pt x="0" y="1446276"/>
              </a:lnTo>
              <a:lnTo>
                <a:pt x="702564" y="1446276"/>
              </a:lnTo>
              <a:lnTo>
                <a:pt x="702564" y="1242060"/>
              </a:lnTo>
              <a:close/>
            </a:path>
            <a:path w="702945" h="3522345">
              <a:moveTo>
                <a:pt x="702564" y="1034796"/>
              </a:moveTo>
              <a:lnTo>
                <a:pt x="0" y="1034796"/>
              </a:lnTo>
              <a:lnTo>
                <a:pt x="0" y="1239012"/>
              </a:lnTo>
              <a:lnTo>
                <a:pt x="702564" y="1239012"/>
              </a:lnTo>
              <a:lnTo>
                <a:pt x="702564" y="1034796"/>
              </a:lnTo>
              <a:close/>
            </a:path>
            <a:path w="702945" h="3522345">
              <a:moveTo>
                <a:pt x="702564" y="827532"/>
              </a:moveTo>
              <a:lnTo>
                <a:pt x="0" y="827532"/>
              </a:lnTo>
              <a:lnTo>
                <a:pt x="0" y="1031748"/>
              </a:lnTo>
              <a:lnTo>
                <a:pt x="702564" y="1031748"/>
              </a:lnTo>
              <a:lnTo>
                <a:pt x="702564" y="827532"/>
              </a:lnTo>
              <a:close/>
            </a:path>
            <a:path w="702945" h="3522345">
              <a:moveTo>
                <a:pt x="702564" y="620268"/>
              </a:moveTo>
              <a:lnTo>
                <a:pt x="0" y="620268"/>
              </a:lnTo>
              <a:lnTo>
                <a:pt x="0" y="824484"/>
              </a:lnTo>
              <a:lnTo>
                <a:pt x="702564" y="824484"/>
              </a:lnTo>
              <a:lnTo>
                <a:pt x="702564" y="620268"/>
              </a:lnTo>
              <a:close/>
            </a:path>
            <a:path w="702945" h="3522345">
              <a:moveTo>
                <a:pt x="702564" y="414528"/>
              </a:moveTo>
              <a:lnTo>
                <a:pt x="0" y="414528"/>
              </a:lnTo>
              <a:lnTo>
                <a:pt x="0" y="617220"/>
              </a:lnTo>
              <a:lnTo>
                <a:pt x="702564" y="617220"/>
              </a:lnTo>
              <a:lnTo>
                <a:pt x="702564" y="414528"/>
              </a:lnTo>
              <a:close/>
            </a:path>
            <a:path w="702945" h="3522345">
              <a:moveTo>
                <a:pt x="702564" y="207264"/>
              </a:moveTo>
              <a:lnTo>
                <a:pt x="0" y="207264"/>
              </a:lnTo>
              <a:lnTo>
                <a:pt x="0" y="411480"/>
              </a:lnTo>
              <a:lnTo>
                <a:pt x="702564" y="411480"/>
              </a:lnTo>
              <a:lnTo>
                <a:pt x="702564" y="207264"/>
              </a:lnTo>
              <a:close/>
            </a:path>
            <a:path w="702945" h="3522345">
              <a:moveTo>
                <a:pt x="702564" y="0"/>
              </a:moveTo>
              <a:lnTo>
                <a:pt x="0" y="0"/>
              </a:lnTo>
              <a:lnTo>
                <a:pt x="0" y="204216"/>
              </a:lnTo>
              <a:lnTo>
                <a:pt x="702564" y="204216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541909</xdr:colOff>
      <xdr:row>24</xdr:row>
      <xdr:rowOff>0</xdr:rowOff>
    </xdr:from>
    <xdr:ext cx="3313429" cy="375285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235457</xdr:colOff>
      <xdr:row>3</xdr:row>
      <xdr:rowOff>762</xdr:rowOff>
    </xdr:from>
    <xdr:ext cx="381000" cy="381000"/>
    <xdr:pic>
      <xdr:nvPicPr>
        <xdr:cNvPr id="68" name="image1.jpeg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330696</xdr:colOff>
      <xdr:row>3</xdr:row>
      <xdr:rowOff>49142</xdr:rowOff>
    </xdr:from>
    <xdr:ext cx="193523" cy="290285"/>
    <xdr:pic>
      <xdr:nvPicPr>
        <xdr:cNvPr id="69" name="image2.jpeg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7</xdr:col>
      <xdr:colOff>235458</xdr:colOff>
      <xdr:row>3</xdr:row>
      <xdr:rowOff>49142</xdr:rowOff>
    </xdr:from>
    <xdr:ext cx="381000" cy="290285"/>
    <xdr:pic>
      <xdr:nvPicPr>
        <xdr:cNvPr id="70" name="image3.jpeg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49142</xdr:rowOff>
    </xdr:from>
    <xdr:ext cx="381000" cy="290285"/>
    <xdr:pic>
      <xdr:nvPicPr>
        <xdr:cNvPr id="71" name="image4.jpeg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198754</xdr:colOff>
      <xdr:row>25</xdr:row>
      <xdr:rowOff>0</xdr:rowOff>
    </xdr:from>
    <xdr:ext cx="7315200" cy="4438015"/>
    <xdr:grpSp>
      <xdr:nvGrpSpPr>
        <xdr:cNvPr id="72" name="Group 72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GrpSpPr/>
      </xdr:nvGrpSpPr>
      <xdr:grpSpPr>
        <a:xfrm>
          <a:off x="610234" y="6332220"/>
          <a:ext cx="7315200" cy="4438015"/>
          <a:chOff x="0" y="0"/>
          <a:chExt cx="7315200" cy="4438015"/>
        </a:xfrm>
      </xdr:grpSpPr>
      <xdr:sp macro="" textlink="">
        <xdr:nvSpPr>
          <xdr:cNvPr id="73" name="Shape 73">
            <a:extLst>
              <a:ext uri="{FF2B5EF4-FFF2-40B4-BE49-F238E27FC236}">
                <a16:creationId xmlns:a16="http://schemas.microsoft.com/office/drawing/2014/main" id="{00000000-0008-0000-0700-000049000000}"/>
              </a:ext>
            </a:extLst>
          </xdr:cNvPr>
          <xdr:cNvSpPr/>
        </xdr:nvSpPr>
        <xdr:spPr>
          <a:xfrm>
            <a:off x="0" y="0"/>
            <a:ext cx="7315200" cy="2273935"/>
          </a:xfrm>
          <a:custGeom>
            <a:avLst/>
            <a:gdLst/>
            <a:ahLst/>
            <a:cxnLst/>
            <a:rect l="0" t="0" r="0" b="0"/>
            <a:pathLst>
              <a:path w="7315200" h="2273935">
                <a:moveTo>
                  <a:pt x="339852" y="1034796"/>
                </a:moveTo>
                <a:lnTo>
                  <a:pt x="0" y="1034796"/>
                </a:lnTo>
                <a:lnTo>
                  <a:pt x="0" y="2066544"/>
                </a:lnTo>
                <a:lnTo>
                  <a:pt x="339852" y="2066544"/>
                </a:lnTo>
                <a:lnTo>
                  <a:pt x="339852" y="1034796"/>
                </a:lnTo>
                <a:close/>
              </a:path>
              <a:path w="7315200" h="2273935">
                <a:moveTo>
                  <a:pt x="339852" y="0"/>
                </a:moveTo>
                <a:lnTo>
                  <a:pt x="0" y="0"/>
                </a:lnTo>
                <a:lnTo>
                  <a:pt x="0" y="1031748"/>
                </a:lnTo>
                <a:lnTo>
                  <a:pt x="339852" y="1031748"/>
                </a:lnTo>
                <a:lnTo>
                  <a:pt x="339852" y="0"/>
                </a:lnTo>
                <a:close/>
              </a:path>
              <a:path w="7315200" h="2273935">
                <a:moveTo>
                  <a:pt x="1376172" y="1034796"/>
                </a:moveTo>
                <a:lnTo>
                  <a:pt x="342900" y="1034796"/>
                </a:lnTo>
                <a:lnTo>
                  <a:pt x="342900" y="2066544"/>
                </a:lnTo>
                <a:lnTo>
                  <a:pt x="1376172" y="2066544"/>
                </a:lnTo>
                <a:lnTo>
                  <a:pt x="1376172" y="1034796"/>
                </a:lnTo>
                <a:close/>
              </a:path>
              <a:path w="7315200" h="2273935">
                <a:moveTo>
                  <a:pt x="1376172" y="0"/>
                </a:moveTo>
                <a:lnTo>
                  <a:pt x="342900" y="0"/>
                </a:lnTo>
                <a:lnTo>
                  <a:pt x="342900" y="1031748"/>
                </a:lnTo>
                <a:lnTo>
                  <a:pt x="1376172" y="1031748"/>
                </a:lnTo>
                <a:lnTo>
                  <a:pt x="1376172" y="0"/>
                </a:lnTo>
                <a:close/>
              </a:path>
              <a:path w="7315200" h="2273935">
                <a:moveTo>
                  <a:pt x="2753868" y="1034796"/>
                </a:moveTo>
                <a:lnTo>
                  <a:pt x="1379220" y="1034796"/>
                </a:lnTo>
                <a:lnTo>
                  <a:pt x="1379220" y="2066544"/>
                </a:lnTo>
                <a:lnTo>
                  <a:pt x="2753868" y="2066544"/>
                </a:lnTo>
                <a:lnTo>
                  <a:pt x="2753868" y="1034796"/>
                </a:lnTo>
                <a:close/>
              </a:path>
              <a:path w="7315200" h="2273935">
                <a:moveTo>
                  <a:pt x="2753868" y="0"/>
                </a:moveTo>
                <a:lnTo>
                  <a:pt x="1379220" y="0"/>
                </a:lnTo>
                <a:lnTo>
                  <a:pt x="1379220" y="1031748"/>
                </a:lnTo>
                <a:lnTo>
                  <a:pt x="2753868" y="1031748"/>
                </a:lnTo>
                <a:lnTo>
                  <a:pt x="2753868" y="0"/>
                </a:lnTo>
                <a:close/>
              </a:path>
              <a:path w="7315200" h="2273935">
                <a:moveTo>
                  <a:pt x="3304032" y="2069592"/>
                </a:moveTo>
                <a:lnTo>
                  <a:pt x="2756916" y="2069592"/>
                </a:lnTo>
                <a:lnTo>
                  <a:pt x="2756916" y="2273808"/>
                </a:lnTo>
                <a:lnTo>
                  <a:pt x="3304032" y="2273808"/>
                </a:lnTo>
                <a:lnTo>
                  <a:pt x="3304032" y="2069592"/>
                </a:lnTo>
                <a:close/>
              </a:path>
              <a:path w="7315200" h="2273935">
                <a:moveTo>
                  <a:pt x="3304032" y="1862328"/>
                </a:moveTo>
                <a:lnTo>
                  <a:pt x="2756916" y="1862328"/>
                </a:lnTo>
                <a:lnTo>
                  <a:pt x="2756916" y="2066544"/>
                </a:lnTo>
                <a:lnTo>
                  <a:pt x="3304032" y="2066544"/>
                </a:lnTo>
                <a:lnTo>
                  <a:pt x="3304032" y="1862328"/>
                </a:lnTo>
                <a:close/>
              </a:path>
              <a:path w="7315200" h="2273935">
                <a:moveTo>
                  <a:pt x="3304032" y="1656588"/>
                </a:moveTo>
                <a:lnTo>
                  <a:pt x="2756916" y="1656588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6588"/>
                </a:lnTo>
                <a:close/>
              </a:path>
              <a:path w="7315200" h="2273935">
                <a:moveTo>
                  <a:pt x="3304032" y="1449324"/>
                </a:moveTo>
                <a:lnTo>
                  <a:pt x="2756916" y="1449324"/>
                </a:lnTo>
                <a:lnTo>
                  <a:pt x="2756916" y="1653540"/>
                </a:lnTo>
                <a:lnTo>
                  <a:pt x="3304032" y="1653540"/>
                </a:lnTo>
                <a:lnTo>
                  <a:pt x="3304032" y="1449324"/>
                </a:lnTo>
                <a:close/>
              </a:path>
              <a:path w="7315200" h="2273935">
                <a:moveTo>
                  <a:pt x="3304032" y="1242060"/>
                </a:moveTo>
                <a:lnTo>
                  <a:pt x="2756916" y="1242060"/>
                </a:lnTo>
                <a:lnTo>
                  <a:pt x="2756916" y="1446276"/>
                </a:lnTo>
                <a:lnTo>
                  <a:pt x="3304032" y="1446276"/>
                </a:lnTo>
                <a:lnTo>
                  <a:pt x="3304032" y="1242060"/>
                </a:lnTo>
                <a:close/>
              </a:path>
              <a:path w="7315200" h="2273935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2273935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2273935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2273935">
                <a:moveTo>
                  <a:pt x="3304032" y="414528"/>
                </a:moveTo>
                <a:lnTo>
                  <a:pt x="2756916" y="414528"/>
                </a:lnTo>
                <a:lnTo>
                  <a:pt x="2756916" y="617220"/>
                </a:lnTo>
                <a:lnTo>
                  <a:pt x="3304032" y="617220"/>
                </a:lnTo>
                <a:lnTo>
                  <a:pt x="3304032" y="414528"/>
                </a:lnTo>
                <a:close/>
              </a:path>
              <a:path w="7315200" h="2273935">
                <a:moveTo>
                  <a:pt x="3304032" y="207264"/>
                </a:moveTo>
                <a:lnTo>
                  <a:pt x="2756916" y="207264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207264"/>
                </a:lnTo>
                <a:close/>
              </a:path>
              <a:path w="7315200" h="2273935">
                <a:moveTo>
                  <a:pt x="3304032" y="0"/>
                </a:moveTo>
                <a:lnTo>
                  <a:pt x="2756916" y="0"/>
                </a:lnTo>
                <a:lnTo>
                  <a:pt x="2756916" y="204216"/>
                </a:lnTo>
                <a:lnTo>
                  <a:pt x="3304032" y="204216"/>
                </a:lnTo>
                <a:lnTo>
                  <a:pt x="3304032" y="0"/>
                </a:lnTo>
                <a:close/>
              </a:path>
              <a:path w="7315200" h="2273935">
                <a:moveTo>
                  <a:pt x="3998976" y="2069592"/>
                </a:moveTo>
                <a:lnTo>
                  <a:pt x="3307080" y="2069592"/>
                </a:lnTo>
                <a:lnTo>
                  <a:pt x="3307080" y="2273808"/>
                </a:lnTo>
                <a:lnTo>
                  <a:pt x="3998976" y="2273808"/>
                </a:lnTo>
                <a:lnTo>
                  <a:pt x="3998976" y="2069592"/>
                </a:lnTo>
                <a:close/>
              </a:path>
              <a:path w="7315200" h="2273935">
                <a:moveTo>
                  <a:pt x="3998976" y="1862328"/>
                </a:moveTo>
                <a:lnTo>
                  <a:pt x="3307080" y="1862328"/>
                </a:lnTo>
                <a:lnTo>
                  <a:pt x="3307080" y="2066544"/>
                </a:lnTo>
                <a:lnTo>
                  <a:pt x="3998976" y="2066544"/>
                </a:lnTo>
                <a:lnTo>
                  <a:pt x="3998976" y="1862328"/>
                </a:lnTo>
                <a:close/>
              </a:path>
              <a:path w="7315200" h="2273935">
                <a:moveTo>
                  <a:pt x="3998976" y="1656588"/>
                </a:moveTo>
                <a:lnTo>
                  <a:pt x="3307080" y="1656588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6588"/>
                </a:lnTo>
                <a:close/>
              </a:path>
              <a:path w="7315200" h="2273935">
                <a:moveTo>
                  <a:pt x="3998976" y="1449324"/>
                </a:moveTo>
                <a:lnTo>
                  <a:pt x="3307080" y="1449324"/>
                </a:lnTo>
                <a:lnTo>
                  <a:pt x="3307080" y="1653540"/>
                </a:lnTo>
                <a:lnTo>
                  <a:pt x="3998976" y="1653540"/>
                </a:lnTo>
                <a:lnTo>
                  <a:pt x="3998976" y="1449324"/>
                </a:lnTo>
                <a:close/>
              </a:path>
              <a:path w="7315200" h="2273935">
                <a:moveTo>
                  <a:pt x="3998976" y="1242060"/>
                </a:moveTo>
                <a:lnTo>
                  <a:pt x="3307080" y="1242060"/>
                </a:lnTo>
                <a:lnTo>
                  <a:pt x="3307080" y="1446276"/>
                </a:lnTo>
                <a:lnTo>
                  <a:pt x="3998976" y="1446276"/>
                </a:lnTo>
                <a:lnTo>
                  <a:pt x="3998976" y="1242060"/>
                </a:lnTo>
                <a:close/>
              </a:path>
              <a:path w="7315200" h="2273935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2273935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2273935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2273935">
                <a:moveTo>
                  <a:pt x="3998976" y="414528"/>
                </a:moveTo>
                <a:lnTo>
                  <a:pt x="3307080" y="414528"/>
                </a:lnTo>
                <a:lnTo>
                  <a:pt x="3307080" y="617220"/>
                </a:lnTo>
                <a:lnTo>
                  <a:pt x="3998976" y="617220"/>
                </a:lnTo>
                <a:lnTo>
                  <a:pt x="3998976" y="414528"/>
                </a:lnTo>
                <a:close/>
              </a:path>
              <a:path w="7315200" h="2273935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2273935">
                <a:moveTo>
                  <a:pt x="3998976" y="0"/>
                </a:moveTo>
                <a:lnTo>
                  <a:pt x="3307080" y="0"/>
                </a:lnTo>
                <a:lnTo>
                  <a:pt x="3307080" y="204216"/>
                </a:lnTo>
                <a:lnTo>
                  <a:pt x="3998976" y="204216"/>
                </a:lnTo>
                <a:lnTo>
                  <a:pt x="3998976" y="0"/>
                </a:lnTo>
                <a:close/>
              </a:path>
              <a:path w="7315200" h="2273935">
                <a:moveTo>
                  <a:pt x="4828032" y="2069592"/>
                </a:moveTo>
                <a:lnTo>
                  <a:pt x="4002024" y="2069592"/>
                </a:lnTo>
                <a:lnTo>
                  <a:pt x="4002024" y="2273808"/>
                </a:lnTo>
                <a:lnTo>
                  <a:pt x="4828032" y="2273808"/>
                </a:lnTo>
                <a:lnTo>
                  <a:pt x="4828032" y="2069592"/>
                </a:lnTo>
                <a:close/>
              </a:path>
              <a:path w="7315200" h="2273935">
                <a:moveTo>
                  <a:pt x="4828032" y="1862328"/>
                </a:moveTo>
                <a:lnTo>
                  <a:pt x="4002024" y="1862328"/>
                </a:lnTo>
                <a:lnTo>
                  <a:pt x="4002024" y="2066544"/>
                </a:lnTo>
                <a:lnTo>
                  <a:pt x="4828032" y="2066544"/>
                </a:lnTo>
                <a:lnTo>
                  <a:pt x="4828032" y="1862328"/>
                </a:lnTo>
                <a:close/>
              </a:path>
              <a:path w="7315200" h="2273935">
                <a:moveTo>
                  <a:pt x="4828032" y="1656588"/>
                </a:moveTo>
                <a:lnTo>
                  <a:pt x="4002024" y="1656588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6588"/>
                </a:lnTo>
                <a:close/>
              </a:path>
              <a:path w="7315200" h="2273935">
                <a:moveTo>
                  <a:pt x="4828032" y="1449324"/>
                </a:moveTo>
                <a:lnTo>
                  <a:pt x="4002024" y="1449324"/>
                </a:lnTo>
                <a:lnTo>
                  <a:pt x="4002024" y="1653540"/>
                </a:lnTo>
                <a:lnTo>
                  <a:pt x="4828032" y="1653540"/>
                </a:lnTo>
                <a:lnTo>
                  <a:pt x="4828032" y="1449324"/>
                </a:lnTo>
                <a:close/>
              </a:path>
              <a:path w="7315200" h="2273935">
                <a:moveTo>
                  <a:pt x="4828032" y="1242060"/>
                </a:moveTo>
                <a:lnTo>
                  <a:pt x="4002024" y="1242060"/>
                </a:lnTo>
                <a:lnTo>
                  <a:pt x="4002024" y="1446276"/>
                </a:lnTo>
                <a:lnTo>
                  <a:pt x="4828032" y="1446276"/>
                </a:lnTo>
                <a:lnTo>
                  <a:pt x="4828032" y="1242060"/>
                </a:lnTo>
                <a:close/>
              </a:path>
              <a:path w="7315200" h="2273935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2273935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2273935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2273935">
                <a:moveTo>
                  <a:pt x="4828032" y="414528"/>
                </a:moveTo>
                <a:lnTo>
                  <a:pt x="4002024" y="414528"/>
                </a:lnTo>
                <a:lnTo>
                  <a:pt x="4002024" y="617220"/>
                </a:lnTo>
                <a:lnTo>
                  <a:pt x="4828032" y="617220"/>
                </a:lnTo>
                <a:lnTo>
                  <a:pt x="4828032" y="414528"/>
                </a:lnTo>
                <a:close/>
              </a:path>
              <a:path w="7315200" h="2273935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2273935">
                <a:moveTo>
                  <a:pt x="4828032" y="0"/>
                </a:moveTo>
                <a:lnTo>
                  <a:pt x="4002024" y="0"/>
                </a:lnTo>
                <a:lnTo>
                  <a:pt x="4002024" y="204216"/>
                </a:lnTo>
                <a:lnTo>
                  <a:pt x="4828032" y="204216"/>
                </a:lnTo>
                <a:lnTo>
                  <a:pt x="4828032" y="0"/>
                </a:lnTo>
                <a:close/>
              </a:path>
              <a:path w="7315200" h="2273935">
                <a:moveTo>
                  <a:pt x="5657088" y="2069592"/>
                </a:moveTo>
                <a:lnTo>
                  <a:pt x="4831080" y="2069592"/>
                </a:lnTo>
                <a:lnTo>
                  <a:pt x="4831080" y="2273808"/>
                </a:lnTo>
                <a:lnTo>
                  <a:pt x="5657088" y="2273808"/>
                </a:lnTo>
                <a:lnTo>
                  <a:pt x="5657088" y="2069592"/>
                </a:lnTo>
                <a:close/>
              </a:path>
              <a:path w="7315200" h="2273935">
                <a:moveTo>
                  <a:pt x="5657088" y="1862328"/>
                </a:moveTo>
                <a:lnTo>
                  <a:pt x="4831080" y="1862328"/>
                </a:lnTo>
                <a:lnTo>
                  <a:pt x="4831080" y="2066544"/>
                </a:lnTo>
                <a:lnTo>
                  <a:pt x="5657088" y="2066544"/>
                </a:lnTo>
                <a:lnTo>
                  <a:pt x="5657088" y="1862328"/>
                </a:lnTo>
                <a:close/>
              </a:path>
              <a:path w="7315200" h="2273935">
                <a:moveTo>
                  <a:pt x="5657088" y="1656588"/>
                </a:moveTo>
                <a:lnTo>
                  <a:pt x="4831080" y="1656588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6588"/>
                </a:lnTo>
                <a:close/>
              </a:path>
              <a:path w="7315200" h="2273935">
                <a:moveTo>
                  <a:pt x="5657088" y="1449324"/>
                </a:moveTo>
                <a:lnTo>
                  <a:pt x="4831080" y="1449324"/>
                </a:lnTo>
                <a:lnTo>
                  <a:pt x="4831080" y="1653540"/>
                </a:lnTo>
                <a:lnTo>
                  <a:pt x="5657088" y="1653540"/>
                </a:lnTo>
                <a:lnTo>
                  <a:pt x="5657088" y="1449324"/>
                </a:lnTo>
                <a:close/>
              </a:path>
              <a:path w="7315200" h="2273935">
                <a:moveTo>
                  <a:pt x="5657088" y="1242060"/>
                </a:moveTo>
                <a:lnTo>
                  <a:pt x="4831080" y="1242060"/>
                </a:lnTo>
                <a:lnTo>
                  <a:pt x="4831080" y="1446276"/>
                </a:lnTo>
                <a:lnTo>
                  <a:pt x="5657088" y="1446276"/>
                </a:lnTo>
                <a:lnTo>
                  <a:pt x="5657088" y="1242060"/>
                </a:lnTo>
                <a:close/>
              </a:path>
              <a:path w="7315200" h="2273935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2273935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2273935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2273935">
                <a:moveTo>
                  <a:pt x="5657088" y="414528"/>
                </a:moveTo>
                <a:lnTo>
                  <a:pt x="4831080" y="414528"/>
                </a:lnTo>
                <a:lnTo>
                  <a:pt x="4831080" y="617220"/>
                </a:lnTo>
                <a:lnTo>
                  <a:pt x="5657088" y="617220"/>
                </a:lnTo>
                <a:lnTo>
                  <a:pt x="5657088" y="414528"/>
                </a:lnTo>
                <a:close/>
              </a:path>
              <a:path w="7315200" h="2273935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2273935">
                <a:moveTo>
                  <a:pt x="5657088" y="0"/>
                </a:moveTo>
                <a:lnTo>
                  <a:pt x="4831080" y="0"/>
                </a:lnTo>
                <a:lnTo>
                  <a:pt x="4831080" y="204216"/>
                </a:lnTo>
                <a:lnTo>
                  <a:pt x="5657088" y="204216"/>
                </a:lnTo>
                <a:lnTo>
                  <a:pt x="5657088" y="0"/>
                </a:lnTo>
                <a:close/>
              </a:path>
              <a:path w="7315200" h="2273935">
                <a:moveTo>
                  <a:pt x="6486144" y="2069592"/>
                </a:moveTo>
                <a:lnTo>
                  <a:pt x="5660136" y="2069592"/>
                </a:lnTo>
                <a:lnTo>
                  <a:pt x="5660136" y="2273808"/>
                </a:lnTo>
                <a:lnTo>
                  <a:pt x="6486144" y="2273808"/>
                </a:lnTo>
                <a:lnTo>
                  <a:pt x="6486144" y="2069592"/>
                </a:lnTo>
                <a:close/>
              </a:path>
              <a:path w="7315200" h="2273935">
                <a:moveTo>
                  <a:pt x="6486144" y="1862328"/>
                </a:moveTo>
                <a:lnTo>
                  <a:pt x="5660136" y="1862328"/>
                </a:lnTo>
                <a:lnTo>
                  <a:pt x="5660136" y="2066544"/>
                </a:lnTo>
                <a:lnTo>
                  <a:pt x="6486144" y="2066544"/>
                </a:lnTo>
                <a:lnTo>
                  <a:pt x="6486144" y="1862328"/>
                </a:lnTo>
                <a:close/>
              </a:path>
              <a:path w="7315200" h="2273935">
                <a:moveTo>
                  <a:pt x="6486144" y="1656588"/>
                </a:moveTo>
                <a:lnTo>
                  <a:pt x="5660136" y="1656588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6588"/>
                </a:lnTo>
                <a:close/>
              </a:path>
              <a:path w="7315200" h="2273935">
                <a:moveTo>
                  <a:pt x="6486144" y="1449324"/>
                </a:moveTo>
                <a:lnTo>
                  <a:pt x="5660136" y="1449324"/>
                </a:lnTo>
                <a:lnTo>
                  <a:pt x="5660136" y="1653540"/>
                </a:lnTo>
                <a:lnTo>
                  <a:pt x="6486144" y="1653540"/>
                </a:lnTo>
                <a:lnTo>
                  <a:pt x="6486144" y="1449324"/>
                </a:lnTo>
                <a:close/>
              </a:path>
              <a:path w="7315200" h="2273935">
                <a:moveTo>
                  <a:pt x="6486144" y="1242060"/>
                </a:moveTo>
                <a:lnTo>
                  <a:pt x="5660136" y="1242060"/>
                </a:lnTo>
                <a:lnTo>
                  <a:pt x="5660136" y="1446276"/>
                </a:lnTo>
                <a:lnTo>
                  <a:pt x="6486144" y="1446276"/>
                </a:lnTo>
                <a:lnTo>
                  <a:pt x="6486144" y="1242060"/>
                </a:lnTo>
                <a:close/>
              </a:path>
              <a:path w="7315200" h="2273935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2273935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2273935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2273935">
                <a:moveTo>
                  <a:pt x="6486144" y="414528"/>
                </a:moveTo>
                <a:lnTo>
                  <a:pt x="5660136" y="414528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4528"/>
                </a:lnTo>
                <a:close/>
              </a:path>
              <a:path w="7315200" h="2273935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2273935">
                <a:moveTo>
                  <a:pt x="6486144" y="0"/>
                </a:moveTo>
                <a:lnTo>
                  <a:pt x="5660136" y="0"/>
                </a:lnTo>
                <a:lnTo>
                  <a:pt x="5660136" y="204216"/>
                </a:lnTo>
                <a:lnTo>
                  <a:pt x="6486144" y="204216"/>
                </a:lnTo>
                <a:lnTo>
                  <a:pt x="6486144" y="0"/>
                </a:lnTo>
                <a:close/>
              </a:path>
              <a:path w="7315200" h="2273935">
                <a:moveTo>
                  <a:pt x="7315200" y="1862328"/>
                </a:moveTo>
                <a:lnTo>
                  <a:pt x="6489192" y="1862328"/>
                </a:lnTo>
                <a:lnTo>
                  <a:pt x="6489192" y="2066544"/>
                </a:lnTo>
                <a:lnTo>
                  <a:pt x="7315200" y="2066544"/>
                </a:lnTo>
                <a:lnTo>
                  <a:pt x="7315200" y="1862328"/>
                </a:lnTo>
                <a:close/>
              </a:path>
              <a:path w="7315200" h="2273935">
                <a:moveTo>
                  <a:pt x="7315200" y="1656588"/>
                </a:moveTo>
                <a:lnTo>
                  <a:pt x="6489192" y="1656588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6588"/>
                </a:lnTo>
                <a:close/>
              </a:path>
              <a:path w="7315200" h="2273935">
                <a:moveTo>
                  <a:pt x="7315200" y="1449324"/>
                </a:moveTo>
                <a:lnTo>
                  <a:pt x="6489192" y="1449324"/>
                </a:lnTo>
                <a:lnTo>
                  <a:pt x="6489192" y="1653540"/>
                </a:lnTo>
                <a:lnTo>
                  <a:pt x="7315200" y="1653540"/>
                </a:lnTo>
                <a:lnTo>
                  <a:pt x="7315200" y="1449324"/>
                </a:lnTo>
                <a:close/>
              </a:path>
              <a:path w="7315200" h="2273935">
                <a:moveTo>
                  <a:pt x="7315200" y="1242060"/>
                </a:moveTo>
                <a:lnTo>
                  <a:pt x="6489192" y="1242060"/>
                </a:lnTo>
                <a:lnTo>
                  <a:pt x="6489192" y="1446276"/>
                </a:lnTo>
                <a:lnTo>
                  <a:pt x="7315200" y="1446276"/>
                </a:lnTo>
                <a:lnTo>
                  <a:pt x="7315200" y="1242060"/>
                </a:lnTo>
                <a:close/>
              </a:path>
              <a:path w="7315200" h="2273935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2273935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2273935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2273935">
                <a:moveTo>
                  <a:pt x="7315200" y="414528"/>
                </a:moveTo>
                <a:lnTo>
                  <a:pt x="6489192" y="414528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4528"/>
                </a:lnTo>
                <a:close/>
              </a:path>
              <a:path w="7315200" h="2273935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  <a:path w="7315200" h="2273935">
                <a:moveTo>
                  <a:pt x="7315200" y="0"/>
                </a:moveTo>
                <a:lnTo>
                  <a:pt x="6489192" y="0"/>
                </a:lnTo>
                <a:lnTo>
                  <a:pt x="6489192" y="204216"/>
                </a:lnTo>
                <a:lnTo>
                  <a:pt x="7315200" y="204216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74" name="Shape 74">
            <a:extLst>
              <a:ext uri="{FF2B5EF4-FFF2-40B4-BE49-F238E27FC236}">
                <a16:creationId xmlns:a16="http://schemas.microsoft.com/office/drawing/2014/main" id="{00000000-0008-0000-0700-00004A000000}"/>
              </a:ext>
            </a:extLst>
          </xdr:cNvPr>
          <xdr:cNvSpPr/>
        </xdr:nvSpPr>
        <xdr:spPr>
          <a:xfrm>
            <a:off x="0" y="2069591"/>
            <a:ext cx="7315200" cy="2368550"/>
          </a:xfrm>
          <a:custGeom>
            <a:avLst/>
            <a:gdLst/>
            <a:ahLst/>
            <a:cxnLst/>
            <a:rect l="0" t="0" r="0" b="0"/>
            <a:pathLst>
              <a:path w="7315200" h="2368550">
                <a:moveTo>
                  <a:pt x="339852" y="2071116"/>
                </a:moveTo>
                <a:lnTo>
                  <a:pt x="0" y="2071116"/>
                </a:lnTo>
                <a:lnTo>
                  <a:pt x="0" y="2368296"/>
                </a:lnTo>
                <a:lnTo>
                  <a:pt x="339852" y="2368296"/>
                </a:lnTo>
                <a:lnTo>
                  <a:pt x="339852" y="2071116"/>
                </a:lnTo>
                <a:close/>
              </a:path>
              <a:path w="7315200" h="2368550">
                <a:moveTo>
                  <a:pt x="339852" y="1243584"/>
                </a:moveTo>
                <a:lnTo>
                  <a:pt x="0" y="1243584"/>
                </a:lnTo>
                <a:lnTo>
                  <a:pt x="0" y="2068068"/>
                </a:lnTo>
                <a:lnTo>
                  <a:pt x="339852" y="2068068"/>
                </a:lnTo>
                <a:lnTo>
                  <a:pt x="339852" y="1243584"/>
                </a:lnTo>
                <a:close/>
              </a:path>
              <a:path w="7315200" h="2368550">
                <a:moveTo>
                  <a:pt x="339852" y="827532"/>
                </a:moveTo>
                <a:lnTo>
                  <a:pt x="0" y="827532"/>
                </a:lnTo>
                <a:lnTo>
                  <a:pt x="0" y="1240536"/>
                </a:lnTo>
                <a:lnTo>
                  <a:pt x="339852" y="1240536"/>
                </a:lnTo>
                <a:lnTo>
                  <a:pt x="339852" y="827532"/>
                </a:lnTo>
                <a:close/>
              </a:path>
              <a:path w="7315200" h="2368550">
                <a:moveTo>
                  <a:pt x="339852" y="0"/>
                </a:moveTo>
                <a:lnTo>
                  <a:pt x="0" y="0"/>
                </a:lnTo>
                <a:lnTo>
                  <a:pt x="0" y="824484"/>
                </a:lnTo>
                <a:lnTo>
                  <a:pt x="339852" y="824484"/>
                </a:lnTo>
                <a:lnTo>
                  <a:pt x="339852" y="0"/>
                </a:lnTo>
                <a:close/>
              </a:path>
              <a:path w="7315200" h="2368550">
                <a:moveTo>
                  <a:pt x="1376172" y="2071116"/>
                </a:moveTo>
                <a:lnTo>
                  <a:pt x="342900" y="2071116"/>
                </a:lnTo>
                <a:lnTo>
                  <a:pt x="342900" y="2368296"/>
                </a:lnTo>
                <a:lnTo>
                  <a:pt x="1376172" y="2368296"/>
                </a:lnTo>
                <a:lnTo>
                  <a:pt x="1376172" y="2071116"/>
                </a:lnTo>
                <a:close/>
              </a:path>
              <a:path w="7315200" h="2368550">
                <a:moveTo>
                  <a:pt x="1376172" y="1243584"/>
                </a:moveTo>
                <a:lnTo>
                  <a:pt x="342900" y="1243584"/>
                </a:lnTo>
                <a:lnTo>
                  <a:pt x="342900" y="2068068"/>
                </a:lnTo>
                <a:lnTo>
                  <a:pt x="1376172" y="2068068"/>
                </a:lnTo>
                <a:lnTo>
                  <a:pt x="1376172" y="1243584"/>
                </a:lnTo>
                <a:close/>
              </a:path>
              <a:path w="7315200" h="2368550">
                <a:moveTo>
                  <a:pt x="1376172" y="827532"/>
                </a:moveTo>
                <a:lnTo>
                  <a:pt x="342900" y="827532"/>
                </a:lnTo>
                <a:lnTo>
                  <a:pt x="342900" y="1240536"/>
                </a:lnTo>
                <a:lnTo>
                  <a:pt x="1376172" y="1240536"/>
                </a:lnTo>
                <a:lnTo>
                  <a:pt x="1376172" y="827532"/>
                </a:lnTo>
                <a:close/>
              </a:path>
              <a:path w="7315200" h="2368550">
                <a:moveTo>
                  <a:pt x="1376172" y="0"/>
                </a:moveTo>
                <a:lnTo>
                  <a:pt x="342900" y="0"/>
                </a:lnTo>
                <a:lnTo>
                  <a:pt x="342900" y="824484"/>
                </a:lnTo>
                <a:lnTo>
                  <a:pt x="1376172" y="824484"/>
                </a:lnTo>
                <a:lnTo>
                  <a:pt x="1376172" y="0"/>
                </a:lnTo>
                <a:close/>
              </a:path>
              <a:path w="7315200" h="2368550">
                <a:moveTo>
                  <a:pt x="2753868" y="2071116"/>
                </a:moveTo>
                <a:lnTo>
                  <a:pt x="1379220" y="2071116"/>
                </a:lnTo>
                <a:lnTo>
                  <a:pt x="1379220" y="2368296"/>
                </a:lnTo>
                <a:lnTo>
                  <a:pt x="2753868" y="2368296"/>
                </a:lnTo>
                <a:lnTo>
                  <a:pt x="2753868" y="2071116"/>
                </a:lnTo>
                <a:close/>
              </a:path>
              <a:path w="7315200" h="2368550">
                <a:moveTo>
                  <a:pt x="2753868" y="1243584"/>
                </a:moveTo>
                <a:lnTo>
                  <a:pt x="1379220" y="1243584"/>
                </a:lnTo>
                <a:lnTo>
                  <a:pt x="1379220" y="2068068"/>
                </a:lnTo>
                <a:lnTo>
                  <a:pt x="2753868" y="2068068"/>
                </a:lnTo>
                <a:lnTo>
                  <a:pt x="2753868" y="1243584"/>
                </a:lnTo>
                <a:close/>
              </a:path>
              <a:path w="7315200" h="2368550">
                <a:moveTo>
                  <a:pt x="2753868" y="827532"/>
                </a:moveTo>
                <a:lnTo>
                  <a:pt x="1379220" y="827532"/>
                </a:lnTo>
                <a:lnTo>
                  <a:pt x="1379220" y="1240536"/>
                </a:lnTo>
                <a:lnTo>
                  <a:pt x="2753868" y="1240536"/>
                </a:lnTo>
                <a:lnTo>
                  <a:pt x="2753868" y="827532"/>
                </a:lnTo>
                <a:close/>
              </a:path>
              <a:path w="7315200" h="2368550">
                <a:moveTo>
                  <a:pt x="2753868" y="0"/>
                </a:moveTo>
                <a:lnTo>
                  <a:pt x="1379220" y="0"/>
                </a:lnTo>
                <a:lnTo>
                  <a:pt x="1379220" y="824484"/>
                </a:lnTo>
                <a:lnTo>
                  <a:pt x="2753868" y="824484"/>
                </a:lnTo>
                <a:lnTo>
                  <a:pt x="2753868" y="0"/>
                </a:lnTo>
                <a:close/>
              </a:path>
              <a:path w="7315200" h="2368550">
                <a:moveTo>
                  <a:pt x="3304032" y="2071116"/>
                </a:moveTo>
                <a:lnTo>
                  <a:pt x="2756916" y="2071116"/>
                </a:lnTo>
                <a:lnTo>
                  <a:pt x="2756916" y="2368296"/>
                </a:lnTo>
                <a:lnTo>
                  <a:pt x="3304032" y="2368296"/>
                </a:lnTo>
                <a:lnTo>
                  <a:pt x="3304032" y="2071116"/>
                </a:lnTo>
                <a:close/>
              </a:path>
              <a:path w="7315200" h="2368550">
                <a:moveTo>
                  <a:pt x="3304032" y="1863852"/>
                </a:moveTo>
                <a:lnTo>
                  <a:pt x="2756916" y="1863852"/>
                </a:lnTo>
                <a:lnTo>
                  <a:pt x="2756916" y="2068068"/>
                </a:lnTo>
                <a:lnTo>
                  <a:pt x="3304032" y="2068068"/>
                </a:lnTo>
                <a:lnTo>
                  <a:pt x="3304032" y="1863852"/>
                </a:lnTo>
                <a:close/>
              </a:path>
              <a:path w="7315200" h="2368550">
                <a:moveTo>
                  <a:pt x="3304032" y="1656588"/>
                </a:moveTo>
                <a:lnTo>
                  <a:pt x="2756916" y="1656588"/>
                </a:lnTo>
                <a:lnTo>
                  <a:pt x="2756916" y="1860804"/>
                </a:lnTo>
                <a:lnTo>
                  <a:pt x="3304032" y="1860804"/>
                </a:lnTo>
                <a:lnTo>
                  <a:pt x="3304032" y="1656588"/>
                </a:lnTo>
                <a:close/>
              </a:path>
              <a:path w="7315200" h="2368550">
                <a:moveTo>
                  <a:pt x="3304032" y="1449324"/>
                </a:moveTo>
                <a:lnTo>
                  <a:pt x="2756916" y="1449324"/>
                </a:lnTo>
                <a:lnTo>
                  <a:pt x="2756916" y="1653540"/>
                </a:lnTo>
                <a:lnTo>
                  <a:pt x="3304032" y="1653540"/>
                </a:lnTo>
                <a:lnTo>
                  <a:pt x="3304032" y="1449324"/>
                </a:lnTo>
                <a:close/>
              </a:path>
              <a:path w="7315200" h="2368550">
                <a:moveTo>
                  <a:pt x="3304032" y="1243584"/>
                </a:moveTo>
                <a:lnTo>
                  <a:pt x="2756916" y="1243584"/>
                </a:lnTo>
                <a:lnTo>
                  <a:pt x="2756916" y="1447800"/>
                </a:lnTo>
                <a:lnTo>
                  <a:pt x="3304032" y="1447800"/>
                </a:lnTo>
                <a:lnTo>
                  <a:pt x="3304032" y="1243584"/>
                </a:lnTo>
                <a:close/>
              </a:path>
              <a:path w="7315200" h="2368550">
                <a:moveTo>
                  <a:pt x="3304032" y="827532"/>
                </a:moveTo>
                <a:lnTo>
                  <a:pt x="2756916" y="827532"/>
                </a:lnTo>
                <a:lnTo>
                  <a:pt x="2756916" y="1240536"/>
                </a:lnTo>
                <a:lnTo>
                  <a:pt x="3304032" y="1240536"/>
                </a:lnTo>
                <a:lnTo>
                  <a:pt x="3304032" y="827532"/>
                </a:lnTo>
                <a:close/>
              </a:path>
              <a:path w="7315200" h="2368550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2368550">
                <a:moveTo>
                  <a:pt x="3304032" y="414528"/>
                </a:moveTo>
                <a:lnTo>
                  <a:pt x="2756916" y="414528"/>
                </a:lnTo>
                <a:lnTo>
                  <a:pt x="2756916" y="617220"/>
                </a:lnTo>
                <a:lnTo>
                  <a:pt x="3304032" y="617220"/>
                </a:lnTo>
                <a:lnTo>
                  <a:pt x="3304032" y="414528"/>
                </a:lnTo>
                <a:close/>
              </a:path>
              <a:path w="7315200" h="2368550">
                <a:moveTo>
                  <a:pt x="3304032" y="207264"/>
                </a:moveTo>
                <a:lnTo>
                  <a:pt x="2756916" y="207264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207264"/>
                </a:lnTo>
                <a:close/>
              </a:path>
              <a:path w="7315200" h="2368550">
                <a:moveTo>
                  <a:pt x="3998976" y="2071116"/>
                </a:moveTo>
                <a:lnTo>
                  <a:pt x="3307080" y="2071116"/>
                </a:lnTo>
                <a:lnTo>
                  <a:pt x="3307080" y="2368296"/>
                </a:lnTo>
                <a:lnTo>
                  <a:pt x="3998976" y="2368296"/>
                </a:lnTo>
                <a:lnTo>
                  <a:pt x="3998976" y="2071116"/>
                </a:lnTo>
                <a:close/>
              </a:path>
              <a:path w="7315200" h="2368550">
                <a:moveTo>
                  <a:pt x="3998976" y="1863852"/>
                </a:moveTo>
                <a:lnTo>
                  <a:pt x="3307080" y="1863852"/>
                </a:lnTo>
                <a:lnTo>
                  <a:pt x="3307080" y="2068068"/>
                </a:lnTo>
                <a:lnTo>
                  <a:pt x="3998976" y="2068068"/>
                </a:lnTo>
                <a:lnTo>
                  <a:pt x="3998976" y="1863852"/>
                </a:lnTo>
                <a:close/>
              </a:path>
              <a:path w="7315200" h="2368550">
                <a:moveTo>
                  <a:pt x="3998976" y="1656588"/>
                </a:moveTo>
                <a:lnTo>
                  <a:pt x="3307080" y="1656588"/>
                </a:lnTo>
                <a:lnTo>
                  <a:pt x="3307080" y="1860804"/>
                </a:lnTo>
                <a:lnTo>
                  <a:pt x="3998976" y="1860804"/>
                </a:lnTo>
                <a:lnTo>
                  <a:pt x="3998976" y="1656588"/>
                </a:lnTo>
                <a:close/>
              </a:path>
              <a:path w="7315200" h="2368550">
                <a:moveTo>
                  <a:pt x="3998976" y="1449324"/>
                </a:moveTo>
                <a:lnTo>
                  <a:pt x="3307080" y="1449324"/>
                </a:lnTo>
                <a:lnTo>
                  <a:pt x="3307080" y="1653540"/>
                </a:lnTo>
                <a:lnTo>
                  <a:pt x="3998976" y="1653540"/>
                </a:lnTo>
                <a:lnTo>
                  <a:pt x="3998976" y="1449324"/>
                </a:lnTo>
                <a:close/>
              </a:path>
              <a:path w="7315200" h="2368550">
                <a:moveTo>
                  <a:pt x="3998976" y="1243584"/>
                </a:moveTo>
                <a:lnTo>
                  <a:pt x="3307080" y="1243584"/>
                </a:lnTo>
                <a:lnTo>
                  <a:pt x="3307080" y="1447800"/>
                </a:lnTo>
                <a:lnTo>
                  <a:pt x="3998976" y="1447800"/>
                </a:lnTo>
                <a:lnTo>
                  <a:pt x="3998976" y="1243584"/>
                </a:lnTo>
                <a:close/>
              </a:path>
              <a:path w="7315200" h="2368550">
                <a:moveTo>
                  <a:pt x="3998976" y="827532"/>
                </a:moveTo>
                <a:lnTo>
                  <a:pt x="3307080" y="827532"/>
                </a:lnTo>
                <a:lnTo>
                  <a:pt x="3307080" y="1240536"/>
                </a:lnTo>
                <a:lnTo>
                  <a:pt x="3998976" y="1240536"/>
                </a:lnTo>
                <a:lnTo>
                  <a:pt x="3998976" y="827532"/>
                </a:lnTo>
                <a:close/>
              </a:path>
              <a:path w="7315200" h="2368550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2368550">
                <a:moveTo>
                  <a:pt x="3998976" y="414528"/>
                </a:moveTo>
                <a:lnTo>
                  <a:pt x="3307080" y="414528"/>
                </a:lnTo>
                <a:lnTo>
                  <a:pt x="3307080" y="617220"/>
                </a:lnTo>
                <a:lnTo>
                  <a:pt x="3998976" y="617220"/>
                </a:lnTo>
                <a:lnTo>
                  <a:pt x="3998976" y="414528"/>
                </a:lnTo>
                <a:close/>
              </a:path>
              <a:path w="7315200" h="2368550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2368550">
                <a:moveTo>
                  <a:pt x="4828032" y="2071116"/>
                </a:moveTo>
                <a:lnTo>
                  <a:pt x="4002024" y="2071116"/>
                </a:lnTo>
                <a:lnTo>
                  <a:pt x="4002024" y="2368296"/>
                </a:lnTo>
                <a:lnTo>
                  <a:pt x="4828032" y="2368296"/>
                </a:lnTo>
                <a:lnTo>
                  <a:pt x="4828032" y="2071116"/>
                </a:lnTo>
                <a:close/>
              </a:path>
              <a:path w="7315200" h="2368550">
                <a:moveTo>
                  <a:pt x="4828032" y="1863852"/>
                </a:moveTo>
                <a:lnTo>
                  <a:pt x="4002024" y="1863852"/>
                </a:lnTo>
                <a:lnTo>
                  <a:pt x="4002024" y="2068068"/>
                </a:lnTo>
                <a:lnTo>
                  <a:pt x="4828032" y="2068068"/>
                </a:lnTo>
                <a:lnTo>
                  <a:pt x="4828032" y="1863852"/>
                </a:lnTo>
                <a:close/>
              </a:path>
              <a:path w="7315200" h="2368550">
                <a:moveTo>
                  <a:pt x="4828032" y="1656588"/>
                </a:moveTo>
                <a:lnTo>
                  <a:pt x="4002024" y="1656588"/>
                </a:lnTo>
                <a:lnTo>
                  <a:pt x="4002024" y="1860804"/>
                </a:lnTo>
                <a:lnTo>
                  <a:pt x="4828032" y="1860804"/>
                </a:lnTo>
                <a:lnTo>
                  <a:pt x="4828032" y="1656588"/>
                </a:lnTo>
                <a:close/>
              </a:path>
              <a:path w="7315200" h="2368550">
                <a:moveTo>
                  <a:pt x="4828032" y="1449324"/>
                </a:moveTo>
                <a:lnTo>
                  <a:pt x="4002024" y="1449324"/>
                </a:lnTo>
                <a:lnTo>
                  <a:pt x="4002024" y="1653540"/>
                </a:lnTo>
                <a:lnTo>
                  <a:pt x="4828032" y="1653540"/>
                </a:lnTo>
                <a:lnTo>
                  <a:pt x="4828032" y="1449324"/>
                </a:lnTo>
                <a:close/>
              </a:path>
              <a:path w="7315200" h="2368550">
                <a:moveTo>
                  <a:pt x="4828032" y="1243584"/>
                </a:moveTo>
                <a:lnTo>
                  <a:pt x="4002024" y="1243584"/>
                </a:lnTo>
                <a:lnTo>
                  <a:pt x="4002024" y="1447800"/>
                </a:lnTo>
                <a:lnTo>
                  <a:pt x="4828032" y="1447800"/>
                </a:lnTo>
                <a:lnTo>
                  <a:pt x="4828032" y="1243584"/>
                </a:lnTo>
                <a:close/>
              </a:path>
              <a:path w="7315200" h="2368550">
                <a:moveTo>
                  <a:pt x="4828032" y="827532"/>
                </a:moveTo>
                <a:lnTo>
                  <a:pt x="4002024" y="827532"/>
                </a:lnTo>
                <a:lnTo>
                  <a:pt x="4002024" y="1240536"/>
                </a:lnTo>
                <a:lnTo>
                  <a:pt x="4828032" y="1240536"/>
                </a:lnTo>
                <a:lnTo>
                  <a:pt x="4828032" y="827532"/>
                </a:lnTo>
                <a:close/>
              </a:path>
              <a:path w="7315200" h="2368550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2368550">
                <a:moveTo>
                  <a:pt x="4828032" y="414528"/>
                </a:moveTo>
                <a:lnTo>
                  <a:pt x="4002024" y="414528"/>
                </a:lnTo>
                <a:lnTo>
                  <a:pt x="4002024" y="617220"/>
                </a:lnTo>
                <a:lnTo>
                  <a:pt x="4828032" y="617220"/>
                </a:lnTo>
                <a:lnTo>
                  <a:pt x="4828032" y="414528"/>
                </a:lnTo>
                <a:close/>
              </a:path>
              <a:path w="7315200" h="2368550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2368550">
                <a:moveTo>
                  <a:pt x="5657088" y="2071116"/>
                </a:moveTo>
                <a:lnTo>
                  <a:pt x="4831080" y="2071116"/>
                </a:lnTo>
                <a:lnTo>
                  <a:pt x="4831080" y="2368296"/>
                </a:lnTo>
                <a:lnTo>
                  <a:pt x="5657088" y="2368296"/>
                </a:lnTo>
                <a:lnTo>
                  <a:pt x="5657088" y="2071116"/>
                </a:lnTo>
                <a:close/>
              </a:path>
              <a:path w="7315200" h="2368550">
                <a:moveTo>
                  <a:pt x="5657088" y="1863852"/>
                </a:moveTo>
                <a:lnTo>
                  <a:pt x="4831080" y="1863852"/>
                </a:lnTo>
                <a:lnTo>
                  <a:pt x="4831080" y="2068068"/>
                </a:lnTo>
                <a:lnTo>
                  <a:pt x="5657088" y="2068068"/>
                </a:lnTo>
                <a:lnTo>
                  <a:pt x="5657088" y="1863852"/>
                </a:lnTo>
                <a:close/>
              </a:path>
              <a:path w="7315200" h="2368550">
                <a:moveTo>
                  <a:pt x="5657088" y="1656588"/>
                </a:moveTo>
                <a:lnTo>
                  <a:pt x="4831080" y="1656588"/>
                </a:lnTo>
                <a:lnTo>
                  <a:pt x="4831080" y="1860804"/>
                </a:lnTo>
                <a:lnTo>
                  <a:pt x="5657088" y="1860804"/>
                </a:lnTo>
                <a:lnTo>
                  <a:pt x="5657088" y="1656588"/>
                </a:lnTo>
                <a:close/>
              </a:path>
              <a:path w="7315200" h="2368550">
                <a:moveTo>
                  <a:pt x="5657088" y="1449324"/>
                </a:moveTo>
                <a:lnTo>
                  <a:pt x="4831080" y="1449324"/>
                </a:lnTo>
                <a:lnTo>
                  <a:pt x="4831080" y="1653540"/>
                </a:lnTo>
                <a:lnTo>
                  <a:pt x="5657088" y="1653540"/>
                </a:lnTo>
                <a:lnTo>
                  <a:pt x="5657088" y="1449324"/>
                </a:lnTo>
                <a:close/>
              </a:path>
              <a:path w="7315200" h="2368550">
                <a:moveTo>
                  <a:pt x="5657088" y="1243584"/>
                </a:moveTo>
                <a:lnTo>
                  <a:pt x="4831080" y="1243584"/>
                </a:lnTo>
                <a:lnTo>
                  <a:pt x="4831080" y="1447800"/>
                </a:lnTo>
                <a:lnTo>
                  <a:pt x="5657088" y="1447800"/>
                </a:lnTo>
                <a:lnTo>
                  <a:pt x="5657088" y="1243584"/>
                </a:lnTo>
                <a:close/>
              </a:path>
              <a:path w="7315200" h="2368550">
                <a:moveTo>
                  <a:pt x="5657088" y="827532"/>
                </a:moveTo>
                <a:lnTo>
                  <a:pt x="4831080" y="827532"/>
                </a:lnTo>
                <a:lnTo>
                  <a:pt x="4831080" y="1240536"/>
                </a:lnTo>
                <a:lnTo>
                  <a:pt x="5657088" y="1240536"/>
                </a:lnTo>
                <a:lnTo>
                  <a:pt x="5657088" y="827532"/>
                </a:lnTo>
                <a:close/>
              </a:path>
              <a:path w="7315200" h="2368550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2368550">
                <a:moveTo>
                  <a:pt x="5657088" y="414528"/>
                </a:moveTo>
                <a:lnTo>
                  <a:pt x="4831080" y="414528"/>
                </a:lnTo>
                <a:lnTo>
                  <a:pt x="4831080" y="617220"/>
                </a:lnTo>
                <a:lnTo>
                  <a:pt x="5657088" y="617220"/>
                </a:lnTo>
                <a:lnTo>
                  <a:pt x="5657088" y="414528"/>
                </a:lnTo>
                <a:close/>
              </a:path>
              <a:path w="7315200" h="2368550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2368550">
                <a:moveTo>
                  <a:pt x="6486144" y="2071116"/>
                </a:moveTo>
                <a:lnTo>
                  <a:pt x="5660136" y="2071116"/>
                </a:lnTo>
                <a:lnTo>
                  <a:pt x="5660136" y="2368296"/>
                </a:lnTo>
                <a:lnTo>
                  <a:pt x="6486144" y="2368296"/>
                </a:lnTo>
                <a:lnTo>
                  <a:pt x="6486144" y="2071116"/>
                </a:lnTo>
                <a:close/>
              </a:path>
              <a:path w="7315200" h="2368550">
                <a:moveTo>
                  <a:pt x="6486144" y="1863852"/>
                </a:moveTo>
                <a:lnTo>
                  <a:pt x="5660136" y="1863852"/>
                </a:lnTo>
                <a:lnTo>
                  <a:pt x="5660136" y="2068068"/>
                </a:lnTo>
                <a:lnTo>
                  <a:pt x="6486144" y="2068068"/>
                </a:lnTo>
                <a:lnTo>
                  <a:pt x="6486144" y="1863852"/>
                </a:lnTo>
                <a:close/>
              </a:path>
              <a:path w="7315200" h="2368550">
                <a:moveTo>
                  <a:pt x="6486144" y="1656588"/>
                </a:moveTo>
                <a:lnTo>
                  <a:pt x="5660136" y="1656588"/>
                </a:lnTo>
                <a:lnTo>
                  <a:pt x="5660136" y="1860804"/>
                </a:lnTo>
                <a:lnTo>
                  <a:pt x="6486144" y="1860804"/>
                </a:lnTo>
                <a:lnTo>
                  <a:pt x="6486144" y="1656588"/>
                </a:lnTo>
                <a:close/>
              </a:path>
              <a:path w="7315200" h="2368550">
                <a:moveTo>
                  <a:pt x="6486144" y="1449324"/>
                </a:moveTo>
                <a:lnTo>
                  <a:pt x="5660136" y="1449324"/>
                </a:lnTo>
                <a:lnTo>
                  <a:pt x="5660136" y="1653540"/>
                </a:lnTo>
                <a:lnTo>
                  <a:pt x="6486144" y="1653540"/>
                </a:lnTo>
                <a:lnTo>
                  <a:pt x="6486144" y="1449324"/>
                </a:lnTo>
                <a:close/>
              </a:path>
              <a:path w="7315200" h="2368550">
                <a:moveTo>
                  <a:pt x="6486144" y="1243584"/>
                </a:moveTo>
                <a:lnTo>
                  <a:pt x="5660136" y="1243584"/>
                </a:lnTo>
                <a:lnTo>
                  <a:pt x="5660136" y="1447800"/>
                </a:lnTo>
                <a:lnTo>
                  <a:pt x="6486144" y="1447800"/>
                </a:lnTo>
                <a:lnTo>
                  <a:pt x="6486144" y="1243584"/>
                </a:lnTo>
                <a:close/>
              </a:path>
              <a:path w="7315200" h="2368550">
                <a:moveTo>
                  <a:pt x="6486144" y="827532"/>
                </a:moveTo>
                <a:lnTo>
                  <a:pt x="5660136" y="827532"/>
                </a:lnTo>
                <a:lnTo>
                  <a:pt x="5660136" y="1240536"/>
                </a:lnTo>
                <a:lnTo>
                  <a:pt x="6486144" y="1240536"/>
                </a:lnTo>
                <a:lnTo>
                  <a:pt x="6486144" y="827532"/>
                </a:lnTo>
                <a:close/>
              </a:path>
              <a:path w="7315200" h="2368550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2368550">
                <a:moveTo>
                  <a:pt x="6486144" y="414528"/>
                </a:moveTo>
                <a:lnTo>
                  <a:pt x="5660136" y="414528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4528"/>
                </a:lnTo>
                <a:close/>
              </a:path>
              <a:path w="7315200" h="2368550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2368550">
                <a:moveTo>
                  <a:pt x="6486144" y="0"/>
                </a:moveTo>
                <a:lnTo>
                  <a:pt x="5660136" y="0"/>
                </a:lnTo>
                <a:lnTo>
                  <a:pt x="5660136" y="204216"/>
                </a:lnTo>
                <a:lnTo>
                  <a:pt x="6486144" y="204216"/>
                </a:lnTo>
                <a:lnTo>
                  <a:pt x="6486144" y="0"/>
                </a:lnTo>
                <a:close/>
              </a:path>
              <a:path w="7315200" h="2368550">
                <a:moveTo>
                  <a:pt x="7315200" y="2071116"/>
                </a:moveTo>
                <a:lnTo>
                  <a:pt x="6489192" y="2071116"/>
                </a:lnTo>
                <a:lnTo>
                  <a:pt x="6489192" y="2368296"/>
                </a:lnTo>
                <a:lnTo>
                  <a:pt x="7315200" y="2368296"/>
                </a:lnTo>
                <a:lnTo>
                  <a:pt x="7315200" y="2071116"/>
                </a:lnTo>
                <a:close/>
              </a:path>
              <a:path w="7315200" h="2368550">
                <a:moveTo>
                  <a:pt x="7315200" y="1863852"/>
                </a:moveTo>
                <a:lnTo>
                  <a:pt x="6489192" y="1863852"/>
                </a:lnTo>
                <a:lnTo>
                  <a:pt x="6489192" y="2068068"/>
                </a:lnTo>
                <a:lnTo>
                  <a:pt x="7315200" y="2068068"/>
                </a:lnTo>
                <a:lnTo>
                  <a:pt x="7315200" y="1863852"/>
                </a:lnTo>
                <a:close/>
              </a:path>
              <a:path w="7315200" h="2368550">
                <a:moveTo>
                  <a:pt x="7315200" y="1656588"/>
                </a:moveTo>
                <a:lnTo>
                  <a:pt x="6489192" y="1656588"/>
                </a:lnTo>
                <a:lnTo>
                  <a:pt x="6489192" y="1860804"/>
                </a:lnTo>
                <a:lnTo>
                  <a:pt x="7315200" y="1860804"/>
                </a:lnTo>
                <a:lnTo>
                  <a:pt x="7315200" y="1656588"/>
                </a:lnTo>
                <a:close/>
              </a:path>
              <a:path w="7315200" h="2368550">
                <a:moveTo>
                  <a:pt x="7315200" y="1449324"/>
                </a:moveTo>
                <a:lnTo>
                  <a:pt x="6489192" y="1449324"/>
                </a:lnTo>
                <a:lnTo>
                  <a:pt x="6489192" y="1653540"/>
                </a:lnTo>
                <a:lnTo>
                  <a:pt x="7315200" y="1653540"/>
                </a:lnTo>
                <a:lnTo>
                  <a:pt x="7315200" y="1449324"/>
                </a:lnTo>
                <a:close/>
              </a:path>
              <a:path w="7315200" h="2368550">
                <a:moveTo>
                  <a:pt x="7315200" y="1243584"/>
                </a:moveTo>
                <a:lnTo>
                  <a:pt x="6489192" y="1243584"/>
                </a:lnTo>
                <a:lnTo>
                  <a:pt x="6489192" y="1447800"/>
                </a:lnTo>
                <a:lnTo>
                  <a:pt x="7315200" y="1447800"/>
                </a:lnTo>
                <a:lnTo>
                  <a:pt x="7315200" y="1243584"/>
                </a:lnTo>
                <a:close/>
              </a:path>
              <a:path w="7315200" h="2368550">
                <a:moveTo>
                  <a:pt x="7315200" y="827532"/>
                </a:moveTo>
                <a:lnTo>
                  <a:pt x="6489192" y="827532"/>
                </a:lnTo>
                <a:lnTo>
                  <a:pt x="6489192" y="1240536"/>
                </a:lnTo>
                <a:lnTo>
                  <a:pt x="7315200" y="1240536"/>
                </a:lnTo>
                <a:lnTo>
                  <a:pt x="7315200" y="827532"/>
                </a:lnTo>
                <a:close/>
              </a:path>
              <a:path w="7315200" h="2368550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2368550">
                <a:moveTo>
                  <a:pt x="7315200" y="414528"/>
                </a:moveTo>
                <a:lnTo>
                  <a:pt x="6489192" y="414528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4528"/>
                </a:lnTo>
                <a:close/>
              </a:path>
              <a:path w="7315200" h="2368550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  <a:path w="7315200" h="2368550">
                <a:moveTo>
                  <a:pt x="7315200" y="0"/>
                </a:moveTo>
                <a:lnTo>
                  <a:pt x="6489192" y="0"/>
                </a:lnTo>
                <a:lnTo>
                  <a:pt x="6489192" y="204216"/>
                </a:lnTo>
                <a:lnTo>
                  <a:pt x="7315200" y="204216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536321</xdr:colOff>
      <xdr:row>26</xdr:row>
      <xdr:rowOff>0</xdr:rowOff>
    </xdr:from>
    <xdr:ext cx="702945" cy="4438015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SpPr/>
      </xdr:nvSpPr>
      <xdr:spPr>
        <a:xfrm>
          <a:off x="0" y="0"/>
          <a:ext cx="702945" cy="4438015"/>
        </a:xfrm>
        <a:custGeom>
          <a:avLst/>
          <a:gdLst/>
          <a:ahLst/>
          <a:cxnLst/>
          <a:rect l="0" t="0" r="0" b="0"/>
          <a:pathLst>
            <a:path w="702945" h="4438015">
              <a:moveTo>
                <a:pt x="702564" y="4140708"/>
              </a:moveTo>
              <a:lnTo>
                <a:pt x="0" y="4140708"/>
              </a:lnTo>
              <a:lnTo>
                <a:pt x="0" y="4437888"/>
              </a:lnTo>
              <a:lnTo>
                <a:pt x="702564" y="4437888"/>
              </a:lnTo>
              <a:lnTo>
                <a:pt x="702564" y="4140708"/>
              </a:lnTo>
              <a:close/>
            </a:path>
            <a:path w="702945" h="4438015">
              <a:moveTo>
                <a:pt x="702564" y="3933444"/>
              </a:moveTo>
              <a:lnTo>
                <a:pt x="0" y="3933444"/>
              </a:lnTo>
              <a:lnTo>
                <a:pt x="0" y="4137660"/>
              </a:lnTo>
              <a:lnTo>
                <a:pt x="702564" y="4137660"/>
              </a:lnTo>
              <a:lnTo>
                <a:pt x="702564" y="3933444"/>
              </a:lnTo>
              <a:close/>
            </a:path>
            <a:path w="702945" h="4438015">
              <a:moveTo>
                <a:pt x="702564" y="3726180"/>
              </a:moveTo>
              <a:lnTo>
                <a:pt x="0" y="3726180"/>
              </a:lnTo>
              <a:lnTo>
                <a:pt x="0" y="3930396"/>
              </a:lnTo>
              <a:lnTo>
                <a:pt x="702564" y="3930396"/>
              </a:lnTo>
              <a:lnTo>
                <a:pt x="702564" y="3726180"/>
              </a:lnTo>
              <a:close/>
            </a:path>
            <a:path w="702945" h="4438015">
              <a:moveTo>
                <a:pt x="702564" y="3518916"/>
              </a:moveTo>
              <a:lnTo>
                <a:pt x="0" y="3518916"/>
              </a:lnTo>
              <a:lnTo>
                <a:pt x="0" y="3723132"/>
              </a:lnTo>
              <a:lnTo>
                <a:pt x="702564" y="3723132"/>
              </a:lnTo>
              <a:lnTo>
                <a:pt x="702564" y="3518916"/>
              </a:lnTo>
              <a:close/>
            </a:path>
            <a:path w="702945" h="4438015">
              <a:moveTo>
                <a:pt x="702564" y="3313176"/>
              </a:moveTo>
              <a:lnTo>
                <a:pt x="0" y="3313176"/>
              </a:lnTo>
              <a:lnTo>
                <a:pt x="0" y="3517392"/>
              </a:lnTo>
              <a:lnTo>
                <a:pt x="702564" y="3517392"/>
              </a:lnTo>
              <a:lnTo>
                <a:pt x="702564" y="3313176"/>
              </a:lnTo>
              <a:close/>
            </a:path>
            <a:path w="702945" h="4438015">
              <a:moveTo>
                <a:pt x="702564" y="2897124"/>
              </a:moveTo>
              <a:lnTo>
                <a:pt x="0" y="2897124"/>
              </a:lnTo>
              <a:lnTo>
                <a:pt x="0" y="3310128"/>
              </a:lnTo>
              <a:lnTo>
                <a:pt x="702564" y="3310128"/>
              </a:lnTo>
              <a:lnTo>
                <a:pt x="702564" y="2897124"/>
              </a:lnTo>
              <a:close/>
            </a:path>
            <a:path w="702945" h="4438015">
              <a:moveTo>
                <a:pt x="702564" y="2689860"/>
              </a:moveTo>
              <a:lnTo>
                <a:pt x="0" y="2689860"/>
              </a:lnTo>
              <a:lnTo>
                <a:pt x="0" y="2894076"/>
              </a:lnTo>
              <a:lnTo>
                <a:pt x="702564" y="2894076"/>
              </a:lnTo>
              <a:lnTo>
                <a:pt x="702564" y="2689860"/>
              </a:lnTo>
              <a:close/>
            </a:path>
            <a:path w="702945" h="4438015">
              <a:moveTo>
                <a:pt x="702564" y="2484120"/>
              </a:moveTo>
              <a:lnTo>
                <a:pt x="0" y="2484120"/>
              </a:lnTo>
              <a:lnTo>
                <a:pt x="0" y="2686812"/>
              </a:lnTo>
              <a:lnTo>
                <a:pt x="702564" y="2686812"/>
              </a:lnTo>
              <a:lnTo>
                <a:pt x="702564" y="2484120"/>
              </a:lnTo>
              <a:close/>
            </a:path>
            <a:path w="702945" h="4438015">
              <a:moveTo>
                <a:pt x="702564" y="2276856"/>
              </a:moveTo>
              <a:lnTo>
                <a:pt x="0" y="2276856"/>
              </a:lnTo>
              <a:lnTo>
                <a:pt x="0" y="2481072"/>
              </a:lnTo>
              <a:lnTo>
                <a:pt x="702564" y="2481072"/>
              </a:lnTo>
              <a:lnTo>
                <a:pt x="702564" y="2276856"/>
              </a:lnTo>
              <a:close/>
            </a:path>
            <a:path w="702945" h="4438015">
              <a:moveTo>
                <a:pt x="702564" y="2069592"/>
              </a:moveTo>
              <a:lnTo>
                <a:pt x="0" y="2069592"/>
              </a:lnTo>
              <a:lnTo>
                <a:pt x="0" y="2273808"/>
              </a:lnTo>
              <a:lnTo>
                <a:pt x="702564" y="2273808"/>
              </a:lnTo>
              <a:lnTo>
                <a:pt x="702564" y="2069592"/>
              </a:lnTo>
              <a:close/>
            </a:path>
            <a:path w="702945" h="4438015">
              <a:moveTo>
                <a:pt x="702564" y="1862328"/>
              </a:moveTo>
              <a:lnTo>
                <a:pt x="0" y="1862328"/>
              </a:lnTo>
              <a:lnTo>
                <a:pt x="0" y="2066544"/>
              </a:lnTo>
              <a:lnTo>
                <a:pt x="702564" y="2066544"/>
              </a:lnTo>
              <a:lnTo>
                <a:pt x="702564" y="1862328"/>
              </a:lnTo>
              <a:close/>
            </a:path>
            <a:path w="702945" h="4438015">
              <a:moveTo>
                <a:pt x="702564" y="1656588"/>
              </a:moveTo>
              <a:lnTo>
                <a:pt x="0" y="1656588"/>
              </a:lnTo>
              <a:lnTo>
                <a:pt x="0" y="1859280"/>
              </a:lnTo>
              <a:lnTo>
                <a:pt x="702564" y="1859280"/>
              </a:lnTo>
              <a:lnTo>
                <a:pt x="702564" y="1656588"/>
              </a:lnTo>
              <a:close/>
            </a:path>
            <a:path w="702945" h="4438015">
              <a:moveTo>
                <a:pt x="702564" y="1449324"/>
              </a:moveTo>
              <a:lnTo>
                <a:pt x="0" y="1449324"/>
              </a:lnTo>
              <a:lnTo>
                <a:pt x="0" y="1653540"/>
              </a:lnTo>
              <a:lnTo>
                <a:pt x="702564" y="1653540"/>
              </a:lnTo>
              <a:lnTo>
                <a:pt x="702564" y="1449324"/>
              </a:lnTo>
              <a:close/>
            </a:path>
            <a:path w="702945" h="4438015">
              <a:moveTo>
                <a:pt x="702564" y="1242060"/>
              </a:moveTo>
              <a:lnTo>
                <a:pt x="0" y="1242060"/>
              </a:lnTo>
              <a:lnTo>
                <a:pt x="0" y="1446276"/>
              </a:lnTo>
              <a:lnTo>
                <a:pt x="702564" y="1446276"/>
              </a:lnTo>
              <a:lnTo>
                <a:pt x="702564" y="1242060"/>
              </a:lnTo>
              <a:close/>
            </a:path>
            <a:path w="702945" h="4438015">
              <a:moveTo>
                <a:pt x="702564" y="1034796"/>
              </a:moveTo>
              <a:lnTo>
                <a:pt x="0" y="1034796"/>
              </a:lnTo>
              <a:lnTo>
                <a:pt x="0" y="1239012"/>
              </a:lnTo>
              <a:lnTo>
                <a:pt x="702564" y="1239012"/>
              </a:lnTo>
              <a:lnTo>
                <a:pt x="702564" y="1034796"/>
              </a:lnTo>
              <a:close/>
            </a:path>
            <a:path w="702945" h="4438015">
              <a:moveTo>
                <a:pt x="702564" y="827532"/>
              </a:moveTo>
              <a:lnTo>
                <a:pt x="0" y="827532"/>
              </a:lnTo>
              <a:lnTo>
                <a:pt x="0" y="1031748"/>
              </a:lnTo>
              <a:lnTo>
                <a:pt x="702564" y="1031748"/>
              </a:lnTo>
              <a:lnTo>
                <a:pt x="702564" y="827532"/>
              </a:lnTo>
              <a:close/>
            </a:path>
            <a:path w="702945" h="4438015">
              <a:moveTo>
                <a:pt x="702564" y="620268"/>
              </a:moveTo>
              <a:lnTo>
                <a:pt x="0" y="620268"/>
              </a:lnTo>
              <a:lnTo>
                <a:pt x="0" y="824484"/>
              </a:lnTo>
              <a:lnTo>
                <a:pt x="702564" y="824484"/>
              </a:lnTo>
              <a:lnTo>
                <a:pt x="702564" y="620268"/>
              </a:lnTo>
              <a:close/>
            </a:path>
            <a:path w="702945" h="4438015">
              <a:moveTo>
                <a:pt x="702564" y="414528"/>
              </a:moveTo>
              <a:lnTo>
                <a:pt x="0" y="414528"/>
              </a:lnTo>
              <a:lnTo>
                <a:pt x="0" y="617220"/>
              </a:lnTo>
              <a:lnTo>
                <a:pt x="702564" y="617220"/>
              </a:lnTo>
              <a:lnTo>
                <a:pt x="702564" y="414528"/>
              </a:lnTo>
              <a:close/>
            </a:path>
            <a:path w="702945" h="4438015">
              <a:moveTo>
                <a:pt x="702564" y="207264"/>
              </a:moveTo>
              <a:lnTo>
                <a:pt x="0" y="207264"/>
              </a:lnTo>
              <a:lnTo>
                <a:pt x="0" y="411480"/>
              </a:lnTo>
              <a:lnTo>
                <a:pt x="702564" y="411480"/>
              </a:lnTo>
              <a:lnTo>
                <a:pt x="702564" y="207264"/>
              </a:lnTo>
              <a:close/>
            </a:path>
            <a:path w="702945" h="4438015">
              <a:moveTo>
                <a:pt x="702564" y="0"/>
              </a:moveTo>
              <a:lnTo>
                <a:pt x="0" y="0"/>
              </a:lnTo>
              <a:lnTo>
                <a:pt x="0" y="204216"/>
              </a:lnTo>
              <a:lnTo>
                <a:pt x="702564" y="204216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541909</xdr:colOff>
      <xdr:row>21</xdr:row>
      <xdr:rowOff>206501</xdr:rowOff>
    </xdr:from>
    <xdr:ext cx="3313429" cy="375285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235457</xdr:colOff>
      <xdr:row>3</xdr:row>
      <xdr:rowOff>762</xdr:rowOff>
    </xdr:from>
    <xdr:ext cx="381000" cy="381000"/>
    <xdr:pic>
      <xdr:nvPicPr>
        <xdr:cNvPr id="77" name="image1.jpeg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330696</xdr:colOff>
      <xdr:row>3</xdr:row>
      <xdr:rowOff>49142</xdr:rowOff>
    </xdr:from>
    <xdr:ext cx="193523" cy="290285"/>
    <xdr:pic>
      <xdr:nvPicPr>
        <xdr:cNvPr id="78" name="image2.jpeg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7</xdr:col>
      <xdr:colOff>235458</xdr:colOff>
      <xdr:row>3</xdr:row>
      <xdr:rowOff>49142</xdr:rowOff>
    </xdr:from>
    <xdr:ext cx="381000" cy="290285"/>
    <xdr:pic>
      <xdr:nvPicPr>
        <xdr:cNvPr id="79" name="image3.jpeg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49142</xdr:rowOff>
    </xdr:from>
    <xdr:ext cx="381000" cy="290285"/>
    <xdr:pic>
      <xdr:nvPicPr>
        <xdr:cNvPr id="80" name="image4.jpeg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198754</xdr:colOff>
      <xdr:row>23</xdr:row>
      <xdr:rowOff>0</xdr:rowOff>
    </xdr:from>
    <xdr:ext cx="7315200" cy="3930650"/>
    <xdr:grpSp>
      <xdr:nvGrpSpPr>
        <xdr:cNvPr id="81" name="Group 81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GrpSpPr/>
      </xdr:nvGrpSpPr>
      <xdr:grpSpPr>
        <a:xfrm>
          <a:off x="610234" y="5821680"/>
          <a:ext cx="7315200" cy="3930650"/>
          <a:chOff x="0" y="0"/>
          <a:chExt cx="7315200" cy="3930650"/>
        </a:xfrm>
      </xdr:grpSpPr>
      <xdr:sp macro="" textlink="">
        <xdr:nvSpPr>
          <xdr:cNvPr id="82" name="Shape 82">
            <a:extLst>
              <a:ext uri="{FF2B5EF4-FFF2-40B4-BE49-F238E27FC236}">
                <a16:creationId xmlns:a16="http://schemas.microsoft.com/office/drawing/2014/main" id="{00000000-0008-0000-0800-000052000000}"/>
              </a:ext>
            </a:extLst>
          </xdr:cNvPr>
          <xdr:cNvSpPr/>
        </xdr:nvSpPr>
        <xdr:spPr>
          <a:xfrm>
            <a:off x="0" y="0"/>
            <a:ext cx="7315200" cy="2482850"/>
          </a:xfrm>
          <a:custGeom>
            <a:avLst/>
            <a:gdLst/>
            <a:ahLst/>
            <a:cxnLst/>
            <a:rect l="0" t="0" r="0" b="0"/>
            <a:pathLst>
              <a:path w="7315200" h="2482850">
                <a:moveTo>
                  <a:pt x="339852" y="1243584"/>
                </a:moveTo>
                <a:lnTo>
                  <a:pt x="0" y="1243584"/>
                </a:lnTo>
                <a:lnTo>
                  <a:pt x="0" y="2482596"/>
                </a:lnTo>
                <a:lnTo>
                  <a:pt x="339852" y="2482596"/>
                </a:lnTo>
                <a:lnTo>
                  <a:pt x="339852" y="1243584"/>
                </a:lnTo>
                <a:close/>
              </a:path>
              <a:path w="7315200" h="2482850">
                <a:moveTo>
                  <a:pt x="339852" y="827532"/>
                </a:moveTo>
                <a:lnTo>
                  <a:pt x="0" y="827532"/>
                </a:lnTo>
                <a:lnTo>
                  <a:pt x="0" y="1240536"/>
                </a:lnTo>
                <a:lnTo>
                  <a:pt x="339852" y="1240536"/>
                </a:lnTo>
                <a:lnTo>
                  <a:pt x="339852" y="827532"/>
                </a:lnTo>
                <a:close/>
              </a:path>
              <a:path w="7315200" h="2482850">
                <a:moveTo>
                  <a:pt x="339852" y="0"/>
                </a:moveTo>
                <a:lnTo>
                  <a:pt x="0" y="0"/>
                </a:lnTo>
                <a:lnTo>
                  <a:pt x="0" y="824484"/>
                </a:lnTo>
                <a:lnTo>
                  <a:pt x="339852" y="824484"/>
                </a:lnTo>
                <a:lnTo>
                  <a:pt x="339852" y="0"/>
                </a:lnTo>
                <a:close/>
              </a:path>
              <a:path w="7315200" h="2482850">
                <a:moveTo>
                  <a:pt x="1376172" y="1243584"/>
                </a:moveTo>
                <a:lnTo>
                  <a:pt x="342900" y="1243584"/>
                </a:lnTo>
                <a:lnTo>
                  <a:pt x="342900" y="2482596"/>
                </a:lnTo>
                <a:lnTo>
                  <a:pt x="1376172" y="2482596"/>
                </a:lnTo>
                <a:lnTo>
                  <a:pt x="1376172" y="1243584"/>
                </a:lnTo>
                <a:close/>
              </a:path>
              <a:path w="7315200" h="2482850">
                <a:moveTo>
                  <a:pt x="1376172" y="827532"/>
                </a:moveTo>
                <a:lnTo>
                  <a:pt x="342900" y="827532"/>
                </a:lnTo>
                <a:lnTo>
                  <a:pt x="342900" y="1240536"/>
                </a:lnTo>
                <a:lnTo>
                  <a:pt x="1376172" y="1240536"/>
                </a:lnTo>
                <a:lnTo>
                  <a:pt x="1376172" y="827532"/>
                </a:lnTo>
                <a:close/>
              </a:path>
              <a:path w="7315200" h="2482850">
                <a:moveTo>
                  <a:pt x="1376172" y="0"/>
                </a:moveTo>
                <a:lnTo>
                  <a:pt x="342900" y="0"/>
                </a:lnTo>
                <a:lnTo>
                  <a:pt x="342900" y="824484"/>
                </a:lnTo>
                <a:lnTo>
                  <a:pt x="1376172" y="824484"/>
                </a:lnTo>
                <a:lnTo>
                  <a:pt x="1376172" y="0"/>
                </a:lnTo>
                <a:close/>
              </a:path>
              <a:path w="7315200" h="2482850">
                <a:moveTo>
                  <a:pt x="2753868" y="1243584"/>
                </a:moveTo>
                <a:lnTo>
                  <a:pt x="1379220" y="1243584"/>
                </a:lnTo>
                <a:lnTo>
                  <a:pt x="1379220" y="2482596"/>
                </a:lnTo>
                <a:lnTo>
                  <a:pt x="2753868" y="2482596"/>
                </a:lnTo>
                <a:lnTo>
                  <a:pt x="2753868" y="1243584"/>
                </a:lnTo>
                <a:close/>
              </a:path>
              <a:path w="7315200" h="2482850">
                <a:moveTo>
                  <a:pt x="2753868" y="827532"/>
                </a:moveTo>
                <a:lnTo>
                  <a:pt x="1379220" y="827532"/>
                </a:lnTo>
                <a:lnTo>
                  <a:pt x="1379220" y="1240536"/>
                </a:lnTo>
                <a:lnTo>
                  <a:pt x="2753868" y="1240536"/>
                </a:lnTo>
                <a:lnTo>
                  <a:pt x="2753868" y="827532"/>
                </a:lnTo>
                <a:close/>
              </a:path>
              <a:path w="7315200" h="2482850">
                <a:moveTo>
                  <a:pt x="2753868" y="0"/>
                </a:moveTo>
                <a:lnTo>
                  <a:pt x="1379220" y="0"/>
                </a:lnTo>
                <a:lnTo>
                  <a:pt x="1379220" y="824484"/>
                </a:lnTo>
                <a:lnTo>
                  <a:pt x="2753868" y="824484"/>
                </a:lnTo>
                <a:lnTo>
                  <a:pt x="2753868" y="0"/>
                </a:lnTo>
                <a:close/>
              </a:path>
              <a:path w="7315200" h="2482850">
                <a:moveTo>
                  <a:pt x="3304032" y="2278380"/>
                </a:moveTo>
                <a:lnTo>
                  <a:pt x="2756916" y="2278380"/>
                </a:lnTo>
                <a:lnTo>
                  <a:pt x="2756916" y="2482596"/>
                </a:lnTo>
                <a:lnTo>
                  <a:pt x="3304032" y="2482596"/>
                </a:lnTo>
                <a:lnTo>
                  <a:pt x="3304032" y="2278380"/>
                </a:lnTo>
                <a:close/>
              </a:path>
              <a:path w="7315200" h="2482850">
                <a:moveTo>
                  <a:pt x="3304032" y="2071116"/>
                </a:moveTo>
                <a:lnTo>
                  <a:pt x="2756916" y="2071116"/>
                </a:lnTo>
                <a:lnTo>
                  <a:pt x="2756916" y="2275332"/>
                </a:lnTo>
                <a:lnTo>
                  <a:pt x="3304032" y="2275332"/>
                </a:lnTo>
                <a:lnTo>
                  <a:pt x="3304032" y="2071116"/>
                </a:lnTo>
                <a:close/>
              </a:path>
              <a:path w="7315200" h="2482850">
                <a:moveTo>
                  <a:pt x="3304032" y="1863852"/>
                </a:moveTo>
                <a:lnTo>
                  <a:pt x="2756916" y="1863852"/>
                </a:lnTo>
                <a:lnTo>
                  <a:pt x="2756916" y="2068068"/>
                </a:lnTo>
                <a:lnTo>
                  <a:pt x="3304032" y="2068068"/>
                </a:lnTo>
                <a:lnTo>
                  <a:pt x="3304032" y="1863852"/>
                </a:lnTo>
                <a:close/>
              </a:path>
              <a:path w="7315200" h="2482850">
                <a:moveTo>
                  <a:pt x="3304032" y="1656588"/>
                </a:moveTo>
                <a:lnTo>
                  <a:pt x="2756916" y="1656588"/>
                </a:lnTo>
                <a:lnTo>
                  <a:pt x="2756916" y="1860804"/>
                </a:lnTo>
                <a:lnTo>
                  <a:pt x="3304032" y="1860804"/>
                </a:lnTo>
                <a:lnTo>
                  <a:pt x="3304032" y="1656588"/>
                </a:lnTo>
                <a:close/>
              </a:path>
              <a:path w="7315200" h="2482850">
                <a:moveTo>
                  <a:pt x="3304032" y="1450848"/>
                </a:moveTo>
                <a:lnTo>
                  <a:pt x="2756916" y="1450848"/>
                </a:lnTo>
                <a:lnTo>
                  <a:pt x="2756916" y="1653540"/>
                </a:lnTo>
                <a:lnTo>
                  <a:pt x="3304032" y="1653540"/>
                </a:lnTo>
                <a:lnTo>
                  <a:pt x="3304032" y="1450848"/>
                </a:lnTo>
                <a:close/>
              </a:path>
              <a:path w="7315200" h="2482850">
                <a:moveTo>
                  <a:pt x="3304032" y="1243584"/>
                </a:moveTo>
                <a:lnTo>
                  <a:pt x="2756916" y="1243584"/>
                </a:lnTo>
                <a:lnTo>
                  <a:pt x="2756916" y="1447800"/>
                </a:lnTo>
                <a:lnTo>
                  <a:pt x="3304032" y="1447800"/>
                </a:lnTo>
                <a:lnTo>
                  <a:pt x="3304032" y="1243584"/>
                </a:lnTo>
                <a:close/>
              </a:path>
              <a:path w="7315200" h="2482850">
                <a:moveTo>
                  <a:pt x="3304032" y="827532"/>
                </a:moveTo>
                <a:lnTo>
                  <a:pt x="2756916" y="827532"/>
                </a:lnTo>
                <a:lnTo>
                  <a:pt x="2756916" y="1240536"/>
                </a:lnTo>
                <a:lnTo>
                  <a:pt x="3304032" y="1240536"/>
                </a:lnTo>
                <a:lnTo>
                  <a:pt x="3304032" y="827532"/>
                </a:lnTo>
                <a:close/>
              </a:path>
              <a:path w="7315200" h="2482850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2482850">
                <a:moveTo>
                  <a:pt x="3304032" y="414528"/>
                </a:moveTo>
                <a:lnTo>
                  <a:pt x="2756916" y="414528"/>
                </a:lnTo>
                <a:lnTo>
                  <a:pt x="2756916" y="617220"/>
                </a:lnTo>
                <a:lnTo>
                  <a:pt x="3304032" y="617220"/>
                </a:lnTo>
                <a:lnTo>
                  <a:pt x="3304032" y="414528"/>
                </a:lnTo>
                <a:close/>
              </a:path>
              <a:path w="7315200" h="2482850">
                <a:moveTo>
                  <a:pt x="3304032" y="207264"/>
                </a:moveTo>
                <a:lnTo>
                  <a:pt x="2756916" y="207264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207264"/>
                </a:lnTo>
                <a:close/>
              </a:path>
              <a:path w="7315200" h="2482850">
                <a:moveTo>
                  <a:pt x="3304032" y="0"/>
                </a:moveTo>
                <a:lnTo>
                  <a:pt x="2756916" y="0"/>
                </a:lnTo>
                <a:lnTo>
                  <a:pt x="2756916" y="204216"/>
                </a:lnTo>
                <a:lnTo>
                  <a:pt x="3304032" y="204216"/>
                </a:lnTo>
                <a:lnTo>
                  <a:pt x="3304032" y="0"/>
                </a:lnTo>
                <a:close/>
              </a:path>
              <a:path w="7315200" h="2482850">
                <a:moveTo>
                  <a:pt x="3998976" y="2278380"/>
                </a:moveTo>
                <a:lnTo>
                  <a:pt x="3307080" y="2278380"/>
                </a:lnTo>
                <a:lnTo>
                  <a:pt x="3307080" y="2482596"/>
                </a:lnTo>
                <a:lnTo>
                  <a:pt x="3998976" y="2482596"/>
                </a:lnTo>
                <a:lnTo>
                  <a:pt x="3998976" y="2278380"/>
                </a:lnTo>
                <a:close/>
              </a:path>
              <a:path w="7315200" h="2482850">
                <a:moveTo>
                  <a:pt x="3998976" y="2071116"/>
                </a:moveTo>
                <a:lnTo>
                  <a:pt x="3307080" y="2071116"/>
                </a:lnTo>
                <a:lnTo>
                  <a:pt x="3307080" y="2275332"/>
                </a:lnTo>
                <a:lnTo>
                  <a:pt x="3998976" y="2275332"/>
                </a:lnTo>
                <a:lnTo>
                  <a:pt x="3998976" y="2071116"/>
                </a:lnTo>
                <a:close/>
              </a:path>
              <a:path w="7315200" h="2482850">
                <a:moveTo>
                  <a:pt x="3998976" y="1863852"/>
                </a:moveTo>
                <a:lnTo>
                  <a:pt x="3307080" y="1863852"/>
                </a:lnTo>
                <a:lnTo>
                  <a:pt x="3307080" y="2068068"/>
                </a:lnTo>
                <a:lnTo>
                  <a:pt x="3998976" y="2068068"/>
                </a:lnTo>
                <a:lnTo>
                  <a:pt x="3998976" y="1863852"/>
                </a:lnTo>
                <a:close/>
              </a:path>
              <a:path w="7315200" h="2482850">
                <a:moveTo>
                  <a:pt x="3998976" y="1656588"/>
                </a:moveTo>
                <a:lnTo>
                  <a:pt x="3307080" y="1656588"/>
                </a:lnTo>
                <a:lnTo>
                  <a:pt x="3307080" y="1860804"/>
                </a:lnTo>
                <a:lnTo>
                  <a:pt x="3998976" y="1860804"/>
                </a:lnTo>
                <a:lnTo>
                  <a:pt x="3998976" y="1656588"/>
                </a:lnTo>
                <a:close/>
              </a:path>
              <a:path w="7315200" h="2482850">
                <a:moveTo>
                  <a:pt x="3998976" y="1450848"/>
                </a:moveTo>
                <a:lnTo>
                  <a:pt x="3307080" y="1450848"/>
                </a:lnTo>
                <a:lnTo>
                  <a:pt x="3307080" y="1653540"/>
                </a:lnTo>
                <a:lnTo>
                  <a:pt x="3998976" y="1653540"/>
                </a:lnTo>
                <a:lnTo>
                  <a:pt x="3998976" y="1450848"/>
                </a:lnTo>
                <a:close/>
              </a:path>
              <a:path w="7315200" h="2482850">
                <a:moveTo>
                  <a:pt x="3998976" y="1243584"/>
                </a:moveTo>
                <a:lnTo>
                  <a:pt x="3307080" y="1243584"/>
                </a:lnTo>
                <a:lnTo>
                  <a:pt x="3307080" y="1447800"/>
                </a:lnTo>
                <a:lnTo>
                  <a:pt x="3998976" y="1447800"/>
                </a:lnTo>
                <a:lnTo>
                  <a:pt x="3998976" y="1243584"/>
                </a:lnTo>
                <a:close/>
              </a:path>
              <a:path w="7315200" h="2482850">
                <a:moveTo>
                  <a:pt x="3998976" y="827532"/>
                </a:moveTo>
                <a:lnTo>
                  <a:pt x="3307080" y="827532"/>
                </a:lnTo>
                <a:lnTo>
                  <a:pt x="3307080" y="1240536"/>
                </a:lnTo>
                <a:lnTo>
                  <a:pt x="3998976" y="1240536"/>
                </a:lnTo>
                <a:lnTo>
                  <a:pt x="3998976" y="827532"/>
                </a:lnTo>
                <a:close/>
              </a:path>
              <a:path w="7315200" h="2482850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2482850">
                <a:moveTo>
                  <a:pt x="3998976" y="414528"/>
                </a:moveTo>
                <a:lnTo>
                  <a:pt x="3307080" y="414528"/>
                </a:lnTo>
                <a:lnTo>
                  <a:pt x="3307080" y="617220"/>
                </a:lnTo>
                <a:lnTo>
                  <a:pt x="3998976" y="617220"/>
                </a:lnTo>
                <a:lnTo>
                  <a:pt x="3998976" y="414528"/>
                </a:lnTo>
                <a:close/>
              </a:path>
              <a:path w="7315200" h="2482850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2482850">
                <a:moveTo>
                  <a:pt x="3998976" y="0"/>
                </a:moveTo>
                <a:lnTo>
                  <a:pt x="3307080" y="0"/>
                </a:lnTo>
                <a:lnTo>
                  <a:pt x="3307080" y="204216"/>
                </a:lnTo>
                <a:lnTo>
                  <a:pt x="3998976" y="204216"/>
                </a:lnTo>
                <a:lnTo>
                  <a:pt x="3998976" y="0"/>
                </a:lnTo>
                <a:close/>
              </a:path>
              <a:path w="7315200" h="2482850">
                <a:moveTo>
                  <a:pt x="4828032" y="2071116"/>
                </a:moveTo>
                <a:lnTo>
                  <a:pt x="4002024" y="2071116"/>
                </a:lnTo>
                <a:lnTo>
                  <a:pt x="4002024" y="2275332"/>
                </a:lnTo>
                <a:lnTo>
                  <a:pt x="4828032" y="2275332"/>
                </a:lnTo>
                <a:lnTo>
                  <a:pt x="4828032" y="2071116"/>
                </a:lnTo>
                <a:close/>
              </a:path>
              <a:path w="7315200" h="2482850">
                <a:moveTo>
                  <a:pt x="4828032" y="1863852"/>
                </a:moveTo>
                <a:lnTo>
                  <a:pt x="4002024" y="1863852"/>
                </a:lnTo>
                <a:lnTo>
                  <a:pt x="4002024" y="2068068"/>
                </a:lnTo>
                <a:lnTo>
                  <a:pt x="4828032" y="2068068"/>
                </a:lnTo>
                <a:lnTo>
                  <a:pt x="4828032" y="1863852"/>
                </a:lnTo>
                <a:close/>
              </a:path>
              <a:path w="7315200" h="2482850">
                <a:moveTo>
                  <a:pt x="4828032" y="1656588"/>
                </a:moveTo>
                <a:lnTo>
                  <a:pt x="4002024" y="1656588"/>
                </a:lnTo>
                <a:lnTo>
                  <a:pt x="4002024" y="1860804"/>
                </a:lnTo>
                <a:lnTo>
                  <a:pt x="4828032" y="1860804"/>
                </a:lnTo>
                <a:lnTo>
                  <a:pt x="4828032" y="1656588"/>
                </a:lnTo>
                <a:close/>
              </a:path>
              <a:path w="7315200" h="2482850">
                <a:moveTo>
                  <a:pt x="4828032" y="1450848"/>
                </a:moveTo>
                <a:lnTo>
                  <a:pt x="4002024" y="1450848"/>
                </a:lnTo>
                <a:lnTo>
                  <a:pt x="4002024" y="1653540"/>
                </a:lnTo>
                <a:lnTo>
                  <a:pt x="4828032" y="1653540"/>
                </a:lnTo>
                <a:lnTo>
                  <a:pt x="4828032" y="1450848"/>
                </a:lnTo>
                <a:close/>
              </a:path>
              <a:path w="7315200" h="2482850">
                <a:moveTo>
                  <a:pt x="4828032" y="1243584"/>
                </a:moveTo>
                <a:lnTo>
                  <a:pt x="4002024" y="1243584"/>
                </a:lnTo>
                <a:lnTo>
                  <a:pt x="4002024" y="1447800"/>
                </a:lnTo>
                <a:lnTo>
                  <a:pt x="4828032" y="1447800"/>
                </a:lnTo>
                <a:lnTo>
                  <a:pt x="4828032" y="1243584"/>
                </a:lnTo>
                <a:close/>
              </a:path>
              <a:path w="7315200" h="2482850">
                <a:moveTo>
                  <a:pt x="4828032" y="827532"/>
                </a:moveTo>
                <a:lnTo>
                  <a:pt x="4002024" y="827532"/>
                </a:lnTo>
                <a:lnTo>
                  <a:pt x="4002024" y="1240536"/>
                </a:lnTo>
                <a:lnTo>
                  <a:pt x="4828032" y="1240536"/>
                </a:lnTo>
                <a:lnTo>
                  <a:pt x="4828032" y="827532"/>
                </a:lnTo>
                <a:close/>
              </a:path>
              <a:path w="7315200" h="2482850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2482850">
                <a:moveTo>
                  <a:pt x="4828032" y="414528"/>
                </a:moveTo>
                <a:lnTo>
                  <a:pt x="4002024" y="414528"/>
                </a:lnTo>
                <a:lnTo>
                  <a:pt x="4002024" y="617220"/>
                </a:lnTo>
                <a:lnTo>
                  <a:pt x="4828032" y="617220"/>
                </a:lnTo>
                <a:lnTo>
                  <a:pt x="4828032" y="414528"/>
                </a:lnTo>
                <a:close/>
              </a:path>
              <a:path w="7315200" h="2482850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2482850">
                <a:moveTo>
                  <a:pt x="4828032" y="0"/>
                </a:moveTo>
                <a:lnTo>
                  <a:pt x="4002024" y="0"/>
                </a:lnTo>
                <a:lnTo>
                  <a:pt x="4002024" y="204216"/>
                </a:lnTo>
                <a:lnTo>
                  <a:pt x="4828032" y="204216"/>
                </a:lnTo>
                <a:lnTo>
                  <a:pt x="4828032" y="0"/>
                </a:lnTo>
                <a:close/>
              </a:path>
              <a:path w="7315200" h="2482850">
                <a:moveTo>
                  <a:pt x="5657088" y="2071116"/>
                </a:moveTo>
                <a:lnTo>
                  <a:pt x="4831080" y="2071116"/>
                </a:lnTo>
                <a:lnTo>
                  <a:pt x="4831080" y="2275332"/>
                </a:lnTo>
                <a:lnTo>
                  <a:pt x="5657088" y="2275332"/>
                </a:lnTo>
                <a:lnTo>
                  <a:pt x="5657088" y="2071116"/>
                </a:lnTo>
                <a:close/>
              </a:path>
              <a:path w="7315200" h="2482850">
                <a:moveTo>
                  <a:pt x="5657088" y="1863852"/>
                </a:moveTo>
                <a:lnTo>
                  <a:pt x="4831080" y="1863852"/>
                </a:lnTo>
                <a:lnTo>
                  <a:pt x="4831080" y="2068068"/>
                </a:lnTo>
                <a:lnTo>
                  <a:pt x="5657088" y="2068068"/>
                </a:lnTo>
                <a:lnTo>
                  <a:pt x="5657088" y="1863852"/>
                </a:lnTo>
                <a:close/>
              </a:path>
              <a:path w="7315200" h="2482850">
                <a:moveTo>
                  <a:pt x="5657088" y="1656588"/>
                </a:moveTo>
                <a:lnTo>
                  <a:pt x="4831080" y="1656588"/>
                </a:lnTo>
                <a:lnTo>
                  <a:pt x="4831080" y="1860804"/>
                </a:lnTo>
                <a:lnTo>
                  <a:pt x="5657088" y="1860804"/>
                </a:lnTo>
                <a:lnTo>
                  <a:pt x="5657088" y="1656588"/>
                </a:lnTo>
                <a:close/>
              </a:path>
              <a:path w="7315200" h="2482850">
                <a:moveTo>
                  <a:pt x="5657088" y="1450848"/>
                </a:moveTo>
                <a:lnTo>
                  <a:pt x="4831080" y="1450848"/>
                </a:lnTo>
                <a:lnTo>
                  <a:pt x="4831080" y="1653540"/>
                </a:lnTo>
                <a:lnTo>
                  <a:pt x="5657088" y="1653540"/>
                </a:lnTo>
                <a:lnTo>
                  <a:pt x="5657088" y="1450848"/>
                </a:lnTo>
                <a:close/>
              </a:path>
              <a:path w="7315200" h="2482850">
                <a:moveTo>
                  <a:pt x="5657088" y="1243584"/>
                </a:moveTo>
                <a:lnTo>
                  <a:pt x="4831080" y="1243584"/>
                </a:lnTo>
                <a:lnTo>
                  <a:pt x="4831080" y="1447800"/>
                </a:lnTo>
                <a:lnTo>
                  <a:pt x="5657088" y="1447800"/>
                </a:lnTo>
                <a:lnTo>
                  <a:pt x="5657088" y="1243584"/>
                </a:lnTo>
                <a:close/>
              </a:path>
              <a:path w="7315200" h="2482850">
                <a:moveTo>
                  <a:pt x="5657088" y="827532"/>
                </a:moveTo>
                <a:lnTo>
                  <a:pt x="4831080" y="827532"/>
                </a:lnTo>
                <a:lnTo>
                  <a:pt x="4831080" y="1240536"/>
                </a:lnTo>
                <a:lnTo>
                  <a:pt x="5657088" y="1240536"/>
                </a:lnTo>
                <a:lnTo>
                  <a:pt x="5657088" y="827532"/>
                </a:lnTo>
                <a:close/>
              </a:path>
              <a:path w="7315200" h="2482850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2482850">
                <a:moveTo>
                  <a:pt x="5657088" y="414528"/>
                </a:moveTo>
                <a:lnTo>
                  <a:pt x="4831080" y="414528"/>
                </a:lnTo>
                <a:lnTo>
                  <a:pt x="4831080" y="617220"/>
                </a:lnTo>
                <a:lnTo>
                  <a:pt x="5657088" y="617220"/>
                </a:lnTo>
                <a:lnTo>
                  <a:pt x="5657088" y="414528"/>
                </a:lnTo>
                <a:close/>
              </a:path>
              <a:path w="7315200" h="2482850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2482850">
                <a:moveTo>
                  <a:pt x="5657088" y="0"/>
                </a:moveTo>
                <a:lnTo>
                  <a:pt x="4831080" y="0"/>
                </a:lnTo>
                <a:lnTo>
                  <a:pt x="4831080" y="204216"/>
                </a:lnTo>
                <a:lnTo>
                  <a:pt x="5657088" y="204216"/>
                </a:lnTo>
                <a:lnTo>
                  <a:pt x="5657088" y="0"/>
                </a:lnTo>
                <a:close/>
              </a:path>
              <a:path w="7315200" h="2482850">
                <a:moveTo>
                  <a:pt x="6486144" y="2071116"/>
                </a:moveTo>
                <a:lnTo>
                  <a:pt x="5660136" y="2071116"/>
                </a:lnTo>
                <a:lnTo>
                  <a:pt x="5660136" y="2275332"/>
                </a:lnTo>
                <a:lnTo>
                  <a:pt x="6486144" y="2275332"/>
                </a:lnTo>
                <a:lnTo>
                  <a:pt x="6486144" y="2071116"/>
                </a:lnTo>
                <a:close/>
              </a:path>
              <a:path w="7315200" h="2482850">
                <a:moveTo>
                  <a:pt x="6486144" y="1863852"/>
                </a:moveTo>
                <a:lnTo>
                  <a:pt x="5660136" y="1863852"/>
                </a:lnTo>
                <a:lnTo>
                  <a:pt x="5660136" y="2068068"/>
                </a:lnTo>
                <a:lnTo>
                  <a:pt x="6486144" y="2068068"/>
                </a:lnTo>
                <a:lnTo>
                  <a:pt x="6486144" y="1863852"/>
                </a:lnTo>
                <a:close/>
              </a:path>
              <a:path w="7315200" h="2482850">
                <a:moveTo>
                  <a:pt x="6486144" y="1656588"/>
                </a:moveTo>
                <a:lnTo>
                  <a:pt x="5660136" y="1656588"/>
                </a:lnTo>
                <a:lnTo>
                  <a:pt x="5660136" y="1860804"/>
                </a:lnTo>
                <a:lnTo>
                  <a:pt x="6486144" y="1860804"/>
                </a:lnTo>
                <a:lnTo>
                  <a:pt x="6486144" y="1656588"/>
                </a:lnTo>
                <a:close/>
              </a:path>
              <a:path w="7315200" h="2482850">
                <a:moveTo>
                  <a:pt x="6486144" y="1450848"/>
                </a:moveTo>
                <a:lnTo>
                  <a:pt x="5660136" y="1450848"/>
                </a:lnTo>
                <a:lnTo>
                  <a:pt x="5660136" y="1653540"/>
                </a:lnTo>
                <a:lnTo>
                  <a:pt x="6486144" y="1653540"/>
                </a:lnTo>
                <a:lnTo>
                  <a:pt x="6486144" y="1450848"/>
                </a:lnTo>
                <a:close/>
              </a:path>
              <a:path w="7315200" h="2482850">
                <a:moveTo>
                  <a:pt x="6486144" y="1243584"/>
                </a:moveTo>
                <a:lnTo>
                  <a:pt x="5660136" y="1243584"/>
                </a:lnTo>
                <a:lnTo>
                  <a:pt x="5660136" y="1447800"/>
                </a:lnTo>
                <a:lnTo>
                  <a:pt x="6486144" y="1447800"/>
                </a:lnTo>
                <a:lnTo>
                  <a:pt x="6486144" y="1243584"/>
                </a:lnTo>
                <a:close/>
              </a:path>
              <a:path w="7315200" h="2482850">
                <a:moveTo>
                  <a:pt x="6486144" y="827532"/>
                </a:moveTo>
                <a:lnTo>
                  <a:pt x="5660136" y="827532"/>
                </a:lnTo>
                <a:lnTo>
                  <a:pt x="5660136" y="1240536"/>
                </a:lnTo>
                <a:lnTo>
                  <a:pt x="6486144" y="1240536"/>
                </a:lnTo>
                <a:lnTo>
                  <a:pt x="6486144" y="827532"/>
                </a:lnTo>
                <a:close/>
              </a:path>
              <a:path w="7315200" h="2482850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2482850">
                <a:moveTo>
                  <a:pt x="6486144" y="414528"/>
                </a:moveTo>
                <a:lnTo>
                  <a:pt x="5660136" y="414528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4528"/>
                </a:lnTo>
                <a:close/>
              </a:path>
              <a:path w="7315200" h="2482850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2482850">
                <a:moveTo>
                  <a:pt x="6486144" y="0"/>
                </a:moveTo>
                <a:lnTo>
                  <a:pt x="5660136" y="0"/>
                </a:lnTo>
                <a:lnTo>
                  <a:pt x="5660136" y="204216"/>
                </a:lnTo>
                <a:lnTo>
                  <a:pt x="6486144" y="204216"/>
                </a:lnTo>
                <a:lnTo>
                  <a:pt x="6486144" y="0"/>
                </a:lnTo>
                <a:close/>
              </a:path>
              <a:path w="7315200" h="2482850">
                <a:moveTo>
                  <a:pt x="7315200" y="2071116"/>
                </a:moveTo>
                <a:lnTo>
                  <a:pt x="6489192" y="2071116"/>
                </a:lnTo>
                <a:lnTo>
                  <a:pt x="6489192" y="2275332"/>
                </a:lnTo>
                <a:lnTo>
                  <a:pt x="7315200" y="2275332"/>
                </a:lnTo>
                <a:lnTo>
                  <a:pt x="7315200" y="2071116"/>
                </a:lnTo>
                <a:close/>
              </a:path>
              <a:path w="7315200" h="2482850">
                <a:moveTo>
                  <a:pt x="7315200" y="1863852"/>
                </a:moveTo>
                <a:lnTo>
                  <a:pt x="6489192" y="1863852"/>
                </a:lnTo>
                <a:lnTo>
                  <a:pt x="6489192" y="2068068"/>
                </a:lnTo>
                <a:lnTo>
                  <a:pt x="7315200" y="2068068"/>
                </a:lnTo>
                <a:lnTo>
                  <a:pt x="7315200" y="1863852"/>
                </a:lnTo>
                <a:close/>
              </a:path>
              <a:path w="7315200" h="2482850">
                <a:moveTo>
                  <a:pt x="7315200" y="1656588"/>
                </a:moveTo>
                <a:lnTo>
                  <a:pt x="6489192" y="1656588"/>
                </a:lnTo>
                <a:lnTo>
                  <a:pt x="6489192" y="1860804"/>
                </a:lnTo>
                <a:lnTo>
                  <a:pt x="7315200" y="1860804"/>
                </a:lnTo>
                <a:lnTo>
                  <a:pt x="7315200" y="1656588"/>
                </a:lnTo>
                <a:close/>
              </a:path>
              <a:path w="7315200" h="2482850">
                <a:moveTo>
                  <a:pt x="7315200" y="1450848"/>
                </a:moveTo>
                <a:lnTo>
                  <a:pt x="6489192" y="1450848"/>
                </a:lnTo>
                <a:lnTo>
                  <a:pt x="6489192" y="1653540"/>
                </a:lnTo>
                <a:lnTo>
                  <a:pt x="7315200" y="1653540"/>
                </a:lnTo>
                <a:lnTo>
                  <a:pt x="7315200" y="1450848"/>
                </a:lnTo>
                <a:close/>
              </a:path>
              <a:path w="7315200" h="2482850">
                <a:moveTo>
                  <a:pt x="7315200" y="1243584"/>
                </a:moveTo>
                <a:lnTo>
                  <a:pt x="6489192" y="1243584"/>
                </a:lnTo>
                <a:lnTo>
                  <a:pt x="6489192" y="1447800"/>
                </a:lnTo>
                <a:lnTo>
                  <a:pt x="7315200" y="1447800"/>
                </a:lnTo>
                <a:lnTo>
                  <a:pt x="7315200" y="1243584"/>
                </a:lnTo>
                <a:close/>
              </a:path>
              <a:path w="7315200" h="2482850">
                <a:moveTo>
                  <a:pt x="7315200" y="827532"/>
                </a:moveTo>
                <a:lnTo>
                  <a:pt x="6489192" y="827532"/>
                </a:lnTo>
                <a:lnTo>
                  <a:pt x="6489192" y="1240536"/>
                </a:lnTo>
                <a:lnTo>
                  <a:pt x="7315200" y="1240536"/>
                </a:lnTo>
                <a:lnTo>
                  <a:pt x="7315200" y="827532"/>
                </a:lnTo>
                <a:close/>
              </a:path>
              <a:path w="7315200" h="2482850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2482850">
                <a:moveTo>
                  <a:pt x="7315200" y="414528"/>
                </a:moveTo>
                <a:lnTo>
                  <a:pt x="6489192" y="414528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4528"/>
                </a:lnTo>
                <a:close/>
              </a:path>
              <a:path w="7315200" h="2482850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  <a:path w="7315200" h="2482850">
                <a:moveTo>
                  <a:pt x="7315200" y="0"/>
                </a:moveTo>
                <a:lnTo>
                  <a:pt x="6489192" y="0"/>
                </a:lnTo>
                <a:lnTo>
                  <a:pt x="6489192" y="204216"/>
                </a:lnTo>
                <a:lnTo>
                  <a:pt x="7315200" y="204216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83" name="Shape 83">
            <a:extLst>
              <a:ext uri="{FF2B5EF4-FFF2-40B4-BE49-F238E27FC236}">
                <a16:creationId xmlns:a16="http://schemas.microsoft.com/office/drawing/2014/main" id="{00000000-0008-0000-0800-000053000000}"/>
              </a:ext>
            </a:extLst>
          </xdr:cNvPr>
          <xdr:cNvSpPr/>
        </xdr:nvSpPr>
        <xdr:spPr>
          <a:xfrm>
            <a:off x="0" y="2278379"/>
            <a:ext cx="7315200" cy="1652270"/>
          </a:xfrm>
          <a:custGeom>
            <a:avLst/>
            <a:gdLst/>
            <a:ahLst/>
            <a:cxnLst/>
            <a:rect l="0" t="0" r="0" b="0"/>
            <a:pathLst>
              <a:path w="7315200" h="1652270">
                <a:moveTo>
                  <a:pt x="339852" y="207264"/>
                </a:moveTo>
                <a:lnTo>
                  <a:pt x="0" y="207264"/>
                </a:lnTo>
                <a:lnTo>
                  <a:pt x="0" y="1652016"/>
                </a:lnTo>
                <a:lnTo>
                  <a:pt x="339852" y="1652016"/>
                </a:lnTo>
                <a:lnTo>
                  <a:pt x="339852" y="207264"/>
                </a:lnTo>
                <a:close/>
              </a:path>
              <a:path w="7315200" h="1652270">
                <a:moveTo>
                  <a:pt x="1376172" y="207264"/>
                </a:moveTo>
                <a:lnTo>
                  <a:pt x="342900" y="207264"/>
                </a:lnTo>
                <a:lnTo>
                  <a:pt x="342900" y="1652016"/>
                </a:lnTo>
                <a:lnTo>
                  <a:pt x="1376172" y="1652016"/>
                </a:lnTo>
                <a:lnTo>
                  <a:pt x="1376172" y="207264"/>
                </a:lnTo>
                <a:close/>
              </a:path>
              <a:path w="7315200" h="1652270">
                <a:moveTo>
                  <a:pt x="2753868" y="207264"/>
                </a:moveTo>
                <a:lnTo>
                  <a:pt x="1379220" y="207264"/>
                </a:lnTo>
                <a:lnTo>
                  <a:pt x="1379220" y="1652016"/>
                </a:lnTo>
                <a:lnTo>
                  <a:pt x="2753868" y="1652016"/>
                </a:lnTo>
                <a:lnTo>
                  <a:pt x="2753868" y="207264"/>
                </a:lnTo>
                <a:close/>
              </a:path>
              <a:path w="7315200" h="1652270">
                <a:moveTo>
                  <a:pt x="3304032" y="1447800"/>
                </a:moveTo>
                <a:lnTo>
                  <a:pt x="2756916" y="1447800"/>
                </a:lnTo>
                <a:lnTo>
                  <a:pt x="2756916" y="1652016"/>
                </a:lnTo>
                <a:lnTo>
                  <a:pt x="3304032" y="1652016"/>
                </a:lnTo>
                <a:lnTo>
                  <a:pt x="3304032" y="1447800"/>
                </a:lnTo>
                <a:close/>
              </a:path>
              <a:path w="7315200" h="1652270">
                <a:moveTo>
                  <a:pt x="3304032" y="1240536"/>
                </a:moveTo>
                <a:lnTo>
                  <a:pt x="2756916" y="1240536"/>
                </a:lnTo>
                <a:lnTo>
                  <a:pt x="2756916" y="1444752"/>
                </a:lnTo>
                <a:lnTo>
                  <a:pt x="3304032" y="1444752"/>
                </a:lnTo>
                <a:lnTo>
                  <a:pt x="3304032" y="1240536"/>
                </a:lnTo>
                <a:close/>
              </a:path>
              <a:path w="7315200" h="1652270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1652270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1652270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1652270">
                <a:moveTo>
                  <a:pt x="3304032" y="414528"/>
                </a:moveTo>
                <a:lnTo>
                  <a:pt x="2756916" y="414528"/>
                </a:lnTo>
                <a:lnTo>
                  <a:pt x="2756916" y="617220"/>
                </a:lnTo>
                <a:lnTo>
                  <a:pt x="3304032" y="617220"/>
                </a:lnTo>
                <a:lnTo>
                  <a:pt x="3304032" y="414528"/>
                </a:lnTo>
                <a:close/>
              </a:path>
              <a:path w="7315200" h="1652270">
                <a:moveTo>
                  <a:pt x="3304032" y="207264"/>
                </a:moveTo>
                <a:lnTo>
                  <a:pt x="2756916" y="207264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207264"/>
                </a:lnTo>
                <a:close/>
              </a:path>
              <a:path w="7315200" h="1652270">
                <a:moveTo>
                  <a:pt x="3998976" y="1447800"/>
                </a:moveTo>
                <a:lnTo>
                  <a:pt x="3307080" y="1447800"/>
                </a:lnTo>
                <a:lnTo>
                  <a:pt x="3307080" y="1652016"/>
                </a:lnTo>
                <a:lnTo>
                  <a:pt x="3998976" y="1652016"/>
                </a:lnTo>
                <a:lnTo>
                  <a:pt x="3998976" y="1447800"/>
                </a:lnTo>
                <a:close/>
              </a:path>
              <a:path w="7315200" h="1652270">
                <a:moveTo>
                  <a:pt x="3998976" y="1240536"/>
                </a:moveTo>
                <a:lnTo>
                  <a:pt x="3307080" y="1240536"/>
                </a:lnTo>
                <a:lnTo>
                  <a:pt x="3307080" y="1444752"/>
                </a:lnTo>
                <a:lnTo>
                  <a:pt x="3998976" y="1444752"/>
                </a:lnTo>
                <a:lnTo>
                  <a:pt x="3998976" y="1240536"/>
                </a:lnTo>
                <a:close/>
              </a:path>
              <a:path w="7315200" h="1652270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1652270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1652270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1652270">
                <a:moveTo>
                  <a:pt x="3998976" y="414528"/>
                </a:moveTo>
                <a:lnTo>
                  <a:pt x="3307080" y="414528"/>
                </a:lnTo>
                <a:lnTo>
                  <a:pt x="3307080" y="617220"/>
                </a:lnTo>
                <a:lnTo>
                  <a:pt x="3998976" y="617220"/>
                </a:lnTo>
                <a:lnTo>
                  <a:pt x="3998976" y="414528"/>
                </a:lnTo>
                <a:close/>
              </a:path>
              <a:path w="7315200" h="1652270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1652270">
                <a:moveTo>
                  <a:pt x="3998976" y="0"/>
                </a:moveTo>
                <a:lnTo>
                  <a:pt x="3307080" y="0"/>
                </a:lnTo>
                <a:lnTo>
                  <a:pt x="3307080" y="204216"/>
                </a:lnTo>
                <a:lnTo>
                  <a:pt x="3998976" y="204216"/>
                </a:lnTo>
                <a:lnTo>
                  <a:pt x="3998976" y="0"/>
                </a:lnTo>
                <a:close/>
              </a:path>
              <a:path w="7315200" h="1652270">
                <a:moveTo>
                  <a:pt x="4828032" y="1447800"/>
                </a:moveTo>
                <a:lnTo>
                  <a:pt x="4002024" y="1447800"/>
                </a:lnTo>
                <a:lnTo>
                  <a:pt x="4002024" y="1652016"/>
                </a:lnTo>
                <a:lnTo>
                  <a:pt x="4828032" y="1652016"/>
                </a:lnTo>
                <a:lnTo>
                  <a:pt x="4828032" y="1447800"/>
                </a:lnTo>
                <a:close/>
              </a:path>
              <a:path w="7315200" h="1652270">
                <a:moveTo>
                  <a:pt x="4828032" y="1240536"/>
                </a:moveTo>
                <a:lnTo>
                  <a:pt x="4002024" y="1240536"/>
                </a:lnTo>
                <a:lnTo>
                  <a:pt x="4002024" y="1444752"/>
                </a:lnTo>
                <a:lnTo>
                  <a:pt x="4828032" y="1444752"/>
                </a:lnTo>
                <a:lnTo>
                  <a:pt x="4828032" y="1240536"/>
                </a:lnTo>
                <a:close/>
              </a:path>
              <a:path w="7315200" h="1652270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1652270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1652270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1652270">
                <a:moveTo>
                  <a:pt x="4828032" y="414528"/>
                </a:moveTo>
                <a:lnTo>
                  <a:pt x="4002024" y="414528"/>
                </a:lnTo>
                <a:lnTo>
                  <a:pt x="4002024" y="617220"/>
                </a:lnTo>
                <a:lnTo>
                  <a:pt x="4828032" y="617220"/>
                </a:lnTo>
                <a:lnTo>
                  <a:pt x="4828032" y="414528"/>
                </a:lnTo>
                <a:close/>
              </a:path>
              <a:path w="7315200" h="1652270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1652270">
                <a:moveTo>
                  <a:pt x="4828032" y="0"/>
                </a:moveTo>
                <a:lnTo>
                  <a:pt x="4002024" y="0"/>
                </a:lnTo>
                <a:lnTo>
                  <a:pt x="4002024" y="204216"/>
                </a:lnTo>
                <a:lnTo>
                  <a:pt x="4828032" y="204216"/>
                </a:lnTo>
                <a:lnTo>
                  <a:pt x="4828032" y="0"/>
                </a:lnTo>
                <a:close/>
              </a:path>
              <a:path w="7315200" h="1652270">
                <a:moveTo>
                  <a:pt x="5657088" y="1447800"/>
                </a:moveTo>
                <a:lnTo>
                  <a:pt x="4831080" y="1447800"/>
                </a:lnTo>
                <a:lnTo>
                  <a:pt x="4831080" y="1652016"/>
                </a:lnTo>
                <a:lnTo>
                  <a:pt x="5657088" y="1652016"/>
                </a:lnTo>
                <a:lnTo>
                  <a:pt x="5657088" y="1447800"/>
                </a:lnTo>
                <a:close/>
              </a:path>
              <a:path w="7315200" h="1652270">
                <a:moveTo>
                  <a:pt x="5657088" y="1240536"/>
                </a:moveTo>
                <a:lnTo>
                  <a:pt x="4831080" y="1240536"/>
                </a:lnTo>
                <a:lnTo>
                  <a:pt x="4831080" y="1444752"/>
                </a:lnTo>
                <a:lnTo>
                  <a:pt x="5657088" y="1444752"/>
                </a:lnTo>
                <a:lnTo>
                  <a:pt x="5657088" y="1240536"/>
                </a:lnTo>
                <a:close/>
              </a:path>
              <a:path w="7315200" h="1652270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1652270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1652270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1652270">
                <a:moveTo>
                  <a:pt x="5657088" y="414528"/>
                </a:moveTo>
                <a:lnTo>
                  <a:pt x="4831080" y="414528"/>
                </a:lnTo>
                <a:lnTo>
                  <a:pt x="4831080" y="617220"/>
                </a:lnTo>
                <a:lnTo>
                  <a:pt x="5657088" y="617220"/>
                </a:lnTo>
                <a:lnTo>
                  <a:pt x="5657088" y="414528"/>
                </a:lnTo>
                <a:close/>
              </a:path>
              <a:path w="7315200" h="1652270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1652270">
                <a:moveTo>
                  <a:pt x="5657088" y="0"/>
                </a:moveTo>
                <a:lnTo>
                  <a:pt x="4831080" y="0"/>
                </a:lnTo>
                <a:lnTo>
                  <a:pt x="4831080" y="204216"/>
                </a:lnTo>
                <a:lnTo>
                  <a:pt x="5657088" y="204216"/>
                </a:lnTo>
                <a:lnTo>
                  <a:pt x="5657088" y="0"/>
                </a:lnTo>
                <a:close/>
              </a:path>
              <a:path w="7315200" h="1652270">
                <a:moveTo>
                  <a:pt x="6486144" y="1447800"/>
                </a:moveTo>
                <a:lnTo>
                  <a:pt x="5660136" y="1447800"/>
                </a:lnTo>
                <a:lnTo>
                  <a:pt x="5660136" y="1652016"/>
                </a:lnTo>
                <a:lnTo>
                  <a:pt x="6486144" y="1652016"/>
                </a:lnTo>
                <a:lnTo>
                  <a:pt x="6486144" y="1447800"/>
                </a:lnTo>
                <a:close/>
              </a:path>
              <a:path w="7315200" h="1652270">
                <a:moveTo>
                  <a:pt x="6486144" y="1240536"/>
                </a:moveTo>
                <a:lnTo>
                  <a:pt x="5660136" y="1240536"/>
                </a:lnTo>
                <a:lnTo>
                  <a:pt x="5660136" y="1444752"/>
                </a:lnTo>
                <a:lnTo>
                  <a:pt x="6486144" y="1444752"/>
                </a:lnTo>
                <a:lnTo>
                  <a:pt x="6486144" y="1240536"/>
                </a:lnTo>
                <a:close/>
              </a:path>
              <a:path w="7315200" h="1652270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1652270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1652270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1652270">
                <a:moveTo>
                  <a:pt x="6486144" y="414528"/>
                </a:moveTo>
                <a:lnTo>
                  <a:pt x="5660136" y="414528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4528"/>
                </a:lnTo>
                <a:close/>
              </a:path>
              <a:path w="7315200" h="1652270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1652270">
                <a:moveTo>
                  <a:pt x="6486144" y="0"/>
                </a:moveTo>
                <a:lnTo>
                  <a:pt x="5660136" y="0"/>
                </a:lnTo>
                <a:lnTo>
                  <a:pt x="5660136" y="204216"/>
                </a:lnTo>
                <a:lnTo>
                  <a:pt x="6486144" y="204216"/>
                </a:lnTo>
                <a:lnTo>
                  <a:pt x="6486144" y="0"/>
                </a:lnTo>
                <a:close/>
              </a:path>
              <a:path w="7315200" h="1652270">
                <a:moveTo>
                  <a:pt x="7315200" y="1447800"/>
                </a:moveTo>
                <a:lnTo>
                  <a:pt x="6489192" y="1447800"/>
                </a:lnTo>
                <a:lnTo>
                  <a:pt x="6489192" y="1652016"/>
                </a:lnTo>
                <a:lnTo>
                  <a:pt x="7315200" y="1652016"/>
                </a:lnTo>
                <a:lnTo>
                  <a:pt x="7315200" y="1447800"/>
                </a:lnTo>
                <a:close/>
              </a:path>
              <a:path w="7315200" h="1652270">
                <a:moveTo>
                  <a:pt x="7315200" y="1240536"/>
                </a:moveTo>
                <a:lnTo>
                  <a:pt x="6489192" y="1240536"/>
                </a:lnTo>
                <a:lnTo>
                  <a:pt x="6489192" y="1444752"/>
                </a:lnTo>
                <a:lnTo>
                  <a:pt x="7315200" y="1444752"/>
                </a:lnTo>
                <a:lnTo>
                  <a:pt x="7315200" y="1240536"/>
                </a:lnTo>
                <a:close/>
              </a:path>
              <a:path w="7315200" h="1652270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1652270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1652270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1652270">
                <a:moveTo>
                  <a:pt x="7315200" y="414528"/>
                </a:moveTo>
                <a:lnTo>
                  <a:pt x="6489192" y="414528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4528"/>
                </a:lnTo>
                <a:close/>
              </a:path>
              <a:path w="7315200" h="1652270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  <a:path w="7315200" h="1652270">
                <a:moveTo>
                  <a:pt x="7315200" y="0"/>
                </a:moveTo>
                <a:lnTo>
                  <a:pt x="6489192" y="0"/>
                </a:lnTo>
                <a:lnTo>
                  <a:pt x="6489192" y="204216"/>
                </a:lnTo>
                <a:lnTo>
                  <a:pt x="7315200" y="204216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536321</xdr:colOff>
      <xdr:row>24</xdr:row>
      <xdr:rowOff>0</xdr:rowOff>
    </xdr:from>
    <xdr:ext cx="702945" cy="3930650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0" y="0"/>
          <a:ext cx="702945" cy="3930650"/>
        </a:xfrm>
        <a:custGeom>
          <a:avLst/>
          <a:gdLst/>
          <a:ahLst/>
          <a:cxnLst/>
          <a:rect l="0" t="0" r="0" b="0"/>
          <a:pathLst>
            <a:path w="702945" h="3930650">
              <a:moveTo>
                <a:pt x="702564" y="3726180"/>
              </a:moveTo>
              <a:lnTo>
                <a:pt x="0" y="3726180"/>
              </a:lnTo>
              <a:lnTo>
                <a:pt x="0" y="3930396"/>
              </a:lnTo>
              <a:lnTo>
                <a:pt x="702564" y="3930396"/>
              </a:lnTo>
              <a:lnTo>
                <a:pt x="702564" y="3726180"/>
              </a:lnTo>
              <a:close/>
            </a:path>
            <a:path w="702945" h="3930650">
              <a:moveTo>
                <a:pt x="702564" y="3518916"/>
              </a:moveTo>
              <a:lnTo>
                <a:pt x="0" y="3518916"/>
              </a:lnTo>
              <a:lnTo>
                <a:pt x="0" y="3723132"/>
              </a:lnTo>
              <a:lnTo>
                <a:pt x="702564" y="3723132"/>
              </a:lnTo>
              <a:lnTo>
                <a:pt x="702564" y="3518916"/>
              </a:lnTo>
              <a:close/>
            </a:path>
            <a:path w="702945" h="3930650">
              <a:moveTo>
                <a:pt x="702564" y="3313176"/>
              </a:moveTo>
              <a:lnTo>
                <a:pt x="0" y="3313176"/>
              </a:lnTo>
              <a:lnTo>
                <a:pt x="0" y="3517392"/>
              </a:lnTo>
              <a:lnTo>
                <a:pt x="702564" y="3517392"/>
              </a:lnTo>
              <a:lnTo>
                <a:pt x="702564" y="3313176"/>
              </a:lnTo>
              <a:close/>
            </a:path>
            <a:path w="702945" h="3930650">
              <a:moveTo>
                <a:pt x="702564" y="3105912"/>
              </a:moveTo>
              <a:lnTo>
                <a:pt x="0" y="3105912"/>
              </a:lnTo>
              <a:lnTo>
                <a:pt x="0" y="3310128"/>
              </a:lnTo>
              <a:lnTo>
                <a:pt x="702564" y="3310128"/>
              </a:lnTo>
              <a:lnTo>
                <a:pt x="702564" y="3105912"/>
              </a:lnTo>
              <a:close/>
            </a:path>
            <a:path w="702945" h="3930650">
              <a:moveTo>
                <a:pt x="702564" y="2898648"/>
              </a:moveTo>
              <a:lnTo>
                <a:pt x="0" y="2898648"/>
              </a:lnTo>
              <a:lnTo>
                <a:pt x="0" y="3102864"/>
              </a:lnTo>
              <a:lnTo>
                <a:pt x="702564" y="3102864"/>
              </a:lnTo>
              <a:lnTo>
                <a:pt x="702564" y="2898648"/>
              </a:lnTo>
              <a:close/>
            </a:path>
            <a:path w="702945" h="3930650">
              <a:moveTo>
                <a:pt x="702564" y="2692908"/>
              </a:moveTo>
              <a:lnTo>
                <a:pt x="0" y="2692908"/>
              </a:lnTo>
              <a:lnTo>
                <a:pt x="0" y="2895600"/>
              </a:lnTo>
              <a:lnTo>
                <a:pt x="702564" y="2895600"/>
              </a:lnTo>
              <a:lnTo>
                <a:pt x="702564" y="2692908"/>
              </a:lnTo>
              <a:close/>
            </a:path>
            <a:path w="702945" h="3930650">
              <a:moveTo>
                <a:pt x="702564" y="2485644"/>
              </a:moveTo>
              <a:lnTo>
                <a:pt x="0" y="2485644"/>
              </a:lnTo>
              <a:lnTo>
                <a:pt x="0" y="2689860"/>
              </a:lnTo>
              <a:lnTo>
                <a:pt x="702564" y="2689860"/>
              </a:lnTo>
              <a:lnTo>
                <a:pt x="702564" y="2485644"/>
              </a:lnTo>
              <a:close/>
            </a:path>
            <a:path w="702945" h="3930650">
              <a:moveTo>
                <a:pt x="702564" y="2278380"/>
              </a:moveTo>
              <a:lnTo>
                <a:pt x="0" y="2278380"/>
              </a:lnTo>
              <a:lnTo>
                <a:pt x="0" y="2482596"/>
              </a:lnTo>
              <a:lnTo>
                <a:pt x="702564" y="2482596"/>
              </a:lnTo>
              <a:lnTo>
                <a:pt x="702564" y="2278380"/>
              </a:lnTo>
              <a:close/>
            </a:path>
            <a:path w="702945" h="3930650">
              <a:moveTo>
                <a:pt x="702564" y="2071116"/>
              </a:moveTo>
              <a:lnTo>
                <a:pt x="0" y="2071116"/>
              </a:lnTo>
              <a:lnTo>
                <a:pt x="0" y="2275332"/>
              </a:lnTo>
              <a:lnTo>
                <a:pt x="702564" y="2275332"/>
              </a:lnTo>
              <a:lnTo>
                <a:pt x="702564" y="2071116"/>
              </a:lnTo>
              <a:close/>
            </a:path>
            <a:path w="702945" h="3930650">
              <a:moveTo>
                <a:pt x="702564" y="1863852"/>
              </a:moveTo>
              <a:lnTo>
                <a:pt x="0" y="1863852"/>
              </a:lnTo>
              <a:lnTo>
                <a:pt x="0" y="2068068"/>
              </a:lnTo>
              <a:lnTo>
                <a:pt x="702564" y="2068068"/>
              </a:lnTo>
              <a:lnTo>
                <a:pt x="702564" y="1863852"/>
              </a:lnTo>
              <a:close/>
            </a:path>
            <a:path w="702945" h="3930650">
              <a:moveTo>
                <a:pt x="702564" y="1656588"/>
              </a:moveTo>
              <a:lnTo>
                <a:pt x="0" y="1656588"/>
              </a:lnTo>
              <a:lnTo>
                <a:pt x="0" y="1860804"/>
              </a:lnTo>
              <a:lnTo>
                <a:pt x="702564" y="1860804"/>
              </a:lnTo>
              <a:lnTo>
                <a:pt x="702564" y="1656588"/>
              </a:lnTo>
              <a:close/>
            </a:path>
            <a:path w="702945" h="3930650">
              <a:moveTo>
                <a:pt x="702564" y="1450848"/>
              </a:moveTo>
              <a:lnTo>
                <a:pt x="0" y="1450848"/>
              </a:lnTo>
              <a:lnTo>
                <a:pt x="0" y="1653540"/>
              </a:lnTo>
              <a:lnTo>
                <a:pt x="702564" y="1653540"/>
              </a:lnTo>
              <a:lnTo>
                <a:pt x="702564" y="1450848"/>
              </a:lnTo>
              <a:close/>
            </a:path>
            <a:path w="702945" h="3930650">
              <a:moveTo>
                <a:pt x="702564" y="1243584"/>
              </a:moveTo>
              <a:lnTo>
                <a:pt x="0" y="1243584"/>
              </a:lnTo>
              <a:lnTo>
                <a:pt x="0" y="1447800"/>
              </a:lnTo>
              <a:lnTo>
                <a:pt x="702564" y="1447800"/>
              </a:lnTo>
              <a:lnTo>
                <a:pt x="702564" y="1243584"/>
              </a:lnTo>
              <a:close/>
            </a:path>
            <a:path w="702945" h="3930650">
              <a:moveTo>
                <a:pt x="702564" y="827532"/>
              </a:moveTo>
              <a:lnTo>
                <a:pt x="0" y="827532"/>
              </a:lnTo>
              <a:lnTo>
                <a:pt x="0" y="1240536"/>
              </a:lnTo>
              <a:lnTo>
                <a:pt x="702564" y="1240536"/>
              </a:lnTo>
              <a:lnTo>
                <a:pt x="702564" y="827532"/>
              </a:lnTo>
              <a:close/>
            </a:path>
            <a:path w="702945" h="3930650">
              <a:moveTo>
                <a:pt x="702564" y="620268"/>
              </a:moveTo>
              <a:lnTo>
                <a:pt x="0" y="620268"/>
              </a:lnTo>
              <a:lnTo>
                <a:pt x="0" y="824484"/>
              </a:lnTo>
              <a:lnTo>
                <a:pt x="702564" y="824484"/>
              </a:lnTo>
              <a:lnTo>
                <a:pt x="702564" y="620268"/>
              </a:lnTo>
              <a:close/>
            </a:path>
            <a:path w="702945" h="3930650">
              <a:moveTo>
                <a:pt x="702564" y="414528"/>
              </a:moveTo>
              <a:lnTo>
                <a:pt x="0" y="414528"/>
              </a:lnTo>
              <a:lnTo>
                <a:pt x="0" y="617220"/>
              </a:lnTo>
              <a:lnTo>
                <a:pt x="702564" y="617220"/>
              </a:lnTo>
              <a:lnTo>
                <a:pt x="702564" y="414528"/>
              </a:lnTo>
              <a:close/>
            </a:path>
            <a:path w="702945" h="3930650">
              <a:moveTo>
                <a:pt x="702564" y="207264"/>
              </a:moveTo>
              <a:lnTo>
                <a:pt x="0" y="207264"/>
              </a:lnTo>
              <a:lnTo>
                <a:pt x="0" y="411480"/>
              </a:lnTo>
              <a:lnTo>
                <a:pt x="702564" y="411480"/>
              </a:lnTo>
              <a:lnTo>
                <a:pt x="702564" y="207264"/>
              </a:lnTo>
              <a:close/>
            </a:path>
            <a:path w="702945" h="3930650">
              <a:moveTo>
                <a:pt x="702564" y="0"/>
              </a:moveTo>
              <a:lnTo>
                <a:pt x="0" y="0"/>
              </a:lnTo>
              <a:lnTo>
                <a:pt x="0" y="204216"/>
              </a:lnTo>
              <a:lnTo>
                <a:pt x="702564" y="204216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541909</xdr:colOff>
      <xdr:row>26</xdr:row>
      <xdr:rowOff>0</xdr:rowOff>
    </xdr:from>
    <xdr:ext cx="3313429" cy="375285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235457</xdr:colOff>
      <xdr:row>3</xdr:row>
      <xdr:rowOff>762</xdr:rowOff>
    </xdr:from>
    <xdr:ext cx="381000" cy="381000"/>
    <xdr:pic>
      <xdr:nvPicPr>
        <xdr:cNvPr id="86" name="image1.jpeg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6</xdr:col>
      <xdr:colOff>330696</xdr:colOff>
      <xdr:row>3</xdr:row>
      <xdr:rowOff>49142</xdr:rowOff>
    </xdr:from>
    <xdr:ext cx="193523" cy="290285"/>
    <xdr:pic>
      <xdr:nvPicPr>
        <xdr:cNvPr id="87" name="image2.jpeg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7</xdr:col>
      <xdr:colOff>235458</xdr:colOff>
      <xdr:row>3</xdr:row>
      <xdr:rowOff>49142</xdr:rowOff>
    </xdr:from>
    <xdr:ext cx="381000" cy="290285"/>
    <xdr:pic>
      <xdr:nvPicPr>
        <xdr:cNvPr id="88" name="image3.jpeg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49142</xdr:rowOff>
    </xdr:from>
    <xdr:ext cx="381000" cy="290285"/>
    <xdr:pic>
      <xdr:nvPicPr>
        <xdr:cNvPr id="89" name="image4.jpeg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198754</xdr:colOff>
      <xdr:row>27</xdr:row>
      <xdr:rowOff>0</xdr:rowOff>
    </xdr:from>
    <xdr:ext cx="7315200" cy="4343400"/>
    <xdr:grpSp>
      <xdr:nvGrpSpPr>
        <xdr:cNvPr id="90" name="Group 90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GrpSpPr/>
      </xdr:nvGrpSpPr>
      <xdr:grpSpPr>
        <a:xfrm>
          <a:off x="610234" y="6507480"/>
          <a:ext cx="7315200" cy="4343400"/>
          <a:chOff x="0" y="0"/>
          <a:chExt cx="7315200" cy="4343400"/>
        </a:xfrm>
      </xdr:grpSpPr>
      <xdr:sp macro="" textlink="">
        <xdr:nvSpPr>
          <xdr:cNvPr id="91" name="Shape 91">
            <a:extLst>
              <a:ext uri="{FF2B5EF4-FFF2-40B4-BE49-F238E27FC236}">
                <a16:creationId xmlns:a16="http://schemas.microsoft.com/office/drawing/2014/main" id="{00000000-0008-0000-0900-00005B000000}"/>
              </a:ext>
            </a:extLst>
          </xdr:cNvPr>
          <xdr:cNvSpPr/>
        </xdr:nvSpPr>
        <xdr:spPr>
          <a:xfrm>
            <a:off x="0" y="0"/>
            <a:ext cx="7315200" cy="2273935"/>
          </a:xfrm>
          <a:custGeom>
            <a:avLst/>
            <a:gdLst/>
            <a:ahLst/>
            <a:cxnLst/>
            <a:rect l="0" t="0" r="0" b="0"/>
            <a:pathLst>
              <a:path w="7315200" h="2273935">
                <a:moveTo>
                  <a:pt x="339852" y="1034796"/>
                </a:moveTo>
                <a:lnTo>
                  <a:pt x="0" y="1034796"/>
                </a:lnTo>
                <a:lnTo>
                  <a:pt x="0" y="2066544"/>
                </a:lnTo>
                <a:lnTo>
                  <a:pt x="339852" y="2066544"/>
                </a:lnTo>
                <a:lnTo>
                  <a:pt x="339852" y="1034796"/>
                </a:lnTo>
                <a:close/>
              </a:path>
              <a:path w="7315200" h="2273935">
                <a:moveTo>
                  <a:pt x="339852" y="0"/>
                </a:moveTo>
                <a:lnTo>
                  <a:pt x="0" y="0"/>
                </a:lnTo>
                <a:lnTo>
                  <a:pt x="0" y="1031748"/>
                </a:lnTo>
                <a:lnTo>
                  <a:pt x="339852" y="1031748"/>
                </a:lnTo>
                <a:lnTo>
                  <a:pt x="339852" y="0"/>
                </a:lnTo>
                <a:close/>
              </a:path>
              <a:path w="7315200" h="2273935">
                <a:moveTo>
                  <a:pt x="1376172" y="1034796"/>
                </a:moveTo>
                <a:lnTo>
                  <a:pt x="342900" y="1034796"/>
                </a:lnTo>
                <a:lnTo>
                  <a:pt x="342900" y="2066544"/>
                </a:lnTo>
                <a:lnTo>
                  <a:pt x="1376172" y="2066544"/>
                </a:lnTo>
                <a:lnTo>
                  <a:pt x="1376172" y="1034796"/>
                </a:lnTo>
                <a:close/>
              </a:path>
              <a:path w="7315200" h="2273935">
                <a:moveTo>
                  <a:pt x="1376172" y="0"/>
                </a:moveTo>
                <a:lnTo>
                  <a:pt x="342900" y="0"/>
                </a:lnTo>
                <a:lnTo>
                  <a:pt x="342900" y="1031748"/>
                </a:lnTo>
                <a:lnTo>
                  <a:pt x="1376172" y="1031748"/>
                </a:lnTo>
                <a:lnTo>
                  <a:pt x="1376172" y="0"/>
                </a:lnTo>
                <a:close/>
              </a:path>
              <a:path w="7315200" h="2273935">
                <a:moveTo>
                  <a:pt x="2753868" y="1034796"/>
                </a:moveTo>
                <a:lnTo>
                  <a:pt x="1379220" y="1034796"/>
                </a:lnTo>
                <a:lnTo>
                  <a:pt x="1379220" y="2066544"/>
                </a:lnTo>
                <a:lnTo>
                  <a:pt x="2753868" y="2066544"/>
                </a:lnTo>
                <a:lnTo>
                  <a:pt x="2753868" y="1034796"/>
                </a:lnTo>
                <a:close/>
              </a:path>
              <a:path w="7315200" h="2273935">
                <a:moveTo>
                  <a:pt x="2753868" y="0"/>
                </a:moveTo>
                <a:lnTo>
                  <a:pt x="1379220" y="0"/>
                </a:lnTo>
                <a:lnTo>
                  <a:pt x="1379220" y="1031748"/>
                </a:lnTo>
                <a:lnTo>
                  <a:pt x="2753868" y="1031748"/>
                </a:lnTo>
                <a:lnTo>
                  <a:pt x="2753868" y="0"/>
                </a:lnTo>
                <a:close/>
              </a:path>
              <a:path w="7315200" h="2273935">
                <a:moveTo>
                  <a:pt x="3304032" y="2069592"/>
                </a:moveTo>
                <a:lnTo>
                  <a:pt x="2756916" y="2069592"/>
                </a:lnTo>
                <a:lnTo>
                  <a:pt x="2756916" y="2273808"/>
                </a:lnTo>
                <a:lnTo>
                  <a:pt x="3304032" y="2273808"/>
                </a:lnTo>
                <a:lnTo>
                  <a:pt x="3304032" y="2069592"/>
                </a:lnTo>
                <a:close/>
              </a:path>
              <a:path w="7315200" h="2273935">
                <a:moveTo>
                  <a:pt x="3304032" y="1862328"/>
                </a:moveTo>
                <a:lnTo>
                  <a:pt x="2756916" y="1862328"/>
                </a:lnTo>
                <a:lnTo>
                  <a:pt x="2756916" y="2066544"/>
                </a:lnTo>
                <a:lnTo>
                  <a:pt x="3304032" y="2066544"/>
                </a:lnTo>
                <a:lnTo>
                  <a:pt x="3304032" y="1862328"/>
                </a:lnTo>
                <a:close/>
              </a:path>
              <a:path w="7315200" h="2273935">
                <a:moveTo>
                  <a:pt x="3304032" y="1656588"/>
                </a:moveTo>
                <a:lnTo>
                  <a:pt x="2756916" y="1656588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6588"/>
                </a:lnTo>
                <a:close/>
              </a:path>
              <a:path w="7315200" h="2273935">
                <a:moveTo>
                  <a:pt x="3304032" y="1449324"/>
                </a:moveTo>
                <a:lnTo>
                  <a:pt x="2756916" y="1449324"/>
                </a:lnTo>
                <a:lnTo>
                  <a:pt x="2756916" y="1653540"/>
                </a:lnTo>
                <a:lnTo>
                  <a:pt x="3304032" y="1653540"/>
                </a:lnTo>
                <a:lnTo>
                  <a:pt x="3304032" y="1449324"/>
                </a:lnTo>
                <a:close/>
              </a:path>
              <a:path w="7315200" h="2273935">
                <a:moveTo>
                  <a:pt x="3304032" y="1242060"/>
                </a:moveTo>
                <a:lnTo>
                  <a:pt x="2756916" y="1242060"/>
                </a:lnTo>
                <a:lnTo>
                  <a:pt x="2756916" y="1446276"/>
                </a:lnTo>
                <a:lnTo>
                  <a:pt x="3304032" y="1446276"/>
                </a:lnTo>
                <a:lnTo>
                  <a:pt x="3304032" y="1242060"/>
                </a:lnTo>
                <a:close/>
              </a:path>
              <a:path w="7315200" h="2273935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2273935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2273935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2273935">
                <a:moveTo>
                  <a:pt x="3304032" y="414528"/>
                </a:moveTo>
                <a:lnTo>
                  <a:pt x="2756916" y="414528"/>
                </a:lnTo>
                <a:lnTo>
                  <a:pt x="2756916" y="617220"/>
                </a:lnTo>
                <a:lnTo>
                  <a:pt x="3304032" y="617220"/>
                </a:lnTo>
                <a:lnTo>
                  <a:pt x="3304032" y="414528"/>
                </a:lnTo>
                <a:close/>
              </a:path>
              <a:path w="7315200" h="2273935">
                <a:moveTo>
                  <a:pt x="3304032" y="207264"/>
                </a:moveTo>
                <a:lnTo>
                  <a:pt x="2756916" y="207264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207264"/>
                </a:lnTo>
                <a:close/>
              </a:path>
              <a:path w="7315200" h="2273935">
                <a:moveTo>
                  <a:pt x="3304032" y="0"/>
                </a:moveTo>
                <a:lnTo>
                  <a:pt x="2756916" y="0"/>
                </a:lnTo>
                <a:lnTo>
                  <a:pt x="2756916" y="204216"/>
                </a:lnTo>
                <a:lnTo>
                  <a:pt x="3304032" y="204216"/>
                </a:lnTo>
                <a:lnTo>
                  <a:pt x="3304032" y="0"/>
                </a:lnTo>
                <a:close/>
              </a:path>
              <a:path w="7315200" h="2273935">
                <a:moveTo>
                  <a:pt x="3998976" y="2069592"/>
                </a:moveTo>
                <a:lnTo>
                  <a:pt x="3307080" y="2069592"/>
                </a:lnTo>
                <a:lnTo>
                  <a:pt x="3307080" y="2273808"/>
                </a:lnTo>
                <a:lnTo>
                  <a:pt x="3998976" y="2273808"/>
                </a:lnTo>
                <a:lnTo>
                  <a:pt x="3998976" y="2069592"/>
                </a:lnTo>
                <a:close/>
              </a:path>
              <a:path w="7315200" h="2273935">
                <a:moveTo>
                  <a:pt x="3998976" y="1862328"/>
                </a:moveTo>
                <a:lnTo>
                  <a:pt x="3307080" y="1862328"/>
                </a:lnTo>
                <a:lnTo>
                  <a:pt x="3307080" y="2066544"/>
                </a:lnTo>
                <a:lnTo>
                  <a:pt x="3998976" y="2066544"/>
                </a:lnTo>
                <a:lnTo>
                  <a:pt x="3998976" y="1862328"/>
                </a:lnTo>
                <a:close/>
              </a:path>
              <a:path w="7315200" h="2273935">
                <a:moveTo>
                  <a:pt x="3998976" y="1656588"/>
                </a:moveTo>
                <a:lnTo>
                  <a:pt x="3307080" y="1656588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6588"/>
                </a:lnTo>
                <a:close/>
              </a:path>
              <a:path w="7315200" h="2273935">
                <a:moveTo>
                  <a:pt x="3998976" y="1449324"/>
                </a:moveTo>
                <a:lnTo>
                  <a:pt x="3307080" y="1449324"/>
                </a:lnTo>
                <a:lnTo>
                  <a:pt x="3307080" y="1653540"/>
                </a:lnTo>
                <a:lnTo>
                  <a:pt x="3998976" y="1653540"/>
                </a:lnTo>
                <a:lnTo>
                  <a:pt x="3998976" y="1449324"/>
                </a:lnTo>
                <a:close/>
              </a:path>
              <a:path w="7315200" h="2273935">
                <a:moveTo>
                  <a:pt x="3998976" y="1242060"/>
                </a:moveTo>
                <a:lnTo>
                  <a:pt x="3307080" y="1242060"/>
                </a:lnTo>
                <a:lnTo>
                  <a:pt x="3307080" y="1446276"/>
                </a:lnTo>
                <a:lnTo>
                  <a:pt x="3998976" y="1446276"/>
                </a:lnTo>
                <a:lnTo>
                  <a:pt x="3998976" y="1242060"/>
                </a:lnTo>
                <a:close/>
              </a:path>
              <a:path w="7315200" h="2273935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2273935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2273935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2273935">
                <a:moveTo>
                  <a:pt x="3998976" y="414528"/>
                </a:moveTo>
                <a:lnTo>
                  <a:pt x="3307080" y="414528"/>
                </a:lnTo>
                <a:lnTo>
                  <a:pt x="3307080" y="617220"/>
                </a:lnTo>
                <a:lnTo>
                  <a:pt x="3998976" y="617220"/>
                </a:lnTo>
                <a:lnTo>
                  <a:pt x="3998976" y="414528"/>
                </a:lnTo>
                <a:close/>
              </a:path>
              <a:path w="7315200" h="2273935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2273935">
                <a:moveTo>
                  <a:pt x="3998976" y="0"/>
                </a:moveTo>
                <a:lnTo>
                  <a:pt x="3307080" y="0"/>
                </a:lnTo>
                <a:lnTo>
                  <a:pt x="3307080" y="204216"/>
                </a:lnTo>
                <a:lnTo>
                  <a:pt x="3998976" y="204216"/>
                </a:lnTo>
                <a:lnTo>
                  <a:pt x="3998976" y="0"/>
                </a:lnTo>
                <a:close/>
              </a:path>
              <a:path w="7315200" h="2273935">
                <a:moveTo>
                  <a:pt x="4828032" y="2069592"/>
                </a:moveTo>
                <a:lnTo>
                  <a:pt x="4002024" y="2069592"/>
                </a:lnTo>
                <a:lnTo>
                  <a:pt x="4002024" y="2273808"/>
                </a:lnTo>
                <a:lnTo>
                  <a:pt x="4828032" y="2273808"/>
                </a:lnTo>
                <a:lnTo>
                  <a:pt x="4828032" y="2069592"/>
                </a:lnTo>
                <a:close/>
              </a:path>
              <a:path w="7315200" h="2273935">
                <a:moveTo>
                  <a:pt x="4828032" y="1862328"/>
                </a:moveTo>
                <a:lnTo>
                  <a:pt x="4002024" y="1862328"/>
                </a:lnTo>
                <a:lnTo>
                  <a:pt x="4002024" y="2066544"/>
                </a:lnTo>
                <a:lnTo>
                  <a:pt x="4828032" y="2066544"/>
                </a:lnTo>
                <a:lnTo>
                  <a:pt x="4828032" y="1862328"/>
                </a:lnTo>
                <a:close/>
              </a:path>
              <a:path w="7315200" h="2273935">
                <a:moveTo>
                  <a:pt x="4828032" y="1656588"/>
                </a:moveTo>
                <a:lnTo>
                  <a:pt x="4002024" y="1656588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6588"/>
                </a:lnTo>
                <a:close/>
              </a:path>
              <a:path w="7315200" h="2273935">
                <a:moveTo>
                  <a:pt x="4828032" y="1449324"/>
                </a:moveTo>
                <a:lnTo>
                  <a:pt x="4002024" y="1449324"/>
                </a:lnTo>
                <a:lnTo>
                  <a:pt x="4002024" y="1653540"/>
                </a:lnTo>
                <a:lnTo>
                  <a:pt x="4828032" y="1653540"/>
                </a:lnTo>
                <a:lnTo>
                  <a:pt x="4828032" y="1449324"/>
                </a:lnTo>
                <a:close/>
              </a:path>
              <a:path w="7315200" h="2273935">
                <a:moveTo>
                  <a:pt x="4828032" y="1242060"/>
                </a:moveTo>
                <a:lnTo>
                  <a:pt x="4002024" y="1242060"/>
                </a:lnTo>
                <a:lnTo>
                  <a:pt x="4002024" y="1446276"/>
                </a:lnTo>
                <a:lnTo>
                  <a:pt x="4828032" y="1446276"/>
                </a:lnTo>
                <a:lnTo>
                  <a:pt x="4828032" y="1242060"/>
                </a:lnTo>
                <a:close/>
              </a:path>
              <a:path w="7315200" h="2273935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2273935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2273935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2273935">
                <a:moveTo>
                  <a:pt x="4828032" y="414528"/>
                </a:moveTo>
                <a:lnTo>
                  <a:pt x="4002024" y="414528"/>
                </a:lnTo>
                <a:lnTo>
                  <a:pt x="4002024" y="617220"/>
                </a:lnTo>
                <a:lnTo>
                  <a:pt x="4828032" y="617220"/>
                </a:lnTo>
                <a:lnTo>
                  <a:pt x="4828032" y="414528"/>
                </a:lnTo>
                <a:close/>
              </a:path>
              <a:path w="7315200" h="2273935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2273935">
                <a:moveTo>
                  <a:pt x="4828032" y="0"/>
                </a:moveTo>
                <a:lnTo>
                  <a:pt x="4002024" y="0"/>
                </a:lnTo>
                <a:lnTo>
                  <a:pt x="4002024" y="204216"/>
                </a:lnTo>
                <a:lnTo>
                  <a:pt x="4828032" y="204216"/>
                </a:lnTo>
                <a:lnTo>
                  <a:pt x="4828032" y="0"/>
                </a:lnTo>
                <a:close/>
              </a:path>
              <a:path w="7315200" h="2273935">
                <a:moveTo>
                  <a:pt x="5657088" y="2069592"/>
                </a:moveTo>
                <a:lnTo>
                  <a:pt x="4831080" y="2069592"/>
                </a:lnTo>
                <a:lnTo>
                  <a:pt x="4831080" y="2273808"/>
                </a:lnTo>
                <a:lnTo>
                  <a:pt x="5657088" y="2273808"/>
                </a:lnTo>
                <a:lnTo>
                  <a:pt x="5657088" y="2069592"/>
                </a:lnTo>
                <a:close/>
              </a:path>
              <a:path w="7315200" h="2273935">
                <a:moveTo>
                  <a:pt x="5657088" y="1862328"/>
                </a:moveTo>
                <a:lnTo>
                  <a:pt x="4831080" y="1862328"/>
                </a:lnTo>
                <a:lnTo>
                  <a:pt x="4831080" y="2066544"/>
                </a:lnTo>
                <a:lnTo>
                  <a:pt x="5657088" y="2066544"/>
                </a:lnTo>
                <a:lnTo>
                  <a:pt x="5657088" y="1862328"/>
                </a:lnTo>
                <a:close/>
              </a:path>
              <a:path w="7315200" h="2273935">
                <a:moveTo>
                  <a:pt x="5657088" y="1656588"/>
                </a:moveTo>
                <a:lnTo>
                  <a:pt x="4831080" y="1656588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6588"/>
                </a:lnTo>
                <a:close/>
              </a:path>
              <a:path w="7315200" h="2273935">
                <a:moveTo>
                  <a:pt x="5657088" y="1449324"/>
                </a:moveTo>
                <a:lnTo>
                  <a:pt x="4831080" y="1449324"/>
                </a:lnTo>
                <a:lnTo>
                  <a:pt x="4831080" y="1653540"/>
                </a:lnTo>
                <a:lnTo>
                  <a:pt x="5657088" y="1653540"/>
                </a:lnTo>
                <a:lnTo>
                  <a:pt x="5657088" y="1449324"/>
                </a:lnTo>
                <a:close/>
              </a:path>
              <a:path w="7315200" h="2273935">
                <a:moveTo>
                  <a:pt x="5657088" y="1242060"/>
                </a:moveTo>
                <a:lnTo>
                  <a:pt x="4831080" y="1242060"/>
                </a:lnTo>
                <a:lnTo>
                  <a:pt x="4831080" y="1446276"/>
                </a:lnTo>
                <a:lnTo>
                  <a:pt x="5657088" y="1446276"/>
                </a:lnTo>
                <a:lnTo>
                  <a:pt x="5657088" y="1242060"/>
                </a:lnTo>
                <a:close/>
              </a:path>
              <a:path w="7315200" h="2273935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2273935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2273935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2273935">
                <a:moveTo>
                  <a:pt x="5657088" y="414528"/>
                </a:moveTo>
                <a:lnTo>
                  <a:pt x="4831080" y="414528"/>
                </a:lnTo>
                <a:lnTo>
                  <a:pt x="4831080" y="617220"/>
                </a:lnTo>
                <a:lnTo>
                  <a:pt x="5657088" y="617220"/>
                </a:lnTo>
                <a:lnTo>
                  <a:pt x="5657088" y="414528"/>
                </a:lnTo>
                <a:close/>
              </a:path>
              <a:path w="7315200" h="2273935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2273935">
                <a:moveTo>
                  <a:pt x="5657088" y="0"/>
                </a:moveTo>
                <a:lnTo>
                  <a:pt x="4831080" y="0"/>
                </a:lnTo>
                <a:lnTo>
                  <a:pt x="4831080" y="204216"/>
                </a:lnTo>
                <a:lnTo>
                  <a:pt x="5657088" y="204216"/>
                </a:lnTo>
                <a:lnTo>
                  <a:pt x="5657088" y="0"/>
                </a:lnTo>
                <a:close/>
              </a:path>
              <a:path w="7315200" h="2273935">
                <a:moveTo>
                  <a:pt x="6486144" y="2069592"/>
                </a:moveTo>
                <a:lnTo>
                  <a:pt x="5660136" y="2069592"/>
                </a:lnTo>
                <a:lnTo>
                  <a:pt x="5660136" y="2273808"/>
                </a:lnTo>
                <a:lnTo>
                  <a:pt x="6486144" y="2273808"/>
                </a:lnTo>
                <a:lnTo>
                  <a:pt x="6486144" y="2069592"/>
                </a:lnTo>
                <a:close/>
              </a:path>
              <a:path w="7315200" h="2273935">
                <a:moveTo>
                  <a:pt x="6486144" y="1862328"/>
                </a:moveTo>
                <a:lnTo>
                  <a:pt x="5660136" y="1862328"/>
                </a:lnTo>
                <a:lnTo>
                  <a:pt x="5660136" y="2066544"/>
                </a:lnTo>
                <a:lnTo>
                  <a:pt x="6486144" y="2066544"/>
                </a:lnTo>
                <a:lnTo>
                  <a:pt x="6486144" y="1862328"/>
                </a:lnTo>
                <a:close/>
              </a:path>
              <a:path w="7315200" h="2273935">
                <a:moveTo>
                  <a:pt x="6486144" y="1656588"/>
                </a:moveTo>
                <a:lnTo>
                  <a:pt x="5660136" y="1656588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6588"/>
                </a:lnTo>
                <a:close/>
              </a:path>
              <a:path w="7315200" h="2273935">
                <a:moveTo>
                  <a:pt x="6486144" y="1449324"/>
                </a:moveTo>
                <a:lnTo>
                  <a:pt x="5660136" y="1449324"/>
                </a:lnTo>
                <a:lnTo>
                  <a:pt x="5660136" y="1653540"/>
                </a:lnTo>
                <a:lnTo>
                  <a:pt x="6486144" y="1653540"/>
                </a:lnTo>
                <a:lnTo>
                  <a:pt x="6486144" y="1449324"/>
                </a:lnTo>
                <a:close/>
              </a:path>
              <a:path w="7315200" h="2273935">
                <a:moveTo>
                  <a:pt x="6486144" y="1242060"/>
                </a:moveTo>
                <a:lnTo>
                  <a:pt x="5660136" y="1242060"/>
                </a:lnTo>
                <a:lnTo>
                  <a:pt x="5660136" y="1446276"/>
                </a:lnTo>
                <a:lnTo>
                  <a:pt x="6486144" y="1446276"/>
                </a:lnTo>
                <a:lnTo>
                  <a:pt x="6486144" y="1242060"/>
                </a:lnTo>
                <a:close/>
              </a:path>
              <a:path w="7315200" h="2273935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2273935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2273935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2273935">
                <a:moveTo>
                  <a:pt x="6486144" y="414528"/>
                </a:moveTo>
                <a:lnTo>
                  <a:pt x="5660136" y="414528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4528"/>
                </a:lnTo>
                <a:close/>
              </a:path>
              <a:path w="7315200" h="2273935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2273935">
                <a:moveTo>
                  <a:pt x="6486144" y="0"/>
                </a:moveTo>
                <a:lnTo>
                  <a:pt x="5660136" y="0"/>
                </a:lnTo>
                <a:lnTo>
                  <a:pt x="5660136" y="204216"/>
                </a:lnTo>
                <a:lnTo>
                  <a:pt x="6486144" y="204216"/>
                </a:lnTo>
                <a:lnTo>
                  <a:pt x="6486144" y="0"/>
                </a:lnTo>
                <a:close/>
              </a:path>
              <a:path w="7315200" h="2273935">
                <a:moveTo>
                  <a:pt x="7315200" y="1862328"/>
                </a:moveTo>
                <a:lnTo>
                  <a:pt x="6489192" y="1862328"/>
                </a:lnTo>
                <a:lnTo>
                  <a:pt x="6489192" y="2066544"/>
                </a:lnTo>
                <a:lnTo>
                  <a:pt x="7315200" y="2066544"/>
                </a:lnTo>
                <a:lnTo>
                  <a:pt x="7315200" y="1862328"/>
                </a:lnTo>
                <a:close/>
              </a:path>
              <a:path w="7315200" h="2273935">
                <a:moveTo>
                  <a:pt x="7315200" y="1656588"/>
                </a:moveTo>
                <a:lnTo>
                  <a:pt x="6489192" y="1656588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6588"/>
                </a:lnTo>
                <a:close/>
              </a:path>
              <a:path w="7315200" h="2273935">
                <a:moveTo>
                  <a:pt x="7315200" y="1449324"/>
                </a:moveTo>
                <a:lnTo>
                  <a:pt x="6489192" y="1449324"/>
                </a:lnTo>
                <a:lnTo>
                  <a:pt x="6489192" y="1653540"/>
                </a:lnTo>
                <a:lnTo>
                  <a:pt x="7315200" y="1653540"/>
                </a:lnTo>
                <a:lnTo>
                  <a:pt x="7315200" y="1449324"/>
                </a:lnTo>
                <a:close/>
              </a:path>
              <a:path w="7315200" h="2273935">
                <a:moveTo>
                  <a:pt x="7315200" y="1242060"/>
                </a:moveTo>
                <a:lnTo>
                  <a:pt x="6489192" y="1242060"/>
                </a:lnTo>
                <a:lnTo>
                  <a:pt x="6489192" y="1446276"/>
                </a:lnTo>
                <a:lnTo>
                  <a:pt x="7315200" y="1446276"/>
                </a:lnTo>
                <a:lnTo>
                  <a:pt x="7315200" y="1242060"/>
                </a:lnTo>
                <a:close/>
              </a:path>
              <a:path w="7315200" h="2273935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2273935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2273935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2273935">
                <a:moveTo>
                  <a:pt x="7315200" y="414528"/>
                </a:moveTo>
                <a:lnTo>
                  <a:pt x="6489192" y="414528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4528"/>
                </a:lnTo>
                <a:close/>
              </a:path>
              <a:path w="7315200" h="2273935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  <a:path w="7315200" h="2273935">
                <a:moveTo>
                  <a:pt x="7315200" y="0"/>
                </a:moveTo>
                <a:lnTo>
                  <a:pt x="6489192" y="0"/>
                </a:lnTo>
                <a:lnTo>
                  <a:pt x="6489192" y="204216"/>
                </a:lnTo>
                <a:lnTo>
                  <a:pt x="7315200" y="204216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92" name="Shape 92">
            <a:extLst>
              <a:ext uri="{FF2B5EF4-FFF2-40B4-BE49-F238E27FC236}">
                <a16:creationId xmlns:a16="http://schemas.microsoft.com/office/drawing/2014/main" id="{00000000-0008-0000-0900-00005C000000}"/>
              </a:ext>
            </a:extLst>
          </xdr:cNvPr>
          <xdr:cNvSpPr/>
        </xdr:nvSpPr>
        <xdr:spPr>
          <a:xfrm>
            <a:off x="0" y="2069591"/>
            <a:ext cx="7315200" cy="2273935"/>
          </a:xfrm>
          <a:custGeom>
            <a:avLst/>
            <a:gdLst/>
            <a:ahLst/>
            <a:cxnLst/>
            <a:rect l="0" t="0" r="0" b="0"/>
            <a:pathLst>
              <a:path w="7315200" h="2273935">
                <a:moveTo>
                  <a:pt x="339852" y="0"/>
                </a:moveTo>
                <a:lnTo>
                  <a:pt x="0" y="0"/>
                </a:lnTo>
                <a:lnTo>
                  <a:pt x="0" y="2273808"/>
                </a:lnTo>
                <a:lnTo>
                  <a:pt x="339852" y="2273808"/>
                </a:lnTo>
                <a:lnTo>
                  <a:pt x="339852" y="0"/>
                </a:lnTo>
                <a:close/>
              </a:path>
              <a:path w="7315200" h="2273935">
                <a:moveTo>
                  <a:pt x="1376172" y="0"/>
                </a:moveTo>
                <a:lnTo>
                  <a:pt x="342900" y="0"/>
                </a:lnTo>
                <a:lnTo>
                  <a:pt x="342900" y="2273808"/>
                </a:lnTo>
                <a:lnTo>
                  <a:pt x="1376172" y="2273808"/>
                </a:lnTo>
                <a:lnTo>
                  <a:pt x="1376172" y="0"/>
                </a:lnTo>
                <a:close/>
              </a:path>
              <a:path w="7315200" h="2273935">
                <a:moveTo>
                  <a:pt x="2753868" y="1242060"/>
                </a:moveTo>
                <a:lnTo>
                  <a:pt x="1379220" y="1242060"/>
                </a:lnTo>
                <a:lnTo>
                  <a:pt x="1379220" y="2273808"/>
                </a:lnTo>
                <a:lnTo>
                  <a:pt x="2753868" y="2273808"/>
                </a:lnTo>
                <a:lnTo>
                  <a:pt x="2753868" y="1242060"/>
                </a:lnTo>
                <a:close/>
              </a:path>
              <a:path w="7315200" h="2273935">
                <a:moveTo>
                  <a:pt x="2753868" y="0"/>
                </a:moveTo>
                <a:lnTo>
                  <a:pt x="1379220" y="0"/>
                </a:lnTo>
                <a:lnTo>
                  <a:pt x="1379220" y="1239012"/>
                </a:lnTo>
                <a:lnTo>
                  <a:pt x="2753868" y="1239012"/>
                </a:lnTo>
                <a:lnTo>
                  <a:pt x="2753868" y="0"/>
                </a:lnTo>
                <a:close/>
              </a:path>
              <a:path w="7315200" h="2273935">
                <a:moveTo>
                  <a:pt x="3304032" y="2069592"/>
                </a:moveTo>
                <a:lnTo>
                  <a:pt x="2756916" y="2069592"/>
                </a:lnTo>
                <a:lnTo>
                  <a:pt x="2756916" y="2273808"/>
                </a:lnTo>
                <a:lnTo>
                  <a:pt x="3304032" y="2273808"/>
                </a:lnTo>
                <a:lnTo>
                  <a:pt x="3304032" y="2069592"/>
                </a:lnTo>
                <a:close/>
              </a:path>
              <a:path w="7315200" h="2273935">
                <a:moveTo>
                  <a:pt x="3304032" y="1862328"/>
                </a:moveTo>
                <a:lnTo>
                  <a:pt x="2756916" y="1862328"/>
                </a:lnTo>
                <a:lnTo>
                  <a:pt x="2756916" y="2066544"/>
                </a:lnTo>
                <a:lnTo>
                  <a:pt x="3304032" y="2066544"/>
                </a:lnTo>
                <a:lnTo>
                  <a:pt x="3304032" y="1862328"/>
                </a:lnTo>
                <a:close/>
              </a:path>
              <a:path w="7315200" h="2273935">
                <a:moveTo>
                  <a:pt x="3304032" y="1656588"/>
                </a:moveTo>
                <a:lnTo>
                  <a:pt x="2756916" y="1656588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6588"/>
                </a:lnTo>
                <a:close/>
              </a:path>
              <a:path w="7315200" h="2273935">
                <a:moveTo>
                  <a:pt x="3304032" y="1449324"/>
                </a:moveTo>
                <a:lnTo>
                  <a:pt x="2756916" y="1449324"/>
                </a:lnTo>
                <a:lnTo>
                  <a:pt x="2756916" y="1652016"/>
                </a:lnTo>
                <a:lnTo>
                  <a:pt x="3304032" y="1652016"/>
                </a:lnTo>
                <a:lnTo>
                  <a:pt x="3304032" y="1449324"/>
                </a:lnTo>
                <a:close/>
              </a:path>
              <a:path w="7315200" h="2273935">
                <a:moveTo>
                  <a:pt x="3304032" y="1242060"/>
                </a:moveTo>
                <a:lnTo>
                  <a:pt x="2756916" y="1242060"/>
                </a:lnTo>
                <a:lnTo>
                  <a:pt x="2756916" y="1446276"/>
                </a:lnTo>
                <a:lnTo>
                  <a:pt x="3304032" y="1446276"/>
                </a:lnTo>
                <a:lnTo>
                  <a:pt x="3304032" y="1242060"/>
                </a:lnTo>
                <a:close/>
              </a:path>
              <a:path w="7315200" h="2273935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2273935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2273935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2273935">
                <a:moveTo>
                  <a:pt x="3304032" y="414528"/>
                </a:moveTo>
                <a:lnTo>
                  <a:pt x="2756916" y="414528"/>
                </a:lnTo>
                <a:lnTo>
                  <a:pt x="2756916" y="617220"/>
                </a:lnTo>
                <a:lnTo>
                  <a:pt x="3304032" y="617220"/>
                </a:lnTo>
                <a:lnTo>
                  <a:pt x="3304032" y="414528"/>
                </a:lnTo>
                <a:close/>
              </a:path>
              <a:path w="7315200" h="2273935">
                <a:moveTo>
                  <a:pt x="3304032" y="207264"/>
                </a:moveTo>
                <a:lnTo>
                  <a:pt x="2756916" y="207264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207264"/>
                </a:lnTo>
                <a:close/>
              </a:path>
              <a:path w="7315200" h="2273935">
                <a:moveTo>
                  <a:pt x="3998976" y="2069592"/>
                </a:moveTo>
                <a:lnTo>
                  <a:pt x="3307080" y="2069592"/>
                </a:lnTo>
                <a:lnTo>
                  <a:pt x="3307080" y="2273808"/>
                </a:lnTo>
                <a:lnTo>
                  <a:pt x="3998976" y="2273808"/>
                </a:lnTo>
                <a:lnTo>
                  <a:pt x="3998976" y="2069592"/>
                </a:lnTo>
                <a:close/>
              </a:path>
              <a:path w="7315200" h="2273935">
                <a:moveTo>
                  <a:pt x="3998976" y="1862328"/>
                </a:moveTo>
                <a:lnTo>
                  <a:pt x="3307080" y="1862328"/>
                </a:lnTo>
                <a:lnTo>
                  <a:pt x="3307080" y="2066544"/>
                </a:lnTo>
                <a:lnTo>
                  <a:pt x="3998976" y="2066544"/>
                </a:lnTo>
                <a:lnTo>
                  <a:pt x="3998976" y="1862328"/>
                </a:lnTo>
                <a:close/>
              </a:path>
              <a:path w="7315200" h="2273935">
                <a:moveTo>
                  <a:pt x="3998976" y="1656588"/>
                </a:moveTo>
                <a:lnTo>
                  <a:pt x="3307080" y="1656588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6588"/>
                </a:lnTo>
                <a:close/>
              </a:path>
              <a:path w="7315200" h="2273935">
                <a:moveTo>
                  <a:pt x="3998976" y="1449324"/>
                </a:moveTo>
                <a:lnTo>
                  <a:pt x="3307080" y="1449324"/>
                </a:lnTo>
                <a:lnTo>
                  <a:pt x="3307080" y="1652016"/>
                </a:lnTo>
                <a:lnTo>
                  <a:pt x="3998976" y="1652016"/>
                </a:lnTo>
                <a:lnTo>
                  <a:pt x="3998976" y="1449324"/>
                </a:lnTo>
                <a:close/>
              </a:path>
              <a:path w="7315200" h="2273935">
                <a:moveTo>
                  <a:pt x="3998976" y="1242060"/>
                </a:moveTo>
                <a:lnTo>
                  <a:pt x="3307080" y="1242060"/>
                </a:lnTo>
                <a:lnTo>
                  <a:pt x="3307080" y="1446276"/>
                </a:lnTo>
                <a:lnTo>
                  <a:pt x="3998976" y="1446276"/>
                </a:lnTo>
                <a:lnTo>
                  <a:pt x="3998976" y="1242060"/>
                </a:lnTo>
                <a:close/>
              </a:path>
              <a:path w="7315200" h="2273935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2273935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2273935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2273935">
                <a:moveTo>
                  <a:pt x="3998976" y="414528"/>
                </a:moveTo>
                <a:lnTo>
                  <a:pt x="3307080" y="414528"/>
                </a:lnTo>
                <a:lnTo>
                  <a:pt x="3307080" y="617220"/>
                </a:lnTo>
                <a:lnTo>
                  <a:pt x="3998976" y="617220"/>
                </a:lnTo>
                <a:lnTo>
                  <a:pt x="3998976" y="414528"/>
                </a:lnTo>
                <a:close/>
              </a:path>
              <a:path w="7315200" h="2273935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2273935">
                <a:moveTo>
                  <a:pt x="4828032" y="2069592"/>
                </a:moveTo>
                <a:lnTo>
                  <a:pt x="4002024" y="2069592"/>
                </a:lnTo>
                <a:lnTo>
                  <a:pt x="4002024" y="2273808"/>
                </a:lnTo>
                <a:lnTo>
                  <a:pt x="4828032" y="2273808"/>
                </a:lnTo>
                <a:lnTo>
                  <a:pt x="4828032" y="2069592"/>
                </a:lnTo>
                <a:close/>
              </a:path>
              <a:path w="7315200" h="2273935">
                <a:moveTo>
                  <a:pt x="4828032" y="1862328"/>
                </a:moveTo>
                <a:lnTo>
                  <a:pt x="4002024" y="1862328"/>
                </a:lnTo>
                <a:lnTo>
                  <a:pt x="4002024" y="2066544"/>
                </a:lnTo>
                <a:lnTo>
                  <a:pt x="4828032" y="2066544"/>
                </a:lnTo>
                <a:lnTo>
                  <a:pt x="4828032" y="1862328"/>
                </a:lnTo>
                <a:close/>
              </a:path>
              <a:path w="7315200" h="2273935">
                <a:moveTo>
                  <a:pt x="4828032" y="1656588"/>
                </a:moveTo>
                <a:lnTo>
                  <a:pt x="4002024" y="1656588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6588"/>
                </a:lnTo>
                <a:close/>
              </a:path>
              <a:path w="7315200" h="2273935">
                <a:moveTo>
                  <a:pt x="4828032" y="1449324"/>
                </a:moveTo>
                <a:lnTo>
                  <a:pt x="4002024" y="1449324"/>
                </a:lnTo>
                <a:lnTo>
                  <a:pt x="4002024" y="1652016"/>
                </a:lnTo>
                <a:lnTo>
                  <a:pt x="4828032" y="1652016"/>
                </a:lnTo>
                <a:lnTo>
                  <a:pt x="4828032" y="1449324"/>
                </a:lnTo>
                <a:close/>
              </a:path>
              <a:path w="7315200" h="2273935">
                <a:moveTo>
                  <a:pt x="4828032" y="1242060"/>
                </a:moveTo>
                <a:lnTo>
                  <a:pt x="4002024" y="1242060"/>
                </a:lnTo>
                <a:lnTo>
                  <a:pt x="4002024" y="1446276"/>
                </a:lnTo>
                <a:lnTo>
                  <a:pt x="4828032" y="1446276"/>
                </a:lnTo>
                <a:lnTo>
                  <a:pt x="4828032" y="1242060"/>
                </a:lnTo>
                <a:close/>
              </a:path>
              <a:path w="7315200" h="2273935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2273935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2273935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2273935">
                <a:moveTo>
                  <a:pt x="4828032" y="414528"/>
                </a:moveTo>
                <a:lnTo>
                  <a:pt x="4002024" y="414528"/>
                </a:lnTo>
                <a:lnTo>
                  <a:pt x="4002024" y="617220"/>
                </a:lnTo>
                <a:lnTo>
                  <a:pt x="4828032" y="617220"/>
                </a:lnTo>
                <a:lnTo>
                  <a:pt x="4828032" y="414528"/>
                </a:lnTo>
                <a:close/>
              </a:path>
              <a:path w="7315200" h="2273935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2273935">
                <a:moveTo>
                  <a:pt x="5657088" y="2069592"/>
                </a:moveTo>
                <a:lnTo>
                  <a:pt x="4831080" y="2069592"/>
                </a:lnTo>
                <a:lnTo>
                  <a:pt x="4831080" y="2273808"/>
                </a:lnTo>
                <a:lnTo>
                  <a:pt x="5657088" y="2273808"/>
                </a:lnTo>
                <a:lnTo>
                  <a:pt x="5657088" y="2069592"/>
                </a:lnTo>
                <a:close/>
              </a:path>
              <a:path w="7315200" h="2273935">
                <a:moveTo>
                  <a:pt x="5657088" y="1862328"/>
                </a:moveTo>
                <a:lnTo>
                  <a:pt x="4831080" y="1862328"/>
                </a:lnTo>
                <a:lnTo>
                  <a:pt x="4831080" y="2066544"/>
                </a:lnTo>
                <a:lnTo>
                  <a:pt x="5657088" y="2066544"/>
                </a:lnTo>
                <a:lnTo>
                  <a:pt x="5657088" y="1862328"/>
                </a:lnTo>
                <a:close/>
              </a:path>
              <a:path w="7315200" h="2273935">
                <a:moveTo>
                  <a:pt x="5657088" y="1656588"/>
                </a:moveTo>
                <a:lnTo>
                  <a:pt x="4831080" y="1656588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6588"/>
                </a:lnTo>
                <a:close/>
              </a:path>
              <a:path w="7315200" h="2273935">
                <a:moveTo>
                  <a:pt x="5657088" y="1449324"/>
                </a:moveTo>
                <a:lnTo>
                  <a:pt x="4831080" y="1449324"/>
                </a:lnTo>
                <a:lnTo>
                  <a:pt x="4831080" y="1652016"/>
                </a:lnTo>
                <a:lnTo>
                  <a:pt x="5657088" y="1652016"/>
                </a:lnTo>
                <a:lnTo>
                  <a:pt x="5657088" y="1449324"/>
                </a:lnTo>
                <a:close/>
              </a:path>
              <a:path w="7315200" h="2273935">
                <a:moveTo>
                  <a:pt x="5657088" y="1242060"/>
                </a:moveTo>
                <a:lnTo>
                  <a:pt x="4831080" y="1242060"/>
                </a:lnTo>
                <a:lnTo>
                  <a:pt x="4831080" y="1446276"/>
                </a:lnTo>
                <a:lnTo>
                  <a:pt x="5657088" y="1446276"/>
                </a:lnTo>
                <a:lnTo>
                  <a:pt x="5657088" y="1242060"/>
                </a:lnTo>
                <a:close/>
              </a:path>
              <a:path w="7315200" h="2273935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2273935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2273935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2273935">
                <a:moveTo>
                  <a:pt x="5657088" y="414528"/>
                </a:moveTo>
                <a:lnTo>
                  <a:pt x="4831080" y="414528"/>
                </a:lnTo>
                <a:lnTo>
                  <a:pt x="4831080" y="617220"/>
                </a:lnTo>
                <a:lnTo>
                  <a:pt x="5657088" y="617220"/>
                </a:lnTo>
                <a:lnTo>
                  <a:pt x="5657088" y="414528"/>
                </a:lnTo>
                <a:close/>
              </a:path>
              <a:path w="7315200" h="2273935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2273935">
                <a:moveTo>
                  <a:pt x="6486144" y="2069592"/>
                </a:moveTo>
                <a:lnTo>
                  <a:pt x="5660136" y="2069592"/>
                </a:lnTo>
                <a:lnTo>
                  <a:pt x="5660136" y="2273808"/>
                </a:lnTo>
                <a:lnTo>
                  <a:pt x="6486144" y="2273808"/>
                </a:lnTo>
                <a:lnTo>
                  <a:pt x="6486144" y="2069592"/>
                </a:lnTo>
                <a:close/>
              </a:path>
              <a:path w="7315200" h="2273935">
                <a:moveTo>
                  <a:pt x="6486144" y="1862328"/>
                </a:moveTo>
                <a:lnTo>
                  <a:pt x="5660136" y="1862328"/>
                </a:lnTo>
                <a:lnTo>
                  <a:pt x="5660136" y="2066544"/>
                </a:lnTo>
                <a:lnTo>
                  <a:pt x="6486144" y="2066544"/>
                </a:lnTo>
                <a:lnTo>
                  <a:pt x="6486144" y="1862328"/>
                </a:lnTo>
                <a:close/>
              </a:path>
              <a:path w="7315200" h="2273935">
                <a:moveTo>
                  <a:pt x="6486144" y="1656588"/>
                </a:moveTo>
                <a:lnTo>
                  <a:pt x="5660136" y="1656588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6588"/>
                </a:lnTo>
                <a:close/>
              </a:path>
              <a:path w="7315200" h="2273935">
                <a:moveTo>
                  <a:pt x="6486144" y="1449324"/>
                </a:moveTo>
                <a:lnTo>
                  <a:pt x="5660136" y="1449324"/>
                </a:lnTo>
                <a:lnTo>
                  <a:pt x="5660136" y="1652016"/>
                </a:lnTo>
                <a:lnTo>
                  <a:pt x="6486144" y="1652016"/>
                </a:lnTo>
                <a:lnTo>
                  <a:pt x="6486144" y="1449324"/>
                </a:lnTo>
                <a:close/>
              </a:path>
              <a:path w="7315200" h="2273935">
                <a:moveTo>
                  <a:pt x="6486144" y="1242060"/>
                </a:moveTo>
                <a:lnTo>
                  <a:pt x="5660136" y="1242060"/>
                </a:lnTo>
                <a:lnTo>
                  <a:pt x="5660136" y="1446276"/>
                </a:lnTo>
                <a:lnTo>
                  <a:pt x="6486144" y="1446276"/>
                </a:lnTo>
                <a:lnTo>
                  <a:pt x="6486144" y="1242060"/>
                </a:lnTo>
                <a:close/>
              </a:path>
              <a:path w="7315200" h="2273935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2273935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2273935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2273935">
                <a:moveTo>
                  <a:pt x="6486144" y="414528"/>
                </a:moveTo>
                <a:lnTo>
                  <a:pt x="5660136" y="414528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4528"/>
                </a:lnTo>
                <a:close/>
              </a:path>
              <a:path w="7315200" h="2273935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2273935">
                <a:moveTo>
                  <a:pt x="6486144" y="0"/>
                </a:moveTo>
                <a:lnTo>
                  <a:pt x="5660136" y="0"/>
                </a:lnTo>
                <a:lnTo>
                  <a:pt x="5660136" y="204216"/>
                </a:lnTo>
                <a:lnTo>
                  <a:pt x="6486144" y="204216"/>
                </a:lnTo>
                <a:lnTo>
                  <a:pt x="6486144" y="0"/>
                </a:lnTo>
                <a:close/>
              </a:path>
              <a:path w="7315200" h="2273935">
                <a:moveTo>
                  <a:pt x="7315200" y="2069592"/>
                </a:moveTo>
                <a:lnTo>
                  <a:pt x="6489192" y="2069592"/>
                </a:lnTo>
                <a:lnTo>
                  <a:pt x="6489192" y="2273808"/>
                </a:lnTo>
                <a:lnTo>
                  <a:pt x="7315200" y="2273808"/>
                </a:lnTo>
                <a:lnTo>
                  <a:pt x="7315200" y="2069592"/>
                </a:lnTo>
                <a:close/>
              </a:path>
              <a:path w="7315200" h="2273935">
                <a:moveTo>
                  <a:pt x="7315200" y="1862328"/>
                </a:moveTo>
                <a:lnTo>
                  <a:pt x="6489192" y="1862328"/>
                </a:lnTo>
                <a:lnTo>
                  <a:pt x="6489192" y="2066544"/>
                </a:lnTo>
                <a:lnTo>
                  <a:pt x="7315200" y="2066544"/>
                </a:lnTo>
                <a:lnTo>
                  <a:pt x="7315200" y="1862328"/>
                </a:lnTo>
                <a:close/>
              </a:path>
              <a:path w="7315200" h="2273935">
                <a:moveTo>
                  <a:pt x="7315200" y="1656588"/>
                </a:moveTo>
                <a:lnTo>
                  <a:pt x="6489192" y="1656588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6588"/>
                </a:lnTo>
                <a:close/>
              </a:path>
              <a:path w="7315200" h="2273935">
                <a:moveTo>
                  <a:pt x="7315200" y="1449324"/>
                </a:moveTo>
                <a:lnTo>
                  <a:pt x="6489192" y="1449324"/>
                </a:lnTo>
                <a:lnTo>
                  <a:pt x="6489192" y="1652016"/>
                </a:lnTo>
                <a:lnTo>
                  <a:pt x="7315200" y="1652016"/>
                </a:lnTo>
                <a:lnTo>
                  <a:pt x="7315200" y="1449324"/>
                </a:lnTo>
                <a:close/>
              </a:path>
              <a:path w="7315200" h="2273935">
                <a:moveTo>
                  <a:pt x="7315200" y="1242060"/>
                </a:moveTo>
                <a:lnTo>
                  <a:pt x="6489192" y="1242060"/>
                </a:lnTo>
                <a:lnTo>
                  <a:pt x="6489192" y="1446276"/>
                </a:lnTo>
                <a:lnTo>
                  <a:pt x="7315200" y="1446276"/>
                </a:lnTo>
                <a:lnTo>
                  <a:pt x="7315200" y="1242060"/>
                </a:lnTo>
                <a:close/>
              </a:path>
              <a:path w="7315200" h="2273935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2273935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2273935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2273935">
                <a:moveTo>
                  <a:pt x="7315200" y="414528"/>
                </a:moveTo>
                <a:lnTo>
                  <a:pt x="6489192" y="414528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4528"/>
                </a:lnTo>
                <a:close/>
              </a:path>
              <a:path w="7315200" h="2273935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  <a:path w="7315200" h="2273935">
                <a:moveTo>
                  <a:pt x="7315200" y="0"/>
                </a:moveTo>
                <a:lnTo>
                  <a:pt x="6489192" y="0"/>
                </a:lnTo>
                <a:lnTo>
                  <a:pt x="6489192" y="204216"/>
                </a:lnTo>
                <a:lnTo>
                  <a:pt x="7315200" y="204216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536321</xdr:colOff>
      <xdr:row>28</xdr:row>
      <xdr:rowOff>0</xdr:rowOff>
    </xdr:from>
    <xdr:ext cx="702945" cy="4343400"/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702945" cy="4343400"/>
        </a:xfrm>
        <a:custGeom>
          <a:avLst/>
          <a:gdLst/>
          <a:ahLst/>
          <a:cxnLst/>
          <a:rect l="0" t="0" r="0" b="0"/>
          <a:pathLst>
            <a:path w="702945" h="4343400">
              <a:moveTo>
                <a:pt x="702564" y="4139184"/>
              </a:moveTo>
              <a:lnTo>
                <a:pt x="0" y="4139184"/>
              </a:lnTo>
              <a:lnTo>
                <a:pt x="0" y="4343400"/>
              </a:lnTo>
              <a:lnTo>
                <a:pt x="702564" y="4343400"/>
              </a:lnTo>
              <a:lnTo>
                <a:pt x="702564" y="4139184"/>
              </a:lnTo>
              <a:close/>
            </a:path>
            <a:path w="702945" h="4343400">
              <a:moveTo>
                <a:pt x="702564" y="3931920"/>
              </a:moveTo>
              <a:lnTo>
                <a:pt x="0" y="3931920"/>
              </a:lnTo>
              <a:lnTo>
                <a:pt x="0" y="4136136"/>
              </a:lnTo>
              <a:lnTo>
                <a:pt x="702564" y="4136136"/>
              </a:lnTo>
              <a:lnTo>
                <a:pt x="702564" y="3931920"/>
              </a:lnTo>
              <a:close/>
            </a:path>
            <a:path w="702945" h="4343400">
              <a:moveTo>
                <a:pt x="702564" y="3726180"/>
              </a:moveTo>
              <a:lnTo>
                <a:pt x="0" y="3726180"/>
              </a:lnTo>
              <a:lnTo>
                <a:pt x="0" y="3928872"/>
              </a:lnTo>
              <a:lnTo>
                <a:pt x="702564" y="3928872"/>
              </a:lnTo>
              <a:lnTo>
                <a:pt x="702564" y="3726180"/>
              </a:lnTo>
              <a:close/>
            </a:path>
            <a:path w="702945" h="4343400">
              <a:moveTo>
                <a:pt x="702564" y="3518916"/>
              </a:moveTo>
              <a:lnTo>
                <a:pt x="0" y="3518916"/>
              </a:lnTo>
              <a:lnTo>
                <a:pt x="0" y="3721608"/>
              </a:lnTo>
              <a:lnTo>
                <a:pt x="702564" y="3721608"/>
              </a:lnTo>
              <a:lnTo>
                <a:pt x="702564" y="3518916"/>
              </a:lnTo>
              <a:close/>
            </a:path>
            <a:path w="702945" h="4343400">
              <a:moveTo>
                <a:pt x="702564" y="3311652"/>
              </a:moveTo>
              <a:lnTo>
                <a:pt x="0" y="3311652"/>
              </a:lnTo>
              <a:lnTo>
                <a:pt x="0" y="3515868"/>
              </a:lnTo>
              <a:lnTo>
                <a:pt x="702564" y="3515868"/>
              </a:lnTo>
              <a:lnTo>
                <a:pt x="702564" y="3311652"/>
              </a:lnTo>
              <a:close/>
            </a:path>
            <a:path w="702945" h="4343400">
              <a:moveTo>
                <a:pt x="702564" y="3104388"/>
              </a:moveTo>
              <a:lnTo>
                <a:pt x="0" y="3104388"/>
              </a:lnTo>
              <a:lnTo>
                <a:pt x="0" y="3308604"/>
              </a:lnTo>
              <a:lnTo>
                <a:pt x="702564" y="3308604"/>
              </a:lnTo>
              <a:lnTo>
                <a:pt x="702564" y="3104388"/>
              </a:lnTo>
              <a:close/>
            </a:path>
            <a:path w="702945" h="4343400">
              <a:moveTo>
                <a:pt x="702564" y="2897124"/>
              </a:moveTo>
              <a:lnTo>
                <a:pt x="0" y="2897124"/>
              </a:lnTo>
              <a:lnTo>
                <a:pt x="0" y="3101340"/>
              </a:lnTo>
              <a:lnTo>
                <a:pt x="702564" y="3101340"/>
              </a:lnTo>
              <a:lnTo>
                <a:pt x="702564" y="2897124"/>
              </a:lnTo>
              <a:close/>
            </a:path>
            <a:path w="702945" h="4343400">
              <a:moveTo>
                <a:pt x="702564" y="2689860"/>
              </a:moveTo>
              <a:lnTo>
                <a:pt x="0" y="2689860"/>
              </a:lnTo>
              <a:lnTo>
                <a:pt x="0" y="2894076"/>
              </a:lnTo>
              <a:lnTo>
                <a:pt x="702564" y="2894076"/>
              </a:lnTo>
              <a:lnTo>
                <a:pt x="702564" y="2689860"/>
              </a:lnTo>
              <a:close/>
            </a:path>
            <a:path w="702945" h="4343400">
              <a:moveTo>
                <a:pt x="702564" y="2484120"/>
              </a:moveTo>
              <a:lnTo>
                <a:pt x="0" y="2484120"/>
              </a:lnTo>
              <a:lnTo>
                <a:pt x="0" y="2686812"/>
              </a:lnTo>
              <a:lnTo>
                <a:pt x="702564" y="2686812"/>
              </a:lnTo>
              <a:lnTo>
                <a:pt x="702564" y="2484120"/>
              </a:lnTo>
              <a:close/>
            </a:path>
            <a:path w="702945" h="4343400">
              <a:moveTo>
                <a:pt x="702564" y="2276856"/>
              </a:moveTo>
              <a:lnTo>
                <a:pt x="0" y="2276856"/>
              </a:lnTo>
              <a:lnTo>
                <a:pt x="0" y="2481072"/>
              </a:lnTo>
              <a:lnTo>
                <a:pt x="702564" y="2481072"/>
              </a:lnTo>
              <a:lnTo>
                <a:pt x="702564" y="2276856"/>
              </a:lnTo>
              <a:close/>
            </a:path>
            <a:path w="702945" h="4343400">
              <a:moveTo>
                <a:pt x="702564" y="2069592"/>
              </a:moveTo>
              <a:lnTo>
                <a:pt x="0" y="2069592"/>
              </a:lnTo>
              <a:lnTo>
                <a:pt x="0" y="2273808"/>
              </a:lnTo>
              <a:lnTo>
                <a:pt x="702564" y="2273808"/>
              </a:lnTo>
              <a:lnTo>
                <a:pt x="702564" y="2069592"/>
              </a:lnTo>
              <a:close/>
            </a:path>
            <a:path w="702945" h="4343400">
              <a:moveTo>
                <a:pt x="702564" y="1862328"/>
              </a:moveTo>
              <a:lnTo>
                <a:pt x="0" y="1862328"/>
              </a:lnTo>
              <a:lnTo>
                <a:pt x="0" y="2066544"/>
              </a:lnTo>
              <a:lnTo>
                <a:pt x="702564" y="2066544"/>
              </a:lnTo>
              <a:lnTo>
                <a:pt x="702564" y="1862328"/>
              </a:lnTo>
              <a:close/>
            </a:path>
            <a:path w="702945" h="4343400">
              <a:moveTo>
                <a:pt x="702564" y="1656588"/>
              </a:moveTo>
              <a:lnTo>
                <a:pt x="0" y="1656588"/>
              </a:lnTo>
              <a:lnTo>
                <a:pt x="0" y="1859280"/>
              </a:lnTo>
              <a:lnTo>
                <a:pt x="702564" y="1859280"/>
              </a:lnTo>
              <a:lnTo>
                <a:pt x="702564" y="1656588"/>
              </a:lnTo>
              <a:close/>
            </a:path>
            <a:path w="702945" h="4343400">
              <a:moveTo>
                <a:pt x="702564" y="1449324"/>
              </a:moveTo>
              <a:lnTo>
                <a:pt x="0" y="1449324"/>
              </a:lnTo>
              <a:lnTo>
                <a:pt x="0" y="1653540"/>
              </a:lnTo>
              <a:lnTo>
                <a:pt x="702564" y="1653540"/>
              </a:lnTo>
              <a:lnTo>
                <a:pt x="702564" y="1449324"/>
              </a:lnTo>
              <a:close/>
            </a:path>
            <a:path w="702945" h="4343400">
              <a:moveTo>
                <a:pt x="702564" y="1242060"/>
              </a:moveTo>
              <a:lnTo>
                <a:pt x="0" y="1242060"/>
              </a:lnTo>
              <a:lnTo>
                <a:pt x="0" y="1446276"/>
              </a:lnTo>
              <a:lnTo>
                <a:pt x="702564" y="1446276"/>
              </a:lnTo>
              <a:lnTo>
                <a:pt x="702564" y="1242060"/>
              </a:lnTo>
              <a:close/>
            </a:path>
            <a:path w="702945" h="4343400">
              <a:moveTo>
                <a:pt x="702564" y="1034796"/>
              </a:moveTo>
              <a:lnTo>
                <a:pt x="0" y="1034796"/>
              </a:lnTo>
              <a:lnTo>
                <a:pt x="0" y="1239012"/>
              </a:lnTo>
              <a:lnTo>
                <a:pt x="702564" y="1239012"/>
              </a:lnTo>
              <a:lnTo>
                <a:pt x="702564" y="1034796"/>
              </a:lnTo>
              <a:close/>
            </a:path>
            <a:path w="702945" h="4343400">
              <a:moveTo>
                <a:pt x="702564" y="827532"/>
              </a:moveTo>
              <a:lnTo>
                <a:pt x="0" y="827532"/>
              </a:lnTo>
              <a:lnTo>
                <a:pt x="0" y="1031748"/>
              </a:lnTo>
              <a:lnTo>
                <a:pt x="702564" y="1031748"/>
              </a:lnTo>
              <a:lnTo>
                <a:pt x="702564" y="827532"/>
              </a:lnTo>
              <a:close/>
            </a:path>
            <a:path w="702945" h="4343400">
              <a:moveTo>
                <a:pt x="702564" y="620268"/>
              </a:moveTo>
              <a:lnTo>
                <a:pt x="0" y="620268"/>
              </a:lnTo>
              <a:lnTo>
                <a:pt x="0" y="824484"/>
              </a:lnTo>
              <a:lnTo>
                <a:pt x="702564" y="824484"/>
              </a:lnTo>
              <a:lnTo>
                <a:pt x="702564" y="620268"/>
              </a:lnTo>
              <a:close/>
            </a:path>
            <a:path w="702945" h="4343400">
              <a:moveTo>
                <a:pt x="702564" y="414528"/>
              </a:moveTo>
              <a:lnTo>
                <a:pt x="0" y="414528"/>
              </a:lnTo>
              <a:lnTo>
                <a:pt x="0" y="617220"/>
              </a:lnTo>
              <a:lnTo>
                <a:pt x="702564" y="617220"/>
              </a:lnTo>
              <a:lnTo>
                <a:pt x="702564" y="414528"/>
              </a:lnTo>
              <a:close/>
            </a:path>
            <a:path w="702945" h="4343400">
              <a:moveTo>
                <a:pt x="702564" y="207264"/>
              </a:moveTo>
              <a:lnTo>
                <a:pt x="0" y="207264"/>
              </a:lnTo>
              <a:lnTo>
                <a:pt x="0" y="411480"/>
              </a:lnTo>
              <a:lnTo>
                <a:pt x="702564" y="411480"/>
              </a:lnTo>
              <a:lnTo>
                <a:pt x="702564" y="207264"/>
              </a:lnTo>
              <a:close/>
            </a:path>
            <a:path w="702945" h="4343400">
              <a:moveTo>
                <a:pt x="702564" y="0"/>
              </a:moveTo>
              <a:lnTo>
                <a:pt x="0" y="0"/>
              </a:lnTo>
              <a:lnTo>
                <a:pt x="0" y="204216"/>
              </a:lnTo>
              <a:lnTo>
                <a:pt x="702564" y="204216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4A48-7BC8-429E-B5FF-1E17E0F5E00F}">
  <dimension ref="A1:AP174"/>
  <sheetViews>
    <sheetView topLeftCell="V16" workbookViewId="0">
      <selection activeCell="AP48" sqref="AP48"/>
    </sheetView>
  </sheetViews>
  <sheetFormatPr defaultRowHeight="13.2" x14ac:dyDescent="0.25"/>
  <cols>
    <col min="1" max="3" width="6" bestFit="1" customWidth="1"/>
    <col min="4" max="4" width="10.77734375" bestFit="1" customWidth="1"/>
    <col min="5" max="9" width="4" bestFit="1" customWidth="1"/>
    <col min="10" max="10" width="7" bestFit="1" customWidth="1"/>
    <col min="11" max="13" width="6" bestFit="1" customWidth="1"/>
    <col min="14" max="14" width="7.33203125" bestFit="1" customWidth="1"/>
  </cols>
  <sheetData>
    <row r="1" spans="1:42" x14ac:dyDescent="0.25">
      <c r="A1" s="24" t="s">
        <v>226</v>
      </c>
      <c r="B1" s="24" t="s">
        <v>227</v>
      </c>
      <c r="C1" s="24" t="s">
        <v>228</v>
      </c>
      <c r="D1" s="24" t="s">
        <v>229</v>
      </c>
      <c r="E1" s="26" t="s">
        <v>327</v>
      </c>
      <c r="F1" s="26" t="s">
        <v>328</v>
      </c>
      <c r="G1" s="26" t="s">
        <v>329</v>
      </c>
      <c r="H1" s="26" t="s">
        <v>330</v>
      </c>
      <c r="I1" s="26" t="s">
        <v>331</v>
      </c>
      <c r="J1" s="26" t="s">
        <v>332</v>
      </c>
      <c r="K1" s="26" t="s">
        <v>333</v>
      </c>
      <c r="L1" s="26" t="s">
        <v>334</v>
      </c>
      <c r="M1" s="26" t="s">
        <v>335</v>
      </c>
      <c r="N1" s="26" t="s">
        <v>336</v>
      </c>
    </row>
    <row r="2" spans="1:42" x14ac:dyDescent="0.25">
      <c r="A2" s="25">
        <v>0.15580736543909349</v>
      </c>
      <c r="B2" s="25">
        <v>0.16713881019830029</v>
      </c>
      <c r="C2" s="25">
        <v>0.62889518413597734</v>
      </c>
      <c r="D2" s="25">
        <v>3.39943342776204E-2</v>
      </c>
      <c r="E2" s="26">
        <v>441</v>
      </c>
      <c r="F2" s="26">
        <v>2</v>
      </c>
      <c r="G2" s="26">
        <v>5</v>
      </c>
      <c r="H2" s="26">
        <v>2</v>
      </c>
      <c r="I2" s="26">
        <v>450</v>
      </c>
      <c r="J2" s="27">
        <v>0.98</v>
      </c>
      <c r="K2" s="27">
        <v>4.4444444444444444E-3</v>
      </c>
      <c r="L2" s="27">
        <v>1.1111111111111112E-2</v>
      </c>
      <c r="M2" s="27">
        <v>4.4444444444444444E-3</v>
      </c>
      <c r="N2" s="28">
        <v>61.495555555555555</v>
      </c>
      <c r="P2" s="31" t="s">
        <v>122</v>
      </c>
    </row>
    <row r="3" spans="1:42" x14ac:dyDescent="0.25">
      <c r="A3" s="25">
        <v>0.10516605166051661</v>
      </c>
      <c r="B3" s="25">
        <v>0.37453874538745385</v>
      </c>
      <c r="C3" s="25">
        <v>0.48339483394833949</v>
      </c>
      <c r="D3" s="25">
        <v>3.5055350553505532E-2</v>
      </c>
      <c r="E3" s="26">
        <v>684</v>
      </c>
      <c r="F3" s="26">
        <v>1</v>
      </c>
      <c r="G3" s="26">
        <v>2</v>
      </c>
      <c r="H3" s="26">
        <v>0</v>
      </c>
      <c r="I3" s="26">
        <v>687</v>
      </c>
      <c r="J3" s="27">
        <v>0.99563318777292575</v>
      </c>
      <c r="K3" s="27">
        <v>1.455604075691412E-3</v>
      </c>
      <c r="L3" s="27">
        <v>2.911208151382824E-3</v>
      </c>
      <c r="M3" s="27">
        <v>0</v>
      </c>
      <c r="N3" s="28">
        <v>32.535662299854437</v>
      </c>
    </row>
    <row r="4" spans="1:42" x14ac:dyDescent="0.25">
      <c r="A4" s="25">
        <v>0.12534059945504086</v>
      </c>
      <c r="B4" s="25">
        <v>0.18256130790190736</v>
      </c>
      <c r="C4" s="25">
        <v>0.67847411444141692</v>
      </c>
      <c r="D4" s="25">
        <v>5.4495912806539508E-3</v>
      </c>
      <c r="E4" s="26">
        <v>446</v>
      </c>
      <c r="F4" s="26">
        <v>3</v>
      </c>
      <c r="G4" s="26">
        <v>0</v>
      </c>
      <c r="H4" s="26">
        <v>1</v>
      </c>
      <c r="I4" s="26">
        <v>450</v>
      </c>
      <c r="J4" s="27">
        <v>0.99111111111111116</v>
      </c>
      <c r="K4" s="27">
        <v>6.6666666666666671E-3</v>
      </c>
      <c r="L4" s="27">
        <v>0</v>
      </c>
      <c r="M4" s="27">
        <v>2.2222222222222222E-3</v>
      </c>
      <c r="N4" s="28">
        <v>63.50888888888889</v>
      </c>
    </row>
    <row r="5" spans="1:42" x14ac:dyDescent="0.25">
      <c r="A5" s="25">
        <v>0.14420803782505912</v>
      </c>
      <c r="B5" s="25">
        <v>0.3546099290780142</v>
      </c>
      <c r="C5" s="25">
        <v>0.4728132387706856</v>
      </c>
      <c r="D5" s="25">
        <v>1.8912529550827423E-2</v>
      </c>
      <c r="E5" s="26">
        <v>546</v>
      </c>
      <c r="F5" s="26">
        <v>2</v>
      </c>
      <c r="G5" s="26">
        <v>0</v>
      </c>
      <c r="H5" s="26">
        <v>0</v>
      </c>
      <c r="I5" s="26">
        <v>548</v>
      </c>
      <c r="J5" s="27">
        <v>0.9963503649635036</v>
      </c>
      <c r="K5" s="27">
        <v>3.6496350364963502E-3</v>
      </c>
      <c r="L5" s="27">
        <v>0</v>
      </c>
      <c r="M5" s="27">
        <v>0</v>
      </c>
      <c r="N5" s="28">
        <v>42.704379562043798</v>
      </c>
      <c r="X5" s="31" t="s">
        <v>338</v>
      </c>
      <c r="AG5" s="31" t="s">
        <v>341</v>
      </c>
      <c r="AP5" s="31" t="s">
        <v>343</v>
      </c>
    </row>
    <row r="6" spans="1:42" x14ac:dyDescent="0.25">
      <c r="A6" s="25">
        <v>0.15144766146993319</v>
      </c>
      <c r="B6" s="25">
        <v>0.38530066815144765</v>
      </c>
      <c r="C6" s="25">
        <v>0.45211581291759467</v>
      </c>
      <c r="D6" s="25">
        <v>6.6815144766146995E-3</v>
      </c>
      <c r="E6" s="26">
        <v>548</v>
      </c>
      <c r="F6" s="26">
        <v>1</v>
      </c>
      <c r="G6" s="26">
        <v>0</v>
      </c>
      <c r="H6" s="26">
        <v>0</v>
      </c>
      <c r="I6" s="26">
        <v>549</v>
      </c>
      <c r="J6" s="27">
        <v>0.99817850637522765</v>
      </c>
      <c r="K6" s="27">
        <v>1.8214936247723133E-3</v>
      </c>
      <c r="L6" s="27">
        <v>0</v>
      </c>
      <c r="M6" s="27">
        <v>0</v>
      </c>
      <c r="N6" s="28">
        <v>25.896174863387976</v>
      </c>
    </row>
    <row r="7" spans="1:42" x14ac:dyDescent="0.25">
      <c r="A7" s="25">
        <v>0.14465408805031446</v>
      </c>
      <c r="B7" s="25">
        <v>0.21069182389937108</v>
      </c>
      <c r="C7" s="25">
        <v>0.6132075471698113</v>
      </c>
      <c r="D7" s="25">
        <v>2.20125786163522E-2</v>
      </c>
      <c r="E7" s="26">
        <v>425</v>
      </c>
      <c r="F7" s="26">
        <v>2</v>
      </c>
      <c r="G7" s="26">
        <v>19</v>
      </c>
      <c r="H7" s="26">
        <v>4</v>
      </c>
      <c r="I7" s="26">
        <v>450</v>
      </c>
      <c r="J7" s="27">
        <v>0.94444444444444442</v>
      </c>
      <c r="K7" s="27">
        <v>4.4444444444444444E-3</v>
      </c>
      <c r="L7" s="27">
        <v>4.2222222222222223E-2</v>
      </c>
      <c r="M7" s="27">
        <v>8.8888888888888889E-3</v>
      </c>
      <c r="N7" s="28">
        <v>69.946666666666673</v>
      </c>
      <c r="X7" s="34">
        <f>-0.7517+0.8377</f>
        <v>8.5999999999999965E-2</v>
      </c>
      <c r="AG7" s="35">
        <f>0.8586+0.1649</f>
        <v>1.0235000000000001</v>
      </c>
      <c r="AP7" s="35">
        <f>0.7849+0.2548</f>
        <v>1.0397000000000001</v>
      </c>
    </row>
    <row r="8" spans="1:42" x14ac:dyDescent="0.25">
      <c r="A8" s="25">
        <v>0.15508021390374332</v>
      </c>
      <c r="B8" s="25">
        <v>0.27540106951871657</v>
      </c>
      <c r="C8" s="25">
        <v>0.55614973262032086</v>
      </c>
      <c r="D8" s="25">
        <v>5.3475935828877002E-3</v>
      </c>
      <c r="E8" s="26">
        <v>425</v>
      </c>
      <c r="F8" s="26">
        <v>0</v>
      </c>
      <c r="G8" s="26">
        <v>23</v>
      </c>
      <c r="H8" s="26">
        <v>2</v>
      </c>
      <c r="I8" s="26">
        <v>450</v>
      </c>
      <c r="J8" s="27">
        <v>0.94444444444444442</v>
      </c>
      <c r="K8" s="27">
        <v>0</v>
      </c>
      <c r="L8" s="27">
        <v>5.1111111111111114E-2</v>
      </c>
      <c r="M8" s="27">
        <v>4.4444444444444444E-3</v>
      </c>
      <c r="N8" s="28">
        <v>56.375555555555557</v>
      </c>
    </row>
    <row r="9" spans="1:42" x14ac:dyDescent="0.25">
      <c r="A9" s="25">
        <v>0.22410147991543342</v>
      </c>
      <c r="B9" s="25">
        <v>0.33192389006342493</v>
      </c>
      <c r="C9" s="25">
        <v>0.40380549682875266</v>
      </c>
      <c r="D9" s="25">
        <v>3.5940803382663845E-2</v>
      </c>
      <c r="E9" s="26">
        <v>575</v>
      </c>
      <c r="F9" s="26">
        <v>5</v>
      </c>
      <c r="G9" s="26">
        <v>56</v>
      </c>
      <c r="H9" s="26">
        <v>2</v>
      </c>
      <c r="I9" s="26">
        <v>638</v>
      </c>
      <c r="J9" s="27">
        <v>0.90125391849529779</v>
      </c>
      <c r="K9" s="27">
        <v>7.8369905956112845E-3</v>
      </c>
      <c r="L9" s="27">
        <v>8.7774294670846395E-2</v>
      </c>
      <c r="M9" s="27">
        <v>3.134796238244514E-3</v>
      </c>
      <c r="N9" s="28">
        <v>44.274294670846395</v>
      </c>
    </row>
    <row r="10" spans="1:42" x14ac:dyDescent="0.25">
      <c r="A10" s="25">
        <v>0.23427331887201736</v>
      </c>
      <c r="B10" s="25">
        <v>0.40130151843817785</v>
      </c>
      <c r="C10" s="25">
        <v>0.34707158351409978</v>
      </c>
      <c r="D10" s="25">
        <v>1.5184381778741865E-2</v>
      </c>
      <c r="E10" s="26">
        <v>577</v>
      </c>
      <c r="F10" s="26">
        <v>9</v>
      </c>
      <c r="G10" s="26">
        <v>51</v>
      </c>
      <c r="H10" s="26">
        <v>1</v>
      </c>
      <c r="I10" s="26">
        <v>638</v>
      </c>
      <c r="J10" s="27">
        <v>0.90438871473354232</v>
      </c>
      <c r="K10" s="27">
        <v>1.4106583072100314E-2</v>
      </c>
      <c r="L10" s="27">
        <v>7.9937304075235111E-2</v>
      </c>
      <c r="M10" s="27">
        <v>1.567398119122257E-3</v>
      </c>
      <c r="N10" s="28">
        <v>33.29937304075235</v>
      </c>
    </row>
    <row r="11" spans="1:42" x14ac:dyDescent="0.25">
      <c r="A11" s="25">
        <v>0.26601941747572816</v>
      </c>
      <c r="B11" s="25">
        <v>0.37281553398058254</v>
      </c>
      <c r="C11" s="25">
        <v>0.34951456310679613</v>
      </c>
      <c r="D11" s="25">
        <v>5.8252427184466021E-3</v>
      </c>
      <c r="E11" s="26">
        <v>598</v>
      </c>
      <c r="F11" s="26">
        <v>5</v>
      </c>
      <c r="G11" s="26">
        <v>35</v>
      </c>
      <c r="H11" s="26">
        <v>0</v>
      </c>
      <c r="I11" s="26">
        <v>638</v>
      </c>
      <c r="J11" s="27">
        <v>0.93730407523510972</v>
      </c>
      <c r="K11" s="27">
        <v>7.8369905956112845E-3</v>
      </c>
      <c r="L11" s="27">
        <v>5.4858934169278999E-2</v>
      </c>
      <c r="M11" s="27">
        <v>0</v>
      </c>
      <c r="N11" s="28">
        <v>23.368338557993731</v>
      </c>
    </row>
    <row r="12" spans="1:42" x14ac:dyDescent="0.25">
      <c r="A12" s="25">
        <v>0.80487804878048785</v>
      </c>
      <c r="B12" s="25">
        <v>7.3170731707317069E-2</v>
      </c>
      <c r="C12" s="25">
        <v>9.7560975609756101E-2</v>
      </c>
      <c r="D12" s="25">
        <v>0</v>
      </c>
      <c r="E12" s="26">
        <v>23</v>
      </c>
      <c r="F12" s="26">
        <v>132</v>
      </c>
      <c r="G12" s="26">
        <v>39</v>
      </c>
      <c r="H12" s="26">
        <v>0</v>
      </c>
      <c r="I12" s="26">
        <v>194</v>
      </c>
      <c r="J12" s="27">
        <v>0.11855670103092783</v>
      </c>
      <c r="K12" s="27">
        <v>0.68041237113402064</v>
      </c>
      <c r="L12" s="27">
        <v>0.20103092783505155</v>
      </c>
      <c r="M12" s="27">
        <v>0</v>
      </c>
      <c r="N12" s="28">
        <v>57.628865979381445</v>
      </c>
    </row>
    <row r="13" spans="1:42" x14ac:dyDescent="0.25">
      <c r="A13" s="25">
        <v>0.65454545454545454</v>
      </c>
      <c r="B13" s="25">
        <v>3.6363636363636362E-2</v>
      </c>
      <c r="C13" s="25">
        <v>0.25757575757575757</v>
      </c>
      <c r="D13" s="25">
        <v>2.1212121212121213E-2</v>
      </c>
      <c r="E13" s="26">
        <v>66</v>
      </c>
      <c r="F13" s="26">
        <v>293</v>
      </c>
      <c r="G13" s="26">
        <v>91</v>
      </c>
      <c r="H13" s="26">
        <v>0</v>
      </c>
      <c r="I13" s="26">
        <v>450</v>
      </c>
      <c r="J13" s="27">
        <v>0.14666666666666667</v>
      </c>
      <c r="K13" s="27">
        <v>0.65111111111111108</v>
      </c>
      <c r="L13" s="27">
        <v>0.20222222222222222</v>
      </c>
      <c r="M13" s="27">
        <v>0</v>
      </c>
      <c r="N13" s="28">
        <v>67.884444444444441</v>
      </c>
    </row>
    <row r="14" spans="1:42" x14ac:dyDescent="0.25">
      <c r="A14" s="25">
        <v>0.73043478260869565</v>
      </c>
      <c r="B14" s="25">
        <v>2.8985507246376812E-2</v>
      </c>
      <c r="C14" s="25">
        <v>0.20579710144927535</v>
      </c>
      <c r="D14" s="25">
        <v>1.4492753623188406E-2</v>
      </c>
      <c r="E14" s="26">
        <v>54</v>
      </c>
      <c r="F14" s="26">
        <v>287</v>
      </c>
      <c r="G14" s="26">
        <v>107</v>
      </c>
      <c r="H14" s="26">
        <v>2</v>
      </c>
      <c r="I14" s="26">
        <v>450</v>
      </c>
      <c r="J14" s="27">
        <v>0.12</v>
      </c>
      <c r="K14" s="27">
        <v>0.63777777777777778</v>
      </c>
      <c r="L14" s="27">
        <v>0.23777777777777778</v>
      </c>
      <c r="M14" s="27">
        <v>4.4444444444444444E-3</v>
      </c>
      <c r="N14" s="28">
        <v>56.195555555555558</v>
      </c>
    </row>
    <row r="15" spans="1:42" x14ac:dyDescent="0.25">
      <c r="A15" s="25">
        <v>0.76659038901601828</v>
      </c>
      <c r="B15" s="25">
        <v>8.6956521739130432E-2</v>
      </c>
      <c r="C15" s="25">
        <v>0.13043478260869565</v>
      </c>
      <c r="D15" s="25">
        <v>2.2883295194508009E-3</v>
      </c>
      <c r="E15" s="26">
        <v>86</v>
      </c>
      <c r="F15" s="26">
        <v>363</v>
      </c>
      <c r="G15" s="26">
        <v>152</v>
      </c>
      <c r="H15" s="26">
        <v>3</v>
      </c>
      <c r="I15" s="26">
        <v>604</v>
      </c>
      <c r="J15" s="27">
        <v>0.14238410596026491</v>
      </c>
      <c r="K15" s="27">
        <v>0.60099337748344372</v>
      </c>
      <c r="L15" s="27">
        <v>0.25165562913907286</v>
      </c>
      <c r="M15" s="27">
        <v>4.9668874172185433E-3</v>
      </c>
      <c r="N15" s="28">
        <v>45.014900662251655</v>
      </c>
    </row>
    <row r="16" spans="1:42" x14ac:dyDescent="0.25">
      <c r="A16" s="25">
        <v>0.80154639175257736</v>
      </c>
      <c r="B16" s="25">
        <v>8.247422680412371E-2</v>
      </c>
      <c r="C16" s="25">
        <v>0.10824742268041238</v>
      </c>
      <c r="D16" s="25">
        <v>2.5773195876288659E-3</v>
      </c>
      <c r="E16" s="26">
        <v>88</v>
      </c>
      <c r="F16" s="26">
        <v>349</v>
      </c>
      <c r="G16" s="26">
        <v>164</v>
      </c>
      <c r="H16" s="26">
        <v>3</v>
      </c>
      <c r="I16" s="26">
        <v>604</v>
      </c>
      <c r="J16" s="27">
        <v>0.14569536423841059</v>
      </c>
      <c r="K16" s="27">
        <v>0.57781456953642385</v>
      </c>
      <c r="L16" s="27">
        <v>0.27152317880794702</v>
      </c>
      <c r="M16" s="27">
        <v>4.9668874172185433E-3</v>
      </c>
      <c r="N16" s="28">
        <v>36.11258278145695</v>
      </c>
    </row>
    <row r="17" spans="1:24" x14ac:dyDescent="0.25">
      <c r="A17" s="25">
        <v>0.77192982456140347</v>
      </c>
      <c r="B17" s="25">
        <v>7.7694235588972427E-2</v>
      </c>
      <c r="C17" s="25">
        <v>0.13784461152882205</v>
      </c>
      <c r="D17" s="25">
        <v>2.5062656641604009E-3</v>
      </c>
      <c r="E17" s="26">
        <v>99</v>
      </c>
      <c r="F17" s="26">
        <v>333</v>
      </c>
      <c r="G17" s="26">
        <v>173</v>
      </c>
      <c r="H17" s="26">
        <v>0</v>
      </c>
      <c r="I17" s="26">
        <v>605</v>
      </c>
      <c r="J17" s="27">
        <v>0.16363636363636364</v>
      </c>
      <c r="K17" s="27">
        <v>0.5504132231404959</v>
      </c>
      <c r="L17" s="27">
        <v>0.28595041322314052</v>
      </c>
      <c r="M17" s="27">
        <v>0</v>
      </c>
      <c r="N17" s="28">
        <v>28.745454545454546</v>
      </c>
    </row>
    <row r="18" spans="1:24" x14ac:dyDescent="0.25">
      <c r="A18" s="25">
        <v>0.76769911504424782</v>
      </c>
      <c r="B18" s="25">
        <v>0.10619469026548672</v>
      </c>
      <c r="C18" s="25">
        <v>0.11283185840707964</v>
      </c>
      <c r="D18" s="25">
        <v>2.2123893805309734E-3</v>
      </c>
      <c r="E18" s="26">
        <v>114</v>
      </c>
      <c r="F18" s="26">
        <v>274</v>
      </c>
      <c r="G18" s="26">
        <v>217</v>
      </c>
      <c r="H18" s="26">
        <v>0</v>
      </c>
      <c r="I18" s="26">
        <v>605</v>
      </c>
      <c r="J18" s="27">
        <v>0.1884297520661157</v>
      </c>
      <c r="K18" s="27">
        <v>0.45289256198347105</v>
      </c>
      <c r="L18" s="27">
        <v>0.35867768595041322</v>
      </c>
      <c r="M18" s="27">
        <v>0</v>
      </c>
      <c r="N18" s="28">
        <v>21.828099173553721</v>
      </c>
    </row>
    <row r="19" spans="1:24" x14ac:dyDescent="0.25">
      <c r="A19" s="25">
        <v>9.2348284960422161E-2</v>
      </c>
      <c r="B19" s="25">
        <v>0.13192612137203166</v>
      </c>
      <c r="C19" s="25">
        <v>0.75725593667546176</v>
      </c>
      <c r="D19" s="25">
        <v>7.9155672823219003E-3</v>
      </c>
      <c r="E19" s="26">
        <v>445</v>
      </c>
      <c r="F19" s="26">
        <v>0</v>
      </c>
      <c r="G19" s="26">
        <v>5</v>
      </c>
      <c r="H19" s="26">
        <v>0</v>
      </c>
      <c r="I19" s="26">
        <v>450</v>
      </c>
      <c r="J19" s="27">
        <v>0.98888888888888893</v>
      </c>
      <c r="K19" s="27">
        <v>0</v>
      </c>
      <c r="L19" s="27">
        <v>1.1111111111111112E-2</v>
      </c>
      <c r="M19" s="27">
        <v>0</v>
      </c>
      <c r="N19" s="28">
        <v>60.704444444444441</v>
      </c>
    </row>
    <row r="20" spans="1:24" x14ac:dyDescent="0.25">
      <c r="A20" s="25">
        <v>5.2837573385518588E-2</v>
      </c>
      <c r="B20" s="25">
        <v>0.28767123287671231</v>
      </c>
      <c r="C20" s="25">
        <v>0.63796477495107629</v>
      </c>
      <c r="D20" s="25">
        <v>1.3698630136986301E-2</v>
      </c>
      <c r="E20" s="26">
        <v>505</v>
      </c>
      <c r="F20" s="26">
        <v>0</v>
      </c>
      <c r="G20" s="26">
        <v>3</v>
      </c>
      <c r="H20" s="26">
        <v>1</v>
      </c>
      <c r="I20" s="26">
        <v>509</v>
      </c>
      <c r="J20" s="27">
        <v>0.99214145383104124</v>
      </c>
      <c r="K20" s="27">
        <v>0</v>
      </c>
      <c r="L20" s="27">
        <v>5.893909626719057E-3</v>
      </c>
      <c r="M20" s="27">
        <v>1.9646365422396855E-3</v>
      </c>
      <c r="N20" s="28">
        <v>38.593320235756387</v>
      </c>
    </row>
    <row r="21" spans="1:24" x14ac:dyDescent="0.25">
      <c r="A21" s="25">
        <v>6.6666666666666666E-2</v>
      </c>
      <c r="B21" s="25">
        <v>0.3961904761904762</v>
      </c>
      <c r="C21" s="25">
        <v>0.52</v>
      </c>
      <c r="D21" s="25">
        <v>1.5238095238095238E-2</v>
      </c>
      <c r="E21" s="26">
        <v>505</v>
      </c>
      <c r="F21" s="26">
        <v>0</v>
      </c>
      <c r="G21" s="26">
        <v>4</v>
      </c>
      <c r="H21" s="26">
        <v>0</v>
      </c>
      <c r="I21" s="26">
        <v>509</v>
      </c>
      <c r="J21" s="27">
        <v>0.99214145383104124</v>
      </c>
      <c r="K21" s="27">
        <v>0</v>
      </c>
      <c r="L21" s="27">
        <v>7.8585461689587421E-3</v>
      </c>
      <c r="M21" s="27">
        <v>0</v>
      </c>
      <c r="N21" s="28">
        <v>28.039292730844792</v>
      </c>
    </row>
    <row r="22" spans="1:24" x14ac:dyDescent="0.25">
      <c r="A22" s="25">
        <v>9.8196392785571143E-2</v>
      </c>
      <c r="B22" s="25">
        <v>0.35270541082164331</v>
      </c>
      <c r="C22" s="25">
        <v>0.54308617234468937</v>
      </c>
      <c r="D22" s="25">
        <v>6.0120240480961923E-3</v>
      </c>
      <c r="E22" s="26">
        <v>444</v>
      </c>
      <c r="F22" s="26">
        <v>0</v>
      </c>
      <c r="G22" s="26">
        <v>4</v>
      </c>
      <c r="H22" s="26">
        <v>2</v>
      </c>
      <c r="I22" s="26">
        <v>450</v>
      </c>
      <c r="J22" s="27">
        <v>0.98666666666666669</v>
      </c>
      <c r="K22" s="27">
        <v>0</v>
      </c>
      <c r="L22" s="27">
        <v>8.8888888888888889E-3</v>
      </c>
      <c r="M22" s="27">
        <v>4.4444444444444444E-3</v>
      </c>
      <c r="N22" s="28">
        <v>63.833333333333336</v>
      </c>
      <c r="P22" s="31" t="s">
        <v>119</v>
      </c>
    </row>
    <row r="23" spans="1:24" x14ac:dyDescent="0.25">
      <c r="A23" s="25">
        <v>0.11855670103092783</v>
      </c>
      <c r="B23" s="25">
        <v>0.15979381443298968</v>
      </c>
      <c r="C23" s="25">
        <v>0.68814432989690721</v>
      </c>
      <c r="D23" s="25">
        <v>1.804123711340206E-2</v>
      </c>
      <c r="E23" s="26">
        <v>533</v>
      </c>
      <c r="F23" s="26">
        <v>0</v>
      </c>
      <c r="G23" s="26">
        <v>2</v>
      </c>
      <c r="H23" s="26">
        <v>0</v>
      </c>
      <c r="I23" s="26">
        <v>535</v>
      </c>
      <c r="J23" s="27">
        <v>0.99626168224299061</v>
      </c>
      <c r="K23" s="27">
        <v>0</v>
      </c>
      <c r="L23" s="27">
        <v>3.7383177570093459E-3</v>
      </c>
      <c r="M23" s="27">
        <v>0</v>
      </c>
      <c r="N23" s="28">
        <v>44.960747663551402</v>
      </c>
    </row>
    <row r="24" spans="1:24" x14ac:dyDescent="0.25">
      <c r="A24" s="25">
        <v>0.10352941176470588</v>
      </c>
      <c r="B24" s="25">
        <v>0.33411764705882352</v>
      </c>
      <c r="C24" s="25">
        <v>0.53411764705882347</v>
      </c>
      <c r="D24" s="25">
        <v>1.6470588235294119E-2</v>
      </c>
      <c r="E24" s="26">
        <v>533</v>
      </c>
      <c r="F24" s="26">
        <v>1</v>
      </c>
      <c r="G24" s="26">
        <v>0</v>
      </c>
      <c r="H24" s="26">
        <v>1</v>
      </c>
      <c r="I24" s="26">
        <v>535</v>
      </c>
      <c r="J24" s="27">
        <v>0.99626168224299061</v>
      </c>
      <c r="K24" s="27">
        <v>1.869158878504673E-3</v>
      </c>
      <c r="L24" s="27">
        <v>0</v>
      </c>
      <c r="M24" s="27">
        <v>1.869158878504673E-3</v>
      </c>
      <c r="N24" s="28">
        <v>34.77570093457944</v>
      </c>
    </row>
    <row r="25" spans="1:24" x14ac:dyDescent="0.25">
      <c r="A25" s="25">
        <v>0.12037037037037036</v>
      </c>
      <c r="B25" s="25">
        <v>0.37731481481481483</v>
      </c>
      <c r="C25" s="25">
        <v>0.4861111111111111</v>
      </c>
      <c r="D25" s="25">
        <v>6.9444444444444441E-3</v>
      </c>
      <c r="E25" s="26">
        <v>535</v>
      </c>
      <c r="F25" s="26">
        <v>0</v>
      </c>
      <c r="G25" s="26">
        <v>0</v>
      </c>
      <c r="H25" s="26">
        <v>0</v>
      </c>
      <c r="I25" s="26">
        <v>535</v>
      </c>
      <c r="J25" s="27">
        <v>1</v>
      </c>
      <c r="K25" s="27">
        <v>0</v>
      </c>
      <c r="L25" s="27">
        <v>0</v>
      </c>
      <c r="M25" s="27">
        <v>0</v>
      </c>
      <c r="N25" s="28">
        <v>25.826168224299064</v>
      </c>
      <c r="X25" s="31" t="s">
        <v>339</v>
      </c>
    </row>
    <row r="26" spans="1:24" x14ac:dyDescent="0.25">
      <c r="A26" s="25">
        <v>0.11910669975186104</v>
      </c>
      <c r="B26" s="25">
        <v>0.38957816377171217</v>
      </c>
      <c r="C26" s="25">
        <v>0.47146401985111663</v>
      </c>
      <c r="D26" s="25">
        <v>1.2406947890818859E-2</v>
      </c>
      <c r="E26" s="26">
        <v>447</v>
      </c>
      <c r="F26" s="26">
        <v>0</v>
      </c>
      <c r="G26" s="26">
        <v>0</v>
      </c>
      <c r="H26" s="26">
        <v>3</v>
      </c>
      <c r="I26" s="26">
        <v>450</v>
      </c>
      <c r="J26" s="27">
        <v>0.99333333333333329</v>
      </c>
      <c r="K26" s="27">
        <v>0</v>
      </c>
      <c r="L26" s="27">
        <v>0</v>
      </c>
      <c r="M26" s="27">
        <v>6.6666666666666671E-3</v>
      </c>
      <c r="N26" s="28">
        <v>63.506666666666668</v>
      </c>
    </row>
    <row r="27" spans="1:24" x14ac:dyDescent="0.25">
      <c r="A27" s="25">
        <v>7.5187969924812026E-2</v>
      </c>
      <c r="B27" s="25">
        <v>0.14285714285714285</v>
      </c>
      <c r="C27" s="25">
        <v>0.75438596491228072</v>
      </c>
      <c r="D27" s="25">
        <v>5.0125313283208017E-3</v>
      </c>
      <c r="E27" s="26">
        <v>655</v>
      </c>
      <c r="F27" s="26">
        <v>1</v>
      </c>
      <c r="G27" s="26">
        <v>2</v>
      </c>
      <c r="H27" s="26">
        <v>1</v>
      </c>
      <c r="I27" s="26">
        <v>659</v>
      </c>
      <c r="J27" s="27">
        <v>0.99393019726858878</v>
      </c>
      <c r="K27" s="27">
        <v>1.5174506828528073E-3</v>
      </c>
      <c r="L27" s="27">
        <v>3.0349013657056147E-3</v>
      </c>
      <c r="M27" s="27">
        <v>1.5174506828528073E-3</v>
      </c>
      <c r="N27" s="28">
        <v>47.004552352048556</v>
      </c>
      <c r="X27" s="34">
        <f>0.3002+0.0211</f>
        <v>0.32130000000000003</v>
      </c>
    </row>
    <row r="28" spans="1:24" x14ac:dyDescent="0.25">
      <c r="A28" s="25">
        <v>6.6176470588235295E-2</v>
      </c>
      <c r="B28" s="25">
        <v>0.40931372549019607</v>
      </c>
      <c r="C28" s="25">
        <v>0.5</v>
      </c>
      <c r="D28" s="25">
        <v>1.7156862745098041E-2</v>
      </c>
      <c r="E28" s="26">
        <v>659</v>
      </c>
      <c r="F28" s="26">
        <v>0</v>
      </c>
      <c r="G28" s="26">
        <v>0</v>
      </c>
      <c r="H28" s="26">
        <v>0</v>
      </c>
      <c r="I28" s="26">
        <v>659</v>
      </c>
      <c r="J28" s="27">
        <v>1</v>
      </c>
      <c r="K28" s="27">
        <v>0</v>
      </c>
      <c r="L28" s="27">
        <v>0</v>
      </c>
      <c r="M28" s="27">
        <v>0</v>
      </c>
      <c r="N28" s="28">
        <v>34.541729893778452</v>
      </c>
    </row>
    <row r="29" spans="1:24" x14ac:dyDescent="0.25">
      <c r="A29" s="25">
        <v>8.1481481481481488E-2</v>
      </c>
      <c r="B29" s="25">
        <v>0.37530864197530867</v>
      </c>
      <c r="C29" s="25">
        <v>0.53333333333333333</v>
      </c>
      <c r="D29" s="25">
        <v>2.4691358024691358E-3</v>
      </c>
      <c r="E29" s="26">
        <v>659</v>
      </c>
      <c r="F29" s="26">
        <v>0</v>
      </c>
      <c r="G29" s="26">
        <v>1</v>
      </c>
      <c r="H29" s="26">
        <v>0</v>
      </c>
      <c r="I29" s="26">
        <v>660</v>
      </c>
      <c r="J29" s="27">
        <v>0.99848484848484853</v>
      </c>
      <c r="K29" s="27">
        <v>0</v>
      </c>
      <c r="L29" s="27">
        <v>1.5151515151515152E-3</v>
      </c>
      <c r="M29" s="27">
        <v>0</v>
      </c>
      <c r="N29" s="28">
        <v>25.639393939393941</v>
      </c>
    </row>
    <row r="30" spans="1:24" x14ac:dyDescent="0.25">
      <c r="A30" s="25">
        <v>0.21502590673575128</v>
      </c>
      <c r="B30" s="25">
        <v>0.15025906735751296</v>
      </c>
      <c r="C30" s="25">
        <v>0.60880829015544047</v>
      </c>
      <c r="D30" s="25">
        <v>1.8134715025906734E-2</v>
      </c>
      <c r="E30" s="26">
        <v>344</v>
      </c>
      <c r="F30" s="26">
        <v>12</v>
      </c>
      <c r="G30" s="26">
        <v>90</v>
      </c>
      <c r="H30" s="26">
        <v>4</v>
      </c>
      <c r="I30" s="26">
        <v>450</v>
      </c>
      <c r="J30" s="27">
        <v>0.76444444444444448</v>
      </c>
      <c r="K30" s="27">
        <v>2.6666666666666668E-2</v>
      </c>
      <c r="L30" s="27">
        <v>0.2</v>
      </c>
      <c r="M30" s="27">
        <v>8.8888888888888889E-3</v>
      </c>
      <c r="N30" s="28">
        <v>61.25333333333333</v>
      </c>
    </row>
    <row r="31" spans="1:24" x14ac:dyDescent="0.25">
      <c r="A31" s="25">
        <v>0.22508591065292097</v>
      </c>
      <c r="B31" s="25">
        <v>0.21134020618556701</v>
      </c>
      <c r="C31" s="25">
        <v>0.55498281786941583</v>
      </c>
      <c r="D31" s="25">
        <v>5.1546391752577319E-3</v>
      </c>
      <c r="E31" s="26">
        <v>586</v>
      </c>
      <c r="F31" s="26">
        <v>41</v>
      </c>
      <c r="G31" s="26">
        <v>120</v>
      </c>
      <c r="H31" s="26">
        <v>1</v>
      </c>
      <c r="I31" s="26">
        <v>748</v>
      </c>
      <c r="J31" s="27">
        <v>0.78342245989304815</v>
      </c>
      <c r="K31" s="27">
        <v>5.4812834224598928E-2</v>
      </c>
      <c r="L31" s="27">
        <v>0.16042780748663102</v>
      </c>
      <c r="M31" s="27">
        <v>1.3368983957219251E-3</v>
      </c>
      <c r="N31" s="28">
        <v>47.13101604278075</v>
      </c>
    </row>
    <row r="32" spans="1:24" x14ac:dyDescent="0.25">
      <c r="A32" s="25">
        <v>0.16261682242990655</v>
      </c>
      <c r="B32" s="25">
        <v>0.3233644859813084</v>
      </c>
      <c r="C32" s="25">
        <v>0.50467289719626163</v>
      </c>
      <c r="D32" s="25">
        <v>7.4766355140186919E-3</v>
      </c>
      <c r="E32" s="26">
        <v>654</v>
      </c>
      <c r="F32" s="26">
        <v>23</v>
      </c>
      <c r="G32" s="26">
        <v>71</v>
      </c>
      <c r="H32" s="26">
        <v>0</v>
      </c>
      <c r="I32" s="26">
        <v>748</v>
      </c>
      <c r="J32" s="27">
        <v>0.87433155080213909</v>
      </c>
      <c r="K32" s="27">
        <v>3.074866310160428E-2</v>
      </c>
      <c r="L32" s="27">
        <v>9.4919786096256689E-2</v>
      </c>
      <c r="M32" s="27">
        <v>0</v>
      </c>
      <c r="N32" s="28">
        <v>32.627005347593581</v>
      </c>
    </row>
    <row r="33" spans="1:42" x14ac:dyDescent="0.25">
      <c r="A33" s="25">
        <v>0.12521440823327615</v>
      </c>
      <c r="B33" s="25">
        <v>0.32590051457975988</v>
      </c>
      <c r="C33" s="25">
        <v>0.53344768439108059</v>
      </c>
      <c r="D33" s="25">
        <v>5.1457975986277877E-3</v>
      </c>
      <c r="E33" s="26">
        <v>707</v>
      </c>
      <c r="F33" s="26">
        <v>5</v>
      </c>
      <c r="G33" s="26">
        <v>36</v>
      </c>
      <c r="H33" s="26">
        <v>0</v>
      </c>
      <c r="I33" s="26">
        <v>748</v>
      </c>
      <c r="J33" s="27">
        <v>0.94518716577540107</v>
      </c>
      <c r="K33" s="27">
        <v>6.6844919786096255E-3</v>
      </c>
      <c r="L33" s="27">
        <v>4.8128342245989303E-2</v>
      </c>
      <c r="M33" s="27">
        <v>0</v>
      </c>
      <c r="N33" s="28">
        <v>25.005347593582886</v>
      </c>
    </row>
    <row r="34" spans="1:42" x14ac:dyDescent="0.25">
      <c r="A34" s="25">
        <v>9.5108695652173919E-2</v>
      </c>
      <c r="B34" s="25">
        <v>0.15489130434782608</v>
      </c>
      <c r="C34" s="25">
        <v>0.70380434782608692</v>
      </c>
      <c r="D34" s="25">
        <v>2.1739130434782608E-2</v>
      </c>
      <c r="E34" s="26">
        <v>417</v>
      </c>
      <c r="F34" s="26">
        <v>2</v>
      </c>
      <c r="G34" s="26">
        <v>30</v>
      </c>
      <c r="H34" s="26">
        <v>1</v>
      </c>
      <c r="I34" s="26">
        <v>450</v>
      </c>
      <c r="J34" s="27">
        <v>0.92666666666666664</v>
      </c>
      <c r="K34" s="27">
        <v>4.4444444444444444E-3</v>
      </c>
      <c r="L34" s="27">
        <v>6.6666666666666666E-2</v>
      </c>
      <c r="M34" s="27">
        <v>2.2222222222222222E-3</v>
      </c>
      <c r="N34" s="28">
        <v>58.76</v>
      </c>
    </row>
    <row r="35" spans="1:42" x14ac:dyDescent="0.25">
      <c r="A35" s="25">
        <v>0.10101010101010101</v>
      </c>
      <c r="B35" s="25">
        <v>0.10606060606060606</v>
      </c>
      <c r="C35" s="25">
        <v>0.78030303030303028</v>
      </c>
      <c r="D35" s="25">
        <v>1.0101010101010102E-2</v>
      </c>
      <c r="E35" s="26">
        <v>425</v>
      </c>
      <c r="F35" s="26">
        <v>2</v>
      </c>
      <c r="G35" s="26">
        <v>19</v>
      </c>
      <c r="H35" s="26">
        <v>4</v>
      </c>
      <c r="I35" s="26">
        <v>450</v>
      </c>
      <c r="J35" s="27">
        <v>0.94444444444444442</v>
      </c>
      <c r="K35" s="27">
        <v>4.4444444444444444E-3</v>
      </c>
      <c r="L35" s="27">
        <v>4.2222222222222223E-2</v>
      </c>
      <c r="M35" s="27">
        <v>8.8888888888888889E-3</v>
      </c>
      <c r="N35" s="28">
        <v>59.917777777777779</v>
      </c>
    </row>
    <row r="36" spans="1:42" x14ac:dyDescent="0.25">
      <c r="A36" s="25">
        <v>5.8823529411764705E-2</v>
      </c>
      <c r="B36" s="25">
        <v>0.19047619047619047</v>
      </c>
      <c r="C36" s="25">
        <v>0.72268907563025209</v>
      </c>
      <c r="D36" s="25">
        <v>1.4005602240896359E-2</v>
      </c>
      <c r="E36" s="26">
        <v>416</v>
      </c>
      <c r="F36" s="26">
        <v>1</v>
      </c>
      <c r="G36" s="26">
        <v>29</v>
      </c>
      <c r="H36" s="26">
        <v>4</v>
      </c>
      <c r="I36" s="26">
        <v>450</v>
      </c>
      <c r="J36" s="27">
        <v>0.9244444444444444</v>
      </c>
      <c r="K36" s="27">
        <v>2.2222222222222222E-3</v>
      </c>
      <c r="L36" s="27">
        <v>6.4444444444444443E-2</v>
      </c>
      <c r="M36" s="27">
        <v>8.8888888888888889E-3</v>
      </c>
      <c r="N36" s="28">
        <v>49.69777777777778</v>
      </c>
    </row>
    <row r="37" spans="1:42" x14ac:dyDescent="0.25">
      <c r="A37" s="25">
        <v>0.1222707423580786</v>
      </c>
      <c r="B37" s="25">
        <v>0.31659388646288211</v>
      </c>
      <c r="C37" s="25">
        <v>0.55021834061135366</v>
      </c>
      <c r="D37" s="25">
        <v>6.5502183406113534E-3</v>
      </c>
      <c r="E37" s="26">
        <v>592</v>
      </c>
      <c r="F37" s="26">
        <v>3</v>
      </c>
      <c r="G37" s="26">
        <v>42</v>
      </c>
      <c r="H37" s="26">
        <v>0</v>
      </c>
      <c r="I37" s="26">
        <v>637</v>
      </c>
      <c r="J37" s="27">
        <v>0.92935635792778648</v>
      </c>
      <c r="K37" s="27">
        <v>4.7095761381475663E-3</v>
      </c>
      <c r="L37" s="27">
        <v>6.5934065934065936E-2</v>
      </c>
      <c r="M37" s="27">
        <v>0</v>
      </c>
      <c r="N37" s="28">
        <v>37.010989010989015</v>
      </c>
    </row>
    <row r="38" spans="1:42" x14ac:dyDescent="0.25">
      <c r="A38" s="25">
        <v>6.4159292035398233E-2</v>
      </c>
      <c r="B38" s="25">
        <v>0.29646017699115046</v>
      </c>
      <c r="C38" s="25">
        <v>0.61283185840707965</v>
      </c>
      <c r="D38" s="25">
        <v>1.3274336283185841E-2</v>
      </c>
      <c r="E38" s="26">
        <v>622</v>
      </c>
      <c r="F38" s="26">
        <v>1</v>
      </c>
      <c r="G38" s="26">
        <v>15</v>
      </c>
      <c r="H38" s="26">
        <v>0</v>
      </c>
      <c r="I38" s="26">
        <v>638</v>
      </c>
      <c r="J38" s="27">
        <v>0.97492163009404387</v>
      </c>
      <c r="K38" s="27">
        <v>1.567398119122257E-3</v>
      </c>
      <c r="L38" s="27">
        <v>2.3510971786833857E-2</v>
      </c>
      <c r="M38" s="27">
        <v>0</v>
      </c>
      <c r="N38" s="28">
        <v>32.637931034482762</v>
      </c>
    </row>
    <row r="39" spans="1:42" x14ac:dyDescent="0.25">
      <c r="A39" s="25">
        <v>8.5062240663900418E-2</v>
      </c>
      <c r="B39" s="25">
        <v>0.31742738589211617</v>
      </c>
      <c r="C39" s="25">
        <v>0.59128630705394192</v>
      </c>
      <c r="D39" s="25">
        <v>4.1493775933609959E-3</v>
      </c>
      <c r="E39" s="26">
        <v>626</v>
      </c>
      <c r="F39" s="26">
        <v>4</v>
      </c>
      <c r="G39" s="26">
        <v>7</v>
      </c>
      <c r="H39" s="26">
        <v>1</v>
      </c>
      <c r="I39" s="26">
        <v>638</v>
      </c>
      <c r="J39" s="27">
        <v>0.98119122257053293</v>
      </c>
      <c r="K39" s="27">
        <v>6.269592476489028E-3</v>
      </c>
      <c r="L39" s="27">
        <v>1.0971786833855799E-2</v>
      </c>
      <c r="M39" s="27">
        <v>1.567398119122257E-3</v>
      </c>
      <c r="N39" s="28">
        <v>28.746081504702193</v>
      </c>
    </row>
    <row r="40" spans="1:42" x14ac:dyDescent="0.25">
      <c r="A40" s="25">
        <v>7.7071290944123308E-2</v>
      </c>
      <c r="B40" s="25">
        <v>0.32369942196531792</v>
      </c>
      <c r="C40" s="25">
        <v>0.59344894026974948</v>
      </c>
      <c r="D40" s="25">
        <v>1.9267822736030828E-3</v>
      </c>
      <c r="E40" s="26">
        <v>628</v>
      </c>
      <c r="F40" s="26">
        <v>3</v>
      </c>
      <c r="G40" s="26">
        <v>7</v>
      </c>
      <c r="H40" s="26">
        <v>0</v>
      </c>
      <c r="I40" s="26">
        <v>638</v>
      </c>
      <c r="J40" s="27">
        <v>0.98432601880877746</v>
      </c>
      <c r="K40" s="27">
        <v>4.7021943573667714E-3</v>
      </c>
      <c r="L40" s="27">
        <v>1.0971786833855799E-2</v>
      </c>
      <c r="M40" s="27">
        <v>0</v>
      </c>
      <c r="N40" s="28">
        <v>22.40909090909091</v>
      </c>
    </row>
    <row r="41" spans="1:42" x14ac:dyDescent="0.25">
      <c r="A41" s="25">
        <v>0.78600823045267487</v>
      </c>
      <c r="B41" s="25">
        <v>6.584362139917696E-2</v>
      </c>
      <c r="C41" s="25">
        <v>0.13580246913580246</v>
      </c>
      <c r="D41" s="25">
        <v>4.11522633744856E-3</v>
      </c>
      <c r="E41" s="26">
        <v>15</v>
      </c>
      <c r="F41" s="26">
        <v>385</v>
      </c>
      <c r="G41" s="26">
        <v>50</v>
      </c>
      <c r="H41" s="26">
        <v>0</v>
      </c>
      <c r="I41" s="26">
        <v>450</v>
      </c>
      <c r="J41" s="27">
        <v>3.3333333333333333E-2</v>
      </c>
      <c r="K41" s="27">
        <v>0.85555555555555551</v>
      </c>
      <c r="L41" s="27">
        <v>0.1111111111111111</v>
      </c>
      <c r="M41" s="27">
        <v>0</v>
      </c>
      <c r="N41" s="28">
        <v>53.18888888888889</v>
      </c>
    </row>
    <row r="42" spans="1:42" x14ac:dyDescent="0.25">
      <c r="A42" s="25">
        <v>0.75563909774436089</v>
      </c>
      <c r="B42" s="25">
        <v>5.2631578947368418E-2</v>
      </c>
      <c r="C42" s="25">
        <v>0.18045112781954886</v>
      </c>
      <c r="D42" s="25">
        <v>0</v>
      </c>
      <c r="E42" s="26">
        <v>48</v>
      </c>
      <c r="F42" s="26">
        <v>292</v>
      </c>
      <c r="G42" s="26">
        <v>101</v>
      </c>
      <c r="H42" s="26">
        <v>2</v>
      </c>
      <c r="I42" s="26">
        <v>443</v>
      </c>
      <c r="J42" s="27">
        <v>0.10835214446952596</v>
      </c>
      <c r="K42" s="27">
        <v>0.65914221218961622</v>
      </c>
      <c r="L42" s="27">
        <v>0.22799097065462753</v>
      </c>
      <c r="M42" s="27">
        <v>4.5146726862302479E-3</v>
      </c>
      <c r="N42" s="28">
        <v>26.372460496613996</v>
      </c>
      <c r="P42" s="31" t="s">
        <v>121</v>
      </c>
    </row>
    <row r="43" spans="1:42" x14ac:dyDescent="0.25">
      <c r="A43" s="25">
        <v>0.60223048327137552</v>
      </c>
      <c r="B43" s="25">
        <v>6.6914498141263934E-2</v>
      </c>
      <c r="C43" s="25">
        <v>0.26765799256505574</v>
      </c>
      <c r="D43" s="25">
        <v>1.4869888475836431E-2</v>
      </c>
      <c r="E43" s="26">
        <v>7</v>
      </c>
      <c r="F43" s="26">
        <v>340</v>
      </c>
      <c r="G43" s="26">
        <v>101</v>
      </c>
      <c r="H43" s="26">
        <v>2</v>
      </c>
      <c r="I43" s="26">
        <v>450</v>
      </c>
      <c r="J43" s="27">
        <v>1.5555555555555555E-2</v>
      </c>
      <c r="K43" s="27">
        <v>0.75555555555555554</v>
      </c>
      <c r="L43" s="27">
        <v>0.22444444444444445</v>
      </c>
      <c r="M43" s="27">
        <v>4.4444444444444444E-3</v>
      </c>
      <c r="N43" s="28">
        <v>73.817777777777778</v>
      </c>
    </row>
    <row r="44" spans="1:42" x14ac:dyDescent="0.25">
      <c r="A44" s="25">
        <v>0.74183976261127593</v>
      </c>
      <c r="B44" s="25">
        <v>4.4510385756676561E-2</v>
      </c>
      <c r="C44" s="25">
        <v>0.17507418397626112</v>
      </c>
      <c r="D44" s="25">
        <v>5.9347181008902079E-3</v>
      </c>
      <c r="E44" s="26">
        <v>5</v>
      </c>
      <c r="F44" s="26">
        <v>342</v>
      </c>
      <c r="G44" s="26">
        <v>140</v>
      </c>
      <c r="H44" s="26">
        <v>1</v>
      </c>
      <c r="I44" s="26">
        <v>488</v>
      </c>
      <c r="J44" s="27">
        <v>1.0245901639344262E-2</v>
      </c>
      <c r="K44" s="27">
        <v>0.70081967213114749</v>
      </c>
      <c r="L44" s="27">
        <v>0.28688524590163933</v>
      </c>
      <c r="M44" s="27">
        <v>2.0491803278688526E-3</v>
      </c>
      <c r="N44" s="28">
        <v>55.725409836065573</v>
      </c>
    </row>
    <row r="45" spans="1:42" x14ac:dyDescent="0.25">
      <c r="A45" s="25">
        <v>0.79054054054054057</v>
      </c>
      <c r="B45" s="25">
        <v>3.0405405405405407E-2</v>
      </c>
      <c r="C45" s="25">
        <v>0.1554054054054054</v>
      </c>
      <c r="D45" s="25">
        <v>2.364864864864865E-2</v>
      </c>
      <c r="E45" s="26">
        <v>16</v>
      </c>
      <c r="F45" s="26">
        <v>268</v>
      </c>
      <c r="G45" s="26">
        <v>186</v>
      </c>
      <c r="H45" s="26">
        <v>18</v>
      </c>
      <c r="I45" s="26">
        <v>488</v>
      </c>
      <c r="J45" s="27">
        <v>3.2786885245901641E-2</v>
      </c>
      <c r="K45" s="27">
        <v>0.54918032786885251</v>
      </c>
      <c r="L45" s="27">
        <v>0.38114754098360654</v>
      </c>
      <c r="M45" s="27">
        <v>3.6885245901639344E-2</v>
      </c>
      <c r="N45" s="28">
        <v>35.657786885245905</v>
      </c>
    </row>
    <row r="46" spans="1:42" x14ac:dyDescent="0.25">
      <c r="A46" s="25">
        <v>0.58762886597938147</v>
      </c>
      <c r="B46" s="25">
        <v>5.1546391752577317E-2</v>
      </c>
      <c r="C46" s="25">
        <v>0.31958762886597936</v>
      </c>
      <c r="D46" s="25">
        <v>1.0309278350515464E-2</v>
      </c>
      <c r="E46" s="26">
        <v>31</v>
      </c>
      <c r="F46" s="26">
        <v>18</v>
      </c>
      <c r="G46" s="26">
        <v>172</v>
      </c>
      <c r="H46" s="26">
        <v>1</v>
      </c>
      <c r="I46" s="26">
        <v>222</v>
      </c>
      <c r="J46" s="27">
        <v>0.13963963963963963</v>
      </c>
      <c r="K46" s="27">
        <v>8.1081081081081086E-2</v>
      </c>
      <c r="L46" s="27">
        <v>0.77477477477477474</v>
      </c>
      <c r="M46" s="27">
        <v>4.5045045045045045E-3</v>
      </c>
      <c r="N46" s="28">
        <v>49.036036036036037</v>
      </c>
      <c r="X46" s="31" t="s">
        <v>340</v>
      </c>
      <c r="AG46" s="31" t="s">
        <v>342</v>
      </c>
      <c r="AP46" s="31" t="s">
        <v>344</v>
      </c>
    </row>
    <row r="47" spans="1:42" x14ac:dyDescent="0.25">
      <c r="A47" s="25">
        <v>0.18181818181818182</v>
      </c>
      <c r="B47" s="25">
        <v>0.19008264462809918</v>
      </c>
      <c r="C47" s="25">
        <v>0.6198347107438017</v>
      </c>
      <c r="D47" s="25">
        <v>2.7548209366391185E-3</v>
      </c>
      <c r="E47" s="26">
        <v>419</v>
      </c>
      <c r="F47" s="26">
        <v>7</v>
      </c>
      <c r="G47" s="26">
        <v>22</v>
      </c>
      <c r="H47" s="26">
        <v>2</v>
      </c>
      <c r="I47" s="26">
        <v>450</v>
      </c>
      <c r="J47" s="27">
        <v>0.93111111111111111</v>
      </c>
      <c r="K47" s="27">
        <v>1.5555555555555555E-2</v>
      </c>
      <c r="L47" s="27">
        <v>4.8888888888888891E-2</v>
      </c>
      <c r="M47" s="27">
        <v>4.4444444444444444E-3</v>
      </c>
      <c r="N47" s="28">
        <v>61.348888888888887</v>
      </c>
    </row>
    <row r="48" spans="1:42" x14ac:dyDescent="0.25">
      <c r="A48" s="25">
        <v>0.15686274509803921</v>
      </c>
      <c r="B48" s="25">
        <v>0.30065359477124182</v>
      </c>
      <c r="C48" s="25">
        <v>0.5163398692810458</v>
      </c>
      <c r="D48" s="25">
        <v>1.3071895424836602E-2</v>
      </c>
      <c r="E48" s="26">
        <v>552</v>
      </c>
      <c r="F48" s="26">
        <v>3</v>
      </c>
      <c r="G48" s="26">
        <v>32</v>
      </c>
      <c r="H48" s="26">
        <v>3</v>
      </c>
      <c r="I48" s="26">
        <v>590</v>
      </c>
      <c r="J48" s="27">
        <v>0.93559322033898307</v>
      </c>
      <c r="K48" s="27">
        <v>5.084745762711864E-3</v>
      </c>
      <c r="L48" s="27">
        <v>5.4237288135593219E-2</v>
      </c>
      <c r="M48" s="27">
        <v>5.084745762711864E-3</v>
      </c>
      <c r="N48" s="28">
        <v>49.783050847457631</v>
      </c>
      <c r="X48" s="34">
        <f>0.4514+0.121</f>
        <v>0.57240000000000002</v>
      </c>
      <c r="AG48" s="33">
        <f>-0.5301+0.5283</f>
        <v>-1.8000000000000238E-3</v>
      </c>
      <c r="AP48" s="36">
        <f>-0.431+0.4659</f>
        <v>3.4899999999999987E-2</v>
      </c>
    </row>
    <row r="49" spans="1:14" x14ac:dyDescent="0.25">
      <c r="A49" s="25">
        <v>0.15942028985507245</v>
      </c>
      <c r="B49" s="25">
        <v>0.38405797101449274</v>
      </c>
      <c r="C49" s="25">
        <v>0.43961352657004832</v>
      </c>
      <c r="D49" s="25">
        <v>1.6908212560386472E-2</v>
      </c>
      <c r="E49" s="26">
        <v>553</v>
      </c>
      <c r="F49" s="26">
        <v>2</v>
      </c>
      <c r="G49" s="26">
        <v>34</v>
      </c>
      <c r="H49" s="26">
        <v>1</v>
      </c>
      <c r="I49" s="26">
        <v>590</v>
      </c>
      <c r="J49" s="27">
        <v>0.93728813559322033</v>
      </c>
      <c r="K49" s="27">
        <v>3.3898305084745762E-3</v>
      </c>
      <c r="L49" s="27">
        <v>5.7627118644067797E-2</v>
      </c>
      <c r="M49" s="27">
        <v>1.6949152542372881E-3</v>
      </c>
      <c r="N49" s="28">
        <v>34.955932203389828</v>
      </c>
    </row>
    <row r="50" spans="1:14" x14ac:dyDescent="0.25">
      <c r="A50" s="25">
        <v>0.19772727272727272</v>
      </c>
      <c r="B50" s="25">
        <v>0.40909090909090912</v>
      </c>
      <c r="C50" s="25">
        <v>0.37954545454545452</v>
      </c>
      <c r="D50" s="25">
        <v>6.8181818181818179E-3</v>
      </c>
      <c r="E50" s="26">
        <v>568</v>
      </c>
      <c r="F50" s="26">
        <v>1</v>
      </c>
      <c r="G50" s="26">
        <v>20</v>
      </c>
      <c r="H50" s="26">
        <v>1</v>
      </c>
      <c r="I50" s="26">
        <v>590</v>
      </c>
      <c r="J50" s="27">
        <v>0.96271186440677969</v>
      </c>
      <c r="K50" s="27">
        <v>1.6949152542372881E-3</v>
      </c>
      <c r="L50" s="27">
        <v>3.3898305084745763E-2</v>
      </c>
      <c r="M50" s="27">
        <v>1.6949152542372881E-3</v>
      </c>
      <c r="N50" s="28">
        <v>27.91186440677966</v>
      </c>
    </row>
    <row r="51" spans="1:14" x14ac:dyDescent="0.25">
      <c r="A51" s="25">
        <v>0.17381974248927037</v>
      </c>
      <c r="B51" s="25">
        <v>0.43776824034334766</v>
      </c>
      <c r="C51" s="25">
        <v>0.36909871244635195</v>
      </c>
      <c r="D51" s="25">
        <v>8.5836909871244635E-3</v>
      </c>
      <c r="E51" s="26">
        <v>571</v>
      </c>
      <c r="F51" s="26">
        <v>3</v>
      </c>
      <c r="G51" s="26">
        <v>16</v>
      </c>
      <c r="H51" s="26">
        <v>0</v>
      </c>
      <c r="I51" s="26">
        <v>590</v>
      </c>
      <c r="J51" s="27">
        <v>0.96779661016949148</v>
      </c>
      <c r="K51" s="27">
        <v>5.084745762711864E-3</v>
      </c>
      <c r="L51" s="27">
        <v>2.7118644067796609E-2</v>
      </c>
      <c r="M51" s="27">
        <v>0</v>
      </c>
      <c r="N51" s="28">
        <v>21.335593220338982</v>
      </c>
    </row>
    <row r="52" spans="1:14" x14ac:dyDescent="0.25">
      <c r="A52" s="25">
        <v>0.14360313315926893</v>
      </c>
      <c r="B52" s="25">
        <v>0.12010443864229765</v>
      </c>
      <c r="C52" s="25">
        <v>0.70757180156657962</v>
      </c>
      <c r="D52" s="25">
        <v>5.2219321148825066E-3</v>
      </c>
      <c r="E52" s="26">
        <v>448</v>
      </c>
      <c r="F52" s="26">
        <v>0</v>
      </c>
      <c r="G52" s="26">
        <v>2</v>
      </c>
      <c r="H52" s="26">
        <v>0</v>
      </c>
      <c r="I52" s="26">
        <v>450</v>
      </c>
      <c r="J52" s="27">
        <v>0.99555555555555553</v>
      </c>
      <c r="K52" s="27">
        <v>0</v>
      </c>
      <c r="L52" s="27">
        <v>4.4444444444444444E-3</v>
      </c>
      <c r="M52" s="27">
        <v>0</v>
      </c>
      <c r="N52" s="28">
        <v>64.451111111111118</v>
      </c>
    </row>
    <row r="53" spans="1:14" x14ac:dyDescent="0.25">
      <c r="A53" s="25">
        <v>0.14578005115089515</v>
      </c>
      <c r="B53" s="25">
        <v>0.1815856777493606</v>
      </c>
      <c r="C53" s="25">
        <v>0.63682864450127874</v>
      </c>
      <c r="D53" s="25">
        <v>1.278772378516624E-2</v>
      </c>
      <c r="E53" s="26">
        <v>448</v>
      </c>
      <c r="F53" s="26">
        <v>0</v>
      </c>
      <c r="G53" s="26">
        <v>2</v>
      </c>
      <c r="H53" s="26">
        <v>0</v>
      </c>
      <c r="I53" s="26">
        <v>450</v>
      </c>
      <c r="J53" s="27">
        <v>0.99555555555555553</v>
      </c>
      <c r="K53" s="27">
        <v>0</v>
      </c>
      <c r="L53" s="27">
        <v>4.4444444444444444E-3</v>
      </c>
      <c r="M53" s="27">
        <v>0</v>
      </c>
      <c r="N53" s="28">
        <v>56.533333333333331</v>
      </c>
    </row>
    <row r="54" spans="1:14" x14ac:dyDescent="0.25">
      <c r="A54" s="25">
        <v>0.12521739130434784</v>
      </c>
      <c r="B54" s="25">
        <v>0.35130434782608694</v>
      </c>
      <c r="C54" s="25">
        <v>0.50608695652173918</v>
      </c>
      <c r="D54" s="25">
        <v>5.2173913043478265E-3</v>
      </c>
      <c r="E54" s="26">
        <v>711</v>
      </c>
      <c r="F54" s="26">
        <v>0</v>
      </c>
      <c r="G54" s="26">
        <v>5</v>
      </c>
      <c r="H54" s="26">
        <v>0</v>
      </c>
      <c r="I54" s="26">
        <v>716</v>
      </c>
      <c r="J54" s="27">
        <v>0.99301675977653636</v>
      </c>
      <c r="K54" s="27">
        <v>0</v>
      </c>
      <c r="L54" s="27">
        <v>6.9832402234636867E-3</v>
      </c>
      <c r="M54" s="27">
        <v>0</v>
      </c>
      <c r="N54" s="28">
        <v>39.539106145251395</v>
      </c>
    </row>
    <row r="55" spans="1:14" x14ac:dyDescent="0.25">
      <c r="A55" s="25">
        <v>0.11355311355311355</v>
      </c>
      <c r="B55" s="25">
        <v>0.41391941391941389</v>
      </c>
      <c r="C55" s="25">
        <v>0.45604395604395603</v>
      </c>
      <c r="D55" s="25">
        <v>9.1575091575091579E-3</v>
      </c>
      <c r="E55" s="26">
        <v>715</v>
      </c>
      <c r="F55" s="26">
        <v>1</v>
      </c>
      <c r="G55" s="26">
        <v>1</v>
      </c>
      <c r="H55" s="26">
        <v>0</v>
      </c>
      <c r="I55" s="26">
        <v>717</v>
      </c>
      <c r="J55" s="27">
        <v>0.99721059972105996</v>
      </c>
      <c r="K55" s="27">
        <v>1.3947001394700139E-3</v>
      </c>
      <c r="L55" s="27">
        <v>1.3947001394700139E-3</v>
      </c>
      <c r="M55" s="27">
        <v>0</v>
      </c>
      <c r="N55" s="28">
        <v>33.126917712691771</v>
      </c>
    </row>
    <row r="56" spans="1:14" x14ac:dyDescent="0.25">
      <c r="A56" s="25">
        <v>0.13989637305699482</v>
      </c>
      <c r="B56" s="25">
        <v>0.40069084628670121</v>
      </c>
      <c r="C56" s="25">
        <v>0.44386873920552677</v>
      </c>
      <c r="D56" s="25">
        <v>8.6355785837651123E-3</v>
      </c>
      <c r="E56" s="26">
        <v>717</v>
      </c>
      <c r="F56" s="26">
        <v>0</v>
      </c>
      <c r="G56" s="26">
        <v>0</v>
      </c>
      <c r="H56" s="26">
        <v>0</v>
      </c>
      <c r="I56" s="26">
        <v>717</v>
      </c>
      <c r="J56" s="27">
        <v>1</v>
      </c>
      <c r="K56" s="27">
        <v>0</v>
      </c>
      <c r="L56" s="27">
        <v>0</v>
      </c>
      <c r="M56" s="27">
        <v>0</v>
      </c>
      <c r="N56" s="28">
        <v>24.483960948396096</v>
      </c>
    </row>
    <row r="57" spans="1:14" x14ac:dyDescent="0.25">
      <c r="A57" s="25">
        <v>0.11286089238845144</v>
      </c>
      <c r="B57" s="25">
        <v>0.15485564304461943</v>
      </c>
      <c r="C57" s="25">
        <v>0.69816272965879267</v>
      </c>
      <c r="D57" s="25">
        <v>2.8871391076115485E-2</v>
      </c>
      <c r="E57" s="26">
        <v>430</v>
      </c>
      <c r="F57" s="26">
        <v>0</v>
      </c>
      <c r="G57" s="26">
        <v>19</v>
      </c>
      <c r="H57" s="26">
        <v>1</v>
      </c>
      <c r="I57" s="26">
        <v>450</v>
      </c>
      <c r="J57" s="27">
        <v>0.9555555555555556</v>
      </c>
      <c r="K57" s="27">
        <v>0</v>
      </c>
      <c r="L57" s="27">
        <v>4.2222222222222223E-2</v>
      </c>
      <c r="M57" s="27">
        <v>2.2222222222222222E-3</v>
      </c>
      <c r="N57" s="28">
        <v>60.386666666666663</v>
      </c>
    </row>
    <row r="58" spans="1:14" x14ac:dyDescent="0.25">
      <c r="A58" s="25">
        <v>9.9750623441396513E-2</v>
      </c>
      <c r="B58" s="25">
        <v>0.33915211970074816</v>
      </c>
      <c r="C58" s="25">
        <v>0.54862842892768082</v>
      </c>
      <c r="D58" s="25">
        <v>4.9875311720698253E-3</v>
      </c>
      <c r="E58" s="26">
        <v>520</v>
      </c>
      <c r="F58" s="26">
        <v>1</v>
      </c>
      <c r="G58" s="26">
        <v>16</v>
      </c>
      <c r="H58" s="26">
        <v>1</v>
      </c>
      <c r="I58" s="26">
        <v>538</v>
      </c>
      <c r="J58" s="27">
        <v>0.96654275092936803</v>
      </c>
      <c r="K58" s="27">
        <v>1.8587360594795538E-3</v>
      </c>
      <c r="L58" s="27">
        <v>2.9739776951672861E-2</v>
      </c>
      <c r="M58" s="27">
        <v>1.8587360594795538E-3</v>
      </c>
      <c r="N58" s="28">
        <v>38.847583643122675</v>
      </c>
    </row>
    <row r="59" spans="1:14" x14ac:dyDescent="0.25">
      <c r="A59" s="25">
        <v>0.11244019138755981</v>
      </c>
      <c r="B59" s="25">
        <v>0.35885167464114831</v>
      </c>
      <c r="C59" s="25">
        <v>0.50956937799043067</v>
      </c>
      <c r="D59" s="25">
        <v>1.6746411483253589E-2</v>
      </c>
      <c r="E59" s="26">
        <v>538</v>
      </c>
      <c r="F59" s="26">
        <v>0</v>
      </c>
      <c r="G59" s="26">
        <v>1</v>
      </c>
      <c r="H59" s="26">
        <v>0</v>
      </c>
      <c r="I59" s="26">
        <v>539</v>
      </c>
      <c r="J59" s="27">
        <v>0.99814471243042668</v>
      </c>
      <c r="K59" s="27">
        <v>0</v>
      </c>
      <c r="L59" s="27">
        <v>1.8552875695732839E-3</v>
      </c>
      <c r="M59" s="27">
        <v>0</v>
      </c>
      <c r="N59" s="28">
        <v>26.209647495361782</v>
      </c>
    </row>
    <row r="60" spans="1:14" x14ac:dyDescent="0.25">
      <c r="A60" s="25">
        <v>0.10364145658263306</v>
      </c>
      <c r="B60" s="25">
        <v>0.11204481792717087</v>
      </c>
      <c r="C60" s="25">
        <v>0.74229691876750703</v>
      </c>
      <c r="D60" s="25">
        <v>8.4033613445378148E-3</v>
      </c>
      <c r="E60" s="26">
        <v>405</v>
      </c>
      <c r="F60" s="26">
        <v>1</v>
      </c>
      <c r="G60" s="26">
        <v>43</v>
      </c>
      <c r="H60" s="26">
        <v>1</v>
      </c>
      <c r="I60" s="26">
        <v>450</v>
      </c>
      <c r="J60" s="27">
        <v>0.9</v>
      </c>
      <c r="K60" s="27">
        <v>2.2222222222222222E-3</v>
      </c>
      <c r="L60" s="27">
        <v>9.555555555555556E-2</v>
      </c>
      <c r="M60" s="27">
        <v>2.2222222222222222E-3</v>
      </c>
      <c r="N60" s="28">
        <v>65.771111111111111</v>
      </c>
    </row>
    <row r="61" spans="1:14" x14ac:dyDescent="0.25">
      <c r="A61" s="25">
        <v>6.5326633165829151E-2</v>
      </c>
      <c r="B61" s="25">
        <v>0.10552763819095477</v>
      </c>
      <c r="C61" s="25">
        <v>0.81658291457286436</v>
      </c>
      <c r="D61" s="25">
        <v>2.5125628140703518E-3</v>
      </c>
      <c r="E61" s="26">
        <v>439</v>
      </c>
      <c r="F61" s="26">
        <v>1</v>
      </c>
      <c r="G61" s="26">
        <v>9</v>
      </c>
      <c r="H61" s="26">
        <v>1</v>
      </c>
      <c r="I61" s="26">
        <v>450</v>
      </c>
      <c r="J61" s="27">
        <v>0.97555555555555551</v>
      </c>
      <c r="K61" s="27">
        <v>2.2222222222222222E-3</v>
      </c>
      <c r="L61" s="27">
        <v>0.02</v>
      </c>
      <c r="M61" s="27">
        <v>2.2222222222222222E-3</v>
      </c>
      <c r="N61" s="28">
        <v>61.742222222222225</v>
      </c>
    </row>
    <row r="62" spans="1:14" x14ac:dyDescent="0.25">
      <c r="A62" s="25">
        <v>0.14595660749506903</v>
      </c>
      <c r="B62" s="25">
        <v>0.33333333333333331</v>
      </c>
      <c r="C62" s="25">
        <v>0.51084812623274167</v>
      </c>
      <c r="D62" s="25">
        <v>5.9171597633136093E-3</v>
      </c>
      <c r="E62" s="26">
        <v>621</v>
      </c>
      <c r="F62" s="26">
        <v>2</v>
      </c>
      <c r="G62" s="26">
        <v>83</v>
      </c>
      <c r="H62" s="26">
        <v>2</v>
      </c>
      <c r="I62" s="26">
        <v>708</v>
      </c>
      <c r="J62" s="27">
        <v>0.8771186440677966</v>
      </c>
      <c r="K62" s="27">
        <v>2.8248587570621469E-3</v>
      </c>
      <c r="L62" s="27">
        <v>0.1172316384180791</v>
      </c>
      <c r="M62" s="27">
        <v>2.8248587570621469E-3</v>
      </c>
      <c r="N62" s="28">
        <v>44.701977401129945</v>
      </c>
    </row>
    <row r="63" spans="1:14" x14ac:dyDescent="0.25">
      <c r="A63" s="25">
        <v>9.4230769230769229E-2</v>
      </c>
      <c r="B63" s="25">
        <v>0.44230769230769229</v>
      </c>
      <c r="C63" s="25">
        <v>0.44615384615384618</v>
      </c>
      <c r="D63" s="25">
        <v>5.7692307692307696E-3</v>
      </c>
      <c r="E63" s="26">
        <v>682</v>
      </c>
      <c r="F63" s="26">
        <v>1</v>
      </c>
      <c r="G63" s="26">
        <v>24</v>
      </c>
      <c r="H63" s="26">
        <v>1</v>
      </c>
      <c r="I63" s="26">
        <v>708</v>
      </c>
      <c r="J63" s="27">
        <v>0.96327683615819204</v>
      </c>
      <c r="K63" s="27">
        <v>1.4124293785310734E-3</v>
      </c>
      <c r="L63" s="27">
        <v>3.3898305084745763E-2</v>
      </c>
      <c r="M63" s="27">
        <v>1.4124293785310734E-3</v>
      </c>
      <c r="N63" s="28">
        <v>37.117231638418076</v>
      </c>
    </row>
    <row r="64" spans="1:14" x14ac:dyDescent="0.25">
      <c r="A64" s="25">
        <v>0.10576923076923077</v>
      </c>
      <c r="B64" s="25">
        <v>0.42692307692307691</v>
      </c>
      <c r="C64" s="25">
        <v>0.46153846153846156</v>
      </c>
      <c r="D64" s="25">
        <v>0</v>
      </c>
      <c r="E64" s="26">
        <v>684</v>
      </c>
      <c r="F64" s="26">
        <v>0</v>
      </c>
      <c r="G64" s="26">
        <v>25</v>
      </c>
      <c r="H64" s="26">
        <v>0</v>
      </c>
      <c r="I64" s="26">
        <v>709</v>
      </c>
      <c r="J64" s="27">
        <v>0.9647390691114246</v>
      </c>
      <c r="K64" s="27">
        <v>0</v>
      </c>
      <c r="L64" s="27">
        <v>3.5260930888575459E-2</v>
      </c>
      <c r="M64" s="27">
        <v>0</v>
      </c>
      <c r="N64" s="28">
        <v>31.967559943582511</v>
      </c>
    </row>
    <row r="65" spans="1:14" x14ac:dyDescent="0.25">
      <c r="A65" s="25">
        <v>0.12681159420289856</v>
      </c>
      <c r="B65" s="25">
        <v>0.39311594202898553</v>
      </c>
      <c r="C65" s="25">
        <v>0.47463768115942029</v>
      </c>
      <c r="D65" s="25">
        <v>0</v>
      </c>
      <c r="E65" s="26">
        <v>654</v>
      </c>
      <c r="F65" s="26">
        <v>1</v>
      </c>
      <c r="G65" s="26">
        <v>54</v>
      </c>
      <c r="H65" s="26">
        <v>0</v>
      </c>
      <c r="I65" s="26">
        <v>709</v>
      </c>
      <c r="J65" s="27">
        <v>0.922425952045134</v>
      </c>
      <c r="K65" s="27">
        <v>1.4104372355430183E-3</v>
      </c>
      <c r="L65" s="27">
        <v>7.6163610719322997E-2</v>
      </c>
      <c r="M65" s="27">
        <v>0</v>
      </c>
      <c r="N65" s="28">
        <v>23.875881523272213</v>
      </c>
    </row>
    <row r="66" spans="1:14" x14ac:dyDescent="0.25">
      <c r="A66" s="25">
        <v>7.4999999999999997E-2</v>
      </c>
      <c r="B66" s="25">
        <v>0.1875</v>
      </c>
      <c r="C66" s="25">
        <v>0.70750000000000002</v>
      </c>
      <c r="D66" s="25">
        <v>5.0000000000000001E-3</v>
      </c>
      <c r="E66" s="26">
        <v>405</v>
      </c>
      <c r="F66" s="26">
        <v>5</v>
      </c>
      <c r="G66" s="26">
        <v>34</v>
      </c>
      <c r="H66" s="26">
        <v>6</v>
      </c>
      <c r="I66" s="26">
        <v>450</v>
      </c>
      <c r="J66" s="27">
        <v>0.9</v>
      </c>
      <c r="K66" s="27">
        <v>1.1111111111111112E-2</v>
      </c>
      <c r="L66" s="27">
        <v>7.5555555555555556E-2</v>
      </c>
      <c r="M66" s="27">
        <v>1.3333333333333334E-2</v>
      </c>
      <c r="N66" s="28">
        <v>63.295555555555559</v>
      </c>
    </row>
    <row r="67" spans="1:14" x14ac:dyDescent="0.25">
      <c r="A67" s="25">
        <v>8.1439393939393936E-2</v>
      </c>
      <c r="B67" s="25">
        <v>0.39015151515151514</v>
      </c>
      <c r="C67" s="25">
        <v>0.50757575757575757</v>
      </c>
      <c r="D67" s="25">
        <v>7.575757575757576E-3</v>
      </c>
      <c r="E67" s="26">
        <v>650</v>
      </c>
      <c r="F67" s="26">
        <v>9</v>
      </c>
      <c r="G67" s="26">
        <v>32</v>
      </c>
      <c r="H67" s="26">
        <v>9</v>
      </c>
      <c r="I67" s="26">
        <v>700</v>
      </c>
      <c r="J67" s="27">
        <v>0.9285714285714286</v>
      </c>
      <c r="K67" s="27">
        <v>1.2857142857142857E-2</v>
      </c>
      <c r="L67" s="27">
        <v>4.5714285714285714E-2</v>
      </c>
      <c r="M67" s="27">
        <v>1.2857142857142857E-2</v>
      </c>
      <c r="N67" s="28">
        <v>43.177142857142854</v>
      </c>
    </row>
    <row r="68" spans="1:14" x14ac:dyDescent="0.25">
      <c r="A68" s="25">
        <v>9.5602294455066919E-2</v>
      </c>
      <c r="B68" s="25">
        <v>0.4627151051625239</v>
      </c>
      <c r="C68" s="25">
        <v>0.43594646271510518</v>
      </c>
      <c r="D68" s="25">
        <v>1.9120458891013384E-3</v>
      </c>
      <c r="E68" s="26">
        <v>669</v>
      </c>
      <c r="F68" s="26">
        <v>4</v>
      </c>
      <c r="G68" s="26">
        <v>27</v>
      </c>
      <c r="H68" s="26">
        <v>0</v>
      </c>
      <c r="I68" s="26">
        <v>700</v>
      </c>
      <c r="J68" s="27">
        <v>0.95571428571428574</v>
      </c>
      <c r="K68" s="27">
        <v>5.7142857142857143E-3</v>
      </c>
      <c r="L68" s="27">
        <v>3.8571428571428569E-2</v>
      </c>
      <c r="M68" s="27">
        <v>0</v>
      </c>
      <c r="N68" s="28">
        <v>28.457142857142856</v>
      </c>
    </row>
    <row r="69" spans="1:14" x14ac:dyDescent="0.25">
      <c r="A69" s="25">
        <v>0.10057471264367816</v>
      </c>
      <c r="B69" s="25">
        <v>0.10632183908045977</v>
      </c>
      <c r="C69" s="25">
        <v>0.75574712643678166</v>
      </c>
      <c r="D69" s="25">
        <v>2.2988505747126436E-2</v>
      </c>
      <c r="E69" s="26">
        <v>393</v>
      </c>
      <c r="F69" s="26">
        <v>2</v>
      </c>
      <c r="G69" s="26">
        <v>54</v>
      </c>
      <c r="H69" s="26">
        <v>1</v>
      </c>
      <c r="I69" s="26">
        <v>450</v>
      </c>
      <c r="J69" s="27">
        <v>0.87333333333333329</v>
      </c>
      <c r="K69" s="27">
        <v>4.4444444444444444E-3</v>
      </c>
      <c r="L69" s="27">
        <v>0.12</v>
      </c>
      <c r="M69" s="27">
        <v>2.2222222222222222E-3</v>
      </c>
      <c r="N69" s="28">
        <v>67.708888888888893</v>
      </c>
    </row>
    <row r="70" spans="1:14" x14ac:dyDescent="0.25">
      <c r="A70" s="25">
        <v>8.2262210796915161E-2</v>
      </c>
      <c r="B70" s="25">
        <v>7.4550128534704371E-2</v>
      </c>
      <c r="C70" s="25">
        <v>0.82005141388174807</v>
      </c>
      <c r="D70" s="25">
        <v>1.2853470437017995E-2</v>
      </c>
      <c r="E70" s="26">
        <v>416</v>
      </c>
      <c r="F70" s="26">
        <v>0</v>
      </c>
      <c r="G70" s="26">
        <v>33</v>
      </c>
      <c r="H70" s="26">
        <v>1</v>
      </c>
      <c r="I70" s="26">
        <v>450</v>
      </c>
      <c r="J70" s="27">
        <v>0.9244444444444444</v>
      </c>
      <c r="K70" s="27">
        <v>0</v>
      </c>
      <c r="L70" s="27">
        <v>7.3333333333333334E-2</v>
      </c>
      <c r="M70" s="27">
        <v>2.2222222222222222E-3</v>
      </c>
      <c r="N70" s="28">
        <v>61.095555555555556</v>
      </c>
    </row>
    <row r="71" spans="1:14" x14ac:dyDescent="0.25">
      <c r="A71" s="25">
        <v>0.13001912045889102</v>
      </c>
      <c r="B71" s="25">
        <v>0.31931166347992351</v>
      </c>
      <c r="C71" s="25">
        <v>0.50095602294455066</v>
      </c>
      <c r="D71" s="25">
        <v>2.8680688336520075E-2</v>
      </c>
      <c r="E71" s="26">
        <v>647</v>
      </c>
      <c r="F71" s="26">
        <v>0</v>
      </c>
      <c r="G71" s="26">
        <v>75</v>
      </c>
      <c r="H71" s="26">
        <v>0</v>
      </c>
      <c r="I71" s="26">
        <v>722</v>
      </c>
      <c r="J71" s="27">
        <v>0.89612188365650969</v>
      </c>
      <c r="K71" s="27">
        <v>0</v>
      </c>
      <c r="L71" s="27">
        <v>0.1038781163434903</v>
      </c>
      <c r="M71" s="27">
        <v>0</v>
      </c>
      <c r="N71" s="28">
        <v>42.803324099722992</v>
      </c>
    </row>
    <row r="72" spans="1:14" x14ac:dyDescent="0.25">
      <c r="A72" s="25">
        <v>9.3567251461988299E-2</v>
      </c>
      <c r="B72" s="25">
        <v>0.391812865497076</v>
      </c>
      <c r="C72" s="25">
        <v>0.48927875243664715</v>
      </c>
      <c r="D72" s="25">
        <v>1.7543859649122806E-2</v>
      </c>
      <c r="E72" s="26">
        <v>691</v>
      </c>
      <c r="F72" s="26">
        <v>0</v>
      </c>
      <c r="G72" s="26">
        <v>32</v>
      </c>
      <c r="H72" s="26">
        <v>0</v>
      </c>
      <c r="I72" s="26">
        <v>723</v>
      </c>
      <c r="J72" s="27">
        <v>0.95573997233748276</v>
      </c>
      <c r="K72" s="27">
        <v>0</v>
      </c>
      <c r="L72" s="27">
        <v>4.4260027662517291E-2</v>
      </c>
      <c r="M72" s="27">
        <v>0</v>
      </c>
      <c r="N72" s="28">
        <v>34.957123098201933</v>
      </c>
    </row>
    <row r="73" spans="1:14" x14ac:dyDescent="0.25">
      <c r="A73" s="25">
        <v>0.15328467153284672</v>
      </c>
      <c r="B73" s="25">
        <v>0.3978102189781022</v>
      </c>
      <c r="C73" s="25">
        <v>0.43248175182481752</v>
      </c>
      <c r="D73" s="25">
        <v>1.0948905109489052E-2</v>
      </c>
      <c r="E73" s="26">
        <v>645</v>
      </c>
      <c r="F73" s="26">
        <v>0</v>
      </c>
      <c r="G73" s="26">
        <v>78</v>
      </c>
      <c r="H73" s="26">
        <v>0</v>
      </c>
      <c r="I73" s="26">
        <v>723</v>
      </c>
      <c r="J73" s="27">
        <v>0.89211618257261416</v>
      </c>
      <c r="K73" s="27">
        <v>0</v>
      </c>
      <c r="L73" s="27">
        <v>0.1078838174273859</v>
      </c>
      <c r="M73" s="27">
        <v>0</v>
      </c>
      <c r="N73" s="28">
        <v>25.242047026279391</v>
      </c>
    </row>
    <row r="74" spans="1:14" x14ac:dyDescent="0.25">
      <c r="A74" s="25">
        <v>0.11369509043927649</v>
      </c>
      <c r="B74" s="25">
        <v>8.0103359173126609E-2</v>
      </c>
      <c r="C74" s="25">
        <v>0.77777777777777779</v>
      </c>
      <c r="D74" s="25">
        <v>1.0335917312661499E-2</v>
      </c>
      <c r="E74" s="26">
        <v>447</v>
      </c>
      <c r="F74" s="26">
        <v>0</v>
      </c>
      <c r="G74" s="26">
        <v>3</v>
      </c>
      <c r="H74" s="26">
        <v>0</v>
      </c>
      <c r="I74" s="26">
        <v>450</v>
      </c>
      <c r="J74" s="27">
        <v>0.99333333333333329</v>
      </c>
      <c r="K74" s="27">
        <v>0</v>
      </c>
      <c r="L74" s="27">
        <v>6.6666666666666671E-3</v>
      </c>
      <c r="M74" s="27">
        <v>0</v>
      </c>
      <c r="N74" s="28">
        <v>61.111111111111114</v>
      </c>
    </row>
    <row r="75" spans="1:14" x14ac:dyDescent="0.25">
      <c r="A75" s="25">
        <v>9.8557692307692304E-2</v>
      </c>
      <c r="B75" s="25">
        <v>0.23076923076923078</v>
      </c>
      <c r="C75" s="25">
        <v>0.65865384615384615</v>
      </c>
      <c r="D75" s="25">
        <v>9.6153846153846159E-3</v>
      </c>
      <c r="E75" s="26">
        <v>495</v>
      </c>
      <c r="F75" s="26">
        <v>0</v>
      </c>
      <c r="G75" s="26">
        <v>0</v>
      </c>
      <c r="H75" s="26">
        <v>0</v>
      </c>
      <c r="I75" s="26">
        <v>495</v>
      </c>
      <c r="J75" s="27">
        <v>1</v>
      </c>
      <c r="K75" s="27">
        <v>0</v>
      </c>
      <c r="L75" s="27">
        <v>0</v>
      </c>
      <c r="M75" s="27">
        <v>0</v>
      </c>
      <c r="N75" s="28">
        <v>37.886868686868688</v>
      </c>
    </row>
    <row r="76" spans="1:14" x14ac:dyDescent="0.25">
      <c r="A76" s="25">
        <v>7.3791348600508899E-2</v>
      </c>
      <c r="B76" s="25">
        <v>0.39949109414758271</v>
      </c>
      <c r="C76" s="25">
        <v>0.51145038167938928</v>
      </c>
      <c r="D76" s="25">
        <v>7.6335877862595417E-3</v>
      </c>
      <c r="E76" s="26">
        <v>494</v>
      </c>
      <c r="F76" s="26">
        <v>0</v>
      </c>
      <c r="G76" s="26">
        <v>0</v>
      </c>
      <c r="H76" s="26">
        <v>1</v>
      </c>
      <c r="I76" s="26">
        <v>495</v>
      </c>
      <c r="J76" s="27">
        <v>0.99797979797979797</v>
      </c>
      <c r="K76" s="27">
        <v>0</v>
      </c>
      <c r="L76" s="27">
        <v>0</v>
      </c>
      <c r="M76" s="27">
        <v>2.0202020202020202E-3</v>
      </c>
      <c r="N76" s="28">
        <v>27.476767676767675</v>
      </c>
    </row>
    <row r="77" spans="1:14" x14ac:dyDescent="0.25">
      <c r="A77" s="25">
        <v>0.10565110565110565</v>
      </c>
      <c r="B77" s="25">
        <v>0.43734643734643736</v>
      </c>
      <c r="C77" s="25">
        <v>0.45208845208845211</v>
      </c>
      <c r="D77" s="25">
        <v>0</v>
      </c>
      <c r="E77" s="26">
        <v>423</v>
      </c>
      <c r="F77" s="26">
        <v>5</v>
      </c>
      <c r="G77" s="26">
        <v>22</v>
      </c>
      <c r="H77" s="26">
        <v>0</v>
      </c>
      <c r="I77" s="26">
        <v>450</v>
      </c>
      <c r="J77" s="27">
        <v>0.94</v>
      </c>
      <c r="K77" s="27">
        <v>1.1111111111111112E-2</v>
      </c>
      <c r="L77" s="27">
        <v>4.8888888888888891E-2</v>
      </c>
      <c r="M77" s="27">
        <v>0</v>
      </c>
      <c r="N77" s="28">
        <v>63.211111111111109</v>
      </c>
    </row>
    <row r="78" spans="1:14" x14ac:dyDescent="0.25">
      <c r="A78" s="25">
        <v>9.2731829573934832E-2</v>
      </c>
      <c r="B78" s="25">
        <v>0.12030075187969924</v>
      </c>
      <c r="C78" s="25">
        <v>0.75939849624060152</v>
      </c>
      <c r="D78" s="25">
        <v>5.0125313283208017E-3</v>
      </c>
      <c r="E78" s="26">
        <v>527</v>
      </c>
      <c r="F78" s="26">
        <v>0</v>
      </c>
      <c r="G78" s="26">
        <v>25</v>
      </c>
      <c r="H78" s="26">
        <v>2</v>
      </c>
      <c r="I78" s="26">
        <v>554</v>
      </c>
      <c r="J78" s="27">
        <v>0.95126353790613716</v>
      </c>
      <c r="K78" s="27">
        <v>0</v>
      </c>
      <c r="L78" s="27">
        <v>4.5126353790613721E-2</v>
      </c>
      <c r="M78" s="27">
        <v>3.6101083032490976E-3</v>
      </c>
      <c r="N78" s="28">
        <v>46.102888086642601</v>
      </c>
    </row>
    <row r="79" spans="1:14" x14ac:dyDescent="0.25">
      <c r="A79" s="25">
        <v>5.8823529411764705E-2</v>
      </c>
      <c r="B79" s="25">
        <v>0.35828877005347592</v>
      </c>
      <c r="C79" s="25">
        <v>0.56951871657754005</v>
      </c>
      <c r="D79" s="25">
        <v>2.6737967914438501E-3</v>
      </c>
      <c r="E79" s="26">
        <v>529</v>
      </c>
      <c r="F79" s="26">
        <v>0</v>
      </c>
      <c r="G79" s="26">
        <v>25</v>
      </c>
      <c r="H79" s="26">
        <v>0</v>
      </c>
      <c r="I79" s="26">
        <v>554</v>
      </c>
      <c r="J79" s="27">
        <v>0.95487364620938631</v>
      </c>
      <c r="K79" s="27">
        <v>0</v>
      </c>
      <c r="L79" s="27">
        <v>4.5126353790613721E-2</v>
      </c>
      <c r="M79" s="27">
        <v>0</v>
      </c>
      <c r="N79" s="28">
        <v>34.288808664259925</v>
      </c>
    </row>
    <row r="80" spans="1:14" x14ac:dyDescent="0.25">
      <c r="A80" s="25">
        <v>9.8445595854922283E-2</v>
      </c>
      <c r="B80" s="25">
        <v>0.39896373056994816</v>
      </c>
      <c r="C80" s="25">
        <v>0.49222797927461137</v>
      </c>
      <c r="D80" s="25">
        <v>2.5906735751295338E-3</v>
      </c>
      <c r="E80" s="26">
        <v>528</v>
      </c>
      <c r="F80" s="26">
        <v>0</v>
      </c>
      <c r="G80" s="26">
        <v>27</v>
      </c>
      <c r="H80" s="26">
        <v>0</v>
      </c>
      <c r="I80" s="26">
        <v>555</v>
      </c>
      <c r="J80" s="27">
        <v>0.9513513513513514</v>
      </c>
      <c r="K80" s="27">
        <v>0</v>
      </c>
      <c r="L80" s="27">
        <v>4.8648648648648651E-2</v>
      </c>
      <c r="M80" s="27">
        <v>0</v>
      </c>
      <c r="N80" s="28">
        <v>25.781981981981982</v>
      </c>
    </row>
    <row r="81" spans="1:14" x14ac:dyDescent="0.25">
      <c r="A81" s="25">
        <v>0.10846560846560846</v>
      </c>
      <c r="B81" s="25">
        <v>0.14814814814814814</v>
      </c>
      <c r="C81" s="25">
        <v>0.72222222222222221</v>
      </c>
      <c r="D81" s="25">
        <v>5.2910052910052907E-3</v>
      </c>
      <c r="E81" s="26">
        <v>418</v>
      </c>
      <c r="F81" s="26">
        <v>2</v>
      </c>
      <c r="G81" s="26">
        <v>29</v>
      </c>
      <c r="H81" s="26">
        <v>1</v>
      </c>
      <c r="I81" s="26">
        <v>450</v>
      </c>
      <c r="J81" s="27">
        <v>0.92888888888888888</v>
      </c>
      <c r="K81" s="27">
        <v>4.4444444444444444E-3</v>
      </c>
      <c r="L81" s="27">
        <v>6.4444444444444443E-2</v>
      </c>
      <c r="M81" s="27">
        <v>2.2222222222222222E-3</v>
      </c>
      <c r="N81" s="28">
        <v>67.928888888888892</v>
      </c>
    </row>
    <row r="82" spans="1:14" x14ac:dyDescent="0.25">
      <c r="A82" s="25">
        <v>0.13031161473087818</v>
      </c>
      <c r="B82" s="25">
        <v>0.24645892351274787</v>
      </c>
      <c r="C82" s="25">
        <v>0.60339943342776203</v>
      </c>
      <c r="D82" s="25">
        <v>1.1331444759206799E-2</v>
      </c>
      <c r="E82" s="26">
        <v>412</v>
      </c>
      <c r="F82" s="26">
        <v>2</v>
      </c>
      <c r="G82" s="26">
        <v>36</v>
      </c>
      <c r="H82" s="26">
        <v>0</v>
      </c>
      <c r="I82" s="26">
        <v>450</v>
      </c>
      <c r="J82" s="27">
        <v>0.91555555555555557</v>
      </c>
      <c r="K82" s="27">
        <v>4.4444444444444444E-3</v>
      </c>
      <c r="L82" s="27">
        <v>0.08</v>
      </c>
      <c r="M82" s="27">
        <v>0</v>
      </c>
      <c r="N82" s="28">
        <v>54.28</v>
      </c>
    </row>
    <row r="83" spans="1:14" x14ac:dyDescent="0.25">
      <c r="A83" s="25">
        <v>9.3922651933701654E-2</v>
      </c>
      <c r="B83" s="25">
        <v>0.37845303867403313</v>
      </c>
      <c r="C83" s="25">
        <v>0.50552486187845302</v>
      </c>
      <c r="D83" s="25">
        <v>1.6574585635359115E-2</v>
      </c>
      <c r="E83" s="26">
        <v>490</v>
      </c>
      <c r="F83" s="26">
        <v>0</v>
      </c>
      <c r="G83" s="26">
        <v>12</v>
      </c>
      <c r="H83" s="26">
        <v>1</v>
      </c>
      <c r="I83" s="26">
        <v>503</v>
      </c>
      <c r="J83" s="27">
        <v>0.97415506958250497</v>
      </c>
      <c r="K83" s="27">
        <v>0</v>
      </c>
      <c r="L83" s="27">
        <v>2.3856858846918488E-2</v>
      </c>
      <c r="M83" s="27">
        <v>1.9880715705765406E-3</v>
      </c>
      <c r="N83" s="28">
        <v>40.538767395626245</v>
      </c>
    </row>
    <row r="84" spans="1:14" x14ac:dyDescent="0.25">
      <c r="A84" s="25">
        <v>0.12032085561497326</v>
      </c>
      <c r="B84" s="25">
        <v>0.40106951871657753</v>
      </c>
      <c r="C84" s="25">
        <v>0.47593582887700536</v>
      </c>
      <c r="D84" s="25">
        <v>2.6737967914438501E-3</v>
      </c>
      <c r="E84" s="26">
        <v>490</v>
      </c>
      <c r="F84" s="26">
        <v>0</v>
      </c>
      <c r="G84" s="26">
        <v>12</v>
      </c>
      <c r="H84" s="26">
        <v>1</v>
      </c>
      <c r="I84" s="26">
        <v>503</v>
      </c>
      <c r="J84" s="27">
        <v>0.97415506958250497</v>
      </c>
      <c r="K84" s="27">
        <v>0</v>
      </c>
      <c r="L84" s="27">
        <v>2.3856858846918488E-2</v>
      </c>
      <c r="M84" s="27">
        <v>1.9880715705765406E-3</v>
      </c>
      <c r="N84" s="28">
        <v>34.856858846918492</v>
      </c>
    </row>
    <row r="85" spans="1:14" x14ac:dyDescent="0.25">
      <c r="A85" s="25">
        <v>0.13186813186813187</v>
      </c>
      <c r="B85" s="25">
        <v>0.4532967032967033</v>
      </c>
      <c r="C85" s="25">
        <v>0.39560439560439559</v>
      </c>
      <c r="D85" s="25">
        <v>2.7472527472527475E-3</v>
      </c>
      <c r="E85" s="26">
        <v>475</v>
      </c>
      <c r="F85" s="26">
        <v>1</v>
      </c>
      <c r="G85" s="26">
        <v>28</v>
      </c>
      <c r="H85" s="26">
        <v>0</v>
      </c>
      <c r="I85" s="26">
        <v>504</v>
      </c>
      <c r="J85" s="27">
        <v>0.94246031746031744</v>
      </c>
      <c r="K85" s="27">
        <v>1.984126984126984E-3</v>
      </c>
      <c r="L85" s="27">
        <v>5.5555555555555552E-2</v>
      </c>
      <c r="M85" s="27">
        <v>0</v>
      </c>
      <c r="N85" s="28">
        <v>25.178571428571427</v>
      </c>
    </row>
    <row r="86" spans="1:14" x14ac:dyDescent="0.25">
      <c r="A86" s="25">
        <v>0.13675213675213677</v>
      </c>
      <c r="B86" s="25">
        <v>0.10826210826210826</v>
      </c>
      <c r="C86" s="25">
        <v>0.72079772079772075</v>
      </c>
      <c r="D86" s="25">
        <v>1.1396011396011397E-2</v>
      </c>
      <c r="E86" s="26">
        <v>406</v>
      </c>
      <c r="F86" s="26">
        <v>21</v>
      </c>
      <c r="G86" s="26">
        <v>23</v>
      </c>
      <c r="H86" s="26">
        <v>0</v>
      </c>
      <c r="I86" s="26">
        <v>450</v>
      </c>
      <c r="J86" s="27">
        <v>0.90222222222222226</v>
      </c>
      <c r="K86" s="27">
        <v>4.6666666666666669E-2</v>
      </c>
      <c r="L86" s="27">
        <v>5.1111111111111114E-2</v>
      </c>
      <c r="M86" s="27">
        <v>0</v>
      </c>
      <c r="N86" s="28">
        <v>68.542222222222222</v>
      </c>
    </row>
    <row r="87" spans="1:14" x14ac:dyDescent="0.25">
      <c r="A87" s="25">
        <v>0.15384615384615385</v>
      </c>
      <c r="B87" s="25">
        <v>0.22802197802197802</v>
      </c>
      <c r="C87" s="25">
        <v>0.59065934065934067</v>
      </c>
      <c r="D87" s="25">
        <v>2.7472527472527475E-3</v>
      </c>
      <c r="E87" s="26">
        <v>395</v>
      </c>
      <c r="F87" s="26">
        <v>13</v>
      </c>
      <c r="G87" s="26">
        <v>40</v>
      </c>
      <c r="H87" s="26">
        <v>2</v>
      </c>
      <c r="I87" s="26">
        <v>450</v>
      </c>
      <c r="J87" s="27">
        <v>0.87777777777777777</v>
      </c>
      <c r="K87" s="27">
        <v>2.8888888888888888E-2</v>
      </c>
      <c r="L87" s="27">
        <v>8.8888888888888892E-2</v>
      </c>
      <c r="M87" s="27">
        <v>4.4444444444444444E-3</v>
      </c>
      <c r="N87" s="28">
        <v>56.853333333333332</v>
      </c>
    </row>
    <row r="88" spans="1:14" x14ac:dyDescent="0.25">
      <c r="A88" s="25">
        <v>0.12408759124087591</v>
      </c>
      <c r="B88" s="25">
        <v>0.41605839416058393</v>
      </c>
      <c r="C88" s="25">
        <v>0.44282238442822386</v>
      </c>
      <c r="D88" s="25">
        <v>1.2165450121654502E-2</v>
      </c>
      <c r="E88" s="26">
        <v>536</v>
      </c>
      <c r="F88" s="26">
        <v>14</v>
      </c>
      <c r="G88" s="26">
        <v>20</v>
      </c>
      <c r="H88" s="26">
        <v>0</v>
      </c>
      <c r="I88" s="26">
        <v>570</v>
      </c>
      <c r="J88" s="27">
        <v>0.94035087719298249</v>
      </c>
      <c r="K88" s="27">
        <v>2.456140350877193E-2</v>
      </c>
      <c r="L88" s="27">
        <v>3.5087719298245612E-2</v>
      </c>
      <c r="M88" s="27">
        <v>0</v>
      </c>
      <c r="N88" s="28">
        <v>41.815789473684212</v>
      </c>
    </row>
    <row r="89" spans="1:14" x14ac:dyDescent="0.25">
      <c r="A89" s="25">
        <v>0.12814070351758794</v>
      </c>
      <c r="B89" s="25">
        <v>0.38944723618090454</v>
      </c>
      <c r="C89" s="25">
        <v>0.46733668341708545</v>
      </c>
      <c r="D89" s="25">
        <v>1.0050251256281407E-2</v>
      </c>
      <c r="E89" s="26">
        <v>550</v>
      </c>
      <c r="F89" s="26">
        <v>12</v>
      </c>
      <c r="G89" s="26">
        <v>7</v>
      </c>
      <c r="H89" s="26">
        <v>1</v>
      </c>
      <c r="I89" s="26">
        <v>570</v>
      </c>
      <c r="J89" s="27">
        <v>0.96491228070175439</v>
      </c>
      <c r="K89" s="27">
        <v>2.1052631578947368E-2</v>
      </c>
      <c r="L89" s="27">
        <v>1.2280701754385965E-2</v>
      </c>
      <c r="M89" s="27">
        <v>1.7543859649122807E-3</v>
      </c>
      <c r="N89" s="28">
        <v>35.184210526315788</v>
      </c>
    </row>
    <row r="90" spans="1:14" x14ac:dyDescent="0.25">
      <c r="A90" s="25">
        <v>0.14252873563218391</v>
      </c>
      <c r="B90" s="25">
        <v>0.45977011494252873</v>
      </c>
      <c r="C90" s="25">
        <v>0.37701149425287356</v>
      </c>
      <c r="D90" s="25">
        <v>9.1954022988505746E-3</v>
      </c>
      <c r="E90" s="26">
        <v>527</v>
      </c>
      <c r="F90" s="26">
        <v>12</v>
      </c>
      <c r="G90" s="26">
        <v>31</v>
      </c>
      <c r="H90" s="26">
        <v>0</v>
      </c>
      <c r="I90" s="26">
        <v>570</v>
      </c>
      <c r="J90" s="27">
        <v>0.92456140350877192</v>
      </c>
      <c r="K90" s="27">
        <v>2.1052631578947368E-2</v>
      </c>
      <c r="L90" s="27">
        <v>5.4385964912280704E-2</v>
      </c>
      <c r="M90" s="27">
        <v>0</v>
      </c>
      <c r="N90" s="28">
        <v>25.266666666666666</v>
      </c>
    </row>
    <row r="91" spans="1:14" x14ac:dyDescent="0.25">
      <c r="A91" s="25">
        <v>0.22651933701657459</v>
      </c>
      <c r="B91" s="25">
        <v>0.10220994475138122</v>
      </c>
      <c r="C91" s="25">
        <v>0.64088397790055252</v>
      </c>
      <c r="D91" s="25">
        <v>1.9337016574585635E-2</v>
      </c>
      <c r="E91" s="26">
        <v>353</v>
      </c>
      <c r="F91" s="26">
        <v>50</v>
      </c>
      <c r="G91" s="26">
        <v>44</v>
      </c>
      <c r="H91" s="26">
        <v>3</v>
      </c>
      <c r="I91" s="26">
        <v>450</v>
      </c>
      <c r="J91" s="27">
        <v>0.7844444444444445</v>
      </c>
      <c r="K91" s="27">
        <v>0.1111111111111111</v>
      </c>
      <c r="L91" s="27">
        <v>9.7777777777777783E-2</v>
      </c>
      <c r="M91" s="27">
        <v>6.6666666666666671E-3</v>
      </c>
      <c r="N91" s="28">
        <v>68.888888888888886</v>
      </c>
    </row>
    <row r="92" spans="1:14" x14ac:dyDescent="0.25">
      <c r="A92" s="25">
        <v>0.20168067226890757</v>
      </c>
      <c r="B92" s="25">
        <v>0.22408963585434175</v>
      </c>
      <c r="C92" s="25">
        <v>0.55462184873949583</v>
      </c>
      <c r="D92" s="25">
        <v>5.6022408963585435E-3</v>
      </c>
      <c r="E92" s="26">
        <v>374</v>
      </c>
      <c r="F92" s="26">
        <v>24</v>
      </c>
      <c r="G92" s="26">
        <v>51</v>
      </c>
      <c r="H92" s="26">
        <v>1</v>
      </c>
      <c r="I92" s="26">
        <v>450</v>
      </c>
      <c r="J92" s="27">
        <v>0.83111111111111113</v>
      </c>
      <c r="K92" s="27">
        <v>5.3333333333333337E-2</v>
      </c>
      <c r="L92" s="27">
        <v>0.11333333333333333</v>
      </c>
      <c r="M92" s="27">
        <v>2.2222222222222222E-3</v>
      </c>
      <c r="N92" s="28">
        <v>54.726666666666667</v>
      </c>
    </row>
    <row r="93" spans="1:14" x14ac:dyDescent="0.25">
      <c r="A93" s="25">
        <v>0.18285714285714286</v>
      </c>
      <c r="B93" s="25">
        <v>0.30571428571428572</v>
      </c>
      <c r="C93" s="25">
        <v>0.48571428571428571</v>
      </c>
      <c r="D93" s="25">
        <v>1.4285714285714285E-2</v>
      </c>
      <c r="E93" s="26">
        <v>441</v>
      </c>
      <c r="F93" s="26">
        <v>36</v>
      </c>
      <c r="G93" s="26">
        <v>27</v>
      </c>
      <c r="H93" s="26">
        <v>2</v>
      </c>
      <c r="I93" s="26">
        <v>506</v>
      </c>
      <c r="J93" s="27">
        <v>0.87154150197628455</v>
      </c>
      <c r="K93" s="27">
        <v>7.1146245059288543E-2</v>
      </c>
      <c r="L93" s="27">
        <v>5.33596837944664E-2</v>
      </c>
      <c r="M93" s="27">
        <v>3.952569169960474E-3</v>
      </c>
      <c r="N93" s="28">
        <v>41.262845849802375</v>
      </c>
    </row>
    <row r="94" spans="1:14" x14ac:dyDescent="0.25">
      <c r="A94" s="25">
        <v>0.14647887323943662</v>
      </c>
      <c r="B94" s="25">
        <v>0.36338028169014086</v>
      </c>
      <c r="C94" s="25">
        <v>0.47605633802816899</v>
      </c>
      <c r="D94" s="25">
        <v>5.6338028169014088E-3</v>
      </c>
      <c r="E94" s="26">
        <v>467</v>
      </c>
      <c r="F94" s="26">
        <v>17</v>
      </c>
      <c r="G94" s="26">
        <v>22</v>
      </c>
      <c r="H94" s="26">
        <v>0</v>
      </c>
      <c r="I94" s="26">
        <v>506</v>
      </c>
      <c r="J94" s="27">
        <v>0.92292490118577075</v>
      </c>
      <c r="K94" s="27">
        <v>3.3596837944664032E-2</v>
      </c>
      <c r="L94" s="27">
        <v>4.3478260869565216E-2</v>
      </c>
      <c r="M94" s="27">
        <v>0</v>
      </c>
      <c r="N94" s="28">
        <v>34.968379446640313</v>
      </c>
    </row>
    <row r="95" spans="1:14" x14ac:dyDescent="0.25">
      <c r="A95" s="25">
        <v>0.15934065934065933</v>
      </c>
      <c r="B95" s="25">
        <v>0.39835164835164832</v>
      </c>
      <c r="C95" s="25">
        <v>0.43681318681318682</v>
      </c>
      <c r="D95" s="25">
        <v>2.7472527472527475E-3</v>
      </c>
      <c r="E95" s="26">
        <v>465</v>
      </c>
      <c r="F95" s="26">
        <v>12</v>
      </c>
      <c r="G95" s="26">
        <v>30</v>
      </c>
      <c r="H95" s="26">
        <v>0</v>
      </c>
      <c r="I95" s="26">
        <v>507</v>
      </c>
      <c r="J95" s="27">
        <v>0.91715976331360949</v>
      </c>
      <c r="K95" s="27">
        <v>2.3668639053254437E-2</v>
      </c>
      <c r="L95" s="27">
        <v>5.9171597633136092E-2</v>
      </c>
      <c r="M95" s="27">
        <v>0</v>
      </c>
      <c r="N95" s="28">
        <v>25.285996055226825</v>
      </c>
    </row>
    <row r="96" spans="1:14" x14ac:dyDescent="0.25">
      <c r="A96" s="25">
        <v>0.17125382262996941</v>
      </c>
      <c r="B96" s="25">
        <v>0.12232415902140673</v>
      </c>
      <c r="C96" s="25">
        <v>0.67584097859327219</v>
      </c>
      <c r="D96" s="25">
        <v>6.1162079510703364E-3</v>
      </c>
      <c r="E96" s="26">
        <v>364</v>
      </c>
      <c r="F96" s="26">
        <v>42</v>
      </c>
      <c r="G96" s="26">
        <v>42</v>
      </c>
      <c r="H96" s="26">
        <v>2</v>
      </c>
      <c r="I96" s="26">
        <v>450</v>
      </c>
      <c r="J96" s="27">
        <v>0.80888888888888888</v>
      </c>
      <c r="K96" s="27">
        <v>9.3333333333333338E-2</v>
      </c>
      <c r="L96" s="27">
        <v>9.3333333333333338E-2</v>
      </c>
      <c r="M96" s="27">
        <v>4.4444444444444444E-3</v>
      </c>
      <c r="N96" s="28">
        <v>68.49111111111111</v>
      </c>
    </row>
    <row r="97" spans="1:14" x14ac:dyDescent="0.25">
      <c r="A97" s="25">
        <v>0.17101449275362318</v>
      </c>
      <c r="B97" s="25">
        <v>0.21159420289855072</v>
      </c>
      <c r="C97" s="25">
        <v>0.6</v>
      </c>
      <c r="D97" s="25">
        <v>5.7971014492753624E-3</v>
      </c>
      <c r="E97" s="26">
        <v>367</v>
      </c>
      <c r="F97" s="26">
        <v>37</v>
      </c>
      <c r="G97" s="26">
        <v>46</v>
      </c>
      <c r="H97" s="26">
        <v>0</v>
      </c>
      <c r="I97" s="26">
        <v>450</v>
      </c>
      <c r="J97" s="27">
        <v>0.81555555555555559</v>
      </c>
      <c r="K97" s="27">
        <v>8.2222222222222224E-2</v>
      </c>
      <c r="L97" s="27">
        <v>0.10222222222222223</v>
      </c>
      <c r="M97" s="27">
        <v>0</v>
      </c>
      <c r="N97" s="28">
        <v>55.835555555555558</v>
      </c>
    </row>
    <row r="98" spans="1:14" x14ac:dyDescent="0.25">
      <c r="A98" s="25">
        <v>0.13996316758747698</v>
      </c>
      <c r="B98" s="25">
        <v>0.37384898710865561</v>
      </c>
      <c r="C98" s="25">
        <v>0.47145488029465932</v>
      </c>
      <c r="D98" s="25">
        <v>9.2081031307550652E-3</v>
      </c>
      <c r="E98" s="26">
        <v>671</v>
      </c>
      <c r="F98" s="26">
        <v>30</v>
      </c>
      <c r="G98" s="26">
        <v>35</v>
      </c>
      <c r="H98" s="26">
        <v>1</v>
      </c>
      <c r="I98" s="26">
        <v>737</v>
      </c>
      <c r="J98" s="27">
        <v>0.91044776119402981</v>
      </c>
      <c r="K98" s="27">
        <v>4.0705563093622797E-2</v>
      </c>
      <c r="L98" s="27">
        <v>4.7489823609226593E-2</v>
      </c>
      <c r="M98" s="27">
        <v>1.3568521031207597E-3</v>
      </c>
      <c r="N98" s="28">
        <v>41.207598371777479</v>
      </c>
    </row>
    <row r="99" spans="1:14" x14ac:dyDescent="0.25">
      <c r="A99" s="25">
        <v>0.10469314079422383</v>
      </c>
      <c r="B99" s="25">
        <v>0.49458483754512633</v>
      </c>
      <c r="C99" s="25">
        <v>0.38086642599277976</v>
      </c>
      <c r="D99" s="25">
        <v>1.444043321299639E-2</v>
      </c>
      <c r="E99" s="26">
        <v>676</v>
      </c>
      <c r="F99" s="26">
        <v>34</v>
      </c>
      <c r="G99" s="26">
        <v>25</v>
      </c>
      <c r="H99" s="26">
        <v>2</v>
      </c>
      <c r="I99" s="26">
        <v>737</v>
      </c>
      <c r="J99" s="27">
        <v>0.91723202170963369</v>
      </c>
      <c r="K99" s="27">
        <v>4.6132971506105833E-2</v>
      </c>
      <c r="L99" s="27">
        <v>3.3921302578018994E-2</v>
      </c>
      <c r="M99" s="27">
        <v>2.7137042062415195E-3</v>
      </c>
      <c r="N99" s="28">
        <v>27.845318860244234</v>
      </c>
    </row>
    <row r="100" spans="1:14" x14ac:dyDescent="0.25">
      <c r="A100" s="25">
        <v>0.60919540229885061</v>
      </c>
      <c r="B100" s="25">
        <v>3.8314176245210725E-2</v>
      </c>
      <c r="C100" s="25">
        <v>0.32950191570881227</v>
      </c>
      <c r="D100" s="25">
        <v>1.1494252873563218E-2</v>
      </c>
      <c r="E100" s="26">
        <v>78</v>
      </c>
      <c r="F100" s="26">
        <v>70</v>
      </c>
      <c r="G100" s="26">
        <v>280</v>
      </c>
      <c r="H100" s="26">
        <v>0</v>
      </c>
      <c r="I100" s="26">
        <v>428</v>
      </c>
      <c r="J100" s="27">
        <v>0.1822429906542056</v>
      </c>
      <c r="K100" s="27">
        <v>0.16355140186915887</v>
      </c>
      <c r="L100" s="27">
        <v>0.65420560747663548</v>
      </c>
      <c r="M100" s="27">
        <v>0</v>
      </c>
      <c r="N100" s="28">
        <v>55.532710280373834</v>
      </c>
    </row>
    <row r="101" spans="1:14" x14ac:dyDescent="0.25">
      <c r="A101" s="25">
        <v>0.56507936507936507</v>
      </c>
      <c r="B101" s="25">
        <v>6.3492063492063489E-2</v>
      </c>
      <c r="C101" s="25">
        <v>0.35238095238095241</v>
      </c>
      <c r="D101" s="25">
        <v>1.2698412698412698E-2</v>
      </c>
      <c r="E101" s="26">
        <v>76</v>
      </c>
      <c r="F101" s="26">
        <v>75</v>
      </c>
      <c r="G101" s="26">
        <v>284</v>
      </c>
      <c r="H101" s="26">
        <v>15</v>
      </c>
      <c r="I101" s="26">
        <v>450</v>
      </c>
      <c r="J101" s="27">
        <v>0.16888888888888889</v>
      </c>
      <c r="K101" s="27">
        <v>0.16666666666666666</v>
      </c>
      <c r="L101" s="27">
        <v>0.63111111111111107</v>
      </c>
      <c r="M101" s="27">
        <v>3.3333333333333333E-2</v>
      </c>
      <c r="N101" s="28">
        <v>63.791111111111114</v>
      </c>
    </row>
    <row r="102" spans="1:14" x14ac:dyDescent="0.25">
      <c r="A102" s="25">
        <v>0.46341463414634149</v>
      </c>
      <c r="B102" s="25">
        <v>0.14092140921409213</v>
      </c>
      <c r="C102" s="25">
        <v>0.36314363143631434</v>
      </c>
      <c r="D102" s="25">
        <v>1.0840108401084011E-2</v>
      </c>
      <c r="E102" s="26">
        <v>161</v>
      </c>
      <c r="F102" s="26">
        <v>43</v>
      </c>
      <c r="G102" s="26">
        <v>223</v>
      </c>
      <c r="H102" s="26">
        <v>23</v>
      </c>
      <c r="I102" s="26">
        <v>450</v>
      </c>
      <c r="J102" s="27">
        <v>0.35777777777777775</v>
      </c>
      <c r="K102" s="27">
        <v>9.555555555555556E-2</v>
      </c>
      <c r="L102" s="27">
        <v>0.49555555555555558</v>
      </c>
      <c r="M102" s="27">
        <v>5.1111111111111114E-2</v>
      </c>
      <c r="N102" s="28">
        <v>59.233333333333334</v>
      </c>
    </row>
    <row r="103" spans="1:14" x14ac:dyDescent="0.25">
      <c r="A103" s="25">
        <v>0.50378787878787878</v>
      </c>
      <c r="B103" s="25">
        <v>0.15151515151515152</v>
      </c>
      <c r="C103" s="25">
        <v>0.32196969696969696</v>
      </c>
      <c r="D103" s="25">
        <v>7.575757575757576E-3</v>
      </c>
      <c r="E103" s="26">
        <v>173</v>
      </c>
      <c r="F103" s="26">
        <v>77</v>
      </c>
      <c r="G103" s="26">
        <v>347</v>
      </c>
      <c r="H103" s="26">
        <v>66</v>
      </c>
      <c r="I103" s="26">
        <v>663</v>
      </c>
      <c r="J103" s="27">
        <v>0.26093514328808448</v>
      </c>
      <c r="K103" s="27">
        <v>0.11613876319758673</v>
      </c>
      <c r="L103" s="27">
        <v>0.52337858220211164</v>
      </c>
      <c r="M103" s="27">
        <v>9.9547511312217188E-2</v>
      </c>
      <c r="N103" s="28">
        <v>48.782805429864254</v>
      </c>
    </row>
    <row r="104" spans="1:14" x14ac:dyDescent="0.25">
      <c r="A104" s="25">
        <v>0.60288065843621397</v>
      </c>
      <c r="B104" s="25">
        <v>0.1440329218106996</v>
      </c>
      <c r="C104" s="25">
        <v>0.23868312757201646</v>
      </c>
      <c r="D104" s="25">
        <v>0</v>
      </c>
      <c r="E104" s="26">
        <v>146</v>
      </c>
      <c r="F104" s="26">
        <v>88</v>
      </c>
      <c r="G104" s="26">
        <v>374</v>
      </c>
      <c r="H104" s="26">
        <v>56</v>
      </c>
      <c r="I104" s="26">
        <v>664</v>
      </c>
      <c r="J104" s="27">
        <v>0.21987951807228914</v>
      </c>
      <c r="K104" s="27">
        <v>0.13253012048192772</v>
      </c>
      <c r="L104" s="27">
        <v>0.56325301204819278</v>
      </c>
      <c r="M104" s="27">
        <v>8.4337349397590355E-2</v>
      </c>
      <c r="N104" s="28">
        <v>38.436746987951807</v>
      </c>
    </row>
    <row r="105" spans="1:14" x14ac:dyDescent="0.25">
      <c r="A105" s="25">
        <v>0.51011235955056178</v>
      </c>
      <c r="B105" s="25">
        <v>0.1797752808988764</v>
      </c>
      <c r="C105" s="25">
        <v>0.29662921348314608</v>
      </c>
      <c r="D105" s="25">
        <v>6.7415730337078653E-3</v>
      </c>
      <c r="E105" s="26">
        <v>286</v>
      </c>
      <c r="F105" s="26">
        <v>86</v>
      </c>
      <c r="G105" s="26">
        <v>260</v>
      </c>
      <c r="H105" s="26">
        <v>32</v>
      </c>
      <c r="I105" s="26">
        <v>664</v>
      </c>
      <c r="J105" s="27">
        <v>0.43072289156626509</v>
      </c>
      <c r="K105" s="27">
        <v>0.12951807228915663</v>
      </c>
      <c r="L105" s="27">
        <v>0.39156626506024095</v>
      </c>
      <c r="M105" s="27">
        <v>4.8192771084337352E-2</v>
      </c>
      <c r="N105" s="28">
        <v>31.409638554216869</v>
      </c>
    </row>
    <row r="106" spans="1:14" x14ac:dyDescent="0.25">
      <c r="A106" s="25">
        <v>0.44927536231884058</v>
      </c>
      <c r="B106" s="25">
        <v>0.22567287784679088</v>
      </c>
      <c r="C106" s="25">
        <v>0.32091097308488614</v>
      </c>
      <c r="D106" s="25">
        <v>0</v>
      </c>
      <c r="E106" s="26">
        <v>343</v>
      </c>
      <c r="F106" s="26">
        <v>63</v>
      </c>
      <c r="G106" s="26">
        <v>252</v>
      </c>
      <c r="H106" s="26">
        <v>6</v>
      </c>
      <c r="I106" s="26">
        <v>664</v>
      </c>
      <c r="J106" s="27">
        <v>0.51656626506024095</v>
      </c>
      <c r="K106" s="27">
        <v>9.4879518072289157E-2</v>
      </c>
      <c r="L106" s="27">
        <v>0.37951807228915663</v>
      </c>
      <c r="M106" s="27">
        <v>9.0361445783132526E-3</v>
      </c>
      <c r="N106" s="28">
        <v>25.765060240963855</v>
      </c>
    </row>
    <row r="107" spans="1:14" x14ac:dyDescent="0.25">
      <c r="A107" s="25">
        <v>0.50189393939393945</v>
      </c>
      <c r="B107" s="25">
        <v>0.25757575757575757</v>
      </c>
      <c r="C107" s="25">
        <v>0.22537878787878787</v>
      </c>
      <c r="D107" s="25">
        <v>5.681818181818182E-3</v>
      </c>
      <c r="E107" s="26">
        <v>346</v>
      </c>
      <c r="F107" s="26">
        <v>74</v>
      </c>
      <c r="G107" s="26">
        <v>244</v>
      </c>
      <c r="H107" s="26">
        <v>0</v>
      </c>
      <c r="I107" s="26">
        <v>664</v>
      </c>
      <c r="J107" s="27">
        <v>0.52108433734939763</v>
      </c>
      <c r="K107" s="27">
        <v>0.11144578313253012</v>
      </c>
      <c r="L107" s="27">
        <v>0.36746987951807231</v>
      </c>
      <c r="M107" s="27">
        <v>0</v>
      </c>
      <c r="N107" s="28">
        <v>20.537650602409638</v>
      </c>
    </row>
    <row r="108" spans="1:14" x14ac:dyDescent="0.25">
      <c r="A108" s="25">
        <v>4.6753246753246755E-2</v>
      </c>
      <c r="B108" s="25">
        <v>8.0519480519480519E-2</v>
      </c>
      <c r="C108" s="25">
        <v>0.83116883116883122</v>
      </c>
      <c r="D108" s="25">
        <v>1.8181818181818181E-2</v>
      </c>
      <c r="E108" s="26">
        <v>389</v>
      </c>
      <c r="F108" s="26">
        <v>18</v>
      </c>
      <c r="G108" s="26">
        <v>6</v>
      </c>
      <c r="H108" s="26">
        <v>37</v>
      </c>
      <c r="I108" s="26">
        <v>450</v>
      </c>
      <c r="J108" s="27">
        <v>0.86444444444444446</v>
      </c>
      <c r="K108" s="27">
        <v>0.04</v>
      </c>
      <c r="L108" s="27">
        <v>1.3333333333333334E-2</v>
      </c>
      <c r="M108" s="27">
        <v>8.2222222222222224E-2</v>
      </c>
      <c r="N108" s="28">
        <v>60.873333333333335</v>
      </c>
    </row>
    <row r="109" spans="1:14" x14ac:dyDescent="0.25">
      <c r="A109" s="25">
        <v>5.8704453441295545E-2</v>
      </c>
      <c r="B109" s="25">
        <v>0.32186234817813764</v>
      </c>
      <c r="C109" s="25">
        <v>0.60931174089068829</v>
      </c>
      <c r="D109" s="25">
        <v>2.0242914979757085E-3</v>
      </c>
      <c r="E109" s="26">
        <v>623</v>
      </c>
      <c r="F109" s="26">
        <v>0</v>
      </c>
      <c r="G109" s="26">
        <v>5</v>
      </c>
      <c r="H109" s="26">
        <v>4</v>
      </c>
      <c r="I109" s="26">
        <v>632</v>
      </c>
      <c r="J109" s="27">
        <v>0.98575949367088611</v>
      </c>
      <c r="K109" s="27">
        <v>0</v>
      </c>
      <c r="L109" s="27">
        <v>7.9113924050632917E-3</v>
      </c>
      <c r="M109" s="27">
        <v>6.3291139240506328E-3</v>
      </c>
      <c r="N109" s="28">
        <v>33.367088607594937</v>
      </c>
    </row>
    <row r="110" spans="1:14" x14ac:dyDescent="0.25">
      <c r="A110" s="25">
        <v>0.57763975155279501</v>
      </c>
      <c r="B110" s="25">
        <v>4.6583850931677016E-2</v>
      </c>
      <c r="C110" s="25">
        <v>0.31366459627329191</v>
      </c>
      <c r="D110" s="25">
        <v>9.316770186335404E-3</v>
      </c>
      <c r="E110" s="26">
        <v>31</v>
      </c>
      <c r="F110" s="26">
        <v>67</v>
      </c>
      <c r="G110" s="26">
        <v>347</v>
      </c>
      <c r="H110" s="26">
        <v>5</v>
      </c>
      <c r="I110" s="26">
        <v>450</v>
      </c>
      <c r="J110" s="27">
        <v>6.8888888888888888E-2</v>
      </c>
      <c r="K110" s="27">
        <v>0.14888888888888888</v>
      </c>
      <c r="L110" s="27">
        <v>0.77111111111111108</v>
      </c>
      <c r="M110" s="27">
        <v>1.1111111111111112E-2</v>
      </c>
      <c r="N110" s="28">
        <v>60.297777777777775</v>
      </c>
    </row>
    <row r="111" spans="1:14" x14ac:dyDescent="0.25">
      <c r="A111" s="25">
        <v>0.63796909492273735</v>
      </c>
      <c r="B111" s="25">
        <v>0.11258278145695365</v>
      </c>
      <c r="C111" s="25">
        <v>0.23841059602649006</v>
      </c>
      <c r="D111" s="25">
        <v>0</v>
      </c>
      <c r="E111" s="26">
        <v>115</v>
      </c>
      <c r="F111" s="26">
        <v>43</v>
      </c>
      <c r="G111" s="26">
        <v>447</v>
      </c>
      <c r="H111" s="26">
        <v>12</v>
      </c>
      <c r="I111" s="26">
        <v>617</v>
      </c>
      <c r="J111" s="27">
        <v>0.18638573743922204</v>
      </c>
      <c r="K111" s="27">
        <v>6.9692058346839544E-2</v>
      </c>
      <c r="L111" s="27">
        <v>0.72447325769854132</v>
      </c>
      <c r="M111" s="27">
        <v>1.9448946515397084E-2</v>
      </c>
      <c r="N111" s="28">
        <v>33.361426256077799</v>
      </c>
    </row>
    <row r="112" spans="1:14" x14ac:dyDescent="0.25">
      <c r="A112" s="25">
        <v>0.43613707165109034</v>
      </c>
      <c r="B112" s="25">
        <v>9.657320872274143E-2</v>
      </c>
      <c r="C112" s="25">
        <v>0.4454828660436137</v>
      </c>
      <c r="D112" s="25">
        <v>0</v>
      </c>
      <c r="E112" s="26">
        <v>59</v>
      </c>
      <c r="F112" s="26">
        <v>25</v>
      </c>
      <c r="G112" s="26">
        <v>226</v>
      </c>
      <c r="H112" s="26">
        <v>140</v>
      </c>
      <c r="I112" s="26">
        <v>450</v>
      </c>
      <c r="J112" s="27">
        <v>0.13111111111111112</v>
      </c>
      <c r="K112" s="27">
        <v>5.5555555555555552E-2</v>
      </c>
      <c r="L112" s="27">
        <v>0.50222222222222224</v>
      </c>
      <c r="M112" s="27">
        <v>0.31111111111111112</v>
      </c>
      <c r="N112" s="28">
        <v>54.66</v>
      </c>
    </row>
    <row r="113" spans="1:14" x14ac:dyDescent="0.25">
      <c r="A113" s="25">
        <v>0.43359375</v>
      </c>
      <c r="B113" s="25">
        <v>0.18359375</v>
      </c>
      <c r="C113" s="25">
        <v>0.3671875</v>
      </c>
      <c r="D113" s="25">
        <v>0</v>
      </c>
      <c r="E113" s="26">
        <v>98</v>
      </c>
      <c r="F113" s="26">
        <v>16</v>
      </c>
      <c r="G113" s="26">
        <v>138</v>
      </c>
      <c r="H113" s="26">
        <v>80</v>
      </c>
      <c r="I113" s="26">
        <v>332</v>
      </c>
      <c r="J113" s="27">
        <v>0.29518072289156627</v>
      </c>
      <c r="K113" s="27">
        <v>4.8192771084337352E-2</v>
      </c>
      <c r="L113" s="27">
        <v>0.41566265060240964</v>
      </c>
      <c r="M113" s="27">
        <v>0.24096385542168675</v>
      </c>
      <c r="N113" s="28">
        <v>28.409638554216869</v>
      </c>
    </row>
    <row r="114" spans="1:14" x14ac:dyDescent="0.25">
      <c r="A114" s="25">
        <v>0.68041237113402064</v>
      </c>
      <c r="B114" s="25">
        <v>6.1855670103092786E-2</v>
      </c>
      <c r="C114" s="25">
        <v>0.23711340206185566</v>
      </c>
      <c r="D114" s="25">
        <v>0</v>
      </c>
      <c r="E114" s="26">
        <v>44</v>
      </c>
      <c r="F114" s="26">
        <v>9</v>
      </c>
      <c r="G114" s="26">
        <v>286</v>
      </c>
      <c r="H114" s="26">
        <v>0</v>
      </c>
      <c r="I114" s="26">
        <v>339</v>
      </c>
      <c r="J114" s="27">
        <v>0.12979351032448377</v>
      </c>
      <c r="K114" s="27">
        <v>2.6548672566371681E-2</v>
      </c>
      <c r="L114" s="27">
        <v>0.84365781710914456</v>
      </c>
      <c r="M114" s="27">
        <v>0</v>
      </c>
      <c r="N114" s="28">
        <v>48.26548672566372</v>
      </c>
    </row>
    <row r="115" spans="1:14" x14ac:dyDescent="0.25">
      <c r="A115" s="25">
        <v>0.51851851851851849</v>
      </c>
      <c r="B115" s="25">
        <v>9.8765432098765427E-2</v>
      </c>
      <c r="C115" s="25">
        <v>0.36213991769547327</v>
      </c>
      <c r="D115" s="25">
        <v>8.23045267489712E-3</v>
      </c>
      <c r="E115" s="26">
        <v>61</v>
      </c>
      <c r="F115" s="26">
        <v>27</v>
      </c>
      <c r="G115" s="26">
        <v>279</v>
      </c>
      <c r="H115" s="26">
        <v>1</v>
      </c>
      <c r="I115" s="26">
        <v>368</v>
      </c>
      <c r="J115" s="27">
        <v>0.16576086956521738</v>
      </c>
      <c r="K115" s="27">
        <v>7.3369565217391311E-2</v>
      </c>
      <c r="L115" s="27">
        <v>0.75815217391304346</v>
      </c>
      <c r="M115" s="27">
        <v>2.717391304347826E-3</v>
      </c>
      <c r="N115" s="28">
        <v>40.709239130434781</v>
      </c>
    </row>
    <row r="116" spans="1:14" x14ac:dyDescent="0.25">
      <c r="A116" s="25">
        <v>0.51459854014598538</v>
      </c>
      <c r="B116" s="25">
        <v>7.6642335766423361E-2</v>
      </c>
      <c r="C116" s="25">
        <v>0.36131386861313869</v>
      </c>
      <c r="D116" s="25">
        <v>7.2992700729927005E-3</v>
      </c>
      <c r="E116" s="26">
        <v>96</v>
      </c>
      <c r="F116" s="26">
        <v>205</v>
      </c>
      <c r="G116" s="26">
        <v>147</v>
      </c>
      <c r="H116" s="26">
        <v>2</v>
      </c>
      <c r="I116" s="26">
        <v>450</v>
      </c>
      <c r="J116" s="27">
        <v>0.21333333333333335</v>
      </c>
      <c r="K116" s="27">
        <v>0.45555555555555555</v>
      </c>
      <c r="L116" s="27">
        <v>0.32666666666666666</v>
      </c>
      <c r="M116" s="27">
        <v>4.4444444444444444E-3</v>
      </c>
      <c r="N116" s="28">
        <v>67.673333333333332</v>
      </c>
    </row>
    <row r="117" spans="1:14" x14ac:dyDescent="0.25">
      <c r="A117" s="25">
        <v>0.43626062322946174</v>
      </c>
      <c r="B117" s="25">
        <v>7.9320113314447591E-2</v>
      </c>
      <c r="C117" s="25">
        <v>0.46458923512747874</v>
      </c>
      <c r="D117" s="25">
        <v>5.6657223796033997E-3</v>
      </c>
      <c r="E117" s="26">
        <v>204</v>
      </c>
      <c r="F117" s="26">
        <v>81</v>
      </c>
      <c r="G117" s="26">
        <v>164</v>
      </c>
      <c r="H117" s="26">
        <v>1</v>
      </c>
      <c r="I117" s="26">
        <v>450</v>
      </c>
      <c r="J117" s="27">
        <v>0.45333333333333331</v>
      </c>
      <c r="K117" s="27">
        <v>0.18</v>
      </c>
      <c r="L117" s="27">
        <v>0.36444444444444446</v>
      </c>
      <c r="M117" s="27">
        <v>2.2222222222222222E-3</v>
      </c>
      <c r="N117" s="28">
        <v>59.22</v>
      </c>
    </row>
    <row r="118" spans="1:14" x14ac:dyDescent="0.25">
      <c r="A118" s="25">
        <v>0.51356589147286824</v>
      </c>
      <c r="B118" s="25">
        <v>0.13565891472868216</v>
      </c>
      <c r="C118" s="25">
        <v>0.32558139534883723</v>
      </c>
      <c r="D118" s="25">
        <v>5.8139534883720929E-3</v>
      </c>
      <c r="E118" s="26">
        <v>273</v>
      </c>
      <c r="F118" s="26">
        <v>198</v>
      </c>
      <c r="G118" s="26">
        <v>252</v>
      </c>
      <c r="H118" s="26">
        <v>4</v>
      </c>
      <c r="I118" s="26">
        <v>727</v>
      </c>
      <c r="J118" s="27">
        <v>0.37551581843191195</v>
      </c>
      <c r="K118" s="27">
        <v>0.27235213204951858</v>
      </c>
      <c r="L118" s="27">
        <v>0.34662998624484181</v>
      </c>
      <c r="M118" s="27">
        <v>5.5020632737276479E-3</v>
      </c>
      <c r="N118" s="28">
        <v>46.854195323246216</v>
      </c>
    </row>
    <row r="119" spans="1:14" x14ac:dyDescent="0.25">
      <c r="A119" s="25">
        <v>0.50924024640657084</v>
      </c>
      <c r="B119" s="25">
        <v>0.18891170431211499</v>
      </c>
      <c r="C119" s="25">
        <v>0.28542094455852157</v>
      </c>
      <c r="D119" s="25">
        <v>4.1067761806981521E-3</v>
      </c>
      <c r="E119" s="26">
        <v>303</v>
      </c>
      <c r="F119" s="26">
        <v>107</v>
      </c>
      <c r="G119" s="26">
        <v>309</v>
      </c>
      <c r="H119" s="26">
        <v>8</v>
      </c>
      <c r="I119" s="26">
        <v>727</v>
      </c>
      <c r="J119" s="27">
        <v>0.41678129298486932</v>
      </c>
      <c r="K119" s="27">
        <v>0.14718019257221457</v>
      </c>
      <c r="L119" s="27">
        <v>0.42503438789546077</v>
      </c>
      <c r="M119" s="27">
        <v>1.1004126547455296E-2</v>
      </c>
      <c r="N119" s="28">
        <v>33.456671251719392</v>
      </c>
    </row>
    <row r="120" spans="1:14" x14ac:dyDescent="0.25">
      <c r="A120" s="25">
        <v>0.41856060606060608</v>
      </c>
      <c r="B120" s="25">
        <v>0.24431818181818182</v>
      </c>
      <c r="C120" s="25">
        <v>0.33333333333333331</v>
      </c>
      <c r="D120" s="25">
        <v>0</v>
      </c>
      <c r="E120" s="26">
        <v>420</v>
      </c>
      <c r="F120" s="26">
        <v>74</v>
      </c>
      <c r="G120" s="26">
        <v>229</v>
      </c>
      <c r="H120" s="26">
        <v>4</v>
      </c>
      <c r="I120" s="26">
        <v>727</v>
      </c>
      <c r="J120" s="27">
        <v>0.57771664374140308</v>
      </c>
      <c r="K120" s="27">
        <v>0.10178817056396149</v>
      </c>
      <c r="L120" s="27">
        <v>0.31499312242090782</v>
      </c>
      <c r="M120" s="27">
        <v>5.5020632737276479E-3</v>
      </c>
      <c r="N120" s="28">
        <v>23.583218707015131</v>
      </c>
    </row>
    <row r="121" spans="1:14" x14ac:dyDescent="0.25">
      <c r="A121" s="25">
        <v>0.1716867469879518</v>
      </c>
      <c r="B121" s="25">
        <v>0.10542168674698796</v>
      </c>
      <c r="C121" s="25">
        <v>0.68975903614457834</v>
      </c>
      <c r="D121" s="25">
        <v>1.2048192771084338E-2</v>
      </c>
      <c r="E121" s="26">
        <v>361</v>
      </c>
      <c r="F121" s="26">
        <v>48</v>
      </c>
      <c r="G121" s="26">
        <v>41</v>
      </c>
      <c r="H121" s="26">
        <v>0</v>
      </c>
      <c r="I121" s="26">
        <v>450</v>
      </c>
      <c r="J121" s="27">
        <v>0.80222222222222217</v>
      </c>
      <c r="K121" s="27">
        <v>0.10666666666666667</v>
      </c>
      <c r="L121" s="27">
        <v>9.1111111111111115E-2</v>
      </c>
      <c r="M121" s="27">
        <v>0</v>
      </c>
      <c r="N121" s="28">
        <v>68.697777777777773</v>
      </c>
    </row>
    <row r="122" spans="1:14" x14ac:dyDescent="0.25">
      <c r="A122" s="25">
        <v>0.20172910662824209</v>
      </c>
      <c r="B122" s="25">
        <v>0.15561959654178675</v>
      </c>
      <c r="C122" s="25">
        <v>0.62536023054755041</v>
      </c>
      <c r="D122" s="25">
        <v>8.6455331412103754E-3</v>
      </c>
      <c r="E122" s="26">
        <v>375</v>
      </c>
      <c r="F122" s="26">
        <v>27</v>
      </c>
      <c r="G122" s="26">
        <v>46</v>
      </c>
      <c r="H122" s="26">
        <v>2</v>
      </c>
      <c r="I122" s="26">
        <v>450</v>
      </c>
      <c r="J122" s="27">
        <v>0.83333333333333337</v>
      </c>
      <c r="K122" s="27">
        <v>0.06</v>
      </c>
      <c r="L122" s="27">
        <v>0.10222222222222223</v>
      </c>
      <c r="M122" s="27">
        <v>4.4444444444444444E-3</v>
      </c>
      <c r="N122" s="28">
        <v>58.595555555555556</v>
      </c>
    </row>
    <row r="123" spans="1:14" x14ac:dyDescent="0.25">
      <c r="A123" s="25">
        <v>0.15137614678899083</v>
      </c>
      <c r="B123" s="25">
        <v>0.43119266055045874</v>
      </c>
      <c r="C123" s="25">
        <v>0.39908256880733944</v>
      </c>
      <c r="D123" s="25">
        <v>9.1743119266055051E-3</v>
      </c>
      <c r="E123" s="26">
        <v>528</v>
      </c>
      <c r="F123" s="26">
        <v>20</v>
      </c>
      <c r="G123" s="26">
        <v>43</v>
      </c>
      <c r="H123" s="26">
        <v>1</v>
      </c>
      <c r="I123" s="26">
        <v>592</v>
      </c>
      <c r="J123" s="27">
        <v>0.89189189189189189</v>
      </c>
      <c r="K123" s="27">
        <v>3.3783783783783786E-2</v>
      </c>
      <c r="L123" s="27">
        <v>7.2635135135135129E-2</v>
      </c>
      <c r="M123" s="27">
        <v>1.6891891891891893E-3</v>
      </c>
      <c r="N123" s="28">
        <v>43.994932432432435</v>
      </c>
    </row>
    <row r="124" spans="1:14" x14ac:dyDescent="0.25">
      <c r="A124" s="25">
        <v>0.12470023980815348</v>
      </c>
      <c r="B124" s="25">
        <v>0.46282973621103118</v>
      </c>
      <c r="C124" s="25">
        <v>0.39808153477218228</v>
      </c>
      <c r="D124" s="25">
        <v>2.3980815347721821E-3</v>
      </c>
      <c r="E124" s="26">
        <v>567</v>
      </c>
      <c r="F124" s="26">
        <v>13</v>
      </c>
      <c r="G124" s="26">
        <v>10</v>
      </c>
      <c r="H124" s="26">
        <v>2</v>
      </c>
      <c r="I124" s="26">
        <v>592</v>
      </c>
      <c r="J124" s="27">
        <v>0.95777027027027029</v>
      </c>
      <c r="K124" s="27">
        <v>2.1959459459459461E-2</v>
      </c>
      <c r="L124" s="27">
        <v>1.6891891891891893E-2</v>
      </c>
      <c r="M124" s="27">
        <v>3.3783783783783786E-3</v>
      </c>
      <c r="N124" s="28">
        <v>36.545608108108105</v>
      </c>
    </row>
    <row r="125" spans="1:14" x14ac:dyDescent="0.25">
      <c r="A125" s="25">
        <v>0.13507109004739337</v>
      </c>
      <c r="B125" s="25">
        <v>0.47393364928909953</v>
      </c>
      <c r="C125" s="25">
        <v>0.37914691943127959</v>
      </c>
      <c r="D125" s="25">
        <v>7.1090047393364926E-3</v>
      </c>
      <c r="E125" s="26">
        <v>554</v>
      </c>
      <c r="F125" s="26">
        <v>10</v>
      </c>
      <c r="G125" s="26">
        <v>29</v>
      </c>
      <c r="H125" s="26">
        <v>0</v>
      </c>
      <c r="I125" s="26">
        <v>593</v>
      </c>
      <c r="J125" s="27">
        <v>0.93423271500843175</v>
      </c>
      <c r="K125" s="27">
        <v>1.6863406408094434E-2</v>
      </c>
      <c r="L125" s="27">
        <v>4.8903878583473864E-2</v>
      </c>
      <c r="M125" s="27">
        <v>0</v>
      </c>
      <c r="N125" s="28">
        <v>25.310286677908937</v>
      </c>
    </row>
    <row r="126" spans="1:14" x14ac:dyDescent="0.25">
      <c r="A126" s="25">
        <v>8.1920903954802254E-2</v>
      </c>
      <c r="B126" s="25">
        <v>0.12429378531073447</v>
      </c>
      <c r="C126" s="25">
        <v>0.76836158192090398</v>
      </c>
      <c r="D126" s="25">
        <v>8.4745762711864406E-3</v>
      </c>
      <c r="E126" s="26">
        <v>391</v>
      </c>
      <c r="F126" s="26">
        <v>11</v>
      </c>
      <c r="G126" s="26">
        <v>47</v>
      </c>
      <c r="H126" s="26">
        <v>1</v>
      </c>
      <c r="I126" s="26">
        <v>450</v>
      </c>
      <c r="J126" s="27">
        <v>0.86888888888888893</v>
      </c>
      <c r="K126" s="27">
        <v>2.4444444444444446E-2</v>
      </c>
      <c r="L126" s="27">
        <v>0.10444444444444445</v>
      </c>
      <c r="M126" s="27">
        <v>2.2222222222222222E-3</v>
      </c>
      <c r="N126" s="28">
        <v>70.102222222222224</v>
      </c>
    </row>
    <row r="127" spans="1:14" x14ac:dyDescent="0.25">
      <c r="A127" s="25">
        <v>0.1711111111111111</v>
      </c>
      <c r="B127" s="25">
        <v>0.3</v>
      </c>
      <c r="C127" s="25">
        <v>0.51777777777777778</v>
      </c>
      <c r="D127" s="25">
        <v>8.8888888888888889E-3</v>
      </c>
      <c r="E127" s="26">
        <v>527</v>
      </c>
      <c r="F127" s="26">
        <v>11</v>
      </c>
      <c r="G127" s="26">
        <v>51</v>
      </c>
      <c r="H127" s="26">
        <v>2</v>
      </c>
      <c r="I127" s="26">
        <v>591</v>
      </c>
      <c r="J127" s="27">
        <v>0.89170896785109988</v>
      </c>
      <c r="K127" s="27">
        <v>1.8612521150592216E-2</v>
      </c>
      <c r="L127" s="27">
        <v>8.6294416243654817E-2</v>
      </c>
      <c r="M127" s="27">
        <v>3.3840947546531302E-3</v>
      </c>
      <c r="N127" s="28">
        <v>50.197969543147209</v>
      </c>
    </row>
    <row r="128" spans="1:14" x14ac:dyDescent="0.25">
      <c r="A128" s="25">
        <v>0.12413793103448276</v>
      </c>
      <c r="B128" s="25">
        <v>0.41609195402298849</v>
      </c>
      <c r="C128" s="25">
        <v>0.43448275862068964</v>
      </c>
      <c r="D128" s="25">
        <v>1.3793103448275862E-2</v>
      </c>
      <c r="E128" s="26">
        <v>544</v>
      </c>
      <c r="F128" s="26">
        <v>7</v>
      </c>
      <c r="G128" s="26">
        <v>39</v>
      </c>
      <c r="H128" s="26">
        <v>1</v>
      </c>
      <c r="I128" s="26">
        <v>591</v>
      </c>
      <c r="J128" s="27">
        <v>0.92047377326565138</v>
      </c>
      <c r="K128" s="27">
        <v>1.1844331641285956E-2</v>
      </c>
      <c r="L128" s="27">
        <v>6.5989847715736044E-2</v>
      </c>
      <c r="M128" s="27">
        <v>1.6920473773265651E-3</v>
      </c>
      <c r="N128" s="28">
        <v>39.780033840947546</v>
      </c>
    </row>
    <row r="129" spans="1:14" x14ac:dyDescent="0.25">
      <c r="A129" s="25">
        <v>0.15476190476190477</v>
      </c>
      <c r="B129" s="25">
        <v>0.39523809523809522</v>
      </c>
      <c r="C129" s="25">
        <v>0.44047619047619047</v>
      </c>
      <c r="D129" s="25">
        <v>9.5238095238095247E-3</v>
      </c>
      <c r="E129" s="26">
        <v>538</v>
      </c>
      <c r="F129" s="26">
        <v>12</v>
      </c>
      <c r="G129" s="26">
        <v>42</v>
      </c>
      <c r="H129" s="26">
        <v>0</v>
      </c>
      <c r="I129" s="26">
        <v>592</v>
      </c>
      <c r="J129" s="27">
        <v>0.90878378378378377</v>
      </c>
      <c r="K129" s="27">
        <v>2.0270270270270271E-2</v>
      </c>
      <c r="L129" s="27">
        <v>7.0945945945945943E-2</v>
      </c>
      <c r="M129" s="27">
        <v>0</v>
      </c>
      <c r="N129" s="28">
        <v>26.089527027027028</v>
      </c>
    </row>
    <row r="130" spans="1:14" x14ac:dyDescent="0.25">
      <c r="A130" s="25">
        <v>0.13480392156862744</v>
      </c>
      <c r="B130" s="25">
        <v>0.26960784313725489</v>
      </c>
      <c r="C130" s="25">
        <v>0.5759803921568627</v>
      </c>
      <c r="D130" s="25">
        <v>1.2254901960784314E-2</v>
      </c>
      <c r="E130" s="26">
        <v>508</v>
      </c>
      <c r="F130" s="26">
        <v>1</v>
      </c>
      <c r="G130" s="26">
        <v>2</v>
      </c>
      <c r="H130" s="26">
        <v>1</v>
      </c>
      <c r="I130" s="26">
        <v>512</v>
      </c>
      <c r="J130" s="27">
        <v>0.9921875</v>
      </c>
      <c r="K130" s="27">
        <v>1.953125E-3</v>
      </c>
      <c r="L130" s="27">
        <v>3.90625E-3</v>
      </c>
      <c r="M130" s="27">
        <v>1.953125E-3</v>
      </c>
      <c r="N130" s="28">
        <v>44.04296875</v>
      </c>
    </row>
    <row r="131" spans="1:14" x14ac:dyDescent="0.25">
      <c r="A131" s="25">
        <v>0.33753943217665616</v>
      </c>
      <c r="B131" s="25">
        <v>0.15141955835962145</v>
      </c>
      <c r="C131" s="25">
        <v>0.48264984227129337</v>
      </c>
      <c r="D131" s="25">
        <v>1.5772870662460567E-2</v>
      </c>
      <c r="E131" s="26">
        <v>321</v>
      </c>
      <c r="F131" s="26">
        <v>119</v>
      </c>
      <c r="G131" s="26">
        <v>9</v>
      </c>
      <c r="H131" s="26">
        <v>1</v>
      </c>
      <c r="I131" s="26">
        <v>450</v>
      </c>
      <c r="J131" s="27">
        <v>0.71333333333333337</v>
      </c>
      <c r="K131" s="27">
        <v>0.26444444444444443</v>
      </c>
      <c r="L131" s="27">
        <v>0.02</v>
      </c>
      <c r="M131" s="27">
        <v>2.2222222222222222E-3</v>
      </c>
      <c r="N131" s="28">
        <v>66.471111111111114</v>
      </c>
    </row>
    <row r="132" spans="1:14" x14ac:dyDescent="0.25">
      <c r="A132" s="25">
        <v>0.21772639691714837</v>
      </c>
      <c r="B132" s="25">
        <v>0.33333333333333331</v>
      </c>
      <c r="C132" s="25">
        <v>0.41040462427745666</v>
      </c>
      <c r="D132" s="25">
        <v>2.6974951830443159E-2</v>
      </c>
      <c r="E132" s="26">
        <v>597</v>
      </c>
      <c r="F132" s="26">
        <v>64</v>
      </c>
      <c r="G132" s="26">
        <v>4</v>
      </c>
      <c r="H132" s="26">
        <v>5</v>
      </c>
      <c r="I132" s="26">
        <v>670</v>
      </c>
      <c r="J132" s="27">
        <v>0.89104477611940303</v>
      </c>
      <c r="K132" s="27">
        <v>9.5522388059701493E-2</v>
      </c>
      <c r="L132" s="27">
        <v>5.9701492537313433E-3</v>
      </c>
      <c r="M132" s="27">
        <v>7.462686567164179E-3</v>
      </c>
      <c r="N132" s="28">
        <v>47.686567164179102</v>
      </c>
    </row>
    <row r="133" spans="1:14" x14ac:dyDescent="0.25">
      <c r="A133" s="25">
        <v>0.19246031746031747</v>
      </c>
      <c r="B133" s="25">
        <v>0.37896825396825395</v>
      </c>
      <c r="C133" s="25">
        <v>0.40079365079365081</v>
      </c>
      <c r="D133" s="25">
        <v>2.1825396825396824E-2</v>
      </c>
      <c r="E133" s="26">
        <v>626</v>
      </c>
      <c r="F133" s="26">
        <v>39</v>
      </c>
      <c r="G133" s="26">
        <v>4</v>
      </c>
      <c r="H133" s="26">
        <v>1</v>
      </c>
      <c r="I133" s="26">
        <v>670</v>
      </c>
      <c r="J133" s="27">
        <v>0.93432835820895521</v>
      </c>
      <c r="K133" s="27">
        <v>5.8208955223880594E-2</v>
      </c>
      <c r="L133" s="27">
        <v>5.9701492537313433E-3</v>
      </c>
      <c r="M133" s="27">
        <v>1.4925373134328358E-3</v>
      </c>
      <c r="N133" s="28">
        <v>33.007462686567166</v>
      </c>
    </row>
    <row r="134" spans="1:14" x14ac:dyDescent="0.25">
      <c r="A134" s="25">
        <v>0.23529411764705882</v>
      </c>
      <c r="B134" s="25">
        <v>0.396584440227704</v>
      </c>
      <c r="C134" s="25">
        <v>0.34345351043643263</v>
      </c>
      <c r="D134" s="25">
        <v>1.8975332068311195E-2</v>
      </c>
      <c r="E134" s="26">
        <v>655</v>
      </c>
      <c r="F134" s="26">
        <v>15</v>
      </c>
      <c r="G134" s="26">
        <v>1</v>
      </c>
      <c r="H134" s="26">
        <v>0</v>
      </c>
      <c r="I134" s="26">
        <v>671</v>
      </c>
      <c r="J134" s="27">
        <v>0.97615499254843519</v>
      </c>
      <c r="K134" s="27">
        <v>2.2354694485842028E-2</v>
      </c>
      <c r="L134" s="27">
        <v>1.4903129657228018E-3</v>
      </c>
      <c r="M134" s="27">
        <v>0</v>
      </c>
      <c r="N134" s="28">
        <v>22.733233979135619</v>
      </c>
    </row>
    <row r="135" spans="1:14" x14ac:dyDescent="0.25">
      <c r="A135" s="25">
        <v>0.15674603174603174</v>
      </c>
      <c r="B135" s="25">
        <v>0.28968253968253971</v>
      </c>
      <c r="C135" s="25">
        <v>0.51587301587301593</v>
      </c>
      <c r="D135" s="25">
        <v>2.976190476190476E-2</v>
      </c>
      <c r="E135" s="26">
        <v>616</v>
      </c>
      <c r="F135" s="26">
        <v>2</v>
      </c>
      <c r="G135" s="26">
        <v>0</v>
      </c>
      <c r="H135" s="26">
        <v>1</v>
      </c>
      <c r="I135" s="26">
        <v>619</v>
      </c>
      <c r="J135" s="27">
        <v>0.99515347334410342</v>
      </c>
      <c r="K135" s="27">
        <v>3.2310177705977385E-3</v>
      </c>
      <c r="L135" s="27">
        <v>0</v>
      </c>
      <c r="M135" s="27">
        <v>1.6155088852988692E-3</v>
      </c>
      <c r="N135" s="28">
        <v>49.44103392568659</v>
      </c>
    </row>
    <row r="136" spans="1:14" x14ac:dyDescent="0.25">
      <c r="A136" s="25">
        <v>0.11044776119402985</v>
      </c>
      <c r="B136" s="25">
        <v>0.21791044776119403</v>
      </c>
      <c r="C136" s="25">
        <v>0.64477611940298507</v>
      </c>
      <c r="D136" s="25">
        <v>5.9701492537313433E-3</v>
      </c>
      <c r="E136" s="26">
        <v>447</v>
      </c>
      <c r="F136" s="26">
        <v>2</v>
      </c>
      <c r="G136" s="26">
        <v>0</v>
      </c>
      <c r="H136" s="26">
        <v>1</v>
      </c>
      <c r="I136" s="26">
        <v>450</v>
      </c>
      <c r="J136" s="27">
        <v>0.99333333333333329</v>
      </c>
      <c r="K136" s="27">
        <v>4.4444444444444444E-3</v>
      </c>
      <c r="L136" s="27">
        <v>0</v>
      </c>
      <c r="M136" s="27">
        <v>2.2222222222222222E-3</v>
      </c>
      <c r="N136" s="28">
        <v>66.993333333333339</v>
      </c>
    </row>
    <row r="137" spans="1:14" x14ac:dyDescent="0.25">
      <c r="A137" s="25">
        <v>0.14355231143552311</v>
      </c>
      <c r="B137" s="25">
        <v>0.35279805352798055</v>
      </c>
      <c r="C137" s="25">
        <v>0.49878345498783455</v>
      </c>
      <c r="D137" s="25">
        <v>2.4330900243309003E-3</v>
      </c>
      <c r="E137" s="26">
        <v>502</v>
      </c>
      <c r="F137" s="26">
        <v>1</v>
      </c>
      <c r="G137" s="26">
        <v>0</v>
      </c>
      <c r="H137" s="26">
        <v>0</v>
      </c>
      <c r="I137" s="26">
        <v>503</v>
      </c>
      <c r="J137" s="27">
        <v>0.99801192842942343</v>
      </c>
      <c r="K137" s="27">
        <v>1.9880715705765406E-3</v>
      </c>
      <c r="L137" s="27">
        <v>0</v>
      </c>
      <c r="M137" s="27">
        <v>0</v>
      </c>
      <c r="N137" s="28">
        <v>51.079522862823062</v>
      </c>
    </row>
    <row r="138" spans="1:14" x14ac:dyDescent="0.25">
      <c r="A138" s="25">
        <v>0.11320754716981132</v>
      </c>
      <c r="B138" s="25">
        <v>0.49326145552560646</v>
      </c>
      <c r="C138" s="25">
        <v>0.35849056603773582</v>
      </c>
      <c r="D138" s="25">
        <v>2.9649595687331536E-2</v>
      </c>
      <c r="E138" s="26">
        <v>501</v>
      </c>
      <c r="F138" s="26">
        <v>0</v>
      </c>
      <c r="G138" s="26">
        <v>1</v>
      </c>
      <c r="H138" s="26">
        <v>1</v>
      </c>
      <c r="I138" s="26">
        <v>503</v>
      </c>
      <c r="J138" s="27">
        <v>0.99602385685884687</v>
      </c>
      <c r="K138" s="27">
        <v>0</v>
      </c>
      <c r="L138" s="27">
        <v>1.9880715705765406E-3</v>
      </c>
      <c r="M138" s="27">
        <v>1.9880715705765406E-3</v>
      </c>
      <c r="N138" s="28">
        <v>36.455268389662031</v>
      </c>
    </row>
    <row r="139" spans="1:14" x14ac:dyDescent="0.25">
      <c r="A139" s="25">
        <v>0.19575471698113209</v>
      </c>
      <c r="B139" s="25">
        <v>0.49056603773584906</v>
      </c>
      <c r="C139" s="25">
        <v>0.29245283018867924</v>
      </c>
      <c r="D139" s="25">
        <v>1.8867924528301886E-2</v>
      </c>
      <c r="E139" s="26">
        <v>499</v>
      </c>
      <c r="F139" s="26">
        <v>2</v>
      </c>
      <c r="G139" s="26">
        <v>2</v>
      </c>
      <c r="H139" s="26">
        <v>0</v>
      </c>
      <c r="I139" s="26">
        <v>503</v>
      </c>
      <c r="J139" s="27">
        <v>0.99204771371769385</v>
      </c>
      <c r="K139" s="27">
        <v>3.9761431411530811E-3</v>
      </c>
      <c r="L139" s="27">
        <v>3.9761431411530811E-3</v>
      </c>
      <c r="M139" s="27">
        <v>0</v>
      </c>
      <c r="N139" s="28">
        <v>23.737574552683895</v>
      </c>
    </row>
    <row r="140" spans="1:14" x14ac:dyDescent="0.25">
      <c r="A140" s="25">
        <v>0.16352201257861634</v>
      </c>
      <c r="B140" s="25">
        <v>0.23270440251572327</v>
      </c>
      <c r="C140" s="25">
        <v>0.60377358490566035</v>
      </c>
      <c r="D140" s="25">
        <v>0</v>
      </c>
      <c r="E140" s="26">
        <v>220</v>
      </c>
      <c r="F140" s="26">
        <v>2</v>
      </c>
      <c r="G140" s="26">
        <v>0</v>
      </c>
      <c r="H140" s="26">
        <v>0</v>
      </c>
      <c r="I140" s="26">
        <v>222</v>
      </c>
      <c r="J140" s="27">
        <v>0.99099099099099097</v>
      </c>
      <c r="K140" s="27">
        <v>9.0090090090090089E-3</v>
      </c>
      <c r="L140" s="27">
        <v>0</v>
      </c>
      <c r="M140" s="27">
        <v>0</v>
      </c>
      <c r="N140" s="28">
        <v>53.022522522522522</v>
      </c>
    </row>
    <row r="141" spans="1:14" x14ac:dyDescent="0.25">
      <c r="A141" s="25">
        <v>0.66772151898734178</v>
      </c>
      <c r="B141" s="25">
        <v>5.3797468354430382E-2</v>
      </c>
      <c r="C141" s="25">
        <v>0.26265822784810128</v>
      </c>
      <c r="D141" s="25">
        <v>3.1645569620253164E-3</v>
      </c>
      <c r="E141" s="26">
        <v>105</v>
      </c>
      <c r="F141" s="26">
        <v>278</v>
      </c>
      <c r="G141" s="26">
        <v>66</v>
      </c>
      <c r="H141" s="26">
        <v>1</v>
      </c>
      <c r="I141" s="26">
        <v>450</v>
      </c>
      <c r="J141" s="27">
        <v>0.23333333333333334</v>
      </c>
      <c r="K141" s="27">
        <v>0.61777777777777776</v>
      </c>
      <c r="L141" s="27">
        <v>0.14666666666666667</v>
      </c>
      <c r="M141" s="27">
        <v>2.2222222222222222E-3</v>
      </c>
      <c r="N141" s="28">
        <v>67.033333333333331</v>
      </c>
    </row>
    <row r="142" spans="1:14" x14ac:dyDescent="0.25">
      <c r="A142" s="25">
        <v>0.6394366197183099</v>
      </c>
      <c r="B142" s="25">
        <v>6.7605633802816895E-2</v>
      </c>
      <c r="C142" s="25">
        <v>0.27605633802816903</v>
      </c>
      <c r="D142" s="25">
        <v>8.4507042253521118E-3</v>
      </c>
      <c r="E142" s="26">
        <v>136</v>
      </c>
      <c r="F142" s="26">
        <v>254</v>
      </c>
      <c r="G142" s="26">
        <v>55</v>
      </c>
      <c r="H142" s="26">
        <v>5</v>
      </c>
      <c r="I142" s="26">
        <v>450</v>
      </c>
      <c r="J142" s="27">
        <v>0.30222222222222223</v>
      </c>
      <c r="K142" s="27">
        <v>0.56444444444444442</v>
      </c>
      <c r="L142" s="27">
        <v>0.12222222222222222</v>
      </c>
      <c r="M142" s="27">
        <v>1.1111111111111112E-2</v>
      </c>
      <c r="N142" s="28">
        <v>56.68888888888889</v>
      </c>
    </row>
    <row r="143" spans="1:14" x14ac:dyDescent="0.25">
      <c r="A143" s="25">
        <v>0.67917448405253278</v>
      </c>
      <c r="B143" s="25">
        <v>0.10694183864915573</v>
      </c>
      <c r="C143" s="25">
        <v>0.18761726078799248</v>
      </c>
      <c r="D143" s="25">
        <v>7.5046904315196998E-3</v>
      </c>
      <c r="E143" s="26">
        <v>203</v>
      </c>
      <c r="F143" s="26">
        <v>409</v>
      </c>
      <c r="G143" s="26">
        <v>114</v>
      </c>
      <c r="H143" s="26">
        <v>1</v>
      </c>
      <c r="I143" s="26">
        <v>727</v>
      </c>
      <c r="J143" s="27">
        <v>0.27922971114167811</v>
      </c>
      <c r="K143" s="27">
        <v>0.56258596973865205</v>
      </c>
      <c r="L143" s="27">
        <v>0.15680880330123798</v>
      </c>
      <c r="M143" s="27">
        <v>1.375515818431912E-3</v>
      </c>
      <c r="N143" s="28">
        <v>45.818431911966989</v>
      </c>
    </row>
    <row r="144" spans="1:14" x14ac:dyDescent="0.25">
      <c r="A144" s="25">
        <v>0.68711656441717794</v>
      </c>
      <c r="B144" s="25">
        <v>0.14723926380368099</v>
      </c>
      <c r="C144" s="25">
        <v>0.1492842535787321</v>
      </c>
      <c r="D144" s="25">
        <v>8.1799591002044997E-3</v>
      </c>
      <c r="E144" s="26">
        <v>201</v>
      </c>
      <c r="F144" s="26">
        <v>402</v>
      </c>
      <c r="G144" s="26">
        <v>123</v>
      </c>
      <c r="H144" s="26">
        <v>1</v>
      </c>
      <c r="I144" s="26">
        <v>727</v>
      </c>
      <c r="J144" s="27">
        <v>0.27647867950481431</v>
      </c>
      <c r="K144" s="27">
        <v>0.55295735900962861</v>
      </c>
      <c r="L144" s="27">
        <v>0.16918844566712518</v>
      </c>
      <c r="M144" s="27">
        <v>1.375515818431912E-3</v>
      </c>
      <c r="N144" s="28">
        <v>36.580467675378266</v>
      </c>
    </row>
    <row r="145" spans="1:14" x14ac:dyDescent="0.25">
      <c r="A145" s="25">
        <v>0.67820773930753564</v>
      </c>
      <c r="B145" s="25">
        <v>0.164969450101833</v>
      </c>
      <c r="C145" s="25">
        <v>0.15071283095723015</v>
      </c>
      <c r="D145" s="25">
        <v>4.0733197556008143E-3</v>
      </c>
      <c r="E145" s="26">
        <v>222</v>
      </c>
      <c r="F145" s="26">
        <v>376</v>
      </c>
      <c r="G145" s="26">
        <v>129</v>
      </c>
      <c r="H145" s="26">
        <v>1</v>
      </c>
      <c r="I145" s="26">
        <v>728</v>
      </c>
      <c r="J145" s="27">
        <v>0.30494505494505497</v>
      </c>
      <c r="K145" s="27">
        <v>0.51648351648351654</v>
      </c>
      <c r="L145" s="27">
        <v>0.17719780219780221</v>
      </c>
      <c r="M145" s="27">
        <v>1.3736263736263737E-3</v>
      </c>
      <c r="N145" s="28">
        <v>29.258241758241759</v>
      </c>
    </row>
    <row r="146" spans="1:14" x14ac:dyDescent="0.25">
      <c r="A146" s="25">
        <v>0.59823008849557524</v>
      </c>
      <c r="B146" s="25">
        <v>0.2176991150442478</v>
      </c>
      <c r="C146" s="25">
        <v>0.17522123893805311</v>
      </c>
      <c r="D146" s="25">
        <v>1.7699115044247787E-3</v>
      </c>
      <c r="E146" s="26">
        <v>286</v>
      </c>
      <c r="F146" s="26">
        <v>342</v>
      </c>
      <c r="G146" s="26">
        <v>100</v>
      </c>
      <c r="H146" s="26">
        <v>0</v>
      </c>
      <c r="I146" s="26">
        <v>728</v>
      </c>
      <c r="J146" s="27">
        <v>0.39285714285714285</v>
      </c>
      <c r="K146" s="27">
        <v>0.46978021978021978</v>
      </c>
      <c r="L146" s="27">
        <v>0.13736263736263737</v>
      </c>
      <c r="M146" s="27">
        <v>0</v>
      </c>
      <c r="N146" s="28">
        <v>21.807692307692307</v>
      </c>
    </row>
    <row r="147" spans="1:14" x14ac:dyDescent="0.25">
      <c r="A147" s="25">
        <v>0.78481012658227844</v>
      </c>
      <c r="B147" s="25">
        <v>3.1645569620253167E-2</v>
      </c>
      <c r="C147" s="25">
        <v>0.16139240506329114</v>
      </c>
      <c r="D147" s="25">
        <v>6.3291139240506328E-3</v>
      </c>
      <c r="E147" s="26">
        <v>9</v>
      </c>
      <c r="F147" s="26">
        <v>393</v>
      </c>
      <c r="G147" s="26">
        <v>46</v>
      </c>
      <c r="H147" s="26">
        <v>2</v>
      </c>
      <c r="I147" s="26">
        <v>450</v>
      </c>
      <c r="J147" s="27">
        <v>0.02</v>
      </c>
      <c r="K147" s="27">
        <v>0.87333333333333329</v>
      </c>
      <c r="L147" s="27">
        <v>0.10222222222222223</v>
      </c>
      <c r="M147" s="27">
        <v>4.4444444444444444E-3</v>
      </c>
      <c r="N147" s="28">
        <v>70.635555555555555</v>
      </c>
    </row>
    <row r="148" spans="1:14" x14ac:dyDescent="0.25">
      <c r="A148" s="25">
        <v>0.87392550143266479</v>
      </c>
      <c r="B148" s="25">
        <v>1.1461318051575931E-2</v>
      </c>
      <c r="C148" s="25">
        <v>9.4555873925501438E-2</v>
      </c>
      <c r="D148" s="25">
        <v>5.7306590257879654E-3</v>
      </c>
      <c r="E148" s="26">
        <v>14</v>
      </c>
      <c r="F148" s="26">
        <v>404</v>
      </c>
      <c r="G148" s="26">
        <v>32</v>
      </c>
      <c r="H148" s="26">
        <v>0</v>
      </c>
      <c r="I148" s="26">
        <v>450</v>
      </c>
      <c r="J148" s="27">
        <v>3.111111111111111E-2</v>
      </c>
      <c r="K148" s="27">
        <v>0.89777777777777779</v>
      </c>
      <c r="L148" s="27">
        <v>7.1111111111111111E-2</v>
      </c>
      <c r="M148" s="27">
        <v>0</v>
      </c>
      <c r="N148" s="28">
        <v>63.888888888888886</v>
      </c>
    </row>
    <row r="149" spans="1:14" x14ac:dyDescent="0.25">
      <c r="A149" s="25">
        <v>0.89183673469387759</v>
      </c>
      <c r="B149" s="25">
        <v>2.0408163265306121E-2</v>
      </c>
      <c r="C149" s="25">
        <v>7.7551020408163265E-2</v>
      </c>
      <c r="D149" s="25">
        <v>0</v>
      </c>
      <c r="E149" s="26">
        <v>30</v>
      </c>
      <c r="F149" s="26">
        <v>580</v>
      </c>
      <c r="G149" s="26">
        <v>70</v>
      </c>
      <c r="H149" s="26">
        <v>3</v>
      </c>
      <c r="I149" s="26">
        <v>683</v>
      </c>
      <c r="J149" s="27">
        <v>4.3923865300146414E-2</v>
      </c>
      <c r="K149" s="27">
        <v>0.84919472913616401</v>
      </c>
      <c r="L149" s="27">
        <v>0.10248901903367497</v>
      </c>
      <c r="M149" s="27">
        <v>4.3923865300146414E-3</v>
      </c>
      <c r="N149" s="28">
        <v>54.282576866764273</v>
      </c>
    </row>
    <row r="150" spans="1:14" x14ac:dyDescent="0.25">
      <c r="A150" s="25">
        <v>0.87826086956521743</v>
      </c>
      <c r="B150" s="25">
        <v>2.391304347826087E-2</v>
      </c>
      <c r="C150" s="25">
        <v>8.2608695652173908E-2</v>
      </c>
      <c r="D150" s="25">
        <v>2.1739130434782609E-3</v>
      </c>
      <c r="E150" s="26">
        <v>37</v>
      </c>
      <c r="F150" s="26">
        <v>540</v>
      </c>
      <c r="G150" s="26">
        <v>105</v>
      </c>
      <c r="H150" s="26">
        <v>1</v>
      </c>
      <c r="I150" s="26">
        <v>683</v>
      </c>
      <c r="J150" s="27">
        <v>5.4172767203513911E-2</v>
      </c>
      <c r="K150" s="27">
        <v>0.79062957540263545</v>
      </c>
      <c r="L150" s="27">
        <v>0.15373352855051245</v>
      </c>
      <c r="M150" s="27">
        <v>1.4641288433382138E-3</v>
      </c>
      <c r="N150" s="28">
        <v>44.216691068814058</v>
      </c>
    </row>
    <row r="151" spans="1:14" x14ac:dyDescent="0.25">
      <c r="A151" s="25">
        <v>0.87586206896551722</v>
      </c>
      <c r="B151" s="25">
        <v>4.8275862068965517E-2</v>
      </c>
      <c r="C151" s="25">
        <v>5.5172413793103448E-2</v>
      </c>
      <c r="D151" s="25">
        <v>9.1954022988505746E-3</v>
      </c>
      <c r="E151" s="26">
        <v>48</v>
      </c>
      <c r="F151" s="26">
        <v>518</v>
      </c>
      <c r="G151" s="26">
        <v>114</v>
      </c>
      <c r="H151" s="26">
        <v>3</v>
      </c>
      <c r="I151" s="26">
        <v>683</v>
      </c>
      <c r="J151" s="27">
        <v>7.0278184480234263E-2</v>
      </c>
      <c r="K151" s="27">
        <v>0.75841874084919469</v>
      </c>
      <c r="L151" s="27">
        <v>0.16691068814055637</v>
      </c>
      <c r="M151" s="27">
        <v>4.3923865300146414E-3</v>
      </c>
      <c r="N151" s="28">
        <v>36.064421669106885</v>
      </c>
    </row>
    <row r="152" spans="1:14" x14ac:dyDescent="0.25">
      <c r="A152" s="25">
        <v>0.88235294117647056</v>
      </c>
      <c r="B152" s="25">
        <v>4.9411764705882349E-2</v>
      </c>
      <c r="C152" s="25">
        <v>6.3529411764705876E-2</v>
      </c>
      <c r="D152" s="25">
        <v>0</v>
      </c>
      <c r="E152" s="26">
        <v>51</v>
      </c>
      <c r="F152" s="26">
        <v>511</v>
      </c>
      <c r="G152" s="26">
        <v>120</v>
      </c>
      <c r="H152" s="26">
        <v>1</v>
      </c>
      <c r="I152" s="26">
        <v>683</v>
      </c>
      <c r="J152" s="27">
        <v>7.4670571010248904E-2</v>
      </c>
      <c r="K152" s="27">
        <v>0.74816983894582723</v>
      </c>
      <c r="L152" s="27">
        <v>0.17569546120058566</v>
      </c>
      <c r="M152" s="27">
        <v>1.4641288433382138E-3</v>
      </c>
      <c r="N152" s="28">
        <v>29.144948755490482</v>
      </c>
    </row>
    <row r="153" spans="1:14" x14ac:dyDescent="0.25">
      <c r="A153" s="25">
        <v>0.87044534412955465</v>
      </c>
      <c r="B153" s="25">
        <v>5.0607287449392711E-2</v>
      </c>
      <c r="C153" s="25">
        <v>7.28744939271255E-2</v>
      </c>
      <c r="D153" s="25">
        <v>0</v>
      </c>
      <c r="E153" s="26">
        <v>80</v>
      </c>
      <c r="F153" s="26">
        <v>437</v>
      </c>
      <c r="G153" s="26">
        <v>167</v>
      </c>
      <c r="H153" s="26">
        <v>0</v>
      </c>
      <c r="I153" s="26">
        <v>684</v>
      </c>
      <c r="J153" s="27">
        <v>0.11695906432748537</v>
      </c>
      <c r="K153" s="27">
        <v>0.63888888888888884</v>
      </c>
      <c r="L153" s="27">
        <v>0.24415204678362573</v>
      </c>
      <c r="M153" s="27">
        <v>0</v>
      </c>
      <c r="N153" s="28">
        <v>21.969298245614034</v>
      </c>
    </row>
    <row r="154" spans="1:14" x14ac:dyDescent="0.25">
      <c r="A154" s="25">
        <v>0.8127490039840638</v>
      </c>
      <c r="B154" s="25">
        <v>2.7888446215139442E-2</v>
      </c>
      <c r="C154" s="25">
        <v>0.12350597609561753</v>
      </c>
      <c r="D154" s="25">
        <v>7.9681274900398405E-3</v>
      </c>
      <c r="E154" s="26">
        <v>11</v>
      </c>
      <c r="F154" s="26">
        <v>405</v>
      </c>
      <c r="G154" s="26">
        <v>33</v>
      </c>
      <c r="H154" s="26">
        <v>1</v>
      </c>
      <c r="I154" s="26">
        <v>450</v>
      </c>
      <c r="J154" s="27">
        <v>2.4444444444444446E-2</v>
      </c>
      <c r="K154" s="27">
        <v>0.9</v>
      </c>
      <c r="L154" s="27">
        <v>7.3333333333333334E-2</v>
      </c>
      <c r="M154" s="27">
        <v>2.2222222222222222E-3</v>
      </c>
      <c r="N154" s="28">
        <v>78.540000000000006</v>
      </c>
    </row>
    <row r="155" spans="1:14" x14ac:dyDescent="0.25">
      <c r="A155" s="25">
        <v>0.82352941176470584</v>
      </c>
      <c r="B155" s="25">
        <v>1.6339869281045753E-2</v>
      </c>
      <c r="C155" s="25">
        <v>0.13398692810457516</v>
      </c>
      <c r="D155" s="25">
        <v>6.5359477124183009E-3</v>
      </c>
      <c r="E155" s="26">
        <v>32</v>
      </c>
      <c r="F155" s="26">
        <v>384</v>
      </c>
      <c r="G155" s="26">
        <v>26</v>
      </c>
      <c r="H155" s="26">
        <v>8</v>
      </c>
      <c r="I155" s="26">
        <v>450</v>
      </c>
      <c r="J155" s="27">
        <v>7.1111111111111111E-2</v>
      </c>
      <c r="K155" s="27">
        <v>0.85333333333333339</v>
      </c>
      <c r="L155" s="27">
        <v>5.7777777777777775E-2</v>
      </c>
      <c r="M155" s="27">
        <v>1.7777777777777778E-2</v>
      </c>
      <c r="N155" s="28">
        <v>67.884444444444441</v>
      </c>
    </row>
    <row r="156" spans="1:14" x14ac:dyDescent="0.25">
      <c r="A156" s="25">
        <v>0.85046728971962615</v>
      </c>
      <c r="B156" s="25">
        <v>2.4922118380062305E-2</v>
      </c>
      <c r="C156" s="25">
        <v>9.9688473520249218E-2</v>
      </c>
      <c r="D156" s="25">
        <v>1.2461059190031152E-2</v>
      </c>
      <c r="E156" s="26">
        <v>42</v>
      </c>
      <c r="F156" s="26">
        <v>371</v>
      </c>
      <c r="G156" s="26">
        <v>34</v>
      </c>
      <c r="H156" s="26">
        <v>3</v>
      </c>
      <c r="I156" s="26">
        <v>450</v>
      </c>
      <c r="J156" s="27">
        <v>9.3333333333333338E-2</v>
      </c>
      <c r="K156" s="27">
        <v>0.82444444444444442</v>
      </c>
      <c r="L156" s="27">
        <v>7.5555555555555556E-2</v>
      </c>
      <c r="M156" s="27">
        <v>6.6666666666666671E-3</v>
      </c>
      <c r="N156" s="28">
        <v>59.415555555555557</v>
      </c>
    </row>
    <row r="157" spans="1:14" x14ac:dyDescent="0.25">
      <c r="A157" s="25">
        <v>0.89717223650385602</v>
      </c>
      <c r="B157" s="25">
        <v>2.570694087403599E-2</v>
      </c>
      <c r="C157" s="25">
        <v>6.9408740359897178E-2</v>
      </c>
      <c r="D157" s="25">
        <v>2.5706940874035988E-3</v>
      </c>
      <c r="E157" s="26">
        <v>47</v>
      </c>
      <c r="F157" s="26">
        <v>480</v>
      </c>
      <c r="G157" s="26">
        <v>35</v>
      </c>
      <c r="H157" s="26">
        <v>3</v>
      </c>
      <c r="I157" s="26">
        <v>565</v>
      </c>
      <c r="J157" s="27">
        <v>8.3185840707964601E-2</v>
      </c>
      <c r="K157" s="27">
        <v>0.84955752212389379</v>
      </c>
      <c r="L157" s="27">
        <v>6.1946902654867256E-2</v>
      </c>
      <c r="M157" s="27">
        <v>5.3097345132743362E-3</v>
      </c>
      <c r="N157" s="28">
        <v>46.007079646017701</v>
      </c>
    </row>
    <row r="158" spans="1:14" x14ac:dyDescent="0.25">
      <c r="A158" s="25">
        <v>0.82105263157894737</v>
      </c>
      <c r="B158" s="25">
        <v>8.9473684210526316E-2</v>
      </c>
      <c r="C158" s="25">
        <v>7.6315789473684212E-2</v>
      </c>
      <c r="D158" s="25">
        <v>2.631578947368421E-3</v>
      </c>
      <c r="E158" s="26">
        <v>86</v>
      </c>
      <c r="F158" s="26">
        <v>434</v>
      </c>
      <c r="G158" s="26">
        <v>44</v>
      </c>
      <c r="H158" s="26">
        <v>2</v>
      </c>
      <c r="I158" s="26">
        <v>566</v>
      </c>
      <c r="J158" s="27">
        <v>0.1519434628975265</v>
      </c>
      <c r="K158" s="27">
        <v>0.7667844522968198</v>
      </c>
      <c r="L158" s="27">
        <v>7.7738515901060068E-2</v>
      </c>
      <c r="M158" s="27">
        <v>3.5335689045936395E-3</v>
      </c>
      <c r="N158" s="28">
        <v>29.056537102473499</v>
      </c>
    </row>
    <row r="159" spans="1:14" x14ac:dyDescent="0.25">
      <c r="A159" s="25">
        <v>0.78091872791519434</v>
      </c>
      <c r="B159" s="25">
        <v>1.0600706713780919E-2</v>
      </c>
      <c r="C159" s="25">
        <v>0.18021201413427562</v>
      </c>
      <c r="D159" s="25">
        <v>1.0600706713780919E-2</v>
      </c>
      <c r="E159" s="26">
        <v>5</v>
      </c>
      <c r="F159" s="26">
        <v>431</v>
      </c>
      <c r="G159" s="26">
        <v>14</v>
      </c>
      <c r="H159" s="26">
        <v>0</v>
      </c>
      <c r="I159" s="26">
        <v>450</v>
      </c>
      <c r="J159" s="27">
        <v>1.1111111111111112E-2</v>
      </c>
      <c r="K159" s="27">
        <v>0.95777777777777773</v>
      </c>
      <c r="L159" s="27">
        <v>3.111111111111111E-2</v>
      </c>
      <c r="M159" s="27">
        <v>0</v>
      </c>
      <c r="N159" s="28">
        <v>73.16</v>
      </c>
    </row>
    <row r="160" spans="1:14" x14ac:dyDescent="0.25">
      <c r="A160" s="25">
        <v>0.89534883720930236</v>
      </c>
      <c r="B160" s="25">
        <v>2.9069767441860465E-3</v>
      </c>
      <c r="C160" s="25">
        <v>9.8837209302325577E-2</v>
      </c>
      <c r="D160" s="25">
        <v>2.9069767441860465E-3</v>
      </c>
      <c r="E160" s="26">
        <v>2</v>
      </c>
      <c r="F160" s="26">
        <v>431</v>
      </c>
      <c r="G160" s="26">
        <v>16</v>
      </c>
      <c r="H160" s="26">
        <v>1</v>
      </c>
      <c r="I160" s="26">
        <v>450</v>
      </c>
      <c r="J160" s="27">
        <v>4.4444444444444444E-3</v>
      </c>
      <c r="K160" s="27">
        <v>0.95777777777777773</v>
      </c>
      <c r="L160" s="27">
        <v>3.5555555555555556E-2</v>
      </c>
      <c r="M160" s="27">
        <v>2.2222222222222222E-3</v>
      </c>
      <c r="N160" s="28">
        <v>63.102222222222224</v>
      </c>
    </row>
    <row r="161" spans="1:14" x14ac:dyDescent="0.25">
      <c r="A161" s="25">
        <v>0.90858725761772852</v>
      </c>
      <c r="B161" s="25">
        <v>2.7700831024930748E-3</v>
      </c>
      <c r="C161" s="25">
        <v>7.2022160664819951E-2</v>
      </c>
      <c r="D161" s="25">
        <v>0</v>
      </c>
      <c r="E161" s="26">
        <v>6</v>
      </c>
      <c r="F161" s="26">
        <v>490</v>
      </c>
      <c r="G161" s="26">
        <v>12</v>
      </c>
      <c r="H161" s="26">
        <v>2</v>
      </c>
      <c r="I161" s="26">
        <v>510</v>
      </c>
      <c r="J161" s="27">
        <v>1.1764705882352941E-2</v>
      </c>
      <c r="K161" s="27">
        <v>0.96078431372549022</v>
      </c>
      <c r="L161" s="27">
        <v>2.3529411764705882E-2</v>
      </c>
      <c r="M161" s="27">
        <v>3.9215686274509803E-3</v>
      </c>
      <c r="N161" s="28">
        <v>52.639215686274511</v>
      </c>
    </row>
    <row r="162" spans="1:14" x14ac:dyDescent="0.25">
      <c r="A162" s="25">
        <v>0.87058823529411766</v>
      </c>
      <c r="B162" s="25">
        <v>1.7647058823529412E-2</v>
      </c>
      <c r="C162" s="25">
        <v>0.10294117647058823</v>
      </c>
      <c r="D162" s="25">
        <v>0</v>
      </c>
      <c r="E162" s="26">
        <v>26</v>
      </c>
      <c r="F162" s="26">
        <v>449</v>
      </c>
      <c r="G162" s="26">
        <v>36</v>
      </c>
      <c r="H162" s="26">
        <v>0</v>
      </c>
      <c r="I162" s="26">
        <v>511</v>
      </c>
      <c r="J162" s="27">
        <v>5.0880626223091974E-2</v>
      </c>
      <c r="K162" s="27">
        <v>0.87866927592954991</v>
      </c>
      <c r="L162" s="27">
        <v>7.0450097847358117E-2</v>
      </c>
      <c r="M162" s="27">
        <v>0</v>
      </c>
      <c r="N162" s="28">
        <v>40.665362035225051</v>
      </c>
    </row>
    <row r="163" spans="1:14" x14ac:dyDescent="0.25">
      <c r="A163" s="25">
        <v>0.85087719298245612</v>
      </c>
      <c r="B163" s="25">
        <v>3.5087719298245612E-2</v>
      </c>
      <c r="C163" s="25">
        <v>0.10818713450292397</v>
      </c>
      <c r="D163" s="25">
        <v>0</v>
      </c>
      <c r="E163" s="26">
        <v>48</v>
      </c>
      <c r="F163" s="26">
        <v>417</v>
      </c>
      <c r="G163" s="26">
        <v>46</v>
      </c>
      <c r="H163" s="26">
        <v>0</v>
      </c>
      <c r="I163" s="26">
        <v>511</v>
      </c>
      <c r="J163" s="27">
        <v>9.393346379647749E-2</v>
      </c>
      <c r="K163" s="27">
        <v>0.81604696673189825</v>
      </c>
      <c r="L163" s="27">
        <v>9.0019569471624261E-2</v>
      </c>
      <c r="M163" s="27">
        <v>0</v>
      </c>
      <c r="N163" s="28">
        <v>25.700587084148729</v>
      </c>
    </row>
    <row r="164" spans="1:14" x14ac:dyDescent="0.25">
      <c r="A164" s="25">
        <v>0.74919614147909963</v>
      </c>
      <c r="B164" s="25">
        <v>2.8938906752411574E-2</v>
      </c>
      <c r="C164" s="25">
        <v>0.19935691318327975</v>
      </c>
      <c r="D164" s="25">
        <v>3.2154340836012861E-3</v>
      </c>
      <c r="E164" s="26">
        <v>44</v>
      </c>
      <c r="F164" s="26">
        <v>335</v>
      </c>
      <c r="G164" s="26">
        <v>71</v>
      </c>
      <c r="H164" s="26">
        <v>0</v>
      </c>
      <c r="I164" s="26">
        <v>450</v>
      </c>
      <c r="J164" s="27">
        <v>9.7777777777777783E-2</v>
      </c>
      <c r="K164" s="27">
        <v>0.74444444444444446</v>
      </c>
      <c r="L164" s="27">
        <v>0.15777777777777777</v>
      </c>
      <c r="M164" s="27">
        <v>0</v>
      </c>
      <c r="N164" s="28">
        <v>68.871111111111105</v>
      </c>
    </row>
    <row r="165" spans="1:14" x14ac:dyDescent="0.25">
      <c r="A165" s="25">
        <v>0.78407079646017697</v>
      </c>
      <c r="B165" s="25">
        <v>3.5398230088495575E-2</v>
      </c>
      <c r="C165" s="25">
        <v>0.16460176991150444</v>
      </c>
      <c r="D165" s="25">
        <v>7.0796460176991149E-3</v>
      </c>
      <c r="E165" s="26">
        <v>68</v>
      </c>
      <c r="F165" s="26">
        <v>528</v>
      </c>
      <c r="G165" s="26">
        <v>150</v>
      </c>
      <c r="H165" s="26">
        <v>1</v>
      </c>
      <c r="I165" s="26">
        <v>747</v>
      </c>
      <c r="J165" s="27">
        <v>9.1030789825970543E-2</v>
      </c>
      <c r="K165" s="27">
        <v>0.70682730923694781</v>
      </c>
      <c r="L165" s="27">
        <v>0.20080321285140562</v>
      </c>
      <c r="M165" s="27">
        <v>1.3386880856760374E-3</v>
      </c>
      <c r="N165" s="28">
        <v>57.528781793842036</v>
      </c>
    </row>
    <row r="166" spans="1:14" x14ac:dyDescent="0.25">
      <c r="A166" s="25">
        <v>0.83953033268101762</v>
      </c>
      <c r="B166" s="25">
        <v>4.1095890410958902E-2</v>
      </c>
      <c r="C166" s="25">
        <v>9.1976516634050876E-2</v>
      </c>
      <c r="D166" s="25">
        <v>5.8708414872798431E-3</v>
      </c>
      <c r="E166" s="26">
        <v>65</v>
      </c>
      <c r="F166" s="26">
        <v>508</v>
      </c>
      <c r="G166" s="26">
        <v>174</v>
      </c>
      <c r="H166" s="26">
        <v>0</v>
      </c>
      <c r="I166" s="26">
        <v>747</v>
      </c>
      <c r="J166" s="27">
        <v>8.7014725568942436E-2</v>
      </c>
      <c r="K166" s="27">
        <v>0.68005354752342706</v>
      </c>
      <c r="L166" s="27">
        <v>0.23293172690763053</v>
      </c>
      <c r="M166" s="27">
        <v>0</v>
      </c>
      <c r="N166" s="28">
        <v>44.372155287817939</v>
      </c>
    </row>
    <row r="167" spans="1:14" x14ac:dyDescent="0.25">
      <c r="A167" s="25">
        <v>0.8303571428571429</v>
      </c>
      <c r="B167" s="25">
        <v>6.9196428571428575E-2</v>
      </c>
      <c r="C167" s="25">
        <v>8.7053571428571425E-2</v>
      </c>
      <c r="D167" s="25">
        <v>4.464285714285714E-3</v>
      </c>
      <c r="E167" s="26">
        <v>90</v>
      </c>
      <c r="F167" s="26">
        <v>470</v>
      </c>
      <c r="G167" s="26">
        <v>185</v>
      </c>
      <c r="H167" s="26">
        <v>2</v>
      </c>
      <c r="I167" s="26">
        <v>747</v>
      </c>
      <c r="J167" s="27">
        <v>0.12048192771084337</v>
      </c>
      <c r="K167" s="27">
        <v>0.62918340026773767</v>
      </c>
      <c r="L167" s="27">
        <v>0.24765729585006693</v>
      </c>
      <c r="M167" s="27">
        <v>2.6773761713520749E-3</v>
      </c>
      <c r="N167" s="28">
        <v>35.455153949129851</v>
      </c>
    </row>
    <row r="168" spans="1:14" x14ac:dyDescent="0.25">
      <c r="A168" s="25">
        <v>0.86458333333333337</v>
      </c>
      <c r="B168" s="25">
        <v>5.4166666666666669E-2</v>
      </c>
      <c r="C168" s="25">
        <v>7.0833333333333331E-2</v>
      </c>
      <c r="D168" s="25">
        <v>4.1666666666666666E-3</v>
      </c>
      <c r="E168" s="26">
        <v>89</v>
      </c>
      <c r="F168" s="26">
        <v>443</v>
      </c>
      <c r="G168" s="26">
        <v>214</v>
      </c>
      <c r="H168" s="26">
        <v>1</v>
      </c>
      <c r="I168" s="26">
        <v>747</v>
      </c>
      <c r="J168" s="27">
        <v>0.11914323962516733</v>
      </c>
      <c r="K168" s="27">
        <v>0.59303882195448465</v>
      </c>
      <c r="L168" s="27">
        <v>0.28647925033467203</v>
      </c>
      <c r="M168" s="27">
        <v>1.3386880856760374E-3</v>
      </c>
      <c r="N168" s="28">
        <v>28.349397590361445</v>
      </c>
    </row>
    <row r="169" spans="1:14" x14ac:dyDescent="0.25">
      <c r="A169" s="25">
        <v>0.85315985130111527</v>
      </c>
      <c r="B169" s="25">
        <v>5.9479553903345722E-2</v>
      </c>
      <c r="C169" s="25">
        <v>8.3643122676579931E-2</v>
      </c>
      <c r="D169" s="25">
        <v>0</v>
      </c>
      <c r="E169" s="26">
        <v>91</v>
      </c>
      <c r="F169" s="26">
        <v>447</v>
      </c>
      <c r="G169" s="26">
        <v>208</v>
      </c>
      <c r="H169" s="26">
        <v>1</v>
      </c>
      <c r="I169" s="26">
        <v>747</v>
      </c>
      <c r="J169" s="27">
        <v>0.12182061579651941</v>
      </c>
      <c r="K169" s="27">
        <v>0.59839357429718876</v>
      </c>
      <c r="L169" s="27">
        <v>0.27844712182061582</v>
      </c>
      <c r="M169" s="27">
        <v>1.3386880856760374E-3</v>
      </c>
      <c r="N169" s="28">
        <v>21.680053547523428</v>
      </c>
    </row>
    <row r="170" spans="1:14" x14ac:dyDescent="0.25">
      <c r="A170" s="25">
        <v>0.84558823529411764</v>
      </c>
      <c r="B170" s="25">
        <v>1.1029411764705883E-2</v>
      </c>
      <c r="C170" s="25">
        <v>0.11397058823529412</v>
      </c>
      <c r="D170" s="25">
        <v>1.1029411764705883E-2</v>
      </c>
      <c r="E170" s="26">
        <v>2</v>
      </c>
      <c r="F170" s="26">
        <v>439</v>
      </c>
      <c r="G170" s="26">
        <v>9</v>
      </c>
      <c r="H170" s="26">
        <v>0</v>
      </c>
      <c r="I170" s="26">
        <v>450</v>
      </c>
      <c r="J170" s="27">
        <v>4.4444444444444444E-3</v>
      </c>
      <c r="K170" s="27">
        <v>0.97555555555555551</v>
      </c>
      <c r="L170" s="27">
        <v>0.02</v>
      </c>
      <c r="M170" s="27">
        <v>0</v>
      </c>
      <c r="N170" s="28">
        <v>74.582222222222228</v>
      </c>
    </row>
    <row r="171" spans="1:14" x14ac:dyDescent="0.25">
      <c r="A171" s="25">
        <v>0.89504373177842567</v>
      </c>
      <c r="B171" s="25">
        <v>1.4577259475218658E-2</v>
      </c>
      <c r="C171" s="25">
        <v>8.1632653061224483E-2</v>
      </c>
      <c r="D171" s="25">
        <v>0</v>
      </c>
      <c r="E171" s="26">
        <v>4</v>
      </c>
      <c r="F171" s="26">
        <v>438</v>
      </c>
      <c r="G171" s="26">
        <v>7</v>
      </c>
      <c r="H171" s="26">
        <v>1</v>
      </c>
      <c r="I171" s="26">
        <v>450</v>
      </c>
      <c r="J171" s="27">
        <v>8.8888888888888889E-3</v>
      </c>
      <c r="K171" s="27">
        <v>0.97333333333333338</v>
      </c>
      <c r="L171" s="27">
        <v>1.5555555555555555E-2</v>
      </c>
      <c r="M171" s="27">
        <v>2.2222222222222222E-3</v>
      </c>
      <c r="N171" s="28">
        <v>65.062222222222218</v>
      </c>
    </row>
    <row r="172" spans="1:14" x14ac:dyDescent="0.25">
      <c r="A172" s="25">
        <v>0.91232227488151663</v>
      </c>
      <c r="B172" s="25">
        <v>4.7393364928909956E-3</v>
      </c>
      <c r="C172" s="25">
        <v>7.1090047393364927E-2</v>
      </c>
      <c r="D172" s="25">
        <v>2.3696682464454978E-3</v>
      </c>
      <c r="E172" s="26">
        <v>10</v>
      </c>
      <c r="F172" s="26">
        <v>556</v>
      </c>
      <c r="G172" s="26">
        <v>17</v>
      </c>
      <c r="H172" s="26">
        <v>1</v>
      </c>
      <c r="I172" s="26">
        <v>584</v>
      </c>
      <c r="J172" s="27">
        <v>1.7123287671232876E-2</v>
      </c>
      <c r="K172" s="27">
        <v>0.95205479452054798</v>
      </c>
      <c r="L172" s="27">
        <v>2.9109589041095889E-2</v>
      </c>
      <c r="M172" s="27">
        <v>1.7123287671232876E-3</v>
      </c>
      <c r="N172" s="28">
        <v>54.539383561643838</v>
      </c>
    </row>
    <row r="173" spans="1:14" x14ac:dyDescent="0.25">
      <c r="A173" s="25">
        <v>0.90934065934065933</v>
      </c>
      <c r="B173" s="25">
        <v>0</v>
      </c>
      <c r="C173" s="25">
        <v>7.4175824175824176E-2</v>
      </c>
      <c r="D173" s="25">
        <v>2.7472527472527475E-3</v>
      </c>
      <c r="E173" s="26">
        <v>8</v>
      </c>
      <c r="F173" s="26">
        <v>555</v>
      </c>
      <c r="G173" s="26">
        <v>20</v>
      </c>
      <c r="H173" s="26">
        <v>1</v>
      </c>
      <c r="I173" s="26">
        <v>584</v>
      </c>
      <c r="J173" s="27">
        <v>1.3698630136986301E-2</v>
      </c>
      <c r="K173" s="27">
        <v>0.95034246575342463</v>
      </c>
      <c r="L173" s="27">
        <v>3.4246575342465752E-2</v>
      </c>
      <c r="M173" s="27">
        <v>1.7123287671232876E-3</v>
      </c>
      <c r="N173" s="28">
        <v>41.979452054794521</v>
      </c>
    </row>
    <row r="174" spans="1:14" x14ac:dyDescent="0.25">
      <c r="A174" s="25">
        <v>0.90314136125654454</v>
      </c>
      <c r="B174" s="25">
        <v>2.356020942408377E-2</v>
      </c>
      <c r="C174" s="25">
        <v>6.8062827225130892E-2</v>
      </c>
      <c r="D174" s="25">
        <v>0</v>
      </c>
      <c r="E174" s="26">
        <v>33</v>
      </c>
      <c r="F174" s="26">
        <v>506</v>
      </c>
      <c r="G174" s="26">
        <v>46</v>
      </c>
      <c r="H174" s="26">
        <v>0</v>
      </c>
      <c r="I174" s="26">
        <v>585</v>
      </c>
      <c r="J174" s="27">
        <v>5.6410256410256411E-2</v>
      </c>
      <c r="K174" s="27">
        <v>0.86495726495726499</v>
      </c>
      <c r="L174" s="27">
        <v>7.8632478632478631E-2</v>
      </c>
      <c r="M174" s="27">
        <v>0</v>
      </c>
      <c r="N174" s="28">
        <v>27.51794871794872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3965C-EF5B-4DEF-9A19-D7755E6EF721}">
  <dimension ref="A1:AB186"/>
  <sheetViews>
    <sheetView tabSelected="1" workbookViewId="0">
      <pane xSplit="4" ySplit="1" topLeftCell="O156" activePane="bottomRight" state="frozen"/>
      <selection pane="topRight" activeCell="E1" sqref="E1"/>
      <selection pane="bottomLeft" activeCell="A2" sqref="A2"/>
      <selection pane="bottomRight" activeCell="A134" sqref="A134:AB178"/>
    </sheetView>
  </sheetViews>
  <sheetFormatPr defaultRowHeight="13.2" x14ac:dyDescent="0.25"/>
  <cols>
    <col min="1" max="1" width="8.44140625" bestFit="1" customWidth="1"/>
    <col min="2" max="2" width="35.33203125" bestFit="1" customWidth="1"/>
    <col min="3" max="3" width="61.33203125" bestFit="1" customWidth="1"/>
    <col min="4" max="4" width="6.5546875" bestFit="1" customWidth="1"/>
    <col min="5" max="5" width="24.44140625" bestFit="1" customWidth="1"/>
    <col min="6" max="6" width="6" bestFit="1" customWidth="1"/>
    <col min="7" max="7" width="9.21875" bestFit="1" customWidth="1"/>
    <col min="8" max="9" width="6" bestFit="1" customWidth="1"/>
    <col min="10" max="10" width="22" bestFit="1" customWidth="1"/>
    <col min="11" max="11" width="29.21875" bestFit="1" customWidth="1"/>
    <col min="12" max="12" width="10.44140625" bestFit="1" customWidth="1"/>
    <col min="13" max="13" width="19.109375" bestFit="1" customWidth="1"/>
    <col min="14" max="16" width="6" bestFit="1" customWidth="1"/>
    <col min="17" max="17" width="10.77734375" bestFit="1" customWidth="1"/>
    <col min="18" max="20" width="6" bestFit="1" customWidth="1"/>
    <col min="21" max="21" width="4" bestFit="1" customWidth="1"/>
    <col min="22" max="22" width="6" bestFit="1" customWidth="1"/>
    <col min="23" max="23" width="7" bestFit="1" customWidth="1"/>
    <col min="24" max="26" width="6" bestFit="1" customWidth="1"/>
    <col min="27" max="27" width="7.33203125" bestFit="1" customWidth="1"/>
  </cols>
  <sheetData>
    <row r="1" spans="1:28" x14ac:dyDescent="0.25">
      <c r="A1" s="24" t="s">
        <v>123</v>
      </c>
      <c r="B1" s="24" t="s">
        <v>139</v>
      </c>
      <c r="C1" s="24" t="s">
        <v>124</v>
      </c>
      <c r="D1" s="24" t="s">
        <v>140</v>
      </c>
      <c r="E1" s="24" t="s">
        <v>141</v>
      </c>
      <c r="F1" s="24" t="s">
        <v>119</v>
      </c>
      <c r="G1" s="24" t="s">
        <v>120</v>
      </c>
      <c r="H1" s="24" t="s">
        <v>121</v>
      </c>
      <c r="I1" s="24" t="s">
        <v>122</v>
      </c>
      <c r="J1" s="24" t="s">
        <v>125</v>
      </c>
      <c r="K1" s="24" t="s">
        <v>142</v>
      </c>
      <c r="L1" s="24" t="s">
        <v>225</v>
      </c>
      <c r="M1" s="24" t="s">
        <v>143</v>
      </c>
      <c r="N1" s="24" t="s">
        <v>226</v>
      </c>
      <c r="O1" s="24" t="s">
        <v>227</v>
      </c>
      <c r="P1" s="24" t="s">
        <v>228</v>
      </c>
      <c r="Q1" s="24" t="s">
        <v>229</v>
      </c>
      <c r="R1" s="26" t="s">
        <v>327</v>
      </c>
      <c r="S1" s="26" t="s">
        <v>328</v>
      </c>
      <c r="T1" s="26" t="s">
        <v>329</v>
      </c>
      <c r="U1" s="26" t="s">
        <v>330</v>
      </c>
      <c r="V1" s="26" t="s">
        <v>331</v>
      </c>
      <c r="W1" s="26" t="s">
        <v>332</v>
      </c>
      <c r="X1" s="26" t="s">
        <v>333</v>
      </c>
      <c r="Y1" s="26" t="s">
        <v>334</v>
      </c>
      <c r="Z1" s="26" t="s">
        <v>335</v>
      </c>
      <c r="AA1" s="26" t="s">
        <v>336</v>
      </c>
      <c r="AB1" s="25" t="s">
        <v>345</v>
      </c>
    </row>
    <row r="2" spans="1:28" s="42" customFormat="1" x14ac:dyDescent="0.25">
      <c r="A2" s="37">
        <v>1</v>
      </c>
      <c r="B2" s="37" t="s">
        <v>126</v>
      </c>
      <c r="C2" s="37"/>
      <c r="D2" s="37"/>
      <c r="E2" s="37">
        <v>1743</v>
      </c>
      <c r="F2" s="37">
        <v>396</v>
      </c>
      <c r="G2" s="37">
        <v>30</v>
      </c>
      <c r="H2" s="37">
        <v>758</v>
      </c>
      <c r="I2" s="37">
        <v>306</v>
      </c>
      <c r="J2" s="37">
        <v>1490</v>
      </c>
      <c r="K2" s="37">
        <v>80</v>
      </c>
      <c r="L2" s="37">
        <f>K2+J2</f>
        <v>1570</v>
      </c>
      <c r="M2" s="37">
        <v>173</v>
      </c>
      <c r="N2" s="38">
        <f>I2/L2</f>
        <v>0.19490445859872613</v>
      </c>
      <c r="O2" s="38">
        <f>F2/L2</f>
        <v>0.25222929936305732</v>
      </c>
      <c r="P2" s="38">
        <f>H2/L2</f>
        <v>0.48280254777070064</v>
      </c>
      <c r="Q2" s="38">
        <f>G2/L2</f>
        <v>1.9108280254777069E-2</v>
      </c>
      <c r="R2" s="39">
        <v>4</v>
      </c>
      <c r="S2" s="39">
        <v>0</v>
      </c>
      <c r="T2" s="39">
        <v>0</v>
      </c>
      <c r="U2" s="39">
        <v>0</v>
      </c>
      <c r="V2" s="39">
        <v>4</v>
      </c>
      <c r="W2" s="40">
        <v>1</v>
      </c>
      <c r="X2" s="40">
        <v>0</v>
      </c>
      <c r="Y2" s="40">
        <v>0</v>
      </c>
      <c r="Z2" s="40">
        <v>0</v>
      </c>
      <c r="AA2" s="41">
        <v>39.666666666666664</v>
      </c>
      <c r="AB2" s="38">
        <f>L2/V2</f>
        <v>392.5</v>
      </c>
    </row>
    <row r="3" spans="1:28" s="42" customFormat="1" x14ac:dyDescent="0.25">
      <c r="A3" s="37">
        <v>2</v>
      </c>
      <c r="B3" s="37" t="s">
        <v>127</v>
      </c>
      <c r="C3" s="37" t="s">
        <v>128</v>
      </c>
      <c r="D3" s="37">
        <v>1</v>
      </c>
      <c r="E3" s="37">
        <v>261</v>
      </c>
      <c r="F3" s="37">
        <v>88</v>
      </c>
      <c r="G3" s="37">
        <v>0</v>
      </c>
      <c r="H3" s="37">
        <v>165</v>
      </c>
      <c r="I3" s="37">
        <v>6</v>
      </c>
      <c r="J3" s="37">
        <v>259</v>
      </c>
      <c r="K3" s="37">
        <v>2</v>
      </c>
      <c r="L3" s="37">
        <f t="shared" ref="L3:L66" si="0">K3+J3</f>
        <v>261</v>
      </c>
      <c r="M3" s="37">
        <v>0</v>
      </c>
      <c r="N3" s="38">
        <f t="shared" ref="N3:N66" si="1">I3/L3</f>
        <v>2.2988505747126436E-2</v>
      </c>
      <c r="O3" s="38">
        <f t="shared" ref="O3:O66" si="2">F3/L3</f>
        <v>0.33716475095785442</v>
      </c>
      <c r="P3" s="38">
        <f t="shared" ref="P3:P66" si="3">H3/L3</f>
        <v>0.63218390804597702</v>
      </c>
      <c r="Q3" s="38">
        <f t="shared" ref="Q3:Q66" si="4">G3/L3</f>
        <v>0</v>
      </c>
      <c r="R3" s="39">
        <v>270</v>
      </c>
      <c r="S3" s="39">
        <v>2</v>
      </c>
      <c r="T3" s="39">
        <v>8</v>
      </c>
      <c r="U3" s="39">
        <v>9</v>
      </c>
      <c r="V3" s="39">
        <v>289</v>
      </c>
      <c r="W3" s="40">
        <v>0.93425605536332179</v>
      </c>
      <c r="X3" s="40">
        <v>6.920415224913495E-3</v>
      </c>
      <c r="Y3" s="40">
        <v>2.768166089965398E-2</v>
      </c>
      <c r="Z3" s="40">
        <v>3.1141868512110725E-2</v>
      </c>
      <c r="AA3" s="41">
        <v>35.924623937213866</v>
      </c>
      <c r="AB3" s="38">
        <f t="shared" ref="AB3:AB66" si="5">L3/V3</f>
        <v>0.90311418685121103</v>
      </c>
    </row>
    <row r="4" spans="1:28" s="42" customFormat="1" x14ac:dyDescent="0.25">
      <c r="A4" s="37">
        <v>3</v>
      </c>
      <c r="B4" s="37" t="s">
        <v>129</v>
      </c>
      <c r="C4" s="37" t="s">
        <v>130</v>
      </c>
      <c r="D4" s="37">
        <v>1</v>
      </c>
      <c r="E4" s="37">
        <v>15</v>
      </c>
      <c r="F4" s="37">
        <v>5</v>
      </c>
      <c r="G4" s="37">
        <v>0</v>
      </c>
      <c r="H4" s="37">
        <v>10</v>
      </c>
      <c r="I4" s="37">
        <v>0</v>
      </c>
      <c r="J4" s="37">
        <v>15</v>
      </c>
      <c r="K4" s="37">
        <v>0</v>
      </c>
      <c r="L4" s="37">
        <f t="shared" si="0"/>
        <v>15</v>
      </c>
      <c r="M4" s="37">
        <v>0</v>
      </c>
      <c r="N4" s="38">
        <f t="shared" si="1"/>
        <v>0</v>
      </c>
      <c r="O4" s="38">
        <f t="shared" si="2"/>
        <v>0.33333333333333331</v>
      </c>
      <c r="P4" s="38">
        <f t="shared" si="3"/>
        <v>0.66666666666666663</v>
      </c>
      <c r="Q4" s="38">
        <f t="shared" si="4"/>
        <v>0</v>
      </c>
      <c r="R4" s="39">
        <v>15</v>
      </c>
      <c r="S4" s="39">
        <v>0</v>
      </c>
      <c r="T4" s="39">
        <v>0</v>
      </c>
      <c r="U4" s="39">
        <v>1</v>
      </c>
      <c r="V4" s="39">
        <v>16</v>
      </c>
      <c r="W4" s="40">
        <v>0.9375</v>
      </c>
      <c r="X4" s="40">
        <v>0</v>
      </c>
      <c r="Y4" s="40">
        <v>0</v>
      </c>
      <c r="Z4" s="40">
        <v>6.25E-2</v>
      </c>
      <c r="AA4" s="41">
        <v>34.4375</v>
      </c>
      <c r="AB4" s="38">
        <f t="shared" si="5"/>
        <v>0.9375</v>
      </c>
    </row>
    <row r="5" spans="1:28" s="42" customFormat="1" x14ac:dyDescent="0.25">
      <c r="A5" s="37">
        <v>4</v>
      </c>
      <c r="B5" s="37" t="s">
        <v>131</v>
      </c>
      <c r="C5" s="37" t="s">
        <v>132</v>
      </c>
      <c r="D5" s="37">
        <v>1</v>
      </c>
      <c r="E5" s="37">
        <v>79</v>
      </c>
      <c r="F5" s="37">
        <v>26</v>
      </c>
      <c r="G5" s="37">
        <v>0</v>
      </c>
      <c r="H5" s="37">
        <v>49</v>
      </c>
      <c r="I5" s="37">
        <v>4</v>
      </c>
      <c r="J5" s="37">
        <v>79</v>
      </c>
      <c r="K5" s="37">
        <v>0</v>
      </c>
      <c r="L5" s="37">
        <f t="shared" si="0"/>
        <v>79</v>
      </c>
      <c r="M5" s="37">
        <v>0</v>
      </c>
      <c r="N5" s="38">
        <f t="shared" si="1"/>
        <v>5.0632911392405063E-2</v>
      </c>
      <c r="O5" s="38">
        <f t="shared" si="2"/>
        <v>0.32911392405063289</v>
      </c>
      <c r="P5" s="38">
        <f t="shared" si="3"/>
        <v>0.620253164556962</v>
      </c>
      <c r="Q5" s="38">
        <f t="shared" si="4"/>
        <v>0</v>
      </c>
      <c r="R5" s="39">
        <v>73</v>
      </c>
      <c r="S5" s="39">
        <v>0</v>
      </c>
      <c r="T5" s="39">
        <v>4</v>
      </c>
      <c r="U5" s="39">
        <v>8</v>
      </c>
      <c r="V5" s="39">
        <v>85</v>
      </c>
      <c r="W5" s="40">
        <v>0.85882352941176465</v>
      </c>
      <c r="X5" s="40">
        <v>0</v>
      </c>
      <c r="Y5" s="40">
        <v>4.7058823529411764E-2</v>
      </c>
      <c r="Z5" s="40">
        <v>9.4117647058823528E-2</v>
      </c>
      <c r="AA5" s="41">
        <v>37.172032193158955</v>
      </c>
      <c r="AB5" s="38">
        <f t="shared" si="5"/>
        <v>0.92941176470588238</v>
      </c>
    </row>
    <row r="6" spans="1:28" x14ac:dyDescent="0.25">
      <c r="A6" s="24">
        <v>5</v>
      </c>
      <c r="B6" s="24" t="s">
        <v>133</v>
      </c>
      <c r="C6" s="24" t="s">
        <v>134</v>
      </c>
      <c r="D6" s="24">
        <v>1</v>
      </c>
      <c r="E6" s="24">
        <v>353</v>
      </c>
      <c r="F6" s="24">
        <v>59</v>
      </c>
      <c r="G6" s="24">
        <v>12</v>
      </c>
      <c r="H6" s="24">
        <v>222</v>
      </c>
      <c r="I6" s="24">
        <v>55</v>
      </c>
      <c r="J6" s="24">
        <v>348</v>
      </c>
      <c r="K6" s="24">
        <v>5</v>
      </c>
      <c r="L6" s="24">
        <f t="shared" si="0"/>
        <v>353</v>
      </c>
      <c r="M6" s="24">
        <v>0</v>
      </c>
      <c r="N6" s="25">
        <f t="shared" si="1"/>
        <v>0.15580736543909349</v>
      </c>
      <c r="O6" s="25">
        <f t="shared" si="2"/>
        <v>0.16713881019830029</v>
      </c>
      <c r="P6" s="25">
        <f t="shared" si="3"/>
        <v>0.62889518413597734</v>
      </c>
      <c r="Q6" s="25">
        <f t="shared" si="4"/>
        <v>3.39943342776204E-2</v>
      </c>
      <c r="R6" s="26">
        <v>441</v>
      </c>
      <c r="S6" s="26">
        <v>2</v>
      </c>
      <c r="T6" s="26">
        <v>5</v>
      </c>
      <c r="U6" s="26">
        <v>2</v>
      </c>
      <c r="V6" s="26">
        <v>450</v>
      </c>
      <c r="W6" s="27">
        <v>0.98</v>
      </c>
      <c r="X6" s="27">
        <v>4.4444444444444444E-3</v>
      </c>
      <c r="Y6" s="27">
        <v>1.1111111111111112E-2</v>
      </c>
      <c r="Z6" s="27">
        <v>4.4444444444444444E-3</v>
      </c>
      <c r="AA6" s="28">
        <v>61.495555555555555</v>
      </c>
      <c r="AB6" s="25">
        <f t="shared" si="5"/>
        <v>0.7844444444444445</v>
      </c>
    </row>
    <row r="7" spans="1:28" x14ac:dyDescent="0.25">
      <c r="A7" s="24"/>
      <c r="B7" s="24"/>
      <c r="C7" s="24"/>
      <c r="D7" s="24">
        <v>2</v>
      </c>
      <c r="E7" s="24">
        <v>542</v>
      </c>
      <c r="F7" s="24">
        <v>203</v>
      </c>
      <c r="G7" s="24">
        <v>19</v>
      </c>
      <c r="H7" s="24">
        <v>262</v>
      </c>
      <c r="I7" s="24">
        <v>57</v>
      </c>
      <c r="J7" s="24">
        <v>541</v>
      </c>
      <c r="K7" s="24">
        <v>1</v>
      </c>
      <c r="L7" s="24">
        <f t="shared" si="0"/>
        <v>542</v>
      </c>
      <c r="M7" s="24">
        <v>0</v>
      </c>
      <c r="N7" s="25">
        <f t="shared" si="1"/>
        <v>0.10516605166051661</v>
      </c>
      <c r="O7" s="25">
        <f t="shared" si="2"/>
        <v>0.37453874538745385</v>
      </c>
      <c r="P7" s="25">
        <f t="shared" si="3"/>
        <v>0.48339483394833949</v>
      </c>
      <c r="Q7" s="25">
        <f t="shared" si="4"/>
        <v>3.5055350553505532E-2</v>
      </c>
      <c r="R7" s="26">
        <v>684</v>
      </c>
      <c r="S7" s="26">
        <v>1</v>
      </c>
      <c r="T7" s="26">
        <v>2</v>
      </c>
      <c r="U7" s="26">
        <v>0</v>
      </c>
      <c r="V7" s="26">
        <v>687</v>
      </c>
      <c r="W7" s="27">
        <v>0.99563318777292575</v>
      </c>
      <c r="X7" s="27">
        <v>1.455604075691412E-3</v>
      </c>
      <c r="Y7" s="27">
        <v>2.911208151382824E-3</v>
      </c>
      <c r="Z7" s="27">
        <v>0</v>
      </c>
      <c r="AA7" s="28">
        <v>32.535662299854437</v>
      </c>
      <c r="AB7" s="25">
        <f t="shared" si="5"/>
        <v>0.7889374090247453</v>
      </c>
    </row>
    <row r="8" spans="1:28" x14ac:dyDescent="0.25">
      <c r="A8" s="24">
        <v>6</v>
      </c>
      <c r="B8" s="24" t="s">
        <v>135</v>
      </c>
      <c r="C8" s="24" t="s">
        <v>136</v>
      </c>
      <c r="D8" s="24">
        <v>1</v>
      </c>
      <c r="E8" s="24">
        <v>367</v>
      </c>
      <c r="F8" s="24">
        <v>67</v>
      </c>
      <c r="G8" s="24">
        <v>2</v>
      </c>
      <c r="H8" s="24">
        <v>249</v>
      </c>
      <c r="I8" s="24">
        <v>46</v>
      </c>
      <c r="J8" s="24">
        <v>364</v>
      </c>
      <c r="K8" s="24">
        <v>3</v>
      </c>
      <c r="L8" s="24">
        <f t="shared" si="0"/>
        <v>367</v>
      </c>
      <c r="M8" s="24">
        <v>0</v>
      </c>
      <c r="N8" s="25">
        <f t="shared" si="1"/>
        <v>0.12534059945504086</v>
      </c>
      <c r="O8" s="25">
        <f t="shared" si="2"/>
        <v>0.18256130790190736</v>
      </c>
      <c r="P8" s="25">
        <f t="shared" si="3"/>
        <v>0.67847411444141692</v>
      </c>
      <c r="Q8" s="25">
        <f t="shared" si="4"/>
        <v>5.4495912806539508E-3</v>
      </c>
      <c r="R8" s="26">
        <v>446</v>
      </c>
      <c r="S8" s="26">
        <v>3</v>
      </c>
      <c r="T8" s="26">
        <v>0</v>
      </c>
      <c r="U8" s="26">
        <v>1</v>
      </c>
      <c r="V8" s="26">
        <v>450</v>
      </c>
      <c r="W8" s="27">
        <v>0.99111111111111116</v>
      </c>
      <c r="X8" s="27">
        <v>6.6666666666666671E-3</v>
      </c>
      <c r="Y8" s="27">
        <v>0</v>
      </c>
      <c r="Z8" s="27">
        <v>2.2222222222222222E-3</v>
      </c>
      <c r="AA8" s="28">
        <v>63.50888888888889</v>
      </c>
      <c r="AB8" s="25">
        <f t="shared" si="5"/>
        <v>0.81555555555555559</v>
      </c>
    </row>
    <row r="9" spans="1:28" x14ac:dyDescent="0.25">
      <c r="A9" s="24"/>
      <c r="B9" s="24"/>
      <c r="C9" s="24"/>
      <c r="D9" s="24">
        <v>2</v>
      </c>
      <c r="E9" s="24">
        <v>423</v>
      </c>
      <c r="F9" s="24">
        <v>150</v>
      </c>
      <c r="G9" s="24">
        <v>8</v>
      </c>
      <c r="H9" s="24">
        <v>200</v>
      </c>
      <c r="I9" s="24">
        <v>61</v>
      </c>
      <c r="J9" s="24">
        <v>419</v>
      </c>
      <c r="K9" s="24">
        <v>4</v>
      </c>
      <c r="L9" s="24">
        <f t="shared" si="0"/>
        <v>423</v>
      </c>
      <c r="M9" s="24">
        <v>0</v>
      </c>
      <c r="N9" s="25">
        <f t="shared" si="1"/>
        <v>0.14420803782505912</v>
      </c>
      <c r="O9" s="25">
        <f t="shared" si="2"/>
        <v>0.3546099290780142</v>
      </c>
      <c r="P9" s="25">
        <f t="shared" si="3"/>
        <v>0.4728132387706856</v>
      </c>
      <c r="Q9" s="25">
        <f t="shared" si="4"/>
        <v>1.8912529550827423E-2</v>
      </c>
      <c r="R9" s="26">
        <v>546</v>
      </c>
      <c r="S9" s="26">
        <v>2</v>
      </c>
      <c r="T9" s="26">
        <v>0</v>
      </c>
      <c r="U9" s="26">
        <v>0</v>
      </c>
      <c r="V9" s="26">
        <v>548</v>
      </c>
      <c r="W9" s="27">
        <v>0.9963503649635036</v>
      </c>
      <c r="X9" s="27">
        <v>3.6496350364963502E-3</v>
      </c>
      <c r="Y9" s="27">
        <v>0</v>
      </c>
      <c r="Z9" s="27">
        <v>0</v>
      </c>
      <c r="AA9" s="28">
        <v>42.704379562043798</v>
      </c>
      <c r="AB9" s="25">
        <f t="shared" si="5"/>
        <v>0.77189781021897808</v>
      </c>
    </row>
    <row r="10" spans="1:28" x14ac:dyDescent="0.25">
      <c r="A10" s="24"/>
      <c r="B10" s="24"/>
      <c r="C10" s="24"/>
      <c r="D10" s="24">
        <v>3</v>
      </c>
      <c r="E10" s="24">
        <v>449</v>
      </c>
      <c r="F10" s="24">
        <v>173</v>
      </c>
      <c r="G10" s="24">
        <v>3</v>
      </c>
      <c r="H10" s="24">
        <v>203</v>
      </c>
      <c r="I10" s="24">
        <v>68</v>
      </c>
      <c r="J10" s="24">
        <v>447</v>
      </c>
      <c r="K10" s="24">
        <v>2</v>
      </c>
      <c r="L10" s="24">
        <f t="shared" si="0"/>
        <v>449</v>
      </c>
      <c r="M10" s="24">
        <v>0</v>
      </c>
      <c r="N10" s="25">
        <f t="shared" si="1"/>
        <v>0.15144766146993319</v>
      </c>
      <c r="O10" s="25">
        <f t="shared" si="2"/>
        <v>0.38530066815144765</v>
      </c>
      <c r="P10" s="25">
        <f t="shared" si="3"/>
        <v>0.45211581291759467</v>
      </c>
      <c r="Q10" s="25">
        <f t="shared" si="4"/>
        <v>6.6815144766146995E-3</v>
      </c>
      <c r="R10" s="26">
        <v>548</v>
      </c>
      <c r="S10" s="26">
        <v>1</v>
      </c>
      <c r="T10" s="26">
        <v>0</v>
      </c>
      <c r="U10" s="26">
        <v>0</v>
      </c>
      <c r="V10" s="26">
        <v>549</v>
      </c>
      <c r="W10" s="27">
        <v>0.99817850637522765</v>
      </c>
      <c r="X10" s="27">
        <v>1.8214936247723133E-3</v>
      </c>
      <c r="Y10" s="27">
        <v>0</v>
      </c>
      <c r="Z10" s="27">
        <v>0</v>
      </c>
      <c r="AA10" s="28">
        <v>25.896174863387976</v>
      </c>
      <c r="AB10" s="25">
        <f t="shared" si="5"/>
        <v>0.81785063752276865</v>
      </c>
    </row>
    <row r="11" spans="1:28" x14ac:dyDescent="0.25">
      <c r="A11" s="24">
        <v>7</v>
      </c>
      <c r="B11" s="24" t="s">
        <v>137</v>
      </c>
      <c r="C11" s="24" t="s">
        <v>138</v>
      </c>
      <c r="D11" s="24">
        <v>1</v>
      </c>
      <c r="E11" s="24">
        <v>318</v>
      </c>
      <c r="F11" s="24">
        <v>67</v>
      </c>
      <c r="G11" s="24">
        <v>7</v>
      </c>
      <c r="H11" s="24">
        <v>195</v>
      </c>
      <c r="I11" s="24">
        <v>46</v>
      </c>
      <c r="J11" s="24">
        <v>315</v>
      </c>
      <c r="K11" s="24">
        <v>3</v>
      </c>
      <c r="L11" s="24">
        <f t="shared" si="0"/>
        <v>318</v>
      </c>
      <c r="M11" s="24">
        <v>0</v>
      </c>
      <c r="N11" s="25">
        <f t="shared" si="1"/>
        <v>0.14465408805031446</v>
      </c>
      <c r="O11" s="25">
        <f t="shared" si="2"/>
        <v>0.21069182389937108</v>
      </c>
      <c r="P11" s="25">
        <f t="shared" si="3"/>
        <v>0.6132075471698113</v>
      </c>
      <c r="Q11" s="25">
        <f t="shared" si="4"/>
        <v>2.20125786163522E-2</v>
      </c>
      <c r="R11" s="26">
        <v>425</v>
      </c>
      <c r="S11" s="26">
        <v>2</v>
      </c>
      <c r="T11" s="26">
        <v>19</v>
      </c>
      <c r="U11" s="26">
        <v>4</v>
      </c>
      <c r="V11" s="26">
        <v>450</v>
      </c>
      <c r="W11" s="27">
        <v>0.94444444444444442</v>
      </c>
      <c r="X11" s="27">
        <v>4.4444444444444444E-3</v>
      </c>
      <c r="Y11" s="27">
        <v>4.2222222222222223E-2</v>
      </c>
      <c r="Z11" s="27">
        <v>8.8888888888888889E-3</v>
      </c>
      <c r="AA11" s="28">
        <v>69.946666666666673</v>
      </c>
      <c r="AB11" s="25">
        <f t="shared" si="5"/>
        <v>0.70666666666666667</v>
      </c>
    </row>
    <row r="12" spans="1:28" x14ac:dyDescent="0.25">
      <c r="A12" s="24"/>
      <c r="B12" s="24"/>
      <c r="C12" s="24"/>
      <c r="D12" s="24">
        <v>2</v>
      </c>
      <c r="E12" s="24">
        <v>374</v>
      </c>
      <c r="F12" s="24">
        <v>103</v>
      </c>
      <c r="G12" s="24">
        <v>2</v>
      </c>
      <c r="H12" s="24">
        <v>208</v>
      </c>
      <c r="I12" s="24">
        <v>58</v>
      </c>
      <c r="J12" s="24">
        <v>371</v>
      </c>
      <c r="K12" s="24">
        <v>3</v>
      </c>
      <c r="L12" s="24">
        <f t="shared" si="0"/>
        <v>374</v>
      </c>
      <c r="M12" s="24">
        <v>0</v>
      </c>
      <c r="N12" s="25">
        <f t="shared" si="1"/>
        <v>0.15508021390374332</v>
      </c>
      <c r="O12" s="25">
        <f t="shared" si="2"/>
        <v>0.27540106951871657</v>
      </c>
      <c r="P12" s="25">
        <f t="shared" si="3"/>
        <v>0.55614973262032086</v>
      </c>
      <c r="Q12" s="25">
        <f t="shared" si="4"/>
        <v>5.3475935828877002E-3</v>
      </c>
      <c r="R12" s="26">
        <v>425</v>
      </c>
      <c r="S12" s="26">
        <v>0</v>
      </c>
      <c r="T12" s="26">
        <v>23</v>
      </c>
      <c r="U12" s="26">
        <v>2</v>
      </c>
      <c r="V12" s="26">
        <v>450</v>
      </c>
      <c r="W12" s="27">
        <v>0.94444444444444442</v>
      </c>
      <c r="X12" s="27">
        <v>0</v>
      </c>
      <c r="Y12" s="27">
        <v>5.1111111111111114E-2</v>
      </c>
      <c r="Z12" s="27">
        <v>4.4444444444444444E-3</v>
      </c>
      <c r="AA12" s="28">
        <v>56.375555555555557</v>
      </c>
      <c r="AB12" s="25">
        <f t="shared" si="5"/>
        <v>0.83111111111111113</v>
      </c>
    </row>
    <row r="13" spans="1:28" x14ac:dyDescent="0.25">
      <c r="A13" s="24"/>
      <c r="B13" s="24"/>
      <c r="C13" s="24"/>
      <c r="D13" s="24">
        <v>3</v>
      </c>
      <c r="E13" s="24">
        <v>473</v>
      </c>
      <c r="F13" s="24">
        <v>157</v>
      </c>
      <c r="G13" s="24">
        <v>17</v>
      </c>
      <c r="H13" s="24">
        <v>191</v>
      </c>
      <c r="I13" s="24">
        <v>106</v>
      </c>
      <c r="J13" s="24">
        <v>471</v>
      </c>
      <c r="K13" s="24">
        <v>2</v>
      </c>
      <c r="L13" s="24">
        <f t="shared" si="0"/>
        <v>473</v>
      </c>
      <c r="M13" s="24">
        <v>0</v>
      </c>
      <c r="N13" s="25">
        <f t="shared" si="1"/>
        <v>0.22410147991543342</v>
      </c>
      <c r="O13" s="25">
        <f t="shared" si="2"/>
        <v>0.33192389006342493</v>
      </c>
      <c r="P13" s="25">
        <f t="shared" si="3"/>
        <v>0.40380549682875266</v>
      </c>
      <c r="Q13" s="25">
        <f t="shared" si="4"/>
        <v>3.5940803382663845E-2</v>
      </c>
      <c r="R13" s="26">
        <v>575</v>
      </c>
      <c r="S13" s="26">
        <v>5</v>
      </c>
      <c r="T13" s="26">
        <v>56</v>
      </c>
      <c r="U13" s="26">
        <v>2</v>
      </c>
      <c r="V13" s="26">
        <v>638</v>
      </c>
      <c r="W13" s="27">
        <v>0.90125391849529779</v>
      </c>
      <c r="X13" s="27">
        <v>7.8369905956112845E-3</v>
      </c>
      <c r="Y13" s="27">
        <v>8.7774294670846395E-2</v>
      </c>
      <c r="Z13" s="27">
        <v>3.134796238244514E-3</v>
      </c>
      <c r="AA13" s="28">
        <v>44.274294670846395</v>
      </c>
      <c r="AB13" s="25">
        <f t="shared" si="5"/>
        <v>0.74137931034482762</v>
      </c>
    </row>
    <row r="14" spans="1:28" x14ac:dyDescent="0.25">
      <c r="A14" s="24"/>
      <c r="B14" s="24"/>
      <c r="C14" s="24"/>
      <c r="D14" s="24">
        <v>4</v>
      </c>
      <c r="E14" s="24">
        <v>461</v>
      </c>
      <c r="F14" s="24">
        <v>185</v>
      </c>
      <c r="G14" s="24">
        <v>7</v>
      </c>
      <c r="H14" s="24">
        <v>160</v>
      </c>
      <c r="I14" s="24">
        <v>108</v>
      </c>
      <c r="J14" s="24">
        <v>460</v>
      </c>
      <c r="K14" s="24">
        <v>1</v>
      </c>
      <c r="L14" s="24">
        <f t="shared" si="0"/>
        <v>461</v>
      </c>
      <c r="M14" s="24">
        <v>0</v>
      </c>
      <c r="N14" s="25">
        <f t="shared" si="1"/>
        <v>0.23427331887201736</v>
      </c>
      <c r="O14" s="25">
        <f t="shared" si="2"/>
        <v>0.40130151843817785</v>
      </c>
      <c r="P14" s="25">
        <f t="shared" si="3"/>
        <v>0.34707158351409978</v>
      </c>
      <c r="Q14" s="25">
        <f t="shared" si="4"/>
        <v>1.5184381778741865E-2</v>
      </c>
      <c r="R14" s="26">
        <v>577</v>
      </c>
      <c r="S14" s="26">
        <v>9</v>
      </c>
      <c r="T14" s="26">
        <v>51</v>
      </c>
      <c r="U14" s="26">
        <v>1</v>
      </c>
      <c r="V14" s="26">
        <v>638</v>
      </c>
      <c r="W14" s="27">
        <v>0.90438871473354232</v>
      </c>
      <c r="X14" s="27">
        <v>1.4106583072100314E-2</v>
      </c>
      <c r="Y14" s="27">
        <v>7.9937304075235111E-2</v>
      </c>
      <c r="Z14" s="27">
        <v>1.567398119122257E-3</v>
      </c>
      <c r="AA14" s="28">
        <v>33.29937304075235</v>
      </c>
      <c r="AB14" s="25">
        <f t="shared" si="5"/>
        <v>0.72257053291536055</v>
      </c>
    </row>
    <row r="15" spans="1:28" x14ac:dyDescent="0.25">
      <c r="A15" s="24"/>
      <c r="B15" s="24"/>
      <c r="C15" s="24"/>
      <c r="D15" s="24">
        <v>5</v>
      </c>
      <c r="E15" s="24">
        <v>515</v>
      </c>
      <c r="F15" s="24">
        <v>192</v>
      </c>
      <c r="G15" s="24">
        <v>3</v>
      </c>
      <c r="H15" s="24">
        <v>180</v>
      </c>
      <c r="I15" s="24">
        <v>137</v>
      </c>
      <c r="J15" s="24">
        <v>512</v>
      </c>
      <c r="K15" s="24">
        <v>3</v>
      </c>
      <c r="L15" s="24">
        <f t="shared" si="0"/>
        <v>515</v>
      </c>
      <c r="M15" s="24">
        <v>0</v>
      </c>
      <c r="N15" s="25">
        <f t="shared" si="1"/>
        <v>0.26601941747572816</v>
      </c>
      <c r="O15" s="25">
        <f t="shared" si="2"/>
        <v>0.37281553398058254</v>
      </c>
      <c r="P15" s="25">
        <f t="shared" si="3"/>
        <v>0.34951456310679613</v>
      </c>
      <c r="Q15" s="25">
        <f t="shared" si="4"/>
        <v>5.8252427184466021E-3</v>
      </c>
      <c r="R15" s="26">
        <v>598</v>
      </c>
      <c r="S15" s="26">
        <v>5</v>
      </c>
      <c r="T15" s="26">
        <v>35</v>
      </c>
      <c r="U15" s="26">
        <v>0</v>
      </c>
      <c r="V15" s="26">
        <v>638</v>
      </c>
      <c r="W15" s="27">
        <v>0.93730407523510972</v>
      </c>
      <c r="X15" s="27">
        <v>7.8369905956112845E-3</v>
      </c>
      <c r="Y15" s="27">
        <v>5.4858934169278999E-2</v>
      </c>
      <c r="Z15" s="27">
        <v>0</v>
      </c>
      <c r="AA15" s="28">
        <v>23.368338557993731</v>
      </c>
      <c r="AB15" s="25">
        <f t="shared" si="5"/>
        <v>0.80721003134796243</v>
      </c>
    </row>
    <row r="16" spans="1:28" x14ac:dyDescent="0.25">
      <c r="A16" s="24">
        <v>8</v>
      </c>
      <c r="B16" s="24" t="s">
        <v>144</v>
      </c>
      <c r="C16" s="24" t="s">
        <v>145</v>
      </c>
      <c r="D16" s="24">
        <v>1</v>
      </c>
      <c r="E16" s="24">
        <v>123</v>
      </c>
      <c r="F16" s="24">
        <v>9</v>
      </c>
      <c r="G16" s="24">
        <v>0</v>
      </c>
      <c r="H16" s="24">
        <v>12</v>
      </c>
      <c r="I16" s="24">
        <v>99</v>
      </c>
      <c r="J16" s="24">
        <v>120</v>
      </c>
      <c r="K16" s="24">
        <v>3</v>
      </c>
      <c r="L16" s="24">
        <f t="shared" si="0"/>
        <v>123</v>
      </c>
      <c r="M16" s="24">
        <v>0</v>
      </c>
      <c r="N16" s="25">
        <f t="shared" si="1"/>
        <v>0.80487804878048785</v>
      </c>
      <c r="O16" s="25">
        <f t="shared" si="2"/>
        <v>7.3170731707317069E-2</v>
      </c>
      <c r="P16" s="25">
        <f t="shared" si="3"/>
        <v>9.7560975609756101E-2</v>
      </c>
      <c r="Q16" s="25">
        <f t="shared" si="4"/>
        <v>0</v>
      </c>
      <c r="R16" s="26">
        <v>23</v>
      </c>
      <c r="S16" s="26">
        <v>132</v>
      </c>
      <c r="T16" s="26">
        <v>39</v>
      </c>
      <c r="U16" s="26">
        <v>0</v>
      </c>
      <c r="V16" s="26">
        <v>194</v>
      </c>
      <c r="W16" s="27">
        <v>0.11855670103092783</v>
      </c>
      <c r="X16" s="27">
        <v>0.68041237113402064</v>
      </c>
      <c r="Y16" s="27">
        <v>0.20103092783505155</v>
      </c>
      <c r="Z16" s="27">
        <v>0</v>
      </c>
      <c r="AA16" s="28">
        <v>57.628865979381445</v>
      </c>
      <c r="AB16" s="25">
        <f t="shared" si="5"/>
        <v>0.634020618556701</v>
      </c>
    </row>
    <row r="17" spans="1:28" x14ac:dyDescent="0.25">
      <c r="A17" s="24">
        <v>9</v>
      </c>
      <c r="B17" s="24" t="s">
        <v>146</v>
      </c>
      <c r="C17" s="24" t="s">
        <v>147</v>
      </c>
      <c r="D17" s="24">
        <v>1</v>
      </c>
      <c r="E17" s="24">
        <v>330</v>
      </c>
      <c r="F17" s="24">
        <v>12</v>
      </c>
      <c r="G17" s="24">
        <v>7</v>
      </c>
      <c r="H17" s="24">
        <v>85</v>
      </c>
      <c r="I17" s="24">
        <v>216</v>
      </c>
      <c r="J17" s="24">
        <v>320</v>
      </c>
      <c r="K17" s="24">
        <v>10</v>
      </c>
      <c r="L17" s="24">
        <f t="shared" si="0"/>
        <v>330</v>
      </c>
      <c r="M17" s="24">
        <v>0</v>
      </c>
      <c r="N17" s="25">
        <f t="shared" si="1"/>
        <v>0.65454545454545454</v>
      </c>
      <c r="O17" s="25">
        <f t="shared" si="2"/>
        <v>3.6363636363636362E-2</v>
      </c>
      <c r="P17" s="25">
        <f t="shared" si="3"/>
        <v>0.25757575757575757</v>
      </c>
      <c r="Q17" s="25">
        <f t="shared" si="4"/>
        <v>2.1212121212121213E-2</v>
      </c>
      <c r="R17" s="26">
        <v>66</v>
      </c>
      <c r="S17" s="26">
        <v>293</v>
      </c>
      <c r="T17" s="26">
        <v>91</v>
      </c>
      <c r="U17" s="26">
        <v>0</v>
      </c>
      <c r="V17" s="26">
        <v>450</v>
      </c>
      <c r="W17" s="27">
        <v>0.14666666666666667</v>
      </c>
      <c r="X17" s="27">
        <v>0.65111111111111108</v>
      </c>
      <c r="Y17" s="27">
        <v>0.20222222222222222</v>
      </c>
      <c r="Z17" s="27">
        <v>0</v>
      </c>
      <c r="AA17" s="28">
        <v>67.884444444444441</v>
      </c>
      <c r="AB17" s="25">
        <f t="shared" si="5"/>
        <v>0.73333333333333328</v>
      </c>
    </row>
    <row r="18" spans="1:28" x14ac:dyDescent="0.25">
      <c r="A18" s="24"/>
      <c r="B18" s="24"/>
      <c r="C18" s="24"/>
      <c r="D18" s="24">
        <v>2</v>
      </c>
      <c r="E18" s="24">
        <v>345</v>
      </c>
      <c r="F18" s="24">
        <v>10</v>
      </c>
      <c r="G18" s="24">
        <v>5</v>
      </c>
      <c r="H18" s="24">
        <v>71</v>
      </c>
      <c r="I18" s="24">
        <v>252</v>
      </c>
      <c r="J18" s="24">
        <v>338</v>
      </c>
      <c r="K18" s="24">
        <v>7</v>
      </c>
      <c r="L18" s="24">
        <f t="shared" si="0"/>
        <v>345</v>
      </c>
      <c r="M18" s="24">
        <v>0</v>
      </c>
      <c r="N18" s="25">
        <f t="shared" si="1"/>
        <v>0.73043478260869565</v>
      </c>
      <c r="O18" s="25">
        <f t="shared" si="2"/>
        <v>2.8985507246376812E-2</v>
      </c>
      <c r="P18" s="25">
        <f t="shared" si="3"/>
        <v>0.20579710144927535</v>
      </c>
      <c r="Q18" s="25">
        <f t="shared" si="4"/>
        <v>1.4492753623188406E-2</v>
      </c>
      <c r="R18" s="26">
        <v>54</v>
      </c>
      <c r="S18" s="26">
        <v>287</v>
      </c>
      <c r="T18" s="26">
        <v>107</v>
      </c>
      <c r="U18" s="26">
        <v>2</v>
      </c>
      <c r="V18" s="26">
        <v>450</v>
      </c>
      <c r="W18" s="27">
        <v>0.12</v>
      </c>
      <c r="X18" s="27">
        <v>0.63777777777777778</v>
      </c>
      <c r="Y18" s="27">
        <v>0.23777777777777778</v>
      </c>
      <c r="Z18" s="27">
        <v>4.4444444444444444E-3</v>
      </c>
      <c r="AA18" s="28">
        <v>56.195555555555558</v>
      </c>
      <c r="AB18" s="25">
        <f t="shared" si="5"/>
        <v>0.76666666666666672</v>
      </c>
    </row>
    <row r="19" spans="1:28" x14ac:dyDescent="0.25">
      <c r="A19" s="24"/>
      <c r="B19" s="24"/>
      <c r="C19" s="24"/>
      <c r="D19" s="24">
        <v>3</v>
      </c>
      <c r="E19" s="24">
        <v>437</v>
      </c>
      <c r="F19" s="24">
        <v>38</v>
      </c>
      <c r="G19" s="24">
        <v>1</v>
      </c>
      <c r="H19" s="24">
        <v>57</v>
      </c>
      <c r="I19" s="24">
        <v>335</v>
      </c>
      <c r="J19" s="24">
        <v>431</v>
      </c>
      <c r="K19" s="24">
        <v>6</v>
      </c>
      <c r="L19" s="24">
        <f t="shared" si="0"/>
        <v>437</v>
      </c>
      <c r="M19" s="24">
        <v>0</v>
      </c>
      <c r="N19" s="25">
        <f t="shared" si="1"/>
        <v>0.76659038901601828</v>
      </c>
      <c r="O19" s="25">
        <f t="shared" si="2"/>
        <v>8.6956521739130432E-2</v>
      </c>
      <c r="P19" s="25">
        <f t="shared" si="3"/>
        <v>0.13043478260869565</v>
      </c>
      <c r="Q19" s="25">
        <f t="shared" si="4"/>
        <v>2.2883295194508009E-3</v>
      </c>
      <c r="R19" s="26">
        <v>86</v>
      </c>
      <c r="S19" s="26">
        <v>363</v>
      </c>
      <c r="T19" s="26">
        <v>152</v>
      </c>
      <c r="U19" s="26">
        <v>3</v>
      </c>
      <c r="V19" s="26">
        <v>604</v>
      </c>
      <c r="W19" s="27">
        <v>0.14238410596026491</v>
      </c>
      <c r="X19" s="27">
        <v>0.60099337748344372</v>
      </c>
      <c r="Y19" s="27">
        <v>0.25165562913907286</v>
      </c>
      <c r="Z19" s="27">
        <v>4.9668874172185433E-3</v>
      </c>
      <c r="AA19" s="28">
        <v>45.014900662251655</v>
      </c>
      <c r="AB19" s="25">
        <f t="shared" si="5"/>
        <v>0.72350993377483441</v>
      </c>
    </row>
    <row r="20" spans="1:28" x14ac:dyDescent="0.25">
      <c r="A20" s="24"/>
      <c r="B20" s="24"/>
      <c r="C20" s="24"/>
      <c r="D20" s="24">
        <v>4</v>
      </c>
      <c r="E20" s="24">
        <v>388</v>
      </c>
      <c r="F20" s="24">
        <v>32</v>
      </c>
      <c r="G20" s="24">
        <v>1</v>
      </c>
      <c r="H20" s="24">
        <v>42</v>
      </c>
      <c r="I20" s="24">
        <v>311</v>
      </c>
      <c r="J20" s="24">
        <v>386</v>
      </c>
      <c r="K20" s="24">
        <v>2</v>
      </c>
      <c r="L20" s="24">
        <f t="shared" si="0"/>
        <v>388</v>
      </c>
      <c r="M20" s="24">
        <v>0</v>
      </c>
      <c r="N20" s="25">
        <f t="shared" si="1"/>
        <v>0.80154639175257736</v>
      </c>
      <c r="O20" s="25">
        <f t="shared" si="2"/>
        <v>8.247422680412371E-2</v>
      </c>
      <c r="P20" s="25">
        <f t="shared" si="3"/>
        <v>0.10824742268041238</v>
      </c>
      <c r="Q20" s="25">
        <f t="shared" si="4"/>
        <v>2.5773195876288659E-3</v>
      </c>
      <c r="R20" s="26">
        <v>88</v>
      </c>
      <c r="S20" s="26">
        <v>349</v>
      </c>
      <c r="T20" s="26">
        <v>164</v>
      </c>
      <c r="U20" s="26">
        <v>3</v>
      </c>
      <c r="V20" s="26">
        <v>604</v>
      </c>
      <c r="W20" s="27">
        <v>0.14569536423841059</v>
      </c>
      <c r="X20" s="27">
        <v>0.57781456953642385</v>
      </c>
      <c r="Y20" s="27">
        <v>0.27152317880794702</v>
      </c>
      <c r="Z20" s="27">
        <v>4.9668874172185433E-3</v>
      </c>
      <c r="AA20" s="28">
        <v>36.11258278145695</v>
      </c>
      <c r="AB20" s="25">
        <f t="shared" si="5"/>
        <v>0.64238410596026485</v>
      </c>
    </row>
    <row r="21" spans="1:28" x14ac:dyDescent="0.25">
      <c r="A21" s="24"/>
      <c r="B21" s="24"/>
      <c r="C21" s="24"/>
      <c r="D21" s="24">
        <v>5</v>
      </c>
      <c r="E21" s="24">
        <v>399</v>
      </c>
      <c r="F21" s="24">
        <v>31</v>
      </c>
      <c r="G21" s="24">
        <v>1</v>
      </c>
      <c r="H21" s="24">
        <v>55</v>
      </c>
      <c r="I21" s="24">
        <v>308</v>
      </c>
      <c r="J21" s="24">
        <v>395</v>
      </c>
      <c r="K21" s="24">
        <v>4</v>
      </c>
      <c r="L21" s="24">
        <f t="shared" si="0"/>
        <v>399</v>
      </c>
      <c r="M21" s="24">
        <v>0</v>
      </c>
      <c r="N21" s="25">
        <f t="shared" si="1"/>
        <v>0.77192982456140347</v>
      </c>
      <c r="O21" s="25">
        <f t="shared" si="2"/>
        <v>7.7694235588972427E-2</v>
      </c>
      <c r="P21" s="25">
        <f t="shared" si="3"/>
        <v>0.13784461152882205</v>
      </c>
      <c r="Q21" s="25">
        <f t="shared" si="4"/>
        <v>2.5062656641604009E-3</v>
      </c>
      <c r="R21" s="26">
        <v>99</v>
      </c>
      <c r="S21" s="26">
        <v>333</v>
      </c>
      <c r="T21" s="26">
        <v>173</v>
      </c>
      <c r="U21" s="26">
        <v>0</v>
      </c>
      <c r="V21" s="26">
        <v>605</v>
      </c>
      <c r="W21" s="27">
        <v>0.16363636363636364</v>
      </c>
      <c r="X21" s="27">
        <v>0.5504132231404959</v>
      </c>
      <c r="Y21" s="27">
        <v>0.28595041322314052</v>
      </c>
      <c r="Z21" s="27">
        <v>0</v>
      </c>
      <c r="AA21" s="28">
        <v>28.745454545454546</v>
      </c>
      <c r="AB21" s="25">
        <f t="shared" si="5"/>
        <v>0.65950413223140492</v>
      </c>
    </row>
    <row r="22" spans="1:28" x14ac:dyDescent="0.25">
      <c r="A22" s="24"/>
      <c r="B22" s="24"/>
      <c r="C22" s="24"/>
      <c r="D22" s="24">
        <v>6</v>
      </c>
      <c r="E22" s="24">
        <v>452</v>
      </c>
      <c r="F22" s="24">
        <v>48</v>
      </c>
      <c r="G22" s="24">
        <v>1</v>
      </c>
      <c r="H22" s="24">
        <v>51</v>
      </c>
      <c r="I22" s="24">
        <v>347</v>
      </c>
      <c r="J22" s="24">
        <v>447</v>
      </c>
      <c r="K22" s="24">
        <v>5</v>
      </c>
      <c r="L22" s="24">
        <f t="shared" si="0"/>
        <v>452</v>
      </c>
      <c r="M22" s="24">
        <v>0</v>
      </c>
      <c r="N22" s="25">
        <f t="shared" si="1"/>
        <v>0.76769911504424782</v>
      </c>
      <c r="O22" s="25">
        <f t="shared" si="2"/>
        <v>0.10619469026548672</v>
      </c>
      <c r="P22" s="25">
        <f t="shared" si="3"/>
        <v>0.11283185840707964</v>
      </c>
      <c r="Q22" s="25">
        <f t="shared" si="4"/>
        <v>2.2123893805309734E-3</v>
      </c>
      <c r="R22" s="26">
        <v>114</v>
      </c>
      <c r="S22" s="26">
        <v>274</v>
      </c>
      <c r="T22" s="26">
        <v>217</v>
      </c>
      <c r="U22" s="26">
        <v>0</v>
      </c>
      <c r="V22" s="26">
        <v>605</v>
      </c>
      <c r="W22" s="27">
        <v>0.1884297520661157</v>
      </c>
      <c r="X22" s="27">
        <v>0.45289256198347105</v>
      </c>
      <c r="Y22" s="27">
        <v>0.35867768595041322</v>
      </c>
      <c r="Z22" s="27">
        <v>0</v>
      </c>
      <c r="AA22" s="28">
        <v>21.828099173553721</v>
      </c>
      <c r="AB22" s="25">
        <f t="shared" si="5"/>
        <v>0.7471074380165289</v>
      </c>
    </row>
    <row r="23" spans="1:28" x14ac:dyDescent="0.25">
      <c r="A23" s="24">
        <v>10</v>
      </c>
      <c r="B23" s="24" t="s">
        <v>148</v>
      </c>
      <c r="C23" s="24" t="s">
        <v>149</v>
      </c>
      <c r="D23" s="24">
        <v>1</v>
      </c>
      <c r="E23" s="24">
        <v>380</v>
      </c>
      <c r="F23" s="24">
        <v>50</v>
      </c>
      <c r="G23" s="24">
        <v>3</v>
      </c>
      <c r="H23" s="24">
        <v>287</v>
      </c>
      <c r="I23" s="24">
        <v>35</v>
      </c>
      <c r="J23" s="24">
        <v>375</v>
      </c>
      <c r="K23" s="24">
        <v>4</v>
      </c>
      <c r="L23" s="24">
        <f t="shared" si="0"/>
        <v>379</v>
      </c>
      <c r="M23" s="24">
        <v>1</v>
      </c>
      <c r="N23" s="25">
        <f t="shared" si="1"/>
        <v>9.2348284960422161E-2</v>
      </c>
      <c r="O23" s="25">
        <f t="shared" si="2"/>
        <v>0.13192612137203166</v>
      </c>
      <c r="P23" s="25">
        <f t="shared" si="3"/>
        <v>0.75725593667546176</v>
      </c>
      <c r="Q23" s="25">
        <f t="shared" si="4"/>
        <v>7.9155672823219003E-3</v>
      </c>
      <c r="R23" s="26">
        <v>447</v>
      </c>
      <c r="S23" s="26">
        <v>0</v>
      </c>
      <c r="T23" s="26">
        <v>0</v>
      </c>
      <c r="U23" s="26">
        <v>3</v>
      </c>
      <c r="V23" s="26">
        <v>450</v>
      </c>
      <c r="W23" s="27">
        <v>0.99333333333333329</v>
      </c>
      <c r="X23" s="27">
        <v>0</v>
      </c>
      <c r="Y23" s="27">
        <v>0</v>
      </c>
      <c r="Z23" s="27">
        <v>6.6666666666666671E-3</v>
      </c>
      <c r="AA23" s="28">
        <v>63.506666666666668</v>
      </c>
      <c r="AB23" s="25">
        <f t="shared" si="5"/>
        <v>0.84222222222222221</v>
      </c>
    </row>
    <row r="24" spans="1:28" x14ac:dyDescent="0.25">
      <c r="A24" s="24"/>
      <c r="B24" s="24"/>
      <c r="C24" s="24"/>
      <c r="D24" s="24">
        <v>2</v>
      </c>
      <c r="E24" s="24">
        <v>511</v>
      </c>
      <c r="F24" s="24">
        <v>147</v>
      </c>
      <c r="G24" s="24">
        <v>7</v>
      </c>
      <c r="H24" s="24">
        <v>326</v>
      </c>
      <c r="I24" s="24">
        <v>27</v>
      </c>
      <c r="J24" s="24">
        <v>507</v>
      </c>
      <c r="K24" s="24">
        <v>4</v>
      </c>
      <c r="L24" s="24">
        <f t="shared" si="0"/>
        <v>511</v>
      </c>
      <c r="M24" s="24">
        <v>0</v>
      </c>
      <c r="N24" s="25">
        <f t="shared" si="1"/>
        <v>5.2837573385518588E-2</v>
      </c>
      <c r="O24" s="25">
        <f t="shared" si="2"/>
        <v>0.28767123287671231</v>
      </c>
      <c r="P24" s="25">
        <f t="shared" si="3"/>
        <v>0.63796477495107629</v>
      </c>
      <c r="Q24" s="25">
        <f t="shared" si="4"/>
        <v>1.3698630136986301E-2</v>
      </c>
      <c r="R24" s="26">
        <v>655</v>
      </c>
      <c r="S24" s="26">
        <v>1</v>
      </c>
      <c r="T24" s="26">
        <v>2</v>
      </c>
      <c r="U24" s="26">
        <v>1</v>
      </c>
      <c r="V24" s="26">
        <v>659</v>
      </c>
      <c r="W24" s="27">
        <v>0.99393019726858878</v>
      </c>
      <c r="X24" s="27">
        <v>1.5174506828528073E-3</v>
      </c>
      <c r="Y24" s="27">
        <v>3.0349013657056147E-3</v>
      </c>
      <c r="Z24" s="27">
        <v>1.5174506828528073E-3</v>
      </c>
      <c r="AA24" s="28">
        <v>47.004552352048556</v>
      </c>
      <c r="AB24" s="25">
        <f t="shared" si="5"/>
        <v>0.77541729893778455</v>
      </c>
    </row>
    <row r="25" spans="1:28" x14ac:dyDescent="0.25">
      <c r="A25" s="24"/>
      <c r="B25" s="24"/>
      <c r="C25" s="24"/>
      <c r="D25" s="24">
        <v>3</v>
      </c>
      <c r="E25" s="24">
        <v>525</v>
      </c>
      <c r="F25" s="24">
        <v>208</v>
      </c>
      <c r="G25" s="24">
        <v>8</v>
      </c>
      <c r="H25" s="24">
        <v>273</v>
      </c>
      <c r="I25" s="24">
        <v>35</v>
      </c>
      <c r="J25" s="24">
        <v>524</v>
      </c>
      <c r="K25" s="24">
        <v>1</v>
      </c>
      <c r="L25" s="24">
        <f t="shared" si="0"/>
        <v>525</v>
      </c>
      <c r="M25" s="24">
        <v>0</v>
      </c>
      <c r="N25" s="25">
        <f t="shared" si="1"/>
        <v>6.6666666666666666E-2</v>
      </c>
      <c r="O25" s="25">
        <f t="shared" si="2"/>
        <v>0.3961904761904762</v>
      </c>
      <c r="P25" s="25">
        <f t="shared" si="3"/>
        <v>0.52</v>
      </c>
      <c r="Q25" s="25">
        <f t="shared" si="4"/>
        <v>1.5238095238095238E-2</v>
      </c>
      <c r="R25" s="26">
        <v>659</v>
      </c>
      <c r="S25" s="26">
        <v>0</v>
      </c>
      <c r="T25" s="26">
        <v>0</v>
      </c>
      <c r="U25" s="26">
        <v>0</v>
      </c>
      <c r="V25" s="26">
        <v>659</v>
      </c>
      <c r="W25" s="27">
        <v>1</v>
      </c>
      <c r="X25" s="27">
        <v>0</v>
      </c>
      <c r="Y25" s="27">
        <v>0</v>
      </c>
      <c r="Z25" s="27">
        <v>0</v>
      </c>
      <c r="AA25" s="28">
        <v>34.541729893778452</v>
      </c>
      <c r="AB25" s="25">
        <f t="shared" si="5"/>
        <v>0.79666160849772383</v>
      </c>
    </row>
    <row r="26" spans="1:28" x14ac:dyDescent="0.25">
      <c r="A26" s="24"/>
      <c r="B26" s="24"/>
      <c r="C26" s="24"/>
      <c r="D26" s="24">
        <v>4</v>
      </c>
      <c r="E26" s="24">
        <v>499</v>
      </c>
      <c r="F26" s="24">
        <v>176</v>
      </c>
      <c r="G26" s="24">
        <v>3</v>
      </c>
      <c r="H26" s="24">
        <v>271</v>
      </c>
      <c r="I26" s="24">
        <v>49</v>
      </c>
      <c r="J26" s="24">
        <v>499</v>
      </c>
      <c r="K26" s="24">
        <v>0</v>
      </c>
      <c r="L26" s="24">
        <f t="shared" si="0"/>
        <v>499</v>
      </c>
      <c r="M26" s="24">
        <v>0</v>
      </c>
      <c r="N26" s="25">
        <f t="shared" si="1"/>
        <v>9.8196392785571143E-2</v>
      </c>
      <c r="O26" s="25">
        <f t="shared" si="2"/>
        <v>0.35270541082164331</v>
      </c>
      <c r="P26" s="25">
        <f t="shared" si="3"/>
        <v>0.54308617234468937</v>
      </c>
      <c r="Q26" s="25">
        <f t="shared" si="4"/>
        <v>6.0120240480961923E-3</v>
      </c>
      <c r="R26" s="26">
        <v>659</v>
      </c>
      <c r="S26" s="26">
        <v>0</v>
      </c>
      <c r="T26" s="26">
        <v>1</v>
      </c>
      <c r="U26" s="26">
        <v>0</v>
      </c>
      <c r="V26" s="26">
        <v>660</v>
      </c>
      <c r="W26" s="27">
        <v>0.99848484848484853</v>
      </c>
      <c r="X26" s="27">
        <v>0</v>
      </c>
      <c r="Y26" s="27">
        <v>1.5151515151515152E-3</v>
      </c>
      <c r="Z26" s="27">
        <v>0</v>
      </c>
      <c r="AA26" s="28">
        <v>25.639393939393941</v>
      </c>
      <c r="AB26" s="25">
        <f t="shared" si="5"/>
        <v>0.7560606060606061</v>
      </c>
    </row>
    <row r="27" spans="1:28" x14ac:dyDescent="0.25">
      <c r="A27" s="24"/>
      <c r="B27" s="24"/>
      <c r="C27" s="24" t="s">
        <v>150</v>
      </c>
      <c r="D27" s="24">
        <v>1</v>
      </c>
      <c r="E27" s="24">
        <v>388</v>
      </c>
      <c r="F27" s="24">
        <v>62</v>
      </c>
      <c r="G27" s="24">
        <v>7</v>
      </c>
      <c r="H27" s="24">
        <v>267</v>
      </c>
      <c r="I27" s="24">
        <v>46</v>
      </c>
      <c r="J27" s="24">
        <v>382</v>
      </c>
      <c r="K27" s="24">
        <v>6</v>
      </c>
      <c r="L27" s="24">
        <f t="shared" si="0"/>
        <v>388</v>
      </c>
      <c r="M27" s="24">
        <v>0</v>
      </c>
      <c r="N27" s="25">
        <f t="shared" si="1"/>
        <v>0.11855670103092783</v>
      </c>
      <c r="O27" s="25">
        <f t="shared" si="2"/>
        <v>0.15979381443298968</v>
      </c>
      <c r="P27" s="25">
        <f t="shared" si="3"/>
        <v>0.68814432989690721</v>
      </c>
      <c r="Q27" s="25">
        <f t="shared" si="4"/>
        <v>1.804123711340206E-2</v>
      </c>
      <c r="R27" s="26">
        <v>444</v>
      </c>
      <c r="S27" s="26">
        <v>0</v>
      </c>
      <c r="T27" s="26">
        <v>4</v>
      </c>
      <c r="U27" s="26">
        <v>2</v>
      </c>
      <c r="V27" s="26">
        <v>450</v>
      </c>
      <c r="W27" s="27">
        <v>0.98666666666666669</v>
      </c>
      <c r="X27" s="27">
        <v>0</v>
      </c>
      <c r="Y27" s="27">
        <v>8.8888888888888889E-3</v>
      </c>
      <c r="Z27" s="27">
        <v>4.4444444444444444E-3</v>
      </c>
      <c r="AA27" s="28">
        <v>63.833333333333336</v>
      </c>
      <c r="AB27" s="25">
        <f t="shared" si="5"/>
        <v>0.86222222222222222</v>
      </c>
    </row>
    <row r="28" spans="1:28" x14ac:dyDescent="0.25">
      <c r="A28" s="24"/>
      <c r="B28" s="24"/>
      <c r="C28" s="24"/>
      <c r="D28" s="24">
        <v>2</v>
      </c>
      <c r="E28" s="24">
        <v>425</v>
      </c>
      <c r="F28" s="24">
        <v>142</v>
      </c>
      <c r="G28" s="24">
        <v>7</v>
      </c>
      <c r="H28" s="24">
        <v>227</v>
      </c>
      <c r="I28" s="24">
        <v>44</v>
      </c>
      <c r="J28" s="24">
        <v>420</v>
      </c>
      <c r="K28" s="24">
        <v>5</v>
      </c>
      <c r="L28" s="24">
        <f t="shared" si="0"/>
        <v>425</v>
      </c>
      <c r="M28" s="24">
        <v>0</v>
      </c>
      <c r="N28" s="25">
        <f t="shared" si="1"/>
        <v>0.10352941176470588</v>
      </c>
      <c r="O28" s="25">
        <f t="shared" si="2"/>
        <v>0.33411764705882352</v>
      </c>
      <c r="P28" s="25">
        <f t="shared" si="3"/>
        <v>0.53411764705882347</v>
      </c>
      <c r="Q28" s="25">
        <f t="shared" si="4"/>
        <v>1.6470588235294119E-2</v>
      </c>
      <c r="R28" s="26">
        <v>533</v>
      </c>
      <c r="S28" s="26">
        <v>0</v>
      </c>
      <c r="T28" s="26">
        <v>2</v>
      </c>
      <c r="U28" s="26">
        <v>0</v>
      </c>
      <c r="V28" s="26">
        <v>535</v>
      </c>
      <c r="W28" s="27">
        <v>0.99626168224299061</v>
      </c>
      <c r="X28" s="27">
        <v>0</v>
      </c>
      <c r="Y28" s="27">
        <v>3.7383177570093459E-3</v>
      </c>
      <c r="Z28" s="27">
        <v>0</v>
      </c>
      <c r="AA28" s="28">
        <v>44.960747663551402</v>
      </c>
      <c r="AB28" s="25">
        <f t="shared" si="5"/>
        <v>0.79439252336448596</v>
      </c>
    </row>
    <row r="29" spans="1:28" x14ac:dyDescent="0.25">
      <c r="A29" s="24"/>
      <c r="B29" s="24"/>
      <c r="C29" s="24"/>
      <c r="D29" s="24">
        <v>3</v>
      </c>
      <c r="E29" s="24">
        <v>432</v>
      </c>
      <c r="F29" s="24">
        <v>163</v>
      </c>
      <c r="G29" s="24">
        <v>3</v>
      </c>
      <c r="H29" s="24">
        <v>210</v>
      </c>
      <c r="I29" s="24">
        <v>52</v>
      </c>
      <c r="J29" s="24">
        <v>428</v>
      </c>
      <c r="K29" s="24">
        <v>4</v>
      </c>
      <c r="L29" s="24">
        <f t="shared" si="0"/>
        <v>432</v>
      </c>
      <c r="M29" s="24">
        <v>0</v>
      </c>
      <c r="N29" s="25">
        <f t="shared" si="1"/>
        <v>0.12037037037037036</v>
      </c>
      <c r="O29" s="25">
        <f t="shared" si="2"/>
        <v>0.37731481481481483</v>
      </c>
      <c r="P29" s="25">
        <f t="shared" si="3"/>
        <v>0.4861111111111111</v>
      </c>
      <c r="Q29" s="25">
        <f t="shared" si="4"/>
        <v>6.9444444444444441E-3</v>
      </c>
      <c r="R29" s="26">
        <v>533</v>
      </c>
      <c r="S29" s="26">
        <v>1</v>
      </c>
      <c r="T29" s="26">
        <v>0</v>
      </c>
      <c r="U29" s="26">
        <v>1</v>
      </c>
      <c r="V29" s="26">
        <v>535</v>
      </c>
      <c r="W29" s="27">
        <v>0.99626168224299061</v>
      </c>
      <c r="X29" s="27">
        <v>1.869158878504673E-3</v>
      </c>
      <c r="Y29" s="27">
        <v>0</v>
      </c>
      <c r="Z29" s="27">
        <v>1.869158878504673E-3</v>
      </c>
      <c r="AA29" s="28">
        <v>34.77570093457944</v>
      </c>
      <c r="AB29" s="25">
        <f t="shared" si="5"/>
        <v>0.80747663551401871</v>
      </c>
    </row>
    <row r="30" spans="1:28" x14ac:dyDescent="0.25">
      <c r="A30" s="24"/>
      <c r="B30" s="24"/>
      <c r="C30" s="24"/>
      <c r="D30" s="24">
        <v>4</v>
      </c>
      <c r="E30" s="24">
        <v>403</v>
      </c>
      <c r="F30" s="24">
        <v>157</v>
      </c>
      <c r="G30" s="24">
        <v>5</v>
      </c>
      <c r="H30" s="24">
        <v>190</v>
      </c>
      <c r="I30" s="24">
        <v>48</v>
      </c>
      <c r="J30" s="24">
        <v>400</v>
      </c>
      <c r="K30" s="24">
        <v>3</v>
      </c>
      <c r="L30" s="24">
        <f t="shared" si="0"/>
        <v>403</v>
      </c>
      <c r="M30" s="24">
        <v>0</v>
      </c>
      <c r="N30" s="25">
        <f t="shared" si="1"/>
        <v>0.11910669975186104</v>
      </c>
      <c r="O30" s="25">
        <f t="shared" si="2"/>
        <v>0.38957816377171217</v>
      </c>
      <c r="P30" s="25">
        <f t="shared" si="3"/>
        <v>0.47146401985111663</v>
      </c>
      <c r="Q30" s="25">
        <f t="shared" si="4"/>
        <v>1.2406947890818859E-2</v>
      </c>
      <c r="R30" s="26">
        <v>535</v>
      </c>
      <c r="S30" s="26">
        <v>0</v>
      </c>
      <c r="T30" s="26">
        <v>0</v>
      </c>
      <c r="U30" s="26">
        <v>0</v>
      </c>
      <c r="V30" s="26">
        <v>535</v>
      </c>
      <c r="W30" s="27">
        <v>1</v>
      </c>
      <c r="X30" s="27">
        <v>0</v>
      </c>
      <c r="Y30" s="27">
        <v>0</v>
      </c>
      <c r="Z30" s="27">
        <v>0</v>
      </c>
      <c r="AA30" s="28">
        <v>25.826168224299064</v>
      </c>
      <c r="AB30" s="25">
        <f t="shared" si="5"/>
        <v>0.75327102803738322</v>
      </c>
    </row>
    <row r="31" spans="1:28" x14ac:dyDescent="0.25">
      <c r="A31" s="24"/>
      <c r="B31" s="24"/>
      <c r="C31" s="24" t="s">
        <v>151</v>
      </c>
      <c r="D31" s="24">
        <v>1</v>
      </c>
      <c r="E31" s="24">
        <v>399</v>
      </c>
      <c r="F31" s="24">
        <v>57</v>
      </c>
      <c r="G31" s="24">
        <v>2</v>
      </c>
      <c r="H31" s="24">
        <v>301</v>
      </c>
      <c r="I31" s="24">
        <v>30</v>
      </c>
      <c r="J31" s="24">
        <v>390</v>
      </c>
      <c r="K31" s="24">
        <v>9</v>
      </c>
      <c r="L31" s="24">
        <f t="shared" si="0"/>
        <v>399</v>
      </c>
      <c r="M31" s="24">
        <v>0</v>
      </c>
      <c r="N31" s="25">
        <f t="shared" si="1"/>
        <v>7.5187969924812026E-2</v>
      </c>
      <c r="O31" s="25">
        <f t="shared" si="2"/>
        <v>0.14285714285714285</v>
      </c>
      <c r="P31" s="25">
        <f t="shared" si="3"/>
        <v>0.75438596491228072</v>
      </c>
      <c r="Q31" s="25">
        <f t="shared" si="4"/>
        <v>5.0125313283208017E-3</v>
      </c>
      <c r="R31" s="26">
        <v>445</v>
      </c>
      <c r="S31" s="26">
        <v>0</v>
      </c>
      <c r="T31" s="26">
        <v>5</v>
      </c>
      <c r="U31" s="26">
        <v>0</v>
      </c>
      <c r="V31" s="26">
        <v>450</v>
      </c>
      <c r="W31" s="27">
        <v>0.98888888888888893</v>
      </c>
      <c r="X31" s="27">
        <v>0</v>
      </c>
      <c r="Y31" s="27">
        <v>1.1111111111111112E-2</v>
      </c>
      <c r="Z31" s="27">
        <v>0</v>
      </c>
      <c r="AA31" s="28">
        <v>60.704444444444441</v>
      </c>
      <c r="AB31" s="25">
        <f t="shared" si="5"/>
        <v>0.88666666666666671</v>
      </c>
    </row>
    <row r="32" spans="1:28" x14ac:dyDescent="0.25">
      <c r="A32" s="24"/>
      <c r="B32" s="24"/>
      <c r="C32" s="24"/>
      <c r="D32" s="24">
        <v>2</v>
      </c>
      <c r="E32" s="24">
        <v>408</v>
      </c>
      <c r="F32" s="24">
        <v>167</v>
      </c>
      <c r="G32" s="24">
        <v>7</v>
      </c>
      <c r="H32" s="24">
        <v>204</v>
      </c>
      <c r="I32" s="24">
        <v>27</v>
      </c>
      <c r="J32" s="24">
        <v>405</v>
      </c>
      <c r="K32" s="24">
        <v>3</v>
      </c>
      <c r="L32" s="24">
        <f t="shared" si="0"/>
        <v>408</v>
      </c>
      <c r="M32" s="24">
        <v>0</v>
      </c>
      <c r="N32" s="25">
        <f t="shared" si="1"/>
        <v>6.6176470588235295E-2</v>
      </c>
      <c r="O32" s="25">
        <f t="shared" si="2"/>
        <v>0.40931372549019607</v>
      </c>
      <c r="P32" s="25">
        <f t="shared" si="3"/>
        <v>0.5</v>
      </c>
      <c r="Q32" s="25">
        <f t="shared" si="4"/>
        <v>1.7156862745098041E-2</v>
      </c>
      <c r="R32" s="26">
        <v>505</v>
      </c>
      <c r="S32" s="26">
        <v>0</v>
      </c>
      <c r="T32" s="26">
        <v>3</v>
      </c>
      <c r="U32" s="26">
        <v>1</v>
      </c>
      <c r="V32" s="26">
        <v>509</v>
      </c>
      <c r="W32" s="27">
        <v>0.99214145383104124</v>
      </c>
      <c r="X32" s="27">
        <v>0</v>
      </c>
      <c r="Y32" s="27">
        <v>5.893909626719057E-3</v>
      </c>
      <c r="Z32" s="27">
        <v>1.9646365422396855E-3</v>
      </c>
      <c r="AA32" s="28">
        <v>38.593320235756387</v>
      </c>
      <c r="AB32" s="25">
        <f t="shared" si="5"/>
        <v>0.80157170923379173</v>
      </c>
    </row>
    <row r="33" spans="1:28" x14ac:dyDescent="0.25">
      <c r="A33" s="24"/>
      <c r="B33" s="24"/>
      <c r="C33" s="24"/>
      <c r="D33" s="24">
        <v>3</v>
      </c>
      <c r="E33" s="24">
        <v>405</v>
      </c>
      <c r="F33" s="24">
        <v>152</v>
      </c>
      <c r="G33" s="24">
        <v>1</v>
      </c>
      <c r="H33" s="24">
        <v>216</v>
      </c>
      <c r="I33" s="24">
        <v>33</v>
      </c>
      <c r="J33" s="24">
        <v>402</v>
      </c>
      <c r="K33" s="24">
        <v>3</v>
      </c>
      <c r="L33" s="24">
        <f t="shared" si="0"/>
        <v>405</v>
      </c>
      <c r="M33" s="24">
        <v>0</v>
      </c>
      <c r="N33" s="25">
        <f t="shared" si="1"/>
        <v>8.1481481481481488E-2</v>
      </c>
      <c r="O33" s="25">
        <f t="shared" si="2"/>
        <v>0.37530864197530867</v>
      </c>
      <c r="P33" s="25">
        <f t="shared" si="3"/>
        <v>0.53333333333333333</v>
      </c>
      <c r="Q33" s="25">
        <f t="shared" si="4"/>
        <v>2.4691358024691358E-3</v>
      </c>
      <c r="R33" s="26">
        <v>505</v>
      </c>
      <c r="S33" s="26">
        <v>0</v>
      </c>
      <c r="T33" s="26">
        <v>4</v>
      </c>
      <c r="U33" s="26">
        <v>0</v>
      </c>
      <c r="V33" s="26">
        <v>509</v>
      </c>
      <c r="W33" s="27">
        <v>0.99214145383104124</v>
      </c>
      <c r="X33" s="27">
        <v>0</v>
      </c>
      <c r="Y33" s="27">
        <v>7.8585461689587421E-3</v>
      </c>
      <c r="Z33" s="27">
        <v>0</v>
      </c>
      <c r="AA33" s="28">
        <v>28.039292730844792</v>
      </c>
      <c r="AB33" s="25">
        <f t="shared" si="5"/>
        <v>0.79567779960707274</v>
      </c>
    </row>
    <row r="34" spans="1:28" x14ac:dyDescent="0.25">
      <c r="A34" s="24">
        <v>11</v>
      </c>
      <c r="B34" s="24" t="s">
        <v>152</v>
      </c>
      <c r="C34" s="24" t="s">
        <v>153</v>
      </c>
      <c r="D34" s="24">
        <v>1</v>
      </c>
      <c r="E34" s="24">
        <v>386</v>
      </c>
      <c r="F34" s="24">
        <v>58</v>
      </c>
      <c r="G34" s="24">
        <v>7</v>
      </c>
      <c r="H34" s="24">
        <v>235</v>
      </c>
      <c r="I34" s="24">
        <v>83</v>
      </c>
      <c r="J34" s="24">
        <v>383</v>
      </c>
      <c r="K34" s="24">
        <v>3</v>
      </c>
      <c r="L34" s="24">
        <f t="shared" si="0"/>
        <v>386</v>
      </c>
      <c r="M34" s="24">
        <v>0</v>
      </c>
      <c r="N34" s="25">
        <f t="shared" si="1"/>
        <v>0.21502590673575128</v>
      </c>
      <c r="O34" s="25">
        <f t="shared" si="2"/>
        <v>0.15025906735751296</v>
      </c>
      <c r="P34" s="25">
        <f t="shared" si="3"/>
        <v>0.60880829015544047</v>
      </c>
      <c r="Q34" s="25">
        <f t="shared" si="4"/>
        <v>1.8134715025906734E-2</v>
      </c>
      <c r="R34" s="26">
        <v>344</v>
      </c>
      <c r="S34" s="26">
        <v>12</v>
      </c>
      <c r="T34" s="26">
        <v>90</v>
      </c>
      <c r="U34" s="26">
        <v>4</v>
      </c>
      <c r="V34" s="26">
        <v>450</v>
      </c>
      <c r="W34" s="27">
        <v>0.76444444444444448</v>
      </c>
      <c r="X34" s="27">
        <v>2.6666666666666668E-2</v>
      </c>
      <c r="Y34" s="27">
        <v>0.2</v>
      </c>
      <c r="Z34" s="27">
        <v>8.8888888888888889E-3</v>
      </c>
      <c r="AA34" s="28">
        <v>61.25333333333333</v>
      </c>
      <c r="AB34" s="25">
        <f t="shared" si="5"/>
        <v>0.85777777777777775</v>
      </c>
    </row>
    <row r="35" spans="1:28" x14ac:dyDescent="0.25">
      <c r="A35" s="24"/>
      <c r="B35" s="24"/>
      <c r="C35" s="24"/>
      <c r="D35" s="24">
        <v>2</v>
      </c>
      <c r="E35" s="24">
        <v>582</v>
      </c>
      <c r="F35" s="24">
        <v>123</v>
      </c>
      <c r="G35" s="24">
        <v>3</v>
      </c>
      <c r="H35" s="24">
        <v>323</v>
      </c>
      <c r="I35" s="24">
        <v>131</v>
      </c>
      <c r="J35" s="24">
        <v>580</v>
      </c>
      <c r="K35" s="24">
        <v>2</v>
      </c>
      <c r="L35" s="24">
        <f t="shared" si="0"/>
        <v>582</v>
      </c>
      <c r="M35" s="24">
        <v>0</v>
      </c>
      <c r="N35" s="25">
        <f t="shared" si="1"/>
        <v>0.22508591065292097</v>
      </c>
      <c r="O35" s="25">
        <f t="shared" si="2"/>
        <v>0.21134020618556701</v>
      </c>
      <c r="P35" s="25">
        <f t="shared" si="3"/>
        <v>0.55498281786941583</v>
      </c>
      <c r="Q35" s="25">
        <f t="shared" si="4"/>
        <v>5.1546391752577319E-3</v>
      </c>
      <c r="R35" s="26">
        <v>586</v>
      </c>
      <c r="S35" s="26">
        <v>41</v>
      </c>
      <c r="T35" s="26">
        <v>120</v>
      </c>
      <c r="U35" s="26">
        <v>1</v>
      </c>
      <c r="V35" s="26">
        <v>748</v>
      </c>
      <c r="W35" s="27">
        <v>0.78342245989304815</v>
      </c>
      <c r="X35" s="27">
        <v>5.4812834224598928E-2</v>
      </c>
      <c r="Y35" s="27">
        <v>0.16042780748663102</v>
      </c>
      <c r="Z35" s="27">
        <v>1.3368983957219251E-3</v>
      </c>
      <c r="AA35" s="28">
        <v>47.13101604278075</v>
      </c>
      <c r="AB35" s="25">
        <f t="shared" si="5"/>
        <v>0.77807486631016043</v>
      </c>
    </row>
    <row r="36" spans="1:28" x14ac:dyDescent="0.25">
      <c r="A36" s="24"/>
      <c r="B36" s="24"/>
      <c r="C36" s="24"/>
      <c r="D36" s="24">
        <v>3</v>
      </c>
      <c r="E36" s="24">
        <v>535</v>
      </c>
      <c r="F36" s="24">
        <v>173</v>
      </c>
      <c r="G36" s="24">
        <v>4</v>
      </c>
      <c r="H36" s="24">
        <v>270</v>
      </c>
      <c r="I36" s="24">
        <v>87</v>
      </c>
      <c r="J36" s="24">
        <v>534</v>
      </c>
      <c r="K36" s="24">
        <v>1</v>
      </c>
      <c r="L36" s="24">
        <f t="shared" si="0"/>
        <v>535</v>
      </c>
      <c r="M36" s="24">
        <v>0</v>
      </c>
      <c r="N36" s="25">
        <f t="shared" si="1"/>
        <v>0.16261682242990655</v>
      </c>
      <c r="O36" s="25">
        <f t="shared" si="2"/>
        <v>0.3233644859813084</v>
      </c>
      <c r="P36" s="25">
        <f t="shared" si="3"/>
        <v>0.50467289719626163</v>
      </c>
      <c r="Q36" s="25">
        <f t="shared" si="4"/>
        <v>7.4766355140186919E-3</v>
      </c>
      <c r="R36" s="26">
        <v>654</v>
      </c>
      <c r="S36" s="26">
        <v>23</v>
      </c>
      <c r="T36" s="26">
        <v>71</v>
      </c>
      <c r="U36" s="26">
        <v>0</v>
      </c>
      <c r="V36" s="26">
        <v>748</v>
      </c>
      <c r="W36" s="27">
        <v>0.87433155080213909</v>
      </c>
      <c r="X36" s="27">
        <v>3.074866310160428E-2</v>
      </c>
      <c r="Y36" s="27">
        <v>9.4919786096256689E-2</v>
      </c>
      <c r="Z36" s="27">
        <v>0</v>
      </c>
      <c r="AA36" s="28">
        <v>32.627005347593581</v>
      </c>
      <c r="AB36" s="25">
        <f t="shared" si="5"/>
        <v>0.71524064171122992</v>
      </c>
    </row>
    <row r="37" spans="1:28" x14ac:dyDescent="0.25">
      <c r="A37" s="24"/>
      <c r="B37" s="24"/>
      <c r="C37" s="24"/>
      <c r="D37" s="24">
        <v>4</v>
      </c>
      <c r="E37" s="24">
        <v>583</v>
      </c>
      <c r="F37" s="24">
        <v>190</v>
      </c>
      <c r="G37" s="24">
        <v>3</v>
      </c>
      <c r="H37" s="24">
        <v>311</v>
      </c>
      <c r="I37" s="24">
        <v>73</v>
      </c>
      <c r="J37" s="24">
        <v>577</v>
      </c>
      <c r="K37" s="24">
        <v>6</v>
      </c>
      <c r="L37" s="24">
        <f t="shared" si="0"/>
        <v>583</v>
      </c>
      <c r="M37" s="24">
        <v>0</v>
      </c>
      <c r="N37" s="25">
        <f t="shared" si="1"/>
        <v>0.12521440823327615</v>
      </c>
      <c r="O37" s="25">
        <f t="shared" si="2"/>
        <v>0.32590051457975988</v>
      </c>
      <c r="P37" s="25">
        <f t="shared" si="3"/>
        <v>0.53344768439108059</v>
      </c>
      <c r="Q37" s="25">
        <f t="shared" si="4"/>
        <v>5.1457975986277877E-3</v>
      </c>
      <c r="R37" s="26">
        <v>707</v>
      </c>
      <c r="S37" s="26">
        <v>5</v>
      </c>
      <c r="T37" s="26">
        <v>36</v>
      </c>
      <c r="U37" s="26">
        <v>0</v>
      </c>
      <c r="V37" s="26">
        <v>748</v>
      </c>
      <c r="W37" s="27">
        <v>0.94518716577540107</v>
      </c>
      <c r="X37" s="27">
        <v>6.6844919786096255E-3</v>
      </c>
      <c r="Y37" s="27">
        <v>4.8128342245989303E-2</v>
      </c>
      <c r="Z37" s="27">
        <v>0</v>
      </c>
      <c r="AA37" s="28">
        <v>25.005347593582886</v>
      </c>
      <c r="AB37" s="25">
        <f t="shared" si="5"/>
        <v>0.77941176470588236</v>
      </c>
    </row>
    <row r="38" spans="1:28" x14ac:dyDescent="0.25">
      <c r="A38" s="24"/>
      <c r="B38" s="24"/>
      <c r="C38" s="24" t="s">
        <v>154</v>
      </c>
      <c r="D38" s="24">
        <v>1</v>
      </c>
      <c r="E38" s="24">
        <v>368</v>
      </c>
      <c r="F38" s="24">
        <v>57</v>
      </c>
      <c r="G38" s="24">
        <v>8</v>
      </c>
      <c r="H38" s="24">
        <v>259</v>
      </c>
      <c r="I38" s="24">
        <v>35</v>
      </c>
      <c r="J38" s="24">
        <v>359</v>
      </c>
      <c r="K38" s="24">
        <v>9</v>
      </c>
      <c r="L38" s="24">
        <f t="shared" si="0"/>
        <v>368</v>
      </c>
      <c r="M38" s="24">
        <v>0</v>
      </c>
      <c r="N38" s="25">
        <f t="shared" si="1"/>
        <v>9.5108695652173919E-2</v>
      </c>
      <c r="O38" s="25">
        <f t="shared" si="2"/>
        <v>0.15489130434782608</v>
      </c>
      <c r="P38" s="25">
        <f t="shared" si="3"/>
        <v>0.70380434782608692</v>
      </c>
      <c r="Q38" s="25">
        <f t="shared" si="4"/>
        <v>2.1739130434782608E-2</v>
      </c>
      <c r="R38" s="26">
        <v>417</v>
      </c>
      <c r="S38" s="26">
        <v>2</v>
      </c>
      <c r="T38" s="26">
        <v>30</v>
      </c>
      <c r="U38" s="26">
        <v>1</v>
      </c>
      <c r="V38" s="26">
        <v>450</v>
      </c>
      <c r="W38" s="27">
        <v>0.92666666666666664</v>
      </c>
      <c r="X38" s="27">
        <v>4.4444444444444444E-3</v>
      </c>
      <c r="Y38" s="27">
        <v>6.6666666666666666E-2</v>
      </c>
      <c r="Z38" s="27">
        <v>2.2222222222222222E-3</v>
      </c>
      <c r="AA38" s="28">
        <v>58.76</v>
      </c>
      <c r="AB38" s="25">
        <f t="shared" si="5"/>
        <v>0.81777777777777783</v>
      </c>
    </row>
    <row r="39" spans="1:28" x14ac:dyDescent="0.25">
      <c r="A39" s="24"/>
      <c r="B39" s="24"/>
      <c r="C39" s="24"/>
      <c r="D39" s="24">
        <v>2</v>
      </c>
      <c r="E39" s="24">
        <v>396</v>
      </c>
      <c r="F39" s="24">
        <v>42</v>
      </c>
      <c r="G39" s="24">
        <v>4</v>
      </c>
      <c r="H39" s="24">
        <v>309</v>
      </c>
      <c r="I39" s="24">
        <v>40</v>
      </c>
      <c r="J39" s="24">
        <v>395</v>
      </c>
      <c r="K39" s="24">
        <v>1</v>
      </c>
      <c r="L39" s="24">
        <f t="shared" si="0"/>
        <v>396</v>
      </c>
      <c r="M39" s="24">
        <v>0</v>
      </c>
      <c r="N39" s="25">
        <f t="shared" si="1"/>
        <v>0.10101010101010101</v>
      </c>
      <c r="O39" s="25">
        <f t="shared" si="2"/>
        <v>0.10606060606060606</v>
      </c>
      <c r="P39" s="25">
        <f t="shared" si="3"/>
        <v>0.78030303030303028</v>
      </c>
      <c r="Q39" s="25">
        <f t="shared" si="4"/>
        <v>1.0101010101010102E-2</v>
      </c>
      <c r="R39" s="26">
        <v>425</v>
      </c>
      <c r="S39" s="26">
        <v>2</v>
      </c>
      <c r="T39" s="26">
        <v>19</v>
      </c>
      <c r="U39" s="26">
        <v>4</v>
      </c>
      <c r="V39" s="26">
        <v>450</v>
      </c>
      <c r="W39" s="27">
        <v>0.94444444444444442</v>
      </c>
      <c r="X39" s="27">
        <v>4.4444444444444444E-3</v>
      </c>
      <c r="Y39" s="27">
        <v>4.2222222222222223E-2</v>
      </c>
      <c r="Z39" s="27">
        <v>8.8888888888888889E-3</v>
      </c>
      <c r="AA39" s="28">
        <v>59.917777777777779</v>
      </c>
      <c r="AB39" s="25">
        <f t="shared" si="5"/>
        <v>0.88</v>
      </c>
    </row>
    <row r="40" spans="1:28" x14ac:dyDescent="0.25">
      <c r="A40" s="24"/>
      <c r="B40" s="24"/>
      <c r="C40" s="24"/>
      <c r="D40" s="24">
        <v>3</v>
      </c>
      <c r="E40" s="24">
        <v>357</v>
      </c>
      <c r="F40" s="24">
        <v>68</v>
      </c>
      <c r="G40" s="24">
        <v>5</v>
      </c>
      <c r="H40" s="24">
        <v>258</v>
      </c>
      <c r="I40" s="24">
        <v>21</v>
      </c>
      <c r="J40" s="24">
        <v>352</v>
      </c>
      <c r="K40" s="24">
        <v>5</v>
      </c>
      <c r="L40" s="24">
        <f t="shared" si="0"/>
        <v>357</v>
      </c>
      <c r="M40" s="24">
        <v>0</v>
      </c>
      <c r="N40" s="25">
        <f t="shared" si="1"/>
        <v>5.8823529411764705E-2</v>
      </c>
      <c r="O40" s="25">
        <f t="shared" si="2"/>
        <v>0.19047619047619047</v>
      </c>
      <c r="P40" s="25">
        <f t="shared" si="3"/>
        <v>0.72268907563025209</v>
      </c>
      <c r="Q40" s="25">
        <f t="shared" si="4"/>
        <v>1.4005602240896359E-2</v>
      </c>
      <c r="R40" s="26">
        <v>416</v>
      </c>
      <c r="S40" s="26">
        <v>1</v>
      </c>
      <c r="T40" s="26">
        <v>29</v>
      </c>
      <c r="U40" s="26">
        <v>4</v>
      </c>
      <c r="V40" s="26">
        <v>450</v>
      </c>
      <c r="W40" s="27">
        <v>0.9244444444444444</v>
      </c>
      <c r="X40" s="27">
        <v>2.2222222222222222E-3</v>
      </c>
      <c r="Y40" s="27">
        <v>6.4444444444444443E-2</v>
      </c>
      <c r="Z40" s="27">
        <v>8.8888888888888889E-3</v>
      </c>
      <c r="AA40" s="28">
        <v>49.69777777777778</v>
      </c>
      <c r="AB40" s="25">
        <f t="shared" si="5"/>
        <v>0.79333333333333333</v>
      </c>
    </row>
    <row r="41" spans="1:28" x14ac:dyDescent="0.25">
      <c r="A41" s="24"/>
      <c r="B41" s="24"/>
      <c r="C41" s="24"/>
      <c r="D41" s="24">
        <v>4</v>
      </c>
      <c r="E41" s="24">
        <v>458</v>
      </c>
      <c r="F41" s="24">
        <v>145</v>
      </c>
      <c r="G41" s="24">
        <v>3</v>
      </c>
      <c r="H41" s="24">
        <v>252</v>
      </c>
      <c r="I41" s="24">
        <v>56</v>
      </c>
      <c r="J41" s="24">
        <v>456</v>
      </c>
      <c r="K41" s="24">
        <v>2</v>
      </c>
      <c r="L41" s="24">
        <f t="shared" si="0"/>
        <v>458</v>
      </c>
      <c r="M41" s="24">
        <v>0</v>
      </c>
      <c r="N41" s="25">
        <f t="shared" si="1"/>
        <v>0.1222707423580786</v>
      </c>
      <c r="O41" s="25">
        <f t="shared" si="2"/>
        <v>0.31659388646288211</v>
      </c>
      <c r="P41" s="25">
        <f t="shared" si="3"/>
        <v>0.55021834061135366</v>
      </c>
      <c r="Q41" s="25">
        <f t="shared" si="4"/>
        <v>6.5502183406113534E-3</v>
      </c>
      <c r="R41" s="26">
        <v>592</v>
      </c>
      <c r="S41" s="26">
        <v>3</v>
      </c>
      <c r="T41" s="26">
        <v>42</v>
      </c>
      <c r="U41" s="26">
        <v>0</v>
      </c>
      <c r="V41" s="26">
        <v>637</v>
      </c>
      <c r="W41" s="27">
        <v>0.92935635792778648</v>
      </c>
      <c r="X41" s="27">
        <v>4.7095761381475663E-3</v>
      </c>
      <c r="Y41" s="27">
        <v>6.5934065934065936E-2</v>
      </c>
      <c r="Z41" s="27">
        <v>0</v>
      </c>
      <c r="AA41" s="28">
        <v>37.010989010989015</v>
      </c>
      <c r="AB41" s="25">
        <f t="shared" si="5"/>
        <v>0.7189952904238619</v>
      </c>
    </row>
    <row r="42" spans="1:28" x14ac:dyDescent="0.25">
      <c r="A42" s="24"/>
      <c r="B42" s="24"/>
      <c r="C42" s="24"/>
      <c r="D42" s="24">
        <v>5</v>
      </c>
      <c r="E42" s="24">
        <v>452</v>
      </c>
      <c r="F42" s="24">
        <v>134</v>
      </c>
      <c r="G42" s="24">
        <v>6</v>
      </c>
      <c r="H42" s="24">
        <v>277</v>
      </c>
      <c r="I42" s="24">
        <v>29</v>
      </c>
      <c r="J42" s="24">
        <v>446</v>
      </c>
      <c r="K42" s="24">
        <v>6</v>
      </c>
      <c r="L42" s="24">
        <f t="shared" si="0"/>
        <v>452</v>
      </c>
      <c r="M42" s="24">
        <v>0</v>
      </c>
      <c r="N42" s="25">
        <f t="shared" si="1"/>
        <v>6.4159292035398233E-2</v>
      </c>
      <c r="O42" s="25">
        <f t="shared" si="2"/>
        <v>0.29646017699115046</v>
      </c>
      <c r="P42" s="25">
        <f t="shared" si="3"/>
        <v>0.61283185840707965</v>
      </c>
      <c r="Q42" s="25">
        <f t="shared" si="4"/>
        <v>1.3274336283185841E-2</v>
      </c>
      <c r="R42" s="26">
        <v>622</v>
      </c>
      <c r="S42" s="26">
        <v>1</v>
      </c>
      <c r="T42" s="26">
        <v>15</v>
      </c>
      <c r="U42" s="26">
        <v>0</v>
      </c>
      <c r="V42" s="26">
        <v>638</v>
      </c>
      <c r="W42" s="27">
        <v>0.97492163009404387</v>
      </c>
      <c r="X42" s="27">
        <v>1.567398119122257E-3</v>
      </c>
      <c r="Y42" s="27">
        <v>2.3510971786833857E-2</v>
      </c>
      <c r="Z42" s="27">
        <v>0</v>
      </c>
      <c r="AA42" s="28">
        <v>32.637931034482762</v>
      </c>
      <c r="AB42" s="25">
        <f t="shared" si="5"/>
        <v>0.70846394984326022</v>
      </c>
    </row>
    <row r="43" spans="1:28" x14ac:dyDescent="0.25">
      <c r="A43" s="24"/>
      <c r="B43" s="24"/>
      <c r="C43" s="24"/>
      <c r="D43" s="24">
        <v>6</v>
      </c>
      <c r="E43" s="24">
        <v>482</v>
      </c>
      <c r="F43" s="24">
        <v>153</v>
      </c>
      <c r="G43" s="24">
        <v>2</v>
      </c>
      <c r="H43" s="24">
        <v>285</v>
      </c>
      <c r="I43" s="24">
        <v>41</v>
      </c>
      <c r="J43" s="24">
        <v>481</v>
      </c>
      <c r="K43" s="24">
        <v>1</v>
      </c>
      <c r="L43" s="24">
        <f t="shared" si="0"/>
        <v>482</v>
      </c>
      <c r="M43" s="24">
        <v>0</v>
      </c>
      <c r="N43" s="25">
        <f t="shared" si="1"/>
        <v>8.5062240663900418E-2</v>
      </c>
      <c r="O43" s="25">
        <f t="shared" si="2"/>
        <v>0.31742738589211617</v>
      </c>
      <c r="P43" s="25">
        <f t="shared" si="3"/>
        <v>0.59128630705394192</v>
      </c>
      <c r="Q43" s="25">
        <f t="shared" si="4"/>
        <v>4.1493775933609959E-3</v>
      </c>
      <c r="R43" s="26">
        <v>626</v>
      </c>
      <c r="S43" s="26">
        <v>4</v>
      </c>
      <c r="T43" s="26">
        <v>7</v>
      </c>
      <c r="U43" s="26">
        <v>1</v>
      </c>
      <c r="V43" s="26">
        <v>638</v>
      </c>
      <c r="W43" s="27">
        <v>0.98119122257053293</v>
      </c>
      <c r="X43" s="27">
        <v>6.269592476489028E-3</v>
      </c>
      <c r="Y43" s="27">
        <v>1.0971786833855799E-2</v>
      </c>
      <c r="Z43" s="27">
        <v>1.567398119122257E-3</v>
      </c>
      <c r="AA43" s="28">
        <v>28.746081504702193</v>
      </c>
      <c r="AB43" s="25">
        <f t="shared" si="5"/>
        <v>0.75548589341692785</v>
      </c>
    </row>
    <row r="44" spans="1:28" x14ac:dyDescent="0.25">
      <c r="A44" s="24"/>
      <c r="B44" s="24"/>
      <c r="C44" s="24"/>
      <c r="D44" s="24">
        <v>7</v>
      </c>
      <c r="E44" s="24">
        <v>519</v>
      </c>
      <c r="F44" s="24">
        <v>168</v>
      </c>
      <c r="G44" s="24">
        <v>1</v>
      </c>
      <c r="H44" s="24">
        <v>308</v>
      </c>
      <c r="I44" s="24">
        <v>40</v>
      </c>
      <c r="J44" s="24">
        <v>517</v>
      </c>
      <c r="K44" s="24">
        <v>2</v>
      </c>
      <c r="L44" s="24">
        <f t="shared" si="0"/>
        <v>519</v>
      </c>
      <c r="M44" s="24">
        <v>0</v>
      </c>
      <c r="N44" s="25">
        <f t="shared" si="1"/>
        <v>7.7071290944123308E-2</v>
      </c>
      <c r="O44" s="25">
        <f t="shared" si="2"/>
        <v>0.32369942196531792</v>
      </c>
      <c r="P44" s="25">
        <f t="shared" si="3"/>
        <v>0.59344894026974948</v>
      </c>
      <c r="Q44" s="25">
        <f t="shared" si="4"/>
        <v>1.9267822736030828E-3</v>
      </c>
      <c r="R44" s="26">
        <v>628</v>
      </c>
      <c r="S44" s="26">
        <v>3</v>
      </c>
      <c r="T44" s="26">
        <v>7</v>
      </c>
      <c r="U44" s="26">
        <v>0</v>
      </c>
      <c r="V44" s="26">
        <v>638</v>
      </c>
      <c r="W44" s="27">
        <v>0.98432601880877746</v>
      </c>
      <c r="X44" s="27">
        <v>4.7021943573667714E-3</v>
      </c>
      <c r="Y44" s="27">
        <v>1.0971786833855799E-2</v>
      </c>
      <c r="Z44" s="27">
        <v>0</v>
      </c>
      <c r="AA44" s="28">
        <v>22.40909090909091</v>
      </c>
      <c r="AB44" s="25">
        <f t="shared" si="5"/>
        <v>0.81347962382445138</v>
      </c>
    </row>
    <row r="45" spans="1:28" x14ac:dyDescent="0.25">
      <c r="A45" s="24">
        <v>12</v>
      </c>
      <c r="B45" s="24" t="s">
        <v>155</v>
      </c>
      <c r="C45" s="24" t="s">
        <v>156</v>
      </c>
      <c r="D45" s="24">
        <v>1</v>
      </c>
      <c r="E45" s="24">
        <v>243</v>
      </c>
      <c r="F45" s="24">
        <v>16</v>
      </c>
      <c r="G45" s="24">
        <v>1</v>
      </c>
      <c r="H45" s="24">
        <v>33</v>
      </c>
      <c r="I45" s="24">
        <v>191</v>
      </c>
      <c r="J45" s="24">
        <v>241</v>
      </c>
      <c r="K45" s="24">
        <v>2</v>
      </c>
      <c r="L45" s="24">
        <f t="shared" si="0"/>
        <v>243</v>
      </c>
      <c r="M45" s="24">
        <v>0</v>
      </c>
      <c r="N45" s="25">
        <f t="shared" si="1"/>
        <v>0.78600823045267487</v>
      </c>
      <c r="O45" s="25">
        <f t="shared" si="2"/>
        <v>6.584362139917696E-2</v>
      </c>
      <c r="P45" s="25">
        <f t="shared" si="3"/>
        <v>0.13580246913580246</v>
      </c>
      <c r="Q45" s="25">
        <f t="shared" si="4"/>
        <v>4.11522633744856E-3</v>
      </c>
      <c r="R45" s="26">
        <v>15</v>
      </c>
      <c r="S45" s="26">
        <v>385</v>
      </c>
      <c r="T45" s="26">
        <v>50</v>
      </c>
      <c r="U45" s="26">
        <v>0</v>
      </c>
      <c r="V45" s="26">
        <v>450</v>
      </c>
      <c r="W45" s="27">
        <v>3.3333333333333333E-2</v>
      </c>
      <c r="X45" s="27">
        <v>0.85555555555555551</v>
      </c>
      <c r="Y45" s="27">
        <v>0.1111111111111111</v>
      </c>
      <c r="Z45" s="27">
        <v>0</v>
      </c>
      <c r="AA45" s="28">
        <v>53.18888888888889</v>
      </c>
      <c r="AB45" s="25">
        <f t="shared" si="5"/>
        <v>0.54</v>
      </c>
    </row>
    <row r="46" spans="1:28" x14ac:dyDescent="0.25">
      <c r="A46" s="24"/>
      <c r="B46" s="24"/>
      <c r="C46" s="24"/>
      <c r="D46" s="24">
        <v>2</v>
      </c>
      <c r="E46" s="24">
        <v>266</v>
      </c>
      <c r="F46" s="24">
        <v>14</v>
      </c>
      <c r="G46" s="24">
        <v>0</v>
      </c>
      <c r="H46" s="24">
        <v>48</v>
      </c>
      <c r="I46" s="24">
        <v>201</v>
      </c>
      <c r="J46" s="24">
        <v>263</v>
      </c>
      <c r="K46" s="24">
        <v>3</v>
      </c>
      <c r="L46" s="24">
        <f t="shared" si="0"/>
        <v>266</v>
      </c>
      <c r="M46" s="24">
        <v>0</v>
      </c>
      <c r="N46" s="25">
        <f t="shared" si="1"/>
        <v>0.75563909774436089</v>
      </c>
      <c r="O46" s="25">
        <f t="shared" si="2"/>
        <v>5.2631578947368418E-2</v>
      </c>
      <c r="P46" s="25">
        <f t="shared" si="3"/>
        <v>0.18045112781954886</v>
      </c>
      <c r="Q46" s="25">
        <f t="shared" si="4"/>
        <v>0</v>
      </c>
      <c r="R46" s="26">
        <v>48</v>
      </c>
      <c r="S46" s="26">
        <v>292</v>
      </c>
      <c r="T46" s="26">
        <v>101</v>
      </c>
      <c r="U46" s="26">
        <v>2</v>
      </c>
      <c r="V46" s="26">
        <v>443</v>
      </c>
      <c r="W46" s="27">
        <v>0.10835214446952596</v>
      </c>
      <c r="X46" s="27">
        <v>0.65914221218961622</v>
      </c>
      <c r="Y46" s="27">
        <v>0.22799097065462753</v>
      </c>
      <c r="Z46" s="27">
        <v>4.5146726862302479E-3</v>
      </c>
      <c r="AA46" s="28">
        <v>26.372460496613996</v>
      </c>
      <c r="AB46" s="25">
        <f t="shared" si="5"/>
        <v>0.60045146726862297</v>
      </c>
    </row>
    <row r="47" spans="1:28" x14ac:dyDescent="0.25">
      <c r="A47" s="24">
        <v>13</v>
      </c>
      <c r="B47" s="24" t="s">
        <v>157</v>
      </c>
      <c r="C47" s="24" t="s">
        <v>158</v>
      </c>
      <c r="D47" s="24">
        <v>1</v>
      </c>
      <c r="E47" s="24">
        <v>269</v>
      </c>
      <c r="F47" s="24">
        <v>18</v>
      </c>
      <c r="G47" s="24">
        <v>4</v>
      </c>
      <c r="H47" s="24">
        <v>72</v>
      </c>
      <c r="I47" s="24">
        <v>162</v>
      </c>
      <c r="J47" s="24">
        <v>256</v>
      </c>
      <c r="K47" s="24">
        <v>13</v>
      </c>
      <c r="L47" s="24">
        <f t="shared" si="0"/>
        <v>269</v>
      </c>
      <c r="M47" s="24">
        <v>0</v>
      </c>
      <c r="N47" s="25">
        <f t="shared" si="1"/>
        <v>0.60223048327137552</v>
      </c>
      <c r="O47" s="25">
        <f t="shared" si="2"/>
        <v>6.6914498141263934E-2</v>
      </c>
      <c r="P47" s="25">
        <f t="shared" si="3"/>
        <v>0.26765799256505574</v>
      </c>
      <c r="Q47" s="25">
        <f t="shared" si="4"/>
        <v>1.4869888475836431E-2</v>
      </c>
      <c r="R47" s="26">
        <v>7</v>
      </c>
      <c r="S47" s="26">
        <v>340</v>
      </c>
      <c r="T47" s="26">
        <v>101</v>
      </c>
      <c r="U47" s="26">
        <v>2</v>
      </c>
      <c r="V47" s="26">
        <v>450</v>
      </c>
      <c r="W47" s="27">
        <v>1.5555555555555555E-2</v>
      </c>
      <c r="X47" s="27">
        <v>0.75555555555555554</v>
      </c>
      <c r="Y47" s="27">
        <v>0.22444444444444445</v>
      </c>
      <c r="Z47" s="27">
        <v>4.4444444444444444E-3</v>
      </c>
      <c r="AA47" s="28">
        <v>73.817777777777778</v>
      </c>
      <c r="AB47" s="25">
        <f t="shared" si="5"/>
        <v>0.59777777777777774</v>
      </c>
    </row>
    <row r="48" spans="1:28" x14ac:dyDescent="0.25">
      <c r="A48" s="24"/>
      <c r="B48" s="24"/>
      <c r="C48" s="24"/>
      <c r="D48" s="24">
        <v>2</v>
      </c>
      <c r="E48" s="24">
        <v>337</v>
      </c>
      <c r="F48" s="24">
        <v>15</v>
      </c>
      <c r="G48" s="24">
        <v>2</v>
      </c>
      <c r="H48" s="24">
        <v>59</v>
      </c>
      <c r="I48" s="24">
        <v>250</v>
      </c>
      <c r="J48" s="24">
        <v>326</v>
      </c>
      <c r="K48" s="24">
        <v>11</v>
      </c>
      <c r="L48" s="24">
        <f t="shared" si="0"/>
        <v>337</v>
      </c>
      <c r="M48" s="24">
        <v>0</v>
      </c>
      <c r="N48" s="25">
        <f t="shared" si="1"/>
        <v>0.74183976261127593</v>
      </c>
      <c r="O48" s="25">
        <f t="shared" si="2"/>
        <v>4.4510385756676561E-2</v>
      </c>
      <c r="P48" s="25">
        <f t="shared" si="3"/>
        <v>0.17507418397626112</v>
      </c>
      <c r="Q48" s="25">
        <f t="shared" si="4"/>
        <v>5.9347181008902079E-3</v>
      </c>
      <c r="R48" s="26">
        <v>5</v>
      </c>
      <c r="S48" s="26">
        <v>342</v>
      </c>
      <c r="T48" s="26">
        <v>140</v>
      </c>
      <c r="U48" s="26">
        <v>1</v>
      </c>
      <c r="V48" s="26">
        <v>488</v>
      </c>
      <c r="W48" s="27">
        <v>1.0245901639344262E-2</v>
      </c>
      <c r="X48" s="27">
        <v>0.70081967213114749</v>
      </c>
      <c r="Y48" s="27">
        <v>0.28688524590163933</v>
      </c>
      <c r="Z48" s="27">
        <v>2.0491803278688526E-3</v>
      </c>
      <c r="AA48" s="28">
        <v>55.725409836065573</v>
      </c>
      <c r="AB48" s="25">
        <f t="shared" si="5"/>
        <v>0.69057377049180324</v>
      </c>
    </row>
    <row r="49" spans="1:28" x14ac:dyDescent="0.25">
      <c r="A49" s="24"/>
      <c r="B49" s="24"/>
      <c r="C49" s="24"/>
      <c r="D49" s="24">
        <v>3</v>
      </c>
      <c r="E49" s="24">
        <v>296</v>
      </c>
      <c r="F49" s="24">
        <v>9</v>
      </c>
      <c r="G49" s="24">
        <v>7</v>
      </c>
      <c r="H49" s="24">
        <v>46</v>
      </c>
      <c r="I49" s="24">
        <v>234</v>
      </c>
      <c r="J49" s="24">
        <v>296</v>
      </c>
      <c r="K49" s="24">
        <v>0</v>
      </c>
      <c r="L49" s="24">
        <f t="shared" si="0"/>
        <v>296</v>
      </c>
      <c r="M49" s="24">
        <v>0</v>
      </c>
      <c r="N49" s="25">
        <f t="shared" si="1"/>
        <v>0.79054054054054057</v>
      </c>
      <c r="O49" s="25">
        <f t="shared" si="2"/>
        <v>3.0405405405405407E-2</v>
      </c>
      <c r="P49" s="25">
        <f t="shared" si="3"/>
        <v>0.1554054054054054</v>
      </c>
      <c r="Q49" s="25">
        <f t="shared" si="4"/>
        <v>2.364864864864865E-2</v>
      </c>
      <c r="R49" s="26">
        <v>16</v>
      </c>
      <c r="S49" s="26">
        <v>268</v>
      </c>
      <c r="T49" s="26">
        <v>186</v>
      </c>
      <c r="U49" s="26">
        <v>18</v>
      </c>
      <c r="V49" s="26">
        <v>488</v>
      </c>
      <c r="W49" s="27">
        <v>3.2786885245901641E-2</v>
      </c>
      <c r="X49" s="27">
        <v>0.54918032786885251</v>
      </c>
      <c r="Y49" s="27">
        <v>0.38114754098360654</v>
      </c>
      <c r="Z49" s="27">
        <v>3.6885245901639344E-2</v>
      </c>
      <c r="AA49" s="28">
        <v>35.657786885245905</v>
      </c>
      <c r="AB49" s="25">
        <f t="shared" si="5"/>
        <v>0.60655737704918034</v>
      </c>
    </row>
    <row r="50" spans="1:28" x14ac:dyDescent="0.25">
      <c r="A50" s="24">
        <v>14</v>
      </c>
      <c r="B50" s="24" t="s">
        <v>159</v>
      </c>
      <c r="C50" s="24" t="s">
        <v>160</v>
      </c>
      <c r="D50" s="24">
        <v>1</v>
      </c>
      <c r="E50" s="24">
        <v>97</v>
      </c>
      <c r="F50" s="24">
        <v>5</v>
      </c>
      <c r="G50" s="24">
        <v>1</v>
      </c>
      <c r="H50" s="24">
        <v>31</v>
      </c>
      <c r="I50" s="24">
        <v>57</v>
      </c>
      <c r="J50" s="24">
        <v>94</v>
      </c>
      <c r="K50" s="24">
        <v>3</v>
      </c>
      <c r="L50" s="24">
        <f t="shared" si="0"/>
        <v>97</v>
      </c>
      <c r="M50" s="24">
        <v>0</v>
      </c>
      <c r="N50" s="25">
        <f t="shared" si="1"/>
        <v>0.58762886597938147</v>
      </c>
      <c r="O50" s="25">
        <f t="shared" si="2"/>
        <v>5.1546391752577317E-2</v>
      </c>
      <c r="P50" s="25">
        <f t="shared" si="3"/>
        <v>0.31958762886597936</v>
      </c>
      <c r="Q50" s="25">
        <f t="shared" si="4"/>
        <v>1.0309278350515464E-2</v>
      </c>
      <c r="R50" s="26">
        <v>31</v>
      </c>
      <c r="S50" s="26">
        <v>18</v>
      </c>
      <c r="T50" s="26">
        <v>172</v>
      </c>
      <c r="U50" s="26">
        <v>1</v>
      </c>
      <c r="V50" s="26">
        <v>222</v>
      </c>
      <c r="W50" s="27">
        <v>0.13963963963963963</v>
      </c>
      <c r="X50" s="27">
        <v>8.1081081081081086E-2</v>
      </c>
      <c r="Y50" s="27">
        <v>0.77477477477477474</v>
      </c>
      <c r="Z50" s="27">
        <v>4.5045045045045045E-3</v>
      </c>
      <c r="AA50" s="28">
        <v>49.036036036036037</v>
      </c>
      <c r="AB50" s="25">
        <f t="shared" si="5"/>
        <v>0.43693693693693691</v>
      </c>
    </row>
    <row r="51" spans="1:28" x14ac:dyDescent="0.25">
      <c r="A51" s="24">
        <v>15</v>
      </c>
      <c r="B51" s="24" t="s">
        <v>161</v>
      </c>
      <c r="C51" s="24" t="s">
        <v>162</v>
      </c>
      <c r="D51" s="24">
        <v>1</v>
      </c>
      <c r="E51" s="24">
        <v>363</v>
      </c>
      <c r="F51" s="24">
        <v>69</v>
      </c>
      <c r="G51" s="24">
        <v>1</v>
      </c>
      <c r="H51" s="24">
        <v>225</v>
      </c>
      <c r="I51" s="24">
        <v>66</v>
      </c>
      <c r="J51" s="24">
        <v>361</v>
      </c>
      <c r="K51" s="24">
        <v>2</v>
      </c>
      <c r="L51" s="24">
        <f t="shared" si="0"/>
        <v>363</v>
      </c>
      <c r="M51" s="24">
        <v>0</v>
      </c>
      <c r="N51" s="25">
        <f t="shared" si="1"/>
        <v>0.18181818181818182</v>
      </c>
      <c r="O51" s="25">
        <f t="shared" si="2"/>
        <v>0.19008264462809918</v>
      </c>
      <c r="P51" s="25">
        <f t="shared" si="3"/>
        <v>0.6198347107438017</v>
      </c>
      <c r="Q51" s="25">
        <f t="shared" si="4"/>
        <v>2.7548209366391185E-3</v>
      </c>
      <c r="R51" s="26">
        <v>419</v>
      </c>
      <c r="S51" s="26">
        <v>7</v>
      </c>
      <c r="T51" s="26">
        <v>22</v>
      </c>
      <c r="U51" s="26">
        <v>2</v>
      </c>
      <c r="V51" s="26">
        <v>450</v>
      </c>
      <c r="W51" s="27">
        <v>0.93111111111111111</v>
      </c>
      <c r="X51" s="27">
        <v>1.5555555555555555E-2</v>
      </c>
      <c r="Y51" s="27">
        <v>4.8888888888888891E-2</v>
      </c>
      <c r="Z51" s="27">
        <v>4.4444444444444444E-3</v>
      </c>
      <c r="AA51" s="28">
        <v>61.348888888888887</v>
      </c>
      <c r="AB51" s="25">
        <f t="shared" si="5"/>
        <v>0.80666666666666664</v>
      </c>
    </row>
    <row r="52" spans="1:28" x14ac:dyDescent="0.25">
      <c r="A52" s="24"/>
      <c r="B52" s="24"/>
      <c r="C52" s="24"/>
      <c r="D52" s="24">
        <v>2</v>
      </c>
      <c r="E52" s="24">
        <v>459</v>
      </c>
      <c r="F52" s="24">
        <v>138</v>
      </c>
      <c r="G52" s="24">
        <v>6</v>
      </c>
      <c r="H52" s="24">
        <v>237</v>
      </c>
      <c r="I52" s="24">
        <v>72</v>
      </c>
      <c r="J52" s="24">
        <v>453</v>
      </c>
      <c r="K52" s="24">
        <v>6</v>
      </c>
      <c r="L52" s="24">
        <f t="shared" si="0"/>
        <v>459</v>
      </c>
      <c r="M52" s="24">
        <v>0</v>
      </c>
      <c r="N52" s="25">
        <f t="shared" si="1"/>
        <v>0.15686274509803921</v>
      </c>
      <c r="O52" s="25">
        <f t="shared" si="2"/>
        <v>0.30065359477124182</v>
      </c>
      <c r="P52" s="25">
        <f t="shared" si="3"/>
        <v>0.5163398692810458</v>
      </c>
      <c r="Q52" s="25">
        <f t="shared" si="4"/>
        <v>1.3071895424836602E-2</v>
      </c>
      <c r="R52" s="26">
        <v>552</v>
      </c>
      <c r="S52" s="26">
        <v>3</v>
      </c>
      <c r="T52" s="26">
        <v>32</v>
      </c>
      <c r="U52" s="26">
        <v>3</v>
      </c>
      <c r="V52" s="26">
        <v>590</v>
      </c>
      <c r="W52" s="27">
        <v>0.93559322033898307</v>
      </c>
      <c r="X52" s="27">
        <v>5.084745762711864E-3</v>
      </c>
      <c r="Y52" s="27">
        <v>5.4237288135593219E-2</v>
      </c>
      <c r="Z52" s="27">
        <v>5.084745762711864E-3</v>
      </c>
      <c r="AA52" s="28">
        <v>49.783050847457631</v>
      </c>
      <c r="AB52" s="25">
        <f t="shared" si="5"/>
        <v>0.7779661016949152</v>
      </c>
    </row>
    <row r="53" spans="1:28" x14ac:dyDescent="0.25">
      <c r="A53" s="24"/>
      <c r="B53" s="24"/>
      <c r="C53" s="24"/>
      <c r="D53" s="24">
        <v>3</v>
      </c>
      <c r="E53" s="24">
        <v>414</v>
      </c>
      <c r="F53" s="24">
        <v>159</v>
      </c>
      <c r="G53" s="24">
        <v>7</v>
      </c>
      <c r="H53" s="24">
        <v>182</v>
      </c>
      <c r="I53" s="24">
        <v>66</v>
      </c>
      <c r="J53" s="24">
        <v>414</v>
      </c>
      <c r="K53" s="24">
        <v>0</v>
      </c>
      <c r="L53" s="24">
        <f t="shared" si="0"/>
        <v>414</v>
      </c>
      <c r="M53" s="24">
        <v>0</v>
      </c>
      <c r="N53" s="25">
        <f t="shared" si="1"/>
        <v>0.15942028985507245</v>
      </c>
      <c r="O53" s="25">
        <f t="shared" si="2"/>
        <v>0.38405797101449274</v>
      </c>
      <c r="P53" s="25">
        <f t="shared" si="3"/>
        <v>0.43961352657004832</v>
      </c>
      <c r="Q53" s="25">
        <f t="shared" si="4"/>
        <v>1.6908212560386472E-2</v>
      </c>
      <c r="R53" s="26">
        <v>553</v>
      </c>
      <c r="S53" s="26">
        <v>2</v>
      </c>
      <c r="T53" s="26">
        <v>34</v>
      </c>
      <c r="U53" s="26">
        <v>1</v>
      </c>
      <c r="V53" s="26">
        <v>590</v>
      </c>
      <c r="W53" s="27">
        <v>0.93728813559322033</v>
      </c>
      <c r="X53" s="27">
        <v>3.3898305084745762E-3</v>
      </c>
      <c r="Y53" s="27">
        <v>5.7627118644067797E-2</v>
      </c>
      <c r="Z53" s="27">
        <v>1.6949152542372881E-3</v>
      </c>
      <c r="AA53" s="28">
        <v>34.955932203389828</v>
      </c>
      <c r="AB53" s="25">
        <f t="shared" si="5"/>
        <v>0.70169491525423733</v>
      </c>
    </row>
    <row r="54" spans="1:28" x14ac:dyDescent="0.25">
      <c r="A54" s="24"/>
      <c r="B54" s="24"/>
      <c r="C54" s="24"/>
      <c r="D54" s="24">
        <v>4</v>
      </c>
      <c r="E54" s="24">
        <v>440</v>
      </c>
      <c r="F54" s="24">
        <v>180</v>
      </c>
      <c r="G54" s="24">
        <v>3</v>
      </c>
      <c r="H54" s="24">
        <v>167</v>
      </c>
      <c r="I54" s="24">
        <v>87</v>
      </c>
      <c r="J54" s="24">
        <v>437</v>
      </c>
      <c r="K54" s="24">
        <v>3</v>
      </c>
      <c r="L54" s="24">
        <f t="shared" si="0"/>
        <v>440</v>
      </c>
      <c r="M54" s="24">
        <v>0</v>
      </c>
      <c r="N54" s="25">
        <f t="shared" si="1"/>
        <v>0.19772727272727272</v>
      </c>
      <c r="O54" s="25">
        <f t="shared" si="2"/>
        <v>0.40909090909090912</v>
      </c>
      <c r="P54" s="25">
        <f t="shared" si="3"/>
        <v>0.37954545454545452</v>
      </c>
      <c r="Q54" s="25">
        <f t="shared" si="4"/>
        <v>6.8181818181818179E-3</v>
      </c>
      <c r="R54" s="26">
        <v>568</v>
      </c>
      <c r="S54" s="26">
        <v>1</v>
      </c>
      <c r="T54" s="26">
        <v>20</v>
      </c>
      <c r="U54" s="26">
        <v>1</v>
      </c>
      <c r="V54" s="26">
        <v>590</v>
      </c>
      <c r="W54" s="27">
        <v>0.96271186440677969</v>
      </c>
      <c r="X54" s="27">
        <v>1.6949152542372881E-3</v>
      </c>
      <c r="Y54" s="27">
        <v>3.3898305084745763E-2</v>
      </c>
      <c r="Z54" s="27">
        <v>1.6949152542372881E-3</v>
      </c>
      <c r="AA54" s="28">
        <v>27.91186440677966</v>
      </c>
      <c r="AB54" s="25">
        <f t="shared" si="5"/>
        <v>0.74576271186440679</v>
      </c>
    </row>
    <row r="55" spans="1:28" x14ac:dyDescent="0.25">
      <c r="A55" s="24"/>
      <c r="B55" s="24"/>
      <c r="C55" s="24"/>
      <c r="D55" s="24">
        <v>5</v>
      </c>
      <c r="E55" s="24">
        <v>466</v>
      </c>
      <c r="F55" s="24">
        <v>204</v>
      </c>
      <c r="G55" s="24">
        <v>4</v>
      </c>
      <c r="H55" s="24">
        <v>172</v>
      </c>
      <c r="I55" s="24">
        <v>81</v>
      </c>
      <c r="J55" s="24">
        <v>461</v>
      </c>
      <c r="K55" s="24">
        <v>5</v>
      </c>
      <c r="L55" s="24">
        <f t="shared" si="0"/>
        <v>466</v>
      </c>
      <c r="M55" s="24">
        <v>0</v>
      </c>
      <c r="N55" s="25">
        <f t="shared" si="1"/>
        <v>0.17381974248927037</v>
      </c>
      <c r="O55" s="25">
        <f t="shared" si="2"/>
        <v>0.43776824034334766</v>
      </c>
      <c r="P55" s="25">
        <f t="shared" si="3"/>
        <v>0.36909871244635195</v>
      </c>
      <c r="Q55" s="25">
        <f t="shared" si="4"/>
        <v>8.5836909871244635E-3</v>
      </c>
      <c r="R55" s="26">
        <v>571</v>
      </c>
      <c r="S55" s="26">
        <v>3</v>
      </c>
      <c r="T55" s="26">
        <v>16</v>
      </c>
      <c r="U55" s="26">
        <v>0</v>
      </c>
      <c r="V55" s="26">
        <v>590</v>
      </c>
      <c r="W55" s="27">
        <v>0.96779661016949148</v>
      </c>
      <c r="X55" s="27">
        <v>5.084745762711864E-3</v>
      </c>
      <c r="Y55" s="27">
        <v>2.7118644067796609E-2</v>
      </c>
      <c r="Z55" s="27">
        <v>0</v>
      </c>
      <c r="AA55" s="28">
        <v>21.335593220338982</v>
      </c>
      <c r="AB55" s="25">
        <f t="shared" si="5"/>
        <v>0.78983050847457625</v>
      </c>
    </row>
    <row r="56" spans="1:28" x14ac:dyDescent="0.25">
      <c r="A56" s="24"/>
      <c r="B56" s="24"/>
      <c r="C56" s="24" t="s">
        <v>163</v>
      </c>
      <c r="D56" s="24">
        <v>1</v>
      </c>
      <c r="E56" s="24">
        <v>383</v>
      </c>
      <c r="F56" s="24">
        <v>46</v>
      </c>
      <c r="G56" s="24">
        <v>2</v>
      </c>
      <c r="H56" s="24">
        <v>271</v>
      </c>
      <c r="I56" s="24">
        <v>55</v>
      </c>
      <c r="J56" s="24">
        <v>374</v>
      </c>
      <c r="K56" s="24">
        <v>9</v>
      </c>
      <c r="L56" s="24">
        <f t="shared" si="0"/>
        <v>383</v>
      </c>
      <c r="M56" s="24">
        <v>0</v>
      </c>
      <c r="N56" s="25">
        <f t="shared" si="1"/>
        <v>0.14360313315926893</v>
      </c>
      <c r="O56" s="25">
        <f t="shared" si="2"/>
        <v>0.12010443864229765</v>
      </c>
      <c r="P56" s="25">
        <f t="shared" si="3"/>
        <v>0.70757180156657962</v>
      </c>
      <c r="Q56" s="25">
        <f t="shared" si="4"/>
        <v>5.2219321148825066E-3</v>
      </c>
      <c r="R56" s="26">
        <v>448</v>
      </c>
      <c r="S56" s="26">
        <v>0</v>
      </c>
      <c r="T56" s="26">
        <v>2</v>
      </c>
      <c r="U56" s="26">
        <v>0</v>
      </c>
      <c r="V56" s="26">
        <v>450</v>
      </c>
      <c r="W56" s="27">
        <v>0.99555555555555553</v>
      </c>
      <c r="X56" s="27">
        <v>0</v>
      </c>
      <c r="Y56" s="27">
        <v>4.4444444444444444E-3</v>
      </c>
      <c r="Z56" s="27">
        <v>0</v>
      </c>
      <c r="AA56" s="28">
        <v>64.451111111111118</v>
      </c>
      <c r="AB56" s="25">
        <f t="shared" si="5"/>
        <v>0.85111111111111115</v>
      </c>
    </row>
    <row r="57" spans="1:28" x14ac:dyDescent="0.25">
      <c r="A57" s="24"/>
      <c r="B57" s="24"/>
      <c r="C57" s="24"/>
      <c r="D57" s="24">
        <v>2</v>
      </c>
      <c r="E57" s="24">
        <v>391</v>
      </c>
      <c r="F57" s="24">
        <v>71</v>
      </c>
      <c r="G57" s="24">
        <v>5</v>
      </c>
      <c r="H57" s="24">
        <v>249</v>
      </c>
      <c r="I57" s="24">
        <v>57</v>
      </c>
      <c r="J57" s="24">
        <v>382</v>
      </c>
      <c r="K57" s="24">
        <v>9</v>
      </c>
      <c r="L57" s="24">
        <f t="shared" si="0"/>
        <v>391</v>
      </c>
      <c r="M57" s="24">
        <v>0</v>
      </c>
      <c r="N57" s="25">
        <f t="shared" si="1"/>
        <v>0.14578005115089515</v>
      </c>
      <c r="O57" s="25">
        <f t="shared" si="2"/>
        <v>0.1815856777493606</v>
      </c>
      <c r="P57" s="25">
        <f t="shared" si="3"/>
        <v>0.63682864450127874</v>
      </c>
      <c r="Q57" s="25">
        <f t="shared" si="4"/>
        <v>1.278772378516624E-2</v>
      </c>
      <c r="R57" s="26">
        <v>448</v>
      </c>
      <c r="S57" s="26">
        <v>0</v>
      </c>
      <c r="T57" s="26">
        <v>2</v>
      </c>
      <c r="U57" s="26">
        <v>0</v>
      </c>
      <c r="V57" s="26">
        <v>450</v>
      </c>
      <c r="W57" s="27">
        <v>0.99555555555555553</v>
      </c>
      <c r="X57" s="27">
        <v>0</v>
      </c>
      <c r="Y57" s="27">
        <v>4.4444444444444444E-3</v>
      </c>
      <c r="Z57" s="27">
        <v>0</v>
      </c>
      <c r="AA57" s="28">
        <v>56.533333333333331</v>
      </c>
      <c r="AB57" s="25">
        <f t="shared" si="5"/>
        <v>0.86888888888888893</v>
      </c>
    </row>
    <row r="58" spans="1:28" x14ac:dyDescent="0.25">
      <c r="A58" s="24"/>
      <c r="B58" s="24"/>
      <c r="C58" s="24"/>
      <c r="D58" s="24">
        <v>3</v>
      </c>
      <c r="E58" s="24">
        <v>575</v>
      </c>
      <c r="F58" s="24">
        <v>202</v>
      </c>
      <c r="G58" s="24">
        <v>3</v>
      </c>
      <c r="H58" s="24">
        <v>291</v>
      </c>
      <c r="I58" s="24">
        <v>72</v>
      </c>
      <c r="J58" s="24">
        <v>568</v>
      </c>
      <c r="K58" s="24">
        <v>7</v>
      </c>
      <c r="L58" s="24">
        <f t="shared" si="0"/>
        <v>575</v>
      </c>
      <c r="M58" s="24">
        <v>0</v>
      </c>
      <c r="N58" s="25">
        <f t="shared" si="1"/>
        <v>0.12521739130434784</v>
      </c>
      <c r="O58" s="25">
        <f t="shared" si="2"/>
        <v>0.35130434782608694</v>
      </c>
      <c r="P58" s="25">
        <f t="shared" si="3"/>
        <v>0.50608695652173918</v>
      </c>
      <c r="Q58" s="25">
        <f t="shared" si="4"/>
        <v>5.2173913043478265E-3</v>
      </c>
      <c r="R58" s="26">
        <v>711</v>
      </c>
      <c r="S58" s="26">
        <v>0</v>
      </c>
      <c r="T58" s="26">
        <v>5</v>
      </c>
      <c r="U58" s="26">
        <v>0</v>
      </c>
      <c r="V58" s="26">
        <v>716</v>
      </c>
      <c r="W58" s="27">
        <v>0.99301675977653636</v>
      </c>
      <c r="X58" s="27">
        <v>0</v>
      </c>
      <c r="Y58" s="27">
        <v>6.9832402234636867E-3</v>
      </c>
      <c r="Z58" s="27">
        <v>0</v>
      </c>
      <c r="AA58" s="28">
        <v>39.539106145251395</v>
      </c>
      <c r="AB58" s="25">
        <f t="shared" si="5"/>
        <v>0.80307262569832405</v>
      </c>
    </row>
    <row r="59" spans="1:28" x14ac:dyDescent="0.25">
      <c r="A59" s="24"/>
      <c r="B59" s="24"/>
      <c r="C59" s="24"/>
      <c r="D59" s="24">
        <v>4</v>
      </c>
      <c r="E59" s="24">
        <v>546</v>
      </c>
      <c r="F59" s="24">
        <v>226</v>
      </c>
      <c r="G59" s="24">
        <v>5</v>
      </c>
      <c r="H59" s="24">
        <v>249</v>
      </c>
      <c r="I59" s="24">
        <v>62</v>
      </c>
      <c r="J59" s="24">
        <v>542</v>
      </c>
      <c r="K59" s="24">
        <v>4</v>
      </c>
      <c r="L59" s="24">
        <f t="shared" si="0"/>
        <v>546</v>
      </c>
      <c r="M59" s="24">
        <v>0</v>
      </c>
      <c r="N59" s="25">
        <f t="shared" si="1"/>
        <v>0.11355311355311355</v>
      </c>
      <c r="O59" s="25">
        <f t="shared" si="2"/>
        <v>0.41391941391941389</v>
      </c>
      <c r="P59" s="25">
        <f t="shared" si="3"/>
        <v>0.45604395604395603</v>
      </c>
      <c r="Q59" s="25">
        <f t="shared" si="4"/>
        <v>9.1575091575091579E-3</v>
      </c>
      <c r="R59" s="26">
        <v>715</v>
      </c>
      <c r="S59" s="26">
        <v>1</v>
      </c>
      <c r="T59" s="26">
        <v>1</v>
      </c>
      <c r="U59" s="26">
        <v>0</v>
      </c>
      <c r="V59" s="26">
        <v>717</v>
      </c>
      <c r="W59" s="27">
        <v>0.99721059972105996</v>
      </c>
      <c r="X59" s="27">
        <v>1.3947001394700139E-3</v>
      </c>
      <c r="Y59" s="27">
        <v>1.3947001394700139E-3</v>
      </c>
      <c r="Z59" s="27">
        <v>0</v>
      </c>
      <c r="AA59" s="28">
        <v>33.126917712691771</v>
      </c>
      <c r="AB59" s="25">
        <f t="shared" si="5"/>
        <v>0.7615062761506276</v>
      </c>
    </row>
    <row r="60" spans="1:28" x14ac:dyDescent="0.25">
      <c r="A60" s="24"/>
      <c r="B60" s="24"/>
      <c r="C60" s="24"/>
      <c r="D60" s="24">
        <v>5</v>
      </c>
      <c r="E60" s="24">
        <v>579</v>
      </c>
      <c r="F60" s="24">
        <v>232</v>
      </c>
      <c r="G60" s="24">
        <v>5</v>
      </c>
      <c r="H60" s="24">
        <v>257</v>
      </c>
      <c r="I60" s="24">
        <v>81</v>
      </c>
      <c r="J60" s="24">
        <v>575</v>
      </c>
      <c r="K60" s="24">
        <v>4</v>
      </c>
      <c r="L60" s="24">
        <f t="shared" si="0"/>
        <v>579</v>
      </c>
      <c r="M60" s="24">
        <v>0</v>
      </c>
      <c r="N60" s="25">
        <f t="shared" si="1"/>
        <v>0.13989637305699482</v>
      </c>
      <c r="O60" s="25">
        <f t="shared" si="2"/>
        <v>0.40069084628670121</v>
      </c>
      <c r="P60" s="25">
        <f t="shared" si="3"/>
        <v>0.44386873920552677</v>
      </c>
      <c r="Q60" s="25">
        <f t="shared" si="4"/>
        <v>8.6355785837651123E-3</v>
      </c>
      <c r="R60" s="26">
        <v>717</v>
      </c>
      <c r="S60" s="26">
        <v>0</v>
      </c>
      <c r="T60" s="26">
        <v>0</v>
      </c>
      <c r="U60" s="26">
        <v>0</v>
      </c>
      <c r="V60" s="26">
        <v>717</v>
      </c>
      <c r="W60" s="27">
        <v>1</v>
      </c>
      <c r="X60" s="27">
        <v>0</v>
      </c>
      <c r="Y60" s="27">
        <v>0</v>
      </c>
      <c r="Z60" s="27">
        <v>0</v>
      </c>
      <c r="AA60" s="28">
        <v>24.483960948396096</v>
      </c>
      <c r="AB60" s="25">
        <f t="shared" si="5"/>
        <v>0.80753138075313813</v>
      </c>
    </row>
    <row r="61" spans="1:28" x14ac:dyDescent="0.25">
      <c r="A61" s="24">
        <v>16</v>
      </c>
      <c r="B61" s="24" t="s">
        <v>164</v>
      </c>
      <c r="C61" s="24" t="s">
        <v>165</v>
      </c>
      <c r="D61" s="24">
        <v>1</v>
      </c>
      <c r="E61" s="24">
        <v>382</v>
      </c>
      <c r="F61" s="24">
        <v>59</v>
      </c>
      <c r="G61" s="24">
        <v>11</v>
      </c>
      <c r="H61" s="24">
        <v>266</v>
      </c>
      <c r="I61" s="24">
        <v>43</v>
      </c>
      <c r="J61" s="24">
        <v>379</v>
      </c>
      <c r="K61" s="24">
        <v>2</v>
      </c>
      <c r="L61" s="24">
        <f t="shared" si="0"/>
        <v>381</v>
      </c>
      <c r="M61" s="24">
        <v>1</v>
      </c>
      <c r="N61" s="25">
        <f t="shared" si="1"/>
        <v>0.11286089238845144</v>
      </c>
      <c r="O61" s="25">
        <f t="shared" si="2"/>
        <v>0.15485564304461943</v>
      </c>
      <c r="P61" s="25">
        <f t="shared" si="3"/>
        <v>0.69816272965879267</v>
      </c>
      <c r="Q61" s="25">
        <f t="shared" si="4"/>
        <v>2.8871391076115485E-2</v>
      </c>
      <c r="R61" s="26">
        <v>430</v>
      </c>
      <c r="S61" s="26">
        <v>0</v>
      </c>
      <c r="T61" s="26">
        <v>19</v>
      </c>
      <c r="U61" s="26">
        <v>1</v>
      </c>
      <c r="V61" s="26">
        <v>450</v>
      </c>
      <c r="W61" s="27">
        <v>0.9555555555555556</v>
      </c>
      <c r="X61" s="27">
        <v>0</v>
      </c>
      <c r="Y61" s="27">
        <v>4.2222222222222223E-2</v>
      </c>
      <c r="Z61" s="27">
        <v>2.2222222222222222E-3</v>
      </c>
      <c r="AA61" s="28">
        <v>60.386666666666663</v>
      </c>
      <c r="AB61" s="25">
        <f t="shared" si="5"/>
        <v>0.84666666666666668</v>
      </c>
    </row>
    <row r="62" spans="1:28" x14ac:dyDescent="0.25">
      <c r="A62" s="24"/>
      <c r="B62" s="24"/>
      <c r="C62" s="24"/>
      <c r="D62" s="24">
        <v>2</v>
      </c>
      <c r="E62" s="24">
        <v>401</v>
      </c>
      <c r="F62" s="24">
        <v>136</v>
      </c>
      <c r="G62" s="24">
        <v>2</v>
      </c>
      <c r="H62" s="24">
        <v>220</v>
      </c>
      <c r="I62" s="24">
        <v>40</v>
      </c>
      <c r="J62" s="24">
        <v>398</v>
      </c>
      <c r="K62" s="24">
        <v>3</v>
      </c>
      <c r="L62" s="24">
        <f t="shared" si="0"/>
        <v>401</v>
      </c>
      <c r="M62" s="24">
        <v>0</v>
      </c>
      <c r="N62" s="25">
        <f t="shared" si="1"/>
        <v>9.9750623441396513E-2</v>
      </c>
      <c r="O62" s="25">
        <f t="shared" si="2"/>
        <v>0.33915211970074816</v>
      </c>
      <c r="P62" s="25">
        <f t="shared" si="3"/>
        <v>0.54862842892768082</v>
      </c>
      <c r="Q62" s="25">
        <f t="shared" si="4"/>
        <v>4.9875311720698253E-3</v>
      </c>
      <c r="R62" s="26">
        <v>520</v>
      </c>
      <c r="S62" s="26">
        <v>1</v>
      </c>
      <c r="T62" s="26">
        <v>16</v>
      </c>
      <c r="U62" s="26">
        <v>1</v>
      </c>
      <c r="V62" s="26">
        <v>538</v>
      </c>
      <c r="W62" s="27">
        <v>0.96654275092936803</v>
      </c>
      <c r="X62" s="27">
        <v>1.8587360594795538E-3</v>
      </c>
      <c r="Y62" s="27">
        <v>2.9739776951672861E-2</v>
      </c>
      <c r="Z62" s="27">
        <v>1.8587360594795538E-3</v>
      </c>
      <c r="AA62" s="28">
        <v>38.847583643122675</v>
      </c>
      <c r="AB62" s="25">
        <f t="shared" si="5"/>
        <v>0.74535315985130113</v>
      </c>
    </row>
    <row r="63" spans="1:28" x14ac:dyDescent="0.25">
      <c r="A63" s="24"/>
      <c r="B63" s="24"/>
      <c r="C63" s="24"/>
      <c r="D63" s="24">
        <v>3</v>
      </c>
      <c r="E63" s="24">
        <v>418</v>
      </c>
      <c r="F63" s="24">
        <v>150</v>
      </c>
      <c r="G63" s="24">
        <v>7</v>
      </c>
      <c r="H63" s="24">
        <v>213</v>
      </c>
      <c r="I63" s="24">
        <v>47</v>
      </c>
      <c r="J63" s="24">
        <v>417</v>
      </c>
      <c r="K63" s="24">
        <v>1</v>
      </c>
      <c r="L63" s="24">
        <f t="shared" si="0"/>
        <v>418</v>
      </c>
      <c r="M63" s="24">
        <v>0</v>
      </c>
      <c r="N63" s="25">
        <f t="shared" si="1"/>
        <v>0.11244019138755981</v>
      </c>
      <c r="O63" s="25">
        <f t="shared" si="2"/>
        <v>0.35885167464114831</v>
      </c>
      <c r="P63" s="25">
        <f t="shared" si="3"/>
        <v>0.50956937799043067</v>
      </c>
      <c r="Q63" s="25">
        <f t="shared" si="4"/>
        <v>1.6746411483253589E-2</v>
      </c>
      <c r="R63" s="26">
        <v>538</v>
      </c>
      <c r="S63" s="26">
        <v>0</v>
      </c>
      <c r="T63" s="26">
        <v>1</v>
      </c>
      <c r="U63" s="26">
        <v>0</v>
      </c>
      <c r="V63" s="26">
        <v>539</v>
      </c>
      <c r="W63" s="27">
        <v>0.99814471243042668</v>
      </c>
      <c r="X63" s="27">
        <v>0</v>
      </c>
      <c r="Y63" s="27">
        <v>1.8552875695732839E-3</v>
      </c>
      <c r="Z63" s="27">
        <v>0</v>
      </c>
      <c r="AA63" s="28">
        <v>26.209647495361782</v>
      </c>
      <c r="AB63" s="25">
        <f t="shared" si="5"/>
        <v>0.77551020408163263</v>
      </c>
    </row>
    <row r="64" spans="1:28" x14ac:dyDescent="0.25">
      <c r="A64" s="24">
        <v>17</v>
      </c>
      <c r="B64" s="24" t="s">
        <v>166</v>
      </c>
      <c r="C64" s="24" t="s">
        <v>167</v>
      </c>
      <c r="D64" s="24">
        <v>1</v>
      </c>
      <c r="E64" s="24">
        <v>358</v>
      </c>
      <c r="F64" s="24">
        <v>40</v>
      </c>
      <c r="G64" s="24">
        <v>3</v>
      </c>
      <c r="H64" s="24">
        <v>265</v>
      </c>
      <c r="I64" s="24">
        <v>37</v>
      </c>
      <c r="J64" s="24">
        <v>345</v>
      </c>
      <c r="K64" s="24">
        <v>12</v>
      </c>
      <c r="L64" s="24">
        <f t="shared" si="0"/>
        <v>357</v>
      </c>
      <c r="M64" s="24">
        <v>1</v>
      </c>
      <c r="N64" s="25">
        <f t="shared" si="1"/>
        <v>0.10364145658263306</v>
      </c>
      <c r="O64" s="25">
        <f t="shared" si="2"/>
        <v>0.11204481792717087</v>
      </c>
      <c r="P64" s="25">
        <f t="shared" si="3"/>
        <v>0.74229691876750703</v>
      </c>
      <c r="Q64" s="25">
        <f t="shared" si="4"/>
        <v>8.4033613445378148E-3</v>
      </c>
      <c r="R64" s="26">
        <v>405</v>
      </c>
      <c r="S64" s="26">
        <v>1</v>
      </c>
      <c r="T64" s="26">
        <v>43</v>
      </c>
      <c r="U64" s="26">
        <v>1</v>
      </c>
      <c r="V64" s="26">
        <v>450</v>
      </c>
      <c r="W64" s="27">
        <v>0.9</v>
      </c>
      <c r="X64" s="27">
        <v>2.2222222222222222E-3</v>
      </c>
      <c r="Y64" s="27">
        <v>9.555555555555556E-2</v>
      </c>
      <c r="Z64" s="27">
        <v>2.2222222222222222E-3</v>
      </c>
      <c r="AA64" s="28">
        <v>65.771111111111111</v>
      </c>
      <c r="AB64" s="25">
        <f t="shared" si="5"/>
        <v>0.79333333333333333</v>
      </c>
    </row>
    <row r="65" spans="1:28" x14ac:dyDescent="0.25">
      <c r="A65" s="24"/>
      <c r="B65" s="24"/>
      <c r="C65" s="24"/>
      <c r="D65" s="24">
        <v>2</v>
      </c>
      <c r="E65" s="24">
        <v>398</v>
      </c>
      <c r="F65" s="24">
        <v>42</v>
      </c>
      <c r="G65" s="24">
        <v>1</v>
      </c>
      <c r="H65" s="24">
        <v>325</v>
      </c>
      <c r="I65" s="24">
        <v>26</v>
      </c>
      <c r="J65" s="24">
        <v>394</v>
      </c>
      <c r="K65" s="24">
        <v>4</v>
      </c>
      <c r="L65" s="24">
        <f t="shared" si="0"/>
        <v>398</v>
      </c>
      <c r="M65" s="24">
        <v>0</v>
      </c>
      <c r="N65" s="25">
        <f t="shared" si="1"/>
        <v>6.5326633165829151E-2</v>
      </c>
      <c r="O65" s="25">
        <f t="shared" si="2"/>
        <v>0.10552763819095477</v>
      </c>
      <c r="P65" s="25">
        <f t="shared" si="3"/>
        <v>0.81658291457286436</v>
      </c>
      <c r="Q65" s="25">
        <f t="shared" si="4"/>
        <v>2.5125628140703518E-3</v>
      </c>
      <c r="R65" s="26">
        <v>439</v>
      </c>
      <c r="S65" s="26">
        <v>1</v>
      </c>
      <c r="T65" s="26">
        <v>9</v>
      </c>
      <c r="U65" s="26">
        <v>1</v>
      </c>
      <c r="V65" s="26">
        <v>450</v>
      </c>
      <c r="W65" s="27">
        <v>0.97555555555555551</v>
      </c>
      <c r="X65" s="27">
        <v>2.2222222222222222E-3</v>
      </c>
      <c r="Y65" s="27">
        <v>0.02</v>
      </c>
      <c r="Z65" s="27">
        <v>2.2222222222222222E-3</v>
      </c>
      <c r="AA65" s="28">
        <v>61.742222222222225</v>
      </c>
      <c r="AB65" s="25">
        <f t="shared" si="5"/>
        <v>0.88444444444444448</v>
      </c>
    </row>
    <row r="66" spans="1:28" x14ac:dyDescent="0.25">
      <c r="A66" s="24"/>
      <c r="B66" s="24"/>
      <c r="C66" s="24"/>
      <c r="D66" s="24">
        <v>3</v>
      </c>
      <c r="E66" s="24">
        <v>507</v>
      </c>
      <c r="F66" s="24">
        <v>169</v>
      </c>
      <c r="G66" s="24">
        <v>3</v>
      </c>
      <c r="H66" s="24">
        <v>259</v>
      </c>
      <c r="I66" s="24">
        <v>74</v>
      </c>
      <c r="J66" s="24">
        <v>505</v>
      </c>
      <c r="K66" s="24">
        <v>2</v>
      </c>
      <c r="L66" s="24">
        <f t="shared" si="0"/>
        <v>507</v>
      </c>
      <c r="M66" s="24">
        <v>0</v>
      </c>
      <c r="N66" s="25">
        <f t="shared" si="1"/>
        <v>0.14595660749506903</v>
      </c>
      <c r="O66" s="25">
        <f t="shared" si="2"/>
        <v>0.33333333333333331</v>
      </c>
      <c r="P66" s="25">
        <f t="shared" si="3"/>
        <v>0.51084812623274167</v>
      </c>
      <c r="Q66" s="25">
        <f t="shared" si="4"/>
        <v>5.9171597633136093E-3</v>
      </c>
      <c r="R66" s="26">
        <v>621</v>
      </c>
      <c r="S66" s="26">
        <v>2</v>
      </c>
      <c r="T66" s="26">
        <v>83</v>
      </c>
      <c r="U66" s="26">
        <v>2</v>
      </c>
      <c r="V66" s="26">
        <v>708</v>
      </c>
      <c r="W66" s="27">
        <v>0.8771186440677966</v>
      </c>
      <c r="X66" s="27">
        <v>2.8248587570621469E-3</v>
      </c>
      <c r="Y66" s="27">
        <v>0.1172316384180791</v>
      </c>
      <c r="Z66" s="27">
        <v>2.8248587570621469E-3</v>
      </c>
      <c r="AA66" s="28">
        <v>44.701977401129945</v>
      </c>
      <c r="AB66" s="25">
        <f t="shared" si="5"/>
        <v>0.71610169491525422</v>
      </c>
    </row>
    <row r="67" spans="1:28" x14ac:dyDescent="0.25">
      <c r="A67" s="24"/>
      <c r="B67" s="24"/>
      <c r="C67" s="24"/>
      <c r="D67" s="24">
        <v>4</v>
      </c>
      <c r="E67" s="24">
        <v>520</v>
      </c>
      <c r="F67" s="24">
        <v>230</v>
      </c>
      <c r="G67" s="24">
        <v>3</v>
      </c>
      <c r="H67" s="24">
        <v>232</v>
      </c>
      <c r="I67" s="24">
        <v>49</v>
      </c>
      <c r="J67" s="24">
        <v>514</v>
      </c>
      <c r="K67" s="24">
        <v>6</v>
      </c>
      <c r="L67" s="24">
        <f t="shared" ref="L67:L130" si="6">K67+J67</f>
        <v>520</v>
      </c>
      <c r="M67" s="24">
        <v>0</v>
      </c>
      <c r="N67" s="25">
        <f t="shared" ref="N67:N130" si="7">I67/L67</f>
        <v>9.4230769230769229E-2</v>
      </c>
      <c r="O67" s="25">
        <f t="shared" ref="O67:O130" si="8">F67/L67</f>
        <v>0.44230769230769229</v>
      </c>
      <c r="P67" s="25">
        <f t="shared" ref="P67:P130" si="9">H67/L67</f>
        <v>0.44615384615384618</v>
      </c>
      <c r="Q67" s="25">
        <f t="shared" ref="Q67:Q130" si="10">G67/L67</f>
        <v>5.7692307692307696E-3</v>
      </c>
      <c r="R67" s="26">
        <v>682</v>
      </c>
      <c r="S67" s="26">
        <v>1</v>
      </c>
      <c r="T67" s="26">
        <v>24</v>
      </c>
      <c r="U67" s="26">
        <v>1</v>
      </c>
      <c r="V67" s="26">
        <v>708</v>
      </c>
      <c r="W67" s="27">
        <v>0.96327683615819204</v>
      </c>
      <c r="X67" s="27">
        <v>1.4124293785310734E-3</v>
      </c>
      <c r="Y67" s="27">
        <v>3.3898305084745763E-2</v>
      </c>
      <c r="Z67" s="27">
        <v>1.4124293785310734E-3</v>
      </c>
      <c r="AA67" s="28">
        <v>37.117231638418076</v>
      </c>
      <c r="AB67" s="25">
        <f t="shared" ref="AB67:AB130" si="11">L67/V67</f>
        <v>0.7344632768361582</v>
      </c>
    </row>
    <row r="68" spans="1:28" x14ac:dyDescent="0.25">
      <c r="A68" s="24"/>
      <c r="B68" s="24"/>
      <c r="C68" s="24"/>
      <c r="D68" s="24">
        <v>5</v>
      </c>
      <c r="E68" s="24">
        <v>520</v>
      </c>
      <c r="F68" s="24">
        <v>222</v>
      </c>
      <c r="G68" s="24">
        <v>0</v>
      </c>
      <c r="H68" s="24">
        <v>240</v>
      </c>
      <c r="I68" s="24">
        <v>55</v>
      </c>
      <c r="J68" s="24">
        <v>517</v>
      </c>
      <c r="K68" s="24">
        <v>3</v>
      </c>
      <c r="L68" s="24">
        <f t="shared" si="6"/>
        <v>520</v>
      </c>
      <c r="M68" s="24">
        <v>0</v>
      </c>
      <c r="N68" s="25">
        <f t="shared" si="7"/>
        <v>0.10576923076923077</v>
      </c>
      <c r="O68" s="25">
        <f t="shared" si="8"/>
        <v>0.42692307692307691</v>
      </c>
      <c r="P68" s="25">
        <f t="shared" si="9"/>
        <v>0.46153846153846156</v>
      </c>
      <c r="Q68" s="25">
        <f t="shared" si="10"/>
        <v>0</v>
      </c>
      <c r="R68" s="26">
        <v>684</v>
      </c>
      <c r="S68" s="26">
        <v>0</v>
      </c>
      <c r="T68" s="26">
        <v>25</v>
      </c>
      <c r="U68" s="26">
        <v>0</v>
      </c>
      <c r="V68" s="26">
        <v>709</v>
      </c>
      <c r="W68" s="27">
        <v>0.9647390691114246</v>
      </c>
      <c r="X68" s="27">
        <v>0</v>
      </c>
      <c r="Y68" s="27">
        <v>3.5260930888575459E-2</v>
      </c>
      <c r="Z68" s="27">
        <v>0</v>
      </c>
      <c r="AA68" s="28">
        <v>31.967559943582511</v>
      </c>
      <c r="AB68" s="25">
        <f t="shared" si="11"/>
        <v>0.7334273624823695</v>
      </c>
    </row>
    <row r="69" spans="1:28" x14ac:dyDescent="0.25">
      <c r="A69" s="24"/>
      <c r="B69" s="24"/>
      <c r="C69" s="24"/>
      <c r="D69" s="24">
        <v>6</v>
      </c>
      <c r="E69" s="24">
        <v>552</v>
      </c>
      <c r="F69" s="24">
        <v>217</v>
      </c>
      <c r="G69" s="24">
        <v>0</v>
      </c>
      <c r="H69" s="24">
        <v>262</v>
      </c>
      <c r="I69" s="24">
        <v>70</v>
      </c>
      <c r="J69" s="24">
        <v>549</v>
      </c>
      <c r="K69" s="24">
        <v>3</v>
      </c>
      <c r="L69" s="24">
        <f t="shared" si="6"/>
        <v>552</v>
      </c>
      <c r="M69" s="24">
        <v>0</v>
      </c>
      <c r="N69" s="25">
        <f t="shared" si="7"/>
        <v>0.12681159420289856</v>
      </c>
      <c r="O69" s="25">
        <f t="shared" si="8"/>
        <v>0.39311594202898553</v>
      </c>
      <c r="P69" s="25">
        <f t="shared" si="9"/>
        <v>0.47463768115942029</v>
      </c>
      <c r="Q69" s="25">
        <f t="shared" si="10"/>
        <v>0</v>
      </c>
      <c r="R69" s="26">
        <v>654</v>
      </c>
      <c r="S69" s="26">
        <v>1</v>
      </c>
      <c r="T69" s="26">
        <v>54</v>
      </c>
      <c r="U69" s="26">
        <v>0</v>
      </c>
      <c r="V69" s="26">
        <v>709</v>
      </c>
      <c r="W69" s="27">
        <v>0.922425952045134</v>
      </c>
      <c r="X69" s="27">
        <v>1.4104372355430183E-3</v>
      </c>
      <c r="Y69" s="27">
        <v>7.6163610719322997E-2</v>
      </c>
      <c r="Z69" s="27">
        <v>0</v>
      </c>
      <c r="AA69" s="28">
        <v>23.875881523272213</v>
      </c>
      <c r="AB69" s="25">
        <f t="shared" si="11"/>
        <v>0.77856135401974613</v>
      </c>
    </row>
    <row r="70" spans="1:28" x14ac:dyDescent="0.25">
      <c r="A70" s="24">
        <v>18</v>
      </c>
      <c r="B70" s="24" t="s">
        <v>168</v>
      </c>
      <c r="C70" s="24" t="s">
        <v>169</v>
      </c>
      <c r="D70" s="24">
        <v>1</v>
      </c>
      <c r="E70" s="24">
        <v>400</v>
      </c>
      <c r="F70" s="24">
        <v>75</v>
      </c>
      <c r="G70" s="24">
        <v>2</v>
      </c>
      <c r="H70" s="24">
        <v>283</v>
      </c>
      <c r="I70" s="24">
        <v>30</v>
      </c>
      <c r="J70" s="24">
        <v>390</v>
      </c>
      <c r="K70" s="24">
        <v>10</v>
      </c>
      <c r="L70" s="24">
        <f t="shared" si="6"/>
        <v>400</v>
      </c>
      <c r="M70" s="24">
        <v>0</v>
      </c>
      <c r="N70" s="25">
        <f t="shared" si="7"/>
        <v>7.4999999999999997E-2</v>
      </c>
      <c r="O70" s="25">
        <f t="shared" si="8"/>
        <v>0.1875</v>
      </c>
      <c r="P70" s="25">
        <f t="shared" si="9"/>
        <v>0.70750000000000002</v>
      </c>
      <c r="Q70" s="25">
        <f t="shared" si="10"/>
        <v>5.0000000000000001E-3</v>
      </c>
      <c r="R70" s="26">
        <v>405</v>
      </c>
      <c r="S70" s="26">
        <v>5</v>
      </c>
      <c r="T70" s="26">
        <v>34</v>
      </c>
      <c r="U70" s="26">
        <v>6</v>
      </c>
      <c r="V70" s="26">
        <v>450</v>
      </c>
      <c r="W70" s="27">
        <v>0.9</v>
      </c>
      <c r="X70" s="27">
        <v>1.1111111111111112E-2</v>
      </c>
      <c r="Y70" s="27">
        <v>7.5555555555555556E-2</v>
      </c>
      <c r="Z70" s="27">
        <v>1.3333333333333334E-2</v>
      </c>
      <c r="AA70" s="28">
        <v>63.295555555555559</v>
      </c>
      <c r="AB70" s="25">
        <f t="shared" si="11"/>
        <v>0.88888888888888884</v>
      </c>
    </row>
    <row r="71" spans="1:28" x14ac:dyDescent="0.25">
      <c r="A71" s="24"/>
      <c r="B71" s="24"/>
      <c r="C71" s="24"/>
      <c r="D71" s="24">
        <v>2</v>
      </c>
      <c r="E71" s="24">
        <v>528</v>
      </c>
      <c r="F71" s="24">
        <v>206</v>
      </c>
      <c r="G71" s="24">
        <v>4</v>
      </c>
      <c r="H71" s="24">
        <v>268</v>
      </c>
      <c r="I71" s="24">
        <v>43</v>
      </c>
      <c r="J71" s="24">
        <v>521</v>
      </c>
      <c r="K71" s="24">
        <v>7</v>
      </c>
      <c r="L71" s="24">
        <f t="shared" si="6"/>
        <v>528</v>
      </c>
      <c r="M71" s="24">
        <v>0</v>
      </c>
      <c r="N71" s="25">
        <f t="shared" si="7"/>
        <v>8.1439393939393936E-2</v>
      </c>
      <c r="O71" s="25">
        <f t="shared" si="8"/>
        <v>0.39015151515151514</v>
      </c>
      <c r="P71" s="25">
        <f t="shared" si="9"/>
        <v>0.50757575757575757</v>
      </c>
      <c r="Q71" s="25">
        <f t="shared" si="10"/>
        <v>7.575757575757576E-3</v>
      </c>
      <c r="R71" s="26">
        <v>650</v>
      </c>
      <c r="S71" s="26">
        <v>9</v>
      </c>
      <c r="T71" s="26">
        <v>32</v>
      </c>
      <c r="U71" s="26">
        <v>9</v>
      </c>
      <c r="V71" s="26">
        <v>700</v>
      </c>
      <c r="W71" s="27">
        <v>0.9285714285714286</v>
      </c>
      <c r="X71" s="27">
        <v>1.2857142857142857E-2</v>
      </c>
      <c r="Y71" s="27">
        <v>4.5714285714285714E-2</v>
      </c>
      <c r="Z71" s="27">
        <v>1.2857142857142857E-2</v>
      </c>
      <c r="AA71" s="28">
        <v>43.177142857142854</v>
      </c>
      <c r="AB71" s="25">
        <f t="shared" si="11"/>
        <v>0.75428571428571434</v>
      </c>
    </row>
    <row r="72" spans="1:28" x14ac:dyDescent="0.25">
      <c r="A72" s="24"/>
      <c r="B72" s="24"/>
      <c r="C72" s="24"/>
      <c r="D72" s="24">
        <v>3</v>
      </c>
      <c r="E72" s="24">
        <v>523</v>
      </c>
      <c r="F72" s="24">
        <v>242</v>
      </c>
      <c r="G72" s="24">
        <v>1</v>
      </c>
      <c r="H72" s="24">
        <v>228</v>
      </c>
      <c r="I72" s="24">
        <v>50</v>
      </c>
      <c r="J72" s="24">
        <v>521</v>
      </c>
      <c r="K72" s="24">
        <v>2</v>
      </c>
      <c r="L72" s="24">
        <f t="shared" si="6"/>
        <v>523</v>
      </c>
      <c r="M72" s="24">
        <v>0</v>
      </c>
      <c r="N72" s="25">
        <f t="shared" si="7"/>
        <v>9.5602294455066919E-2</v>
      </c>
      <c r="O72" s="25">
        <f t="shared" si="8"/>
        <v>0.4627151051625239</v>
      </c>
      <c r="P72" s="25">
        <f t="shared" si="9"/>
        <v>0.43594646271510518</v>
      </c>
      <c r="Q72" s="25">
        <f t="shared" si="10"/>
        <v>1.9120458891013384E-3</v>
      </c>
      <c r="R72" s="26">
        <v>669</v>
      </c>
      <c r="S72" s="26">
        <v>4</v>
      </c>
      <c r="T72" s="26">
        <v>27</v>
      </c>
      <c r="U72" s="26">
        <v>0</v>
      </c>
      <c r="V72" s="26">
        <v>700</v>
      </c>
      <c r="W72" s="27">
        <v>0.95571428571428574</v>
      </c>
      <c r="X72" s="27">
        <v>5.7142857142857143E-3</v>
      </c>
      <c r="Y72" s="27">
        <v>3.8571428571428569E-2</v>
      </c>
      <c r="Z72" s="27">
        <v>0</v>
      </c>
      <c r="AA72" s="28">
        <v>28.457142857142856</v>
      </c>
      <c r="AB72" s="25">
        <f t="shared" si="11"/>
        <v>0.74714285714285711</v>
      </c>
    </row>
    <row r="73" spans="1:28" x14ac:dyDescent="0.25">
      <c r="A73" s="24">
        <v>19</v>
      </c>
      <c r="B73" s="24" t="s">
        <v>170</v>
      </c>
      <c r="C73" s="24" t="s">
        <v>171</v>
      </c>
      <c r="D73" s="24">
        <v>1</v>
      </c>
      <c r="E73" s="24">
        <v>348</v>
      </c>
      <c r="F73" s="24">
        <v>37</v>
      </c>
      <c r="G73" s="24">
        <v>8</v>
      </c>
      <c r="H73" s="24">
        <v>263</v>
      </c>
      <c r="I73" s="24">
        <v>35</v>
      </c>
      <c r="J73" s="24">
        <v>343</v>
      </c>
      <c r="K73" s="24">
        <v>5</v>
      </c>
      <c r="L73" s="24">
        <f t="shared" si="6"/>
        <v>348</v>
      </c>
      <c r="M73" s="24">
        <v>0</v>
      </c>
      <c r="N73" s="25">
        <f t="shared" si="7"/>
        <v>0.10057471264367816</v>
      </c>
      <c r="O73" s="25">
        <f t="shared" si="8"/>
        <v>0.10632183908045977</v>
      </c>
      <c r="P73" s="25">
        <f t="shared" si="9"/>
        <v>0.75574712643678166</v>
      </c>
      <c r="Q73" s="25">
        <f t="shared" si="10"/>
        <v>2.2988505747126436E-2</v>
      </c>
      <c r="R73" s="26">
        <v>393</v>
      </c>
      <c r="S73" s="26">
        <v>2</v>
      </c>
      <c r="T73" s="26">
        <v>54</v>
      </c>
      <c r="U73" s="26">
        <v>1</v>
      </c>
      <c r="V73" s="26">
        <v>450</v>
      </c>
      <c r="W73" s="27">
        <v>0.87333333333333329</v>
      </c>
      <c r="X73" s="27">
        <v>4.4444444444444444E-3</v>
      </c>
      <c r="Y73" s="27">
        <v>0.12</v>
      </c>
      <c r="Z73" s="27">
        <v>2.2222222222222222E-3</v>
      </c>
      <c r="AA73" s="28">
        <v>67.708888888888893</v>
      </c>
      <c r="AB73" s="25">
        <f t="shared" si="11"/>
        <v>0.77333333333333332</v>
      </c>
    </row>
    <row r="74" spans="1:28" x14ac:dyDescent="0.25">
      <c r="A74" s="24"/>
      <c r="B74" s="24"/>
      <c r="C74" s="24"/>
      <c r="D74" s="24">
        <v>2</v>
      </c>
      <c r="E74" s="24">
        <v>389</v>
      </c>
      <c r="F74" s="24">
        <v>29</v>
      </c>
      <c r="G74" s="24">
        <v>5</v>
      </c>
      <c r="H74" s="24">
        <v>319</v>
      </c>
      <c r="I74" s="24">
        <v>32</v>
      </c>
      <c r="J74" s="24">
        <v>385</v>
      </c>
      <c r="K74" s="24">
        <v>4</v>
      </c>
      <c r="L74" s="24">
        <f t="shared" si="6"/>
        <v>389</v>
      </c>
      <c r="M74" s="24">
        <v>0</v>
      </c>
      <c r="N74" s="25">
        <f t="shared" si="7"/>
        <v>8.2262210796915161E-2</v>
      </c>
      <c r="O74" s="25">
        <f t="shared" si="8"/>
        <v>7.4550128534704371E-2</v>
      </c>
      <c r="P74" s="25">
        <f t="shared" si="9"/>
        <v>0.82005141388174807</v>
      </c>
      <c r="Q74" s="25">
        <f t="shared" si="10"/>
        <v>1.2853470437017995E-2</v>
      </c>
      <c r="R74" s="26">
        <v>416</v>
      </c>
      <c r="S74" s="26">
        <v>0</v>
      </c>
      <c r="T74" s="26">
        <v>33</v>
      </c>
      <c r="U74" s="26">
        <v>1</v>
      </c>
      <c r="V74" s="26">
        <v>450</v>
      </c>
      <c r="W74" s="27">
        <v>0.9244444444444444</v>
      </c>
      <c r="X74" s="27">
        <v>0</v>
      </c>
      <c r="Y74" s="27">
        <v>7.3333333333333334E-2</v>
      </c>
      <c r="Z74" s="27">
        <v>2.2222222222222222E-3</v>
      </c>
      <c r="AA74" s="28">
        <v>61.095555555555556</v>
      </c>
      <c r="AB74" s="25">
        <f t="shared" si="11"/>
        <v>0.86444444444444446</v>
      </c>
    </row>
    <row r="75" spans="1:28" x14ac:dyDescent="0.25">
      <c r="A75" s="24"/>
      <c r="B75" s="24"/>
      <c r="C75" s="24"/>
      <c r="D75" s="24">
        <v>3</v>
      </c>
      <c r="E75" s="24">
        <v>523</v>
      </c>
      <c r="F75" s="24">
        <v>167</v>
      </c>
      <c r="G75" s="24">
        <v>15</v>
      </c>
      <c r="H75" s="24">
        <v>262</v>
      </c>
      <c r="I75" s="24">
        <v>68</v>
      </c>
      <c r="J75" s="24">
        <v>512</v>
      </c>
      <c r="K75" s="24">
        <v>11</v>
      </c>
      <c r="L75" s="24">
        <f t="shared" si="6"/>
        <v>523</v>
      </c>
      <c r="M75" s="24">
        <v>0</v>
      </c>
      <c r="N75" s="25">
        <f t="shared" si="7"/>
        <v>0.13001912045889102</v>
      </c>
      <c r="O75" s="25">
        <f t="shared" si="8"/>
        <v>0.31931166347992351</v>
      </c>
      <c r="P75" s="25">
        <f t="shared" si="9"/>
        <v>0.50095602294455066</v>
      </c>
      <c r="Q75" s="25">
        <f t="shared" si="10"/>
        <v>2.8680688336520075E-2</v>
      </c>
      <c r="R75" s="26">
        <v>647</v>
      </c>
      <c r="S75" s="26">
        <v>0</v>
      </c>
      <c r="T75" s="26">
        <v>75</v>
      </c>
      <c r="U75" s="26">
        <v>0</v>
      </c>
      <c r="V75" s="26">
        <v>722</v>
      </c>
      <c r="W75" s="27">
        <v>0.89612188365650969</v>
      </c>
      <c r="X75" s="27">
        <v>0</v>
      </c>
      <c r="Y75" s="27">
        <v>0.1038781163434903</v>
      </c>
      <c r="Z75" s="27">
        <v>0</v>
      </c>
      <c r="AA75" s="28">
        <v>42.803324099722992</v>
      </c>
      <c r="AB75" s="25">
        <f t="shared" si="11"/>
        <v>0.72437673130193903</v>
      </c>
    </row>
    <row r="76" spans="1:28" x14ac:dyDescent="0.25">
      <c r="A76" s="24"/>
      <c r="B76" s="24"/>
      <c r="C76" s="24"/>
      <c r="D76" s="24">
        <v>4</v>
      </c>
      <c r="E76" s="24">
        <v>513</v>
      </c>
      <c r="F76" s="24">
        <v>201</v>
      </c>
      <c r="G76" s="24">
        <v>9</v>
      </c>
      <c r="H76" s="24">
        <v>251</v>
      </c>
      <c r="I76" s="24">
        <v>48</v>
      </c>
      <c r="J76" s="24">
        <v>509</v>
      </c>
      <c r="K76" s="24">
        <v>4</v>
      </c>
      <c r="L76" s="24">
        <f t="shared" si="6"/>
        <v>513</v>
      </c>
      <c r="M76" s="24">
        <v>0</v>
      </c>
      <c r="N76" s="25">
        <f t="shared" si="7"/>
        <v>9.3567251461988299E-2</v>
      </c>
      <c r="O76" s="25">
        <f t="shared" si="8"/>
        <v>0.391812865497076</v>
      </c>
      <c r="P76" s="25">
        <f t="shared" si="9"/>
        <v>0.48927875243664715</v>
      </c>
      <c r="Q76" s="25">
        <f t="shared" si="10"/>
        <v>1.7543859649122806E-2</v>
      </c>
      <c r="R76" s="26">
        <v>691</v>
      </c>
      <c r="S76" s="26">
        <v>0</v>
      </c>
      <c r="T76" s="26">
        <v>32</v>
      </c>
      <c r="U76" s="26">
        <v>0</v>
      </c>
      <c r="V76" s="26">
        <v>723</v>
      </c>
      <c r="W76" s="27">
        <v>0.95573997233748276</v>
      </c>
      <c r="X76" s="27">
        <v>0</v>
      </c>
      <c r="Y76" s="27">
        <v>4.4260027662517291E-2</v>
      </c>
      <c r="Z76" s="27">
        <v>0</v>
      </c>
      <c r="AA76" s="28">
        <v>34.957123098201933</v>
      </c>
      <c r="AB76" s="25">
        <f t="shared" si="11"/>
        <v>0.70954356846473032</v>
      </c>
    </row>
    <row r="77" spans="1:28" x14ac:dyDescent="0.25">
      <c r="A77" s="24"/>
      <c r="B77" s="24"/>
      <c r="C77" s="24"/>
      <c r="D77" s="24">
        <v>5</v>
      </c>
      <c r="E77" s="24">
        <v>548</v>
      </c>
      <c r="F77" s="24">
        <v>218</v>
      </c>
      <c r="G77" s="24">
        <v>6</v>
      </c>
      <c r="H77" s="24">
        <v>237</v>
      </c>
      <c r="I77" s="24">
        <v>84</v>
      </c>
      <c r="J77" s="24">
        <v>545</v>
      </c>
      <c r="K77" s="24">
        <v>3</v>
      </c>
      <c r="L77" s="24">
        <f t="shared" si="6"/>
        <v>548</v>
      </c>
      <c r="M77" s="24">
        <v>0</v>
      </c>
      <c r="N77" s="25">
        <f t="shared" si="7"/>
        <v>0.15328467153284672</v>
      </c>
      <c r="O77" s="25">
        <f t="shared" si="8"/>
        <v>0.3978102189781022</v>
      </c>
      <c r="P77" s="25">
        <f t="shared" si="9"/>
        <v>0.43248175182481752</v>
      </c>
      <c r="Q77" s="25">
        <f t="shared" si="10"/>
        <v>1.0948905109489052E-2</v>
      </c>
      <c r="R77" s="26">
        <v>645</v>
      </c>
      <c r="S77" s="26">
        <v>0</v>
      </c>
      <c r="T77" s="26">
        <v>78</v>
      </c>
      <c r="U77" s="26">
        <v>0</v>
      </c>
      <c r="V77" s="26">
        <v>723</v>
      </c>
      <c r="W77" s="27">
        <v>0.89211618257261416</v>
      </c>
      <c r="X77" s="27">
        <v>0</v>
      </c>
      <c r="Y77" s="27">
        <v>0.1078838174273859</v>
      </c>
      <c r="Z77" s="27">
        <v>0</v>
      </c>
      <c r="AA77" s="28">
        <v>25.242047026279391</v>
      </c>
      <c r="AB77" s="25">
        <f t="shared" si="11"/>
        <v>0.75795297372060855</v>
      </c>
    </row>
    <row r="78" spans="1:28" x14ac:dyDescent="0.25">
      <c r="A78" s="24">
        <v>20</v>
      </c>
      <c r="B78" s="24" t="s">
        <v>172</v>
      </c>
      <c r="C78" s="24" t="s">
        <v>173</v>
      </c>
      <c r="D78" s="24">
        <v>1</v>
      </c>
      <c r="E78" s="24">
        <v>387</v>
      </c>
      <c r="F78" s="24">
        <v>31</v>
      </c>
      <c r="G78" s="24">
        <v>4</v>
      </c>
      <c r="H78" s="24">
        <v>301</v>
      </c>
      <c r="I78" s="24">
        <v>44</v>
      </c>
      <c r="J78" s="24">
        <v>380</v>
      </c>
      <c r="K78" s="24">
        <v>7</v>
      </c>
      <c r="L78" s="24">
        <f t="shared" si="6"/>
        <v>387</v>
      </c>
      <c r="M78" s="24">
        <v>0</v>
      </c>
      <c r="N78" s="25">
        <f t="shared" si="7"/>
        <v>0.11369509043927649</v>
      </c>
      <c r="O78" s="25">
        <f t="shared" si="8"/>
        <v>8.0103359173126609E-2</v>
      </c>
      <c r="P78" s="25">
        <f t="shared" si="9"/>
        <v>0.77777777777777779</v>
      </c>
      <c r="Q78" s="25">
        <f t="shared" si="10"/>
        <v>1.0335917312661499E-2</v>
      </c>
      <c r="R78" s="26">
        <v>423</v>
      </c>
      <c r="S78" s="26">
        <v>5</v>
      </c>
      <c r="T78" s="26">
        <v>22</v>
      </c>
      <c r="U78" s="26">
        <v>0</v>
      </c>
      <c r="V78" s="26">
        <v>450</v>
      </c>
      <c r="W78" s="27">
        <v>0.94</v>
      </c>
      <c r="X78" s="27">
        <v>1.1111111111111112E-2</v>
      </c>
      <c r="Y78" s="27">
        <v>4.8888888888888891E-2</v>
      </c>
      <c r="Z78" s="27">
        <v>0</v>
      </c>
      <c r="AA78" s="28">
        <v>63.211111111111109</v>
      </c>
      <c r="AB78" s="25">
        <f t="shared" si="11"/>
        <v>0.86</v>
      </c>
    </row>
    <row r="79" spans="1:28" x14ac:dyDescent="0.25">
      <c r="A79" s="24"/>
      <c r="B79" s="24"/>
      <c r="C79" s="24"/>
      <c r="D79" s="24">
        <v>2</v>
      </c>
      <c r="E79" s="24">
        <v>416</v>
      </c>
      <c r="F79" s="24">
        <v>96</v>
      </c>
      <c r="G79" s="24">
        <v>4</v>
      </c>
      <c r="H79" s="24">
        <v>274</v>
      </c>
      <c r="I79" s="24">
        <v>41</v>
      </c>
      <c r="J79" s="24">
        <v>415</v>
      </c>
      <c r="K79" s="24">
        <v>1</v>
      </c>
      <c r="L79" s="24">
        <f t="shared" si="6"/>
        <v>416</v>
      </c>
      <c r="M79" s="24">
        <v>0</v>
      </c>
      <c r="N79" s="25">
        <f t="shared" si="7"/>
        <v>9.8557692307692304E-2</v>
      </c>
      <c r="O79" s="25">
        <f t="shared" si="8"/>
        <v>0.23076923076923078</v>
      </c>
      <c r="P79" s="25">
        <f t="shared" si="9"/>
        <v>0.65865384615384615</v>
      </c>
      <c r="Q79" s="25">
        <f t="shared" si="10"/>
        <v>9.6153846153846159E-3</v>
      </c>
      <c r="R79" s="26">
        <v>527</v>
      </c>
      <c r="S79" s="26">
        <v>0</v>
      </c>
      <c r="T79" s="26">
        <v>25</v>
      </c>
      <c r="U79" s="26">
        <v>2</v>
      </c>
      <c r="V79" s="26">
        <v>554</v>
      </c>
      <c r="W79" s="27">
        <v>0.95126353790613716</v>
      </c>
      <c r="X79" s="27">
        <v>0</v>
      </c>
      <c r="Y79" s="27">
        <v>4.5126353790613721E-2</v>
      </c>
      <c r="Z79" s="27">
        <v>3.6101083032490976E-3</v>
      </c>
      <c r="AA79" s="28">
        <v>46.102888086642601</v>
      </c>
      <c r="AB79" s="25">
        <f t="shared" si="11"/>
        <v>0.75090252707581229</v>
      </c>
    </row>
    <row r="80" spans="1:28" x14ac:dyDescent="0.25">
      <c r="A80" s="24"/>
      <c r="B80" s="24"/>
      <c r="C80" s="24"/>
      <c r="D80" s="24">
        <v>3</v>
      </c>
      <c r="E80" s="24">
        <v>393</v>
      </c>
      <c r="F80" s="24">
        <v>157</v>
      </c>
      <c r="G80" s="24">
        <v>3</v>
      </c>
      <c r="H80" s="24">
        <v>201</v>
      </c>
      <c r="I80" s="24">
        <v>29</v>
      </c>
      <c r="J80" s="24">
        <v>390</v>
      </c>
      <c r="K80" s="24">
        <v>3</v>
      </c>
      <c r="L80" s="24">
        <f t="shared" si="6"/>
        <v>393</v>
      </c>
      <c r="M80" s="24">
        <v>0</v>
      </c>
      <c r="N80" s="25">
        <f t="shared" si="7"/>
        <v>7.3791348600508899E-2</v>
      </c>
      <c r="O80" s="25">
        <f t="shared" si="8"/>
        <v>0.39949109414758271</v>
      </c>
      <c r="P80" s="25">
        <f t="shared" si="9"/>
        <v>0.51145038167938928</v>
      </c>
      <c r="Q80" s="25">
        <f t="shared" si="10"/>
        <v>7.6335877862595417E-3</v>
      </c>
      <c r="R80" s="26">
        <v>529</v>
      </c>
      <c r="S80" s="26">
        <v>0</v>
      </c>
      <c r="T80" s="26">
        <v>25</v>
      </c>
      <c r="U80" s="26">
        <v>0</v>
      </c>
      <c r="V80" s="26">
        <v>554</v>
      </c>
      <c r="W80" s="27">
        <v>0.95487364620938631</v>
      </c>
      <c r="X80" s="27">
        <v>0</v>
      </c>
      <c r="Y80" s="27">
        <v>4.5126353790613721E-2</v>
      </c>
      <c r="Z80" s="27">
        <v>0</v>
      </c>
      <c r="AA80" s="28">
        <v>34.288808664259925</v>
      </c>
      <c r="AB80" s="25">
        <f t="shared" si="11"/>
        <v>0.70938628158844763</v>
      </c>
    </row>
    <row r="81" spans="1:28" x14ac:dyDescent="0.25">
      <c r="A81" s="24"/>
      <c r="B81" s="24"/>
      <c r="C81" s="24"/>
      <c r="D81" s="24">
        <v>4</v>
      </c>
      <c r="E81" s="24">
        <v>407</v>
      </c>
      <c r="F81" s="24">
        <v>178</v>
      </c>
      <c r="G81" s="24">
        <v>0</v>
      </c>
      <c r="H81" s="24">
        <v>184</v>
      </c>
      <c r="I81" s="24">
        <v>43</v>
      </c>
      <c r="J81" s="24">
        <v>405</v>
      </c>
      <c r="K81" s="24">
        <v>2</v>
      </c>
      <c r="L81" s="24">
        <f t="shared" si="6"/>
        <v>407</v>
      </c>
      <c r="M81" s="24">
        <v>0</v>
      </c>
      <c r="N81" s="25">
        <f t="shared" si="7"/>
        <v>0.10565110565110565</v>
      </c>
      <c r="O81" s="25">
        <f t="shared" si="8"/>
        <v>0.43734643734643736</v>
      </c>
      <c r="P81" s="25">
        <f t="shared" si="9"/>
        <v>0.45208845208845211</v>
      </c>
      <c r="Q81" s="25">
        <f t="shared" si="10"/>
        <v>0</v>
      </c>
      <c r="R81" s="26">
        <v>528</v>
      </c>
      <c r="S81" s="26">
        <v>0</v>
      </c>
      <c r="T81" s="26">
        <v>27</v>
      </c>
      <c r="U81" s="26">
        <v>0</v>
      </c>
      <c r="V81" s="26">
        <v>555</v>
      </c>
      <c r="W81" s="27">
        <v>0.9513513513513514</v>
      </c>
      <c r="X81" s="27">
        <v>0</v>
      </c>
      <c r="Y81" s="27">
        <v>4.8648648648648651E-2</v>
      </c>
      <c r="Z81" s="27">
        <v>0</v>
      </c>
      <c r="AA81" s="28">
        <v>25.781981981981982</v>
      </c>
      <c r="AB81" s="25">
        <f t="shared" si="11"/>
        <v>0.73333333333333328</v>
      </c>
    </row>
    <row r="82" spans="1:28" x14ac:dyDescent="0.25">
      <c r="A82" s="24"/>
      <c r="B82" s="24"/>
      <c r="C82" s="24" t="s">
        <v>174</v>
      </c>
      <c r="D82" s="24">
        <v>1</v>
      </c>
      <c r="E82" s="24">
        <v>399</v>
      </c>
      <c r="F82" s="24">
        <v>48</v>
      </c>
      <c r="G82" s="24">
        <v>2</v>
      </c>
      <c r="H82" s="24">
        <v>303</v>
      </c>
      <c r="I82" s="24">
        <v>37</v>
      </c>
      <c r="J82" s="24">
        <v>390</v>
      </c>
      <c r="K82" s="24">
        <v>9</v>
      </c>
      <c r="L82" s="24">
        <f t="shared" si="6"/>
        <v>399</v>
      </c>
      <c r="M82" s="24">
        <v>0</v>
      </c>
      <c r="N82" s="25">
        <f t="shared" si="7"/>
        <v>9.2731829573934832E-2</v>
      </c>
      <c r="O82" s="25">
        <f t="shared" si="8"/>
        <v>0.12030075187969924</v>
      </c>
      <c r="P82" s="25">
        <f t="shared" si="9"/>
        <v>0.75939849624060152</v>
      </c>
      <c r="Q82" s="25">
        <f t="shared" si="10"/>
        <v>5.0125313283208017E-3</v>
      </c>
      <c r="R82" s="26">
        <v>447</v>
      </c>
      <c r="S82" s="26">
        <v>0</v>
      </c>
      <c r="T82" s="26">
        <v>3</v>
      </c>
      <c r="U82" s="26">
        <v>0</v>
      </c>
      <c r="V82" s="26">
        <v>450</v>
      </c>
      <c r="W82" s="27">
        <v>0.99333333333333329</v>
      </c>
      <c r="X82" s="27">
        <v>0</v>
      </c>
      <c r="Y82" s="27">
        <v>6.6666666666666671E-3</v>
      </c>
      <c r="Z82" s="27">
        <v>0</v>
      </c>
      <c r="AA82" s="28">
        <v>61.111111111111114</v>
      </c>
      <c r="AB82" s="25">
        <f t="shared" si="11"/>
        <v>0.88666666666666671</v>
      </c>
    </row>
    <row r="83" spans="1:28" x14ac:dyDescent="0.25">
      <c r="A83" s="24"/>
      <c r="B83" s="24"/>
      <c r="C83" s="24"/>
      <c r="D83" s="24">
        <v>2</v>
      </c>
      <c r="E83" s="24">
        <v>374</v>
      </c>
      <c r="F83" s="24">
        <v>134</v>
      </c>
      <c r="G83" s="24">
        <v>1</v>
      </c>
      <c r="H83" s="24">
        <v>213</v>
      </c>
      <c r="I83" s="24">
        <v>22</v>
      </c>
      <c r="J83" s="24">
        <v>370</v>
      </c>
      <c r="K83" s="24">
        <v>4</v>
      </c>
      <c r="L83" s="24">
        <f t="shared" si="6"/>
        <v>374</v>
      </c>
      <c r="M83" s="24">
        <v>0</v>
      </c>
      <c r="N83" s="25">
        <f t="shared" si="7"/>
        <v>5.8823529411764705E-2</v>
      </c>
      <c r="O83" s="25">
        <f t="shared" si="8"/>
        <v>0.35828877005347592</v>
      </c>
      <c r="P83" s="25">
        <f t="shared" si="9"/>
        <v>0.56951871657754005</v>
      </c>
      <c r="Q83" s="25">
        <f t="shared" si="10"/>
        <v>2.6737967914438501E-3</v>
      </c>
      <c r="R83" s="26">
        <v>495</v>
      </c>
      <c r="S83" s="26">
        <v>0</v>
      </c>
      <c r="T83" s="26">
        <v>0</v>
      </c>
      <c r="U83" s="26">
        <v>0</v>
      </c>
      <c r="V83" s="26">
        <v>495</v>
      </c>
      <c r="W83" s="27">
        <v>1</v>
      </c>
      <c r="X83" s="27">
        <v>0</v>
      </c>
      <c r="Y83" s="27">
        <v>0</v>
      </c>
      <c r="Z83" s="27">
        <v>0</v>
      </c>
      <c r="AA83" s="28">
        <v>37.886868686868688</v>
      </c>
      <c r="AB83" s="25">
        <f t="shared" si="11"/>
        <v>0.75555555555555554</v>
      </c>
    </row>
    <row r="84" spans="1:28" x14ac:dyDescent="0.25">
      <c r="A84" s="24"/>
      <c r="B84" s="24"/>
      <c r="C84" s="24"/>
      <c r="D84" s="24">
        <v>3</v>
      </c>
      <c r="E84" s="24">
        <v>386</v>
      </c>
      <c r="F84" s="24">
        <v>154</v>
      </c>
      <c r="G84" s="24">
        <v>1</v>
      </c>
      <c r="H84" s="24">
        <v>190</v>
      </c>
      <c r="I84" s="24">
        <v>38</v>
      </c>
      <c r="J84" s="24">
        <v>383</v>
      </c>
      <c r="K84" s="24">
        <v>3</v>
      </c>
      <c r="L84" s="24">
        <f t="shared" si="6"/>
        <v>386</v>
      </c>
      <c r="M84" s="24">
        <v>0</v>
      </c>
      <c r="N84" s="25">
        <f t="shared" si="7"/>
        <v>9.8445595854922283E-2</v>
      </c>
      <c r="O84" s="25">
        <f t="shared" si="8"/>
        <v>0.39896373056994816</v>
      </c>
      <c r="P84" s="25">
        <f t="shared" si="9"/>
        <v>0.49222797927461137</v>
      </c>
      <c r="Q84" s="25">
        <f t="shared" si="10"/>
        <v>2.5906735751295338E-3</v>
      </c>
      <c r="R84" s="26">
        <v>494</v>
      </c>
      <c r="S84" s="26">
        <v>0</v>
      </c>
      <c r="T84" s="26">
        <v>0</v>
      </c>
      <c r="U84" s="26">
        <v>1</v>
      </c>
      <c r="V84" s="26">
        <v>495</v>
      </c>
      <c r="W84" s="27">
        <v>0.99797979797979797</v>
      </c>
      <c r="X84" s="27">
        <v>0</v>
      </c>
      <c r="Y84" s="27">
        <v>0</v>
      </c>
      <c r="Z84" s="27">
        <v>2.0202020202020202E-3</v>
      </c>
      <c r="AA84" s="28">
        <v>27.476767676767675</v>
      </c>
      <c r="AB84" s="25">
        <f t="shared" si="11"/>
        <v>0.77979797979797982</v>
      </c>
    </row>
    <row r="85" spans="1:28" x14ac:dyDescent="0.25">
      <c r="A85" s="24">
        <v>21</v>
      </c>
      <c r="B85" s="24" t="s">
        <v>175</v>
      </c>
      <c r="C85" s="24" t="s">
        <v>176</v>
      </c>
      <c r="D85" s="24">
        <v>1</v>
      </c>
      <c r="E85" s="24">
        <v>378</v>
      </c>
      <c r="F85" s="24">
        <v>56</v>
      </c>
      <c r="G85" s="24">
        <v>2</v>
      </c>
      <c r="H85" s="24">
        <v>273</v>
      </c>
      <c r="I85" s="24">
        <v>41</v>
      </c>
      <c r="J85" s="24">
        <v>372</v>
      </c>
      <c r="K85" s="24">
        <v>6</v>
      </c>
      <c r="L85" s="24">
        <f t="shared" si="6"/>
        <v>378</v>
      </c>
      <c r="M85" s="24">
        <v>0</v>
      </c>
      <c r="N85" s="25">
        <f t="shared" si="7"/>
        <v>0.10846560846560846</v>
      </c>
      <c r="O85" s="25">
        <f t="shared" si="8"/>
        <v>0.14814814814814814</v>
      </c>
      <c r="P85" s="25">
        <f t="shared" si="9"/>
        <v>0.72222222222222221</v>
      </c>
      <c r="Q85" s="25">
        <f t="shared" si="10"/>
        <v>5.2910052910052907E-3</v>
      </c>
      <c r="R85" s="26">
        <v>418</v>
      </c>
      <c r="S85" s="26">
        <v>2</v>
      </c>
      <c r="T85" s="26">
        <v>29</v>
      </c>
      <c r="U85" s="26">
        <v>1</v>
      </c>
      <c r="V85" s="26">
        <v>450</v>
      </c>
      <c r="W85" s="27">
        <v>0.92888888888888888</v>
      </c>
      <c r="X85" s="27">
        <v>4.4444444444444444E-3</v>
      </c>
      <c r="Y85" s="27">
        <v>6.4444444444444443E-2</v>
      </c>
      <c r="Z85" s="27">
        <v>2.2222222222222222E-3</v>
      </c>
      <c r="AA85" s="28">
        <v>67.928888888888892</v>
      </c>
      <c r="AB85" s="25">
        <f t="shared" si="11"/>
        <v>0.84</v>
      </c>
    </row>
    <row r="86" spans="1:28" x14ac:dyDescent="0.25">
      <c r="A86" s="24"/>
      <c r="B86" s="24"/>
      <c r="C86" s="24"/>
      <c r="D86" s="24">
        <v>2</v>
      </c>
      <c r="E86" s="24">
        <v>353</v>
      </c>
      <c r="F86" s="24">
        <v>87</v>
      </c>
      <c r="G86" s="24">
        <v>4</v>
      </c>
      <c r="H86" s="24">
        <v>213</v>
      </c>
      <c r="I86" s="24">
        <v>46</v>
      </c>
      <c r="J86" s="24">
        <v>350</v>
      </c>
      <c r="K86" s="24">
        <v>3</v>
      </c>
      <c r="L86" s="24">
        <f t="shared" si="6"/>
        <v>353</v>
      </c>
      <c r="M86" s="24">
        <v>0</v>
      </c>
      <c r="N86" s="25">
        <f t="shared" si="7"/>
        <v>0.13031161473087818</v>
      </c>
      <c r="O86" s="25">
        <f t="shared" si="8"/>
        <v>0.24645892351274787</v>
      </c>
      <c r="P86" s="25">
        <f t="shared" si="9"/>
        <v>0.60339943342776203</v>
      </c>
      <c r="Q86" s="25">
        <f t="shared" si="10"/>
        <v>1.1331444759206799E-2</v>
      </c>
      <c r="R86" s="26">
        <v>412</v>
      </c>
      <c r="S86" s="26">
        <v>2</v>
      </c>
      <c r="T86" s="26">
        <v>36</v>
      </c>
      <c r="U86" s="26">
        <v>0</v>
      </c>
      <c r="V86" s="26">
        <v>450</v>
      </c>
      <c r="W86" s="27">
        <v>0.91555555555555557</v>
      </c>
      <c r="X86" s="27">
        <v>4.4444444444444444E-3</v>
      </c>
      <c r="Y86" s="27">
        <v>0.08</v>
      </c>
      <c r="Z86" s="27">
        <v>0</v>
      </c>
      <c r="AA86" s="28">
        <v>54.28</v>
      </c>
      <c r="AB86" s="25">
        <f t="shared" si="11"/>
        <v>0.7844444444444445</v>
      </c>
    </row>
    <row r="87" spans="1:28" x14ac:dyDescent="0.25">
      <c r="A87" s="24"/>
      <c r="B87" s="24"/>
      <c r="C87" s="24"/>
      <c r="D87" s="24">
        <v>3</v>
      </c>
      <c r="E87" s="24">
        <v>362</v>
      </c>
      <c r="F87" s="24">
        <v>137</v>
      </c>
      <c r="G87" s="24">
        <v>6</v>
      </c>
      <c r="H87" s="24">
        <v>183</v>
      </c>
      <c r="I87" s="24">
        <v>34</v>
      </c>
      <c r="J87" s="24">
        <v>360</v>
      </c>
      <c r="K87" s="24">
        <v>2</v>
      </c>
      <c r="L87" s="24">
        <f t="shared" si="6"/>
        <v>362</v>
      </c>
      <c r="M87" s="24">
        <v>0</v>
      </c>
      <c r="N87" s="25">
        <f t="shared" si="7"/>
        <v>9.3922651933701654E-2</v>
      </c>
      <c r="O87" s="25">
        <f t="shared" si="8"/>
        <v>0.37845303867403313</v>
      </c>
      <c r="P87" s="25">
        <f t="shared" si="9"/>
        <v>0.50552486187845302</v>
      </c>
      <c r="Q87" s="25">
        <f t="shared" si="10"/>
        <v>1.6574585635359115E-2</v>
      </c>
      <c r="R87" s="26">
        <v>490</v>
      </c>
      <c r="S87" s="26">
        <v>0</v>
      </c>
      <c r="T87" s="26">
        <v>12</v>
      </c>
      <c r="U87" s="26">
        <v>1</v>
      </c>
      <c r="V87" s="26">
        <v>503</v>
      </c>
      <c r="W87" s="27">
        <v>0.97415506958250497</v>
      </c>
      <c r="X87" s="27">
        <v>0</v>
      </c>
      <c r="Y87" s="27">
        <v>2.3856858846918488E-2</v>
      </c>
      <c r="Z87" s="27">
        <v>1.9880715705765406E-3</v>
      </c>
      <c r="AA87" s="28">
        <v>40.538767395626245</v>
      </c>
      <c r="AB87" s="25">
        <f t="shared" si="11"/>
        <v>0.71968190854870773</v>
      </c>
    </row>
    <row r="88" spans="1:28" x14ac:dyDescent="0.25">
      <c r="A88" s="24"/>
      <c r="B88" s="24"/>
      <c r="C88" s="24"/>
      <c r="D88" s="24">
        <v>4</v>
      </c>
      <c r="E88" s="24">
        <v>374</v>
      </c>
      <c r="F88" s="24">
        <v>150</v>
      </c>
      <c r="G88" s="24">
        <v>1</v>
      </c>
      <c r="H88" s="24">
        <v>178</v>
      </c>
      <c r="I88" s="24">
        <v>45</v>
      </c>
      <c r="J88" s="24">
        <v>374</v>
      </c>
      <c r="K88" s="24">
        <v>0</v>
      </c>
      <c r="L88" s="24">
        <f t="shared" si="6"/>
        <v>374</v>
      </c>
      <c r="M88" s="24">
        <v>0</v>
      </c>
      <c r="N88" s="25">
        <f t="shared" si="7"/>
        <v>0.12032085561497326</v>
      </c>
      <c r="O88" s="25">
        <f t="shared" si="8"/>
        <v>0.40106951871657753</v>
      </c>
      <c r="P88" s="25">
        <f t="shared" si="9"/>
        <v>0.47593582887700536</v>
      </c>
      <c r="Q88" s="25">
        <f t="shared" si="10"/>
        <v>2.6737967914438501E-3</v>
      </c>
      <c r="R88" s="26">
        <v>490</v>
      </c>
      <c r="S88" s="26">
        <v>0</v>
      </c>
      <c r="T88" s="26">
        <v>12</v>
      </c>
      <c r="U88" s="26">
        <v>1</v>
      </c>
      <c r="V88" s="26">
        <v>503</v>
      </c>
      <c r="W88" s="27">
        <v>0.97415506958250497</v>
      </c>
      <c r="X88" s="27">
        <v>0</v>
      </c>
      <c r="Y88" s="27">
        <v>2.3856858846918488E-2</v>
      </c>
      <c r="Z88" s="27">
        <v>1.9880715705765406E-3</v>
      </c>
      <c r="AA88" s="28">
        <v>34.856858846918492</v>
      </c>
      <c r="AB88" s="25">
        <f t="shared" si="11"/>
        <v>0.74353876739562619</v>
      </c>
    </row>
    <row r="89" spans="1:28" x14ac:dyDescent="0.25">
      <c r="A89" s="24"/>
      <c r="B89" s="24"/>
      <c r="C89" s="24"/>
      <c r="D89" s="24">
        <v>5</v>
      </c>
      <c r="E89" s="24">
        <v>365</v>
      </c>
      <c r="F89" s="24">
        <v>165</v>
      </c>
      <c r="G89" s="24">
        <v>1</v>
      </c>
      <c r="H89" s="24">
        <v>144</v>
      </c>
      <c r="I89" s="24">
        <v>48</v>
      </c>
      <c r="J89" s="24">
        <v>358</v>
      </c>
      <c r="K89" s="24">
        <v>6</v>
      </c>
      <c r="L89" s="24">
        <f t="shared" si="6"/>
        <v>364</v>
      </c>
      <c r="M89" s="24">
        <v>1</v>
      </c>
      <c r="N89" s="25">
        <f t="shared" si="7"/>
        <v>0.13186813186813187</v>
      </c>
      <c r="O89" s="25">
        <f t="shared" si="8"/>
        <v>0.4532967032967033</v>
      </c>
      <c r="P89" s="25">
        <f t="shared" si="9"/>
        <v>0.39560439560439559</v>
      </c>
      <c r="Q89" s="25">
        <f t="shared" si="10"/>
        <v>2.7472527472527475E-3</v>
      </c>
      <c r="R89" s="26">
        <v>475</v>
      </c>
      <c r="S89" s="26">
        <v>1</v>
      </c>
      <c r="T89" s="26">
        <v>28</v>
      </c>
      <c r="U89" s="26">
        <v>0</v>
      </c>
      <c r="V89" s="26">
        <v>504</v>
      </c>
      <c r="W89" s="27">
        <v>0.94246031746031744</v>
      </c>
      <c r="X89" s="27">
        <v>1.984126984126984E-3</v>
      </c>
      <c r="Y89" s="27">
        <v>5.5555555555555552E-2</v>
      </c>
      <c r="Z89" s="27">
        <v>0</v>
      </c>
      <c r="AA89" s="28">
        <v>25.178571428571427</v>
      </c>
      <c r="AB89" s="25">
        <f t="shared" si="11"/>
        <v>0.72222222222222221</v>
      </c>
    </row>
    <row r="90" spans="1:28" x14ac:dyDescent="0.25">
      <c r="A90" s="24">
        <v>22</v>
      </c>
      <c r="B90" s="24" t="s">
        <v>177</v>
      </c>
      <c r="C90" s="24" t="s">
        <v>178</v>
      </c>
      <c r="D90" s="24">
        <v>1</v>
      </c>
      <c r="E90" s="24">
        <v>351</v>
      </c>
      <c r="F90" s="24">
        <v>38</v>
      </c>
      <c r="G90" s="24">
        <v>4</v>
      </c>
      <c r="H90" s="24">
        <v>253</v>
      </c>
      <c r="I90" s="24">
        <v>48</v>
      </c>
      <c r="J90" s="24">
        <v>343</v>
      </c>
      <c r="K90" s="24">
        <v>8</v>
      </c>
      <c r="L90" s="24">
        <f t="shared" si="6"/>
        <v>351</v>
      </c>
      <c r="M90" s="24">
        <v>0</v>
      </c>
      <c r="N90" s="25">
        <f t="shared" si="7"/>
        <v>0.13675213675213677</v>
      </c>
      <c r="O90" s="25">
        <f t="shared" si="8"/>
        <v>0.10826210826210826</v>
      </c>
      <c r="P90" s="25">
        <f t="shared" si="9"/>
        <v>0.72079772079772075</v>
      </c>
      <c r="Q90" s="25">
        <f t="shared" si="10"/>
        <v>1.1396011396011397E-2</v>
      </c>
      <c r="R90" s="26">
        <v>406</v>
      </c>
      <c r="S90" s="26">
        <v>21</v>
      </c>
      <c r="T90" s="26">
        <v>23</v>
      </c>
      <c r="U90" s="26">
        <v>0</v>
      </c>
      <c r="V90" s="26">
        <v>450</v>
      </c>
      <c r="W90" s="27">
        <v>0.90222222222222226</v>
      </c>
      <c r="X90" s="27">
        <v>4.6666666666666669E-2</v>
      </c>
      <c r="Y90" s="27">
        <v>5.1111111111111114E-2</v>
      </c>
      <c r="Z90" s="27">
        <v>0</v>
      </c>
      <c r="AA90" s="28">
        <v>68.542222222222222</v>
      </c>
      <c r="AB90" s="25">
        <f t="shared" si="11"/>
        <v>0.78</v>
      </c>
    </row>
    <row r="91" spans="1:28" x14ac:dyDescent="0.25">
      <c r="A91" s="24"/>
      <c r="B91" s="24"/>
      <c r="C91" s="24"/>
      <c r="D91" s="24">
        <v>2</v>
      </c>
      <c r="E91" s="24">
        <v>364</v>
      </c>
      <c r="F91" s="24">
        <v>83</v>
      </c>
      <c r="G91" s="24">
        <v>1</v>
      </c>
      <c r="H91" s="24">
        <v>215</v>
      </c>
      <c r="I91" s="24">
        <v>56</v>
      </c>
      <c r="J91" s="24">
        <v>355</v>
      </c>
      <c r="K91" s="24">
        <v>9</v>
      </c>
      <c r="L91" s="24">
        <f t="shared" si="6"/>
        <v>364</v>
      </c>
      <c r="M91" s="24">
        <v>0</v>
      </c>
      <c r="N91" s="25">
        <f t="shared" si="7"/>
        <v>0.15384615384615385</v>
      </c>
      <c r="O91" s="25">
        <f t="shared" si="8"/>
        <v>0.22802197802197802</v>
      </c>
      <c r="P91" s="25">
        <f t="shared" si="9"/>
        <v>0.59065934065934067</v>
      </c>
      <c r="Q91" s="25">
        <f t="shared" si="10"/>
        <v>2.7472527472527475E-3</v>
      </c>
      <c r="R91" s="26">
        <v>395</v>
      </c>
      <c r="S91" s="26">
        <v>13</v>
      </c>
      <c r="T91" s="26">
        <v>40</v>
      </c>
      <c r="U91" s="26">
        <v>2</v>
      </c>
      <c r="V91" s="26">
        <v>450</v>
      </c>
      <c r="W91" s="27">
        <v>0.87777777777777777</v>
      </c>
      <c r="X91" s="27">
        <v>2.8888888888888888E-2</v>
      </c>
      <c r="Y91" s="27">
        <v>8.8888888888888892E-2</v>
      </c>
      <c r="Z91" s="27">
        <v>4.4444444444444444E-3</v>
      </c>
      <c r="AA91" s="28">
        <v>56.853333333333332</v>
      </c>
      <c r="AB91" s="25">
        <f t="shared" si="11"/>
        <v>0.80888888888888888</v>
      </c>
    </row>
    <row r="92" spans="1:28" x14ac:dyDescent="0.25">
      <c r="A92" s="24"/>
      <c r="B92" s="24"/>
      <c r="C92" s="24"/>
      <c r="D92" s="24">
        <v>3</v>
      </c>
      <c r="E92" s="24">
        <v>411</v>
      </c>
      <c r="F92" s="24">
        <v>171</v>
      </c>
      <c r="G92" s="24">
        <v>5</v>
      </c>
      <c r="H92" s="24">
        <v>182</v>
      </c>
      <c r="I92" s="24">
        <v>51</v>
      </c>
      <c r="J92" s="24">
        <v>409</v>
      </c>
      <c r="K92" s="24">
        <v>2</v>
      </c>
      <c r="L92" s="24">
        <f t="shared" si="6"/>
        <v>411</v>
      </c>
      <c r="M92" s="24">
        <v>0</v>
      </c>
      <c r="N92" s="25">
        <f t="shared" si="7"/>
        <v>0.12408759124087591</v>
      </c>
      <c r="O92" s="25">
        <f t="shared" si="8"/>
        <v>0.41605839416058393</v>
      </c>
      <c r="P92" s="25">
        <f t="shared" si="9"/>
        <v>0.44282238442822386</v>
      </c>
      <c r="Q92" s="25">
        <f t="shared" si="10"/>
        <v>1.2165450121654502E-2</v>
      </c>
      <c r="R92" s="26">
        <v>536</v>
      </c>
      <c r="S92" s="26">
        <v>14</v>
      </c>
      <c r="T92" s="26">
        <v>20</v>
      </c>
      <c r="U92" s="26">
        <v>0</v>
      </c>
      <c r="V92" s="26">
        <v>570</v>
      </c>
      <c r="W92" s="27">
        <v>0.94035087719298249</v>
      </c>
      <c r="X92" s="27">
        <v>2.456140350877193E-2</v>
      </c>
      <c r="Y92" s="27">
        <v>3.5087719298245612E-2</v>
      </c>
      <c r="Z92" s="27">
        <v>0</v>
      </c>
      <c r="AA92" s="28">
        <v>41.815789473684212</v>
      </c>
      <c r="AB92" s="25">
        <f t="shared" si="11"/>
        <v>0.72105263157894739</v>
      </c>
    </row>
    <row r="93" spans="1:28" x14ac:dyDescent="0.25">
      <c r="A93" s="24"/>
      <c r="B93" s="24"/>
      <c r="C93" s="24"/>
      <c r="D93" s="24">
        <v>4</v>
      </c>
      <c r="E93" s="24">
        <v>398</v>
      </c>
      <c r="F93" s="24">
        <v>155</v>
      </c>
      <c r="G93" s="24">
        <v>4</v>
      </c>
      <c r="H93" s="24">
        <v>186</v>
      </c>
      <c r="I93" s="24">
        <v>51</v>
      </c>
      <c r="J93" s="24">
        <v>396</v>
      </c>
      <c r="K93" s="24">
        <v>2</v>
      </c>
      <c r="L93" s="24">
        <f t="shared" si="6"/>
        <v>398</v>
      </c>
      <c r="M93" s="24">
        <v>0</v>
      </c>
      <c r="N93" s="25">
        <f t="shared" si="7"/>
        <v>0.12814070351758794</v>
      </c>
      <c r="O93" s="25">
        <f t="shared" si="8"/>
        <v>0.38944723618090454</v>
      </c>
      <c r="P93" s="25">
        <f t="shared" si="9"/>
        <v>0.46733668341708545</v>
      </c>
      <c r="Q93" s="25">
        <f t="shared" si="10"/>
        <v>1.0050251256281407E-2</v>
      </c>
      <c r="R93" s="26">
        <v>550</v>
      </c>
      <c r="S93" s="26">
        <v>12</v>
      </c>
      <c r="T93" s="26">
        <v>7</v>
      </c>
      <c r="U93" s="26">
        <v>1</v>
      </c>
      <c r="V93" s="26">
        <v>570</v>
      </c>
      <c r="W93" s="27">
        <v>0.96491228070175439</v>
      </c>
      <c r="X93" s="27">
        <v>2.1052631578947368E-2</v>
      </c>
      <c r="Y93" s="27">
        <v>1.2280701754385965E-2</v>
      </c>
      <c r="Z93" s="27">
        <v>1.7543859649122807E-3</v>
      </c>
      <c r="AA93" s="28">
        <v>35.184210526315788</v>
      </c>
      <c r="AB93" s="25">
        <f t="shared" si="11"/>
        <v>0.69824561403508767</v>
      </c>
    </row>
    <row r="94" spans="1:28" x14ac:dyDescent="0.25">
      <c r="A94" s="24"/>
      <c r="B94" s="24"/>
      <c r="C94" s="24"/>
      <c r="D94" s="24">
        <v>5</v>
      </c>
      <c r="E94" s="24">
        <v>435</v>
      </c>
      <c r="F94" s="24">
        <v>200</v>
      </c>
      <c r="G94" s="24">
        <v>4</v>
      </c>
      <c r="H94" s="24">
        <v>164</v>
      </c>
      <c r="I94" s="24">
        <v>62</v>
      </c>
      <c r="J94" s="24">
        <v>430</v>
      </c>
      <c r="K94" s="24">
        <v>5</v>
      </c>
      <c r="L94" s="24">
        <f t="shared" si="6"/>
        <v>435</v>
      </c>
      <c r="M94" s="24">
        <v>0</v>
      </c>
      <c r="N94" s="25">
        <f t="shared" si="7"/>
        <v>0.14252873563218391</v>
      </c>
      <c r="O94" s="25">
        <f t="shared" si="8"/>
        <v>0.45977011494252873</v>
      </c>
      <c r="P94" s="25">
        <f t="shared" si="9"/>
        <v>0.37701149425287356</v>
      </c>
      <c r="Q94" s="25">
        <f t="shared" si="10"/>
        <v>9.1954022988505746E-3</v>
      </c>
      <c r="R94" s="26">
        <v>527</v>
      </c>
      <c r="S94" s="26">
        <v>12</v>
      </c>
      <c r="T94" s="26">
        <v>31</v>
      </c>
      <c r="U94" s="26">
        <v>0</v>
      </c>
      <c r="V94" s="26">
        <v>570</v>
      </c>
      <c r="W94" s="27">
        <v>0.92456140350877192</v>
      </c>
      <c r="X94" s="27">
        <v>2.1052631578947368E-2</v>
      </c>
      <c r="Y94" s="27">
        <v>5.4385964912280704E-2</v>
      </c>
      <c r="Z94" s="27">
        <v>0</v>
      </c>
      <c r="AA94" s="28">
        <v>25.266666666666666</v>
      </c>
      <c r="AB94" s="25">
        <f t="shared" si="11"/>
        <v>0.76315789473684215</v>
      </c>
    </row>
    <row r="95" spans="1:28" x14ac:dyDescent="0.25">
      <c r="A95" s="24">
        <v>23</v>
      </c>
      <c r="B95" s="24" t="s">
        <v>179</v>
      </c>
      <c r="C95" s="24" t="s">
        <v>180</v>
      </c>
      <c r="D95" s="24">
        <v>1</v>
      </c>
      <c r="E95" s="24">
        <v>362</v>
      </c>
      <c r="F95" s="24">
        <v>37</v>
      </c>
      <c r="G95" s="24">
        <v>7</v>
      </c>
      <c r="H95" s="24">
        <v>232</v>
      </c>
      <c r="I95" s="24">
        <v>82</v>
      </c>
      <c r="J95" s="24">
        <v>358</v>
      </c>
      <c r="K95" s="24">
        <v>4</v>
      </c>
      <c r="L95" s="24">
        <f t="shared" si="6"/>
        <v>362</v>
      </c>
      <c r="M95" s="24">
        <v>0</v>
      </c>
      <c r="N95" s="25">
        <f t="shared" si="7"/>
        <v>0.22651933701657459</v>
      </c>
      <c r="O95" s="25">
        <f t="shared" si="8"/>
        <v>0.10220994475138122</v>
      </c>
      <c r="P95" s="25">
        <f t="shared" si="9"/>
        <v>0.64088397790055252</v>
      </c>
      <c r="Q95" s="25">
        <f t="shared" si="10"/>
        <v>1.9337016574585635E-2</v>
      </c>
      <c r="R95" s="26">
        <v>353</v>
      </c>
      <c r="S95" s="26">
        <v>50</v>
      </c>
      <c r="T95" s="26">
        <v>44</v>
      </c>
      <c r="U95" s="26">
        <v>3</v>
      </c>
      <c r="V95" s="26">
        <v>450</v>
      </c>
      <c r="W95" s="27">
        <v>0.7844444444444445</v>
      </c>
      <c r="X95" s="27">
        <v>0.1111111111111111</v>
      </c>
      <c r="Y95" s="27">
        <v>9.7777777777777783E-2</v>
      </c>
      <c r="Z95" s="27">
        <v>6.6666666666666671E-3</v>
      </c>
      <c r="AA95" s="28">
        <v>68.888888888888886</v>
      </c>
      <c r="AB95" s="25">
        <f t="shared" si="11"/>
        <v>0.80444444444444441</v>
      </c>
    </row>
    <row r="96" spans="1:28" x14ac:dyDescent="0.25">
      <c r="A96" s="24"/>
      <c r="B96" s="24"/>
      <c r="C96" s="24"/>
      <c r="D96" s="24">
        <v>2</v>
      </c>
      <c r="E96" s="24">
        <v>357</v>
      </c>
      <c r="F96" s="24">
        <v>80</v>
      </c>
      <c r="G96" s="24">
        <v>2</v>
      </c>
      <c r="H96" s="24">
        <v>198</v>
      </c>
      <c r="I96" s="24">
        <v>72</v>
      </c>
      <c r="J96" s="24">
        <v>352</v>
      </c>
      <c r="K96" s="24">
        <v>5</v>
      </c>
      <c r="L96" s="24">
        <f t="shared" si="6"/>
        <v>357</v>
      </c>
      <c r="M96" s="24">
        <v>0</v>
      </c>
      <c r="N96" s="25">
        <f t="shared" si="7"/>
        <v>0.20168067226890757</v>
      </c>
      <c r="O96" s="25">
        <f t="shared" si="8"/>
        <v>0.22408963585434175</v>
      </c>
      <c r="P96" s="25">
        <f t="shared" si="9"/>
        <v>0.55462184873949583</v>
      </c>
      <c r="Q96" s="25">
        <f t="shared" si="10"/>
        <v>5.6022408963585435E-3</v>
      </c>
      <c r="R96" s="26">
        <v>374</v>
      </c>
      <c r="S96" s="26">
        <v>24</v>
      </c>
      <c r="T96" s="26">
        <v>51</v>
      </c>
      <c r="U96" s="26">
        <v>1</v>
      </c>
      <c r="V96" s="26">
        <v>450</v>
      </c>
      <c r="W96" s="27">
        <v>0.83111111111111113</v>
      </c>
      <c r="X96" s="27">
        <v>5.3333333333333337E-2</v>
      </c>
      <c r="Y96" s="27">
        <v>0.11333333333333333</v>
      </c>
      <c r="Z96" s="27">
        <v>2.2222222222222222E-3</v>
      </c>
      <c r="AA96" s="28">
        <v>54.726666666666667</v>
      </c>
      <c r="AB96" s="25">
        <f t="shared" si="11"/>
        <v>0.79333333333333333</v>
      </c>
    </row>
    <row r="97" spans="1:28" x14ac:dyDescent="0.25">
      <c r="A97" s="24"/>
      <c r="B97" s="24"/>
      <c r="C97" s="24"/>
      <c r="D97" s="24">
        <v>3</v>
      </c>
      <c r="E97" s="24">
        <v>350</v>
      </c>
      <c r="F97" s="24">
        <v>107</v>
      </c>
      <c r="G97" s="24">
        <v>5</v>
      </c>
      <c r="H97" s="24">
        <v>170</v>
      </c>
      <c r="I97" s="24">
        <v>64</v>
      </c>
      <c r="J97" s="24">
        <v>346</v>
      </c>
      <c r="K97" s="24">
        <v>4</v>
      </c>
      <c r="L97" s="24">
        <f t="shared" si="6"/>
        <v>350</v>
      </c>
      <c r="M97" s="24">
        <v>0</v>
      </c>
      <c r="N97" s="25">
        <f t="shared" si="7"/>
        <v>0.18285714285714286</v>
      </c>
      <c r="O97" s="25">
        <f t="shared" si="8"/>
        <v>0.30571428571428572</v>
      </c>
      <c r="P97" s="25">
        <f t="shared" si="9"/>
        <v>0.48571428571428571</v>
      </c>
      <c r="Q97" s="25">
        <f t="shared" si="10"/>
        <v>1.4285714285714285E-2</v>
      </c>
      <c r="R97" s="26">
        <v>441</v>
      </c>
      <c r="S97" s="26">
        <v>36</v>
      </c>
      <c r="T97" s="26">
        <v>27</v>
      </c>
      <c r="U97" s="26">
        <v>2</v>
      </c>
      <c r="V97" s="26">
        <v>506</v>
      </c>
      <c r="W97" s="27">
        <v>0.87154150197628455</v>
      </c>
      <c r="X97" s="27">
        <v>7.1146245059288543E-2</v>
      </c>
      <c r="Y97" s="27">
        <v>5.33596837944664E-2</v>
      </c>
      <c r="Z97" s="27">
        <v>3.952569169960474E-3</v>
      </c>
      <c r="AA97" s="28">
        <v>41.262845849802375</v>
      </c>
      <c r="AB97" s="25">
        <f t="shared" si="11"/>
        <v>0.69169960474308301</v>
      </c>
    </row>
    <row r="98" spans="1:28" x14ac:dyDescent="0.25">
      <c r="A98" s="24"/>
      <c r="B98" s="24"/>
      <c r="C98" s="24"/>
      <c r="D98" s="24">
        <v>4</v>
      </c>
      <c r="E98" s="24">
        <v>355</v>
      </c>
      <c r="F98" s="24">
        <v>129</v>
      </c>
      <c r="G98" s="24">
        <v>2</v>
      </c>
      <c r="H98" s="24">
        <v>169</v>
      </c>
      <c r="I98" s="24">
        <v>52</v>
      </c>
      <c r="J98" s="24">
        <v>352</v>
      </c>
      <c r="K98" s="24">
        <v>3</v>
      </c>
      <c r="L98" s="24">
        <f t="shared" si="6"/>
        <v>355</v>
      </c>
      <c r="M98" s="24">
        <v>0</v>
      </c>
      <c r="N98" s="25">
        <f t="shared" si="7"/>
        <v>0.14647887323943662</v>
      </c>
      <c r="O98" s="25">
        <f t="shared" si="8"/>
        <v>0.36338028169014086</v>
      </c>
      <c r="P98" s="25">
        <f t="shared" si="9"/>
        <v>0.47605633802816899</v>
      </c>
      <c r="Q98" s="25">
        <f t="shared" si="10"/>
        <v>5.6338028169014088E-3</v>
      </c>
      <c r="R98" s="26">
        <v>467</v>
      </c>
      <c r="S98" s="26">
        <v>17</v>
      </c>
      <c r="T98" s="26">
        <v>22</v>
      </c>
      <c r="U98" s="26">
        <v>0</v>
      </c>
      <c r="V98" s="26">
        <v>506</v>
      </c>
      <c r="W98" s="27">
        <v>0.92292490118577075</v>
      </c>
      <c r="X98" s="27">
        <v>3.3596837944664032E-2</v>
      </c>
      <c r="Y98" s="27">
        <v>4.3478260869565216E-2</v>
      </c>
      <c r="Z98" s="27">
        <v>0</v>
      </c>
      <c r="AA98" s="28">
        <v>34.968379446640313</v>
      </c>
      <c r="AB98" s="25">
        <f t="shared" si="11"/>
        <v>0.70158102766798414</v>
      </c>
    </row>
    <row r="99" spans="1:28" x14ac:dyDescent="0.25">
      <c r="A99" s="24"/>
      <c r="B99" s="24"/>
      <c r="C99" s="24"/>
      <c r="D99" s="24">
        <v>5</v>
      </c>
      <c r="E99" s="24">
        <v>364</v>
      </c>
      <c r="F99" s="24">
        <v>145</v>
      </c>
      <c r="G99" s="24">
        <v>1</v>
      </c>
      <c r="H99" s="24">
        <v>159</v>
      </c>
      <c r="I99" s="24">
        <v>58</v>
      </c>
      <c r="J99" s="24">
        <v>363</v>
      </c>
      <c r="K99" s="24">
        <v>1</v>
      </c>
      <c r="L99" s="24">
        <f t="shared" si="6"/>
        <v>364</v>
      </c>
      <c r="M99" s="24">
        <v>0</v>
      </c>
      <c r="N99" s="25">
        <f t="shared" si="7"/>
        <v>0.15934065934065933</v>
      </c>
      <c r="O99" s="25">
        <f t="shared" si="8"/>
        <v>0.39835164835164832</v>
      </c>
      <c r="P99" s="25">
        <f t="shared" si="9"/>
        <v>0.43681318681318682</v>
      </c>
      <c r="Q99" s="25">
        <f t="shared" si="10"/>
        <v>2.7472527472527475E-3</v>
      </c>
      <c r="R99" s="26">
        <v>465</v>
      </c>
      <c r="S99" s="26">
        <v>12</v>
      </c>
      <c r="T99" s="26">
        <v>30</v>
      </c>
      <c r="U99" s="26">
        <v>0</v>
      </c>
      <c r="V99" s="26">
        <v>507</v>
      </c>
      <c r="W99" s="27">
        <v>0.91715976331360949</v>
      </c>
      <c r="X99" s="27">
        <v>2.3668639053254437E-2</v>
      </c>
      <c r="Y99" s="27">
        <v>5.9171597633136092E-2</v>
      </c>
      <c r="Z99" s="27">
        <v>0</v>
      </c>
      <c r="AA99" s="28">
        <v>25.285996055226825</v>
      </c>
      <c r="AB99" s="25">
        <f t="shared" si="11"/>
        <v>0.71794871794871795</v>
      </c>
    </row>
    <row r="100" spans="1:28" x14ac:dyDescent="0.25">
      <c r="A100" s="24">
        <v>24</v>
      </c>
      <c r="B100" s="24" t="s">
        <v>181</v>
      </c>
      <c r="C100" s="24" t="s">
        <v>182</v>
      </c>
      <c r="D100" s="24">
        <v>1</v>
      </c>
      <c r="E100" s="24">
        <v>327</v>
      </c>
      <c r="F100" s="24">
        <v>40</v>
      </c>
      <c r="G100" s="24">
        <v>2</v>
      </c>
      <c r="H100" s="24">
        <v>221</v>
      </c>
      <c r="I100" s="24">
        <v>56</v>
      </c>
      <c r="J100" s="24">
        <v>319</v>
      </c>
      <c r="K100" s="24">
        <v>8</v>
      </c>
      <c r="L100" s="24">
        <f t="shared" si="6"/>
        <v>327</v>
      </c>
      <c r="M100" s="24">
        <v>0</v>
      </c>
      <c r="N100" s="25">
        <f t="shared" si="7"/>
        <v>0.17125382262996941</v>
      </c>
      <c r="O100" s="25">
        <f t="shared" si="8"/>
        <v>0.12232415902140673</v>
      </c>
      <c r="P100" s="25">
        <f t="shared" si="9"/>
        <v>0.67584097859327219</v>
      </c>
      <c r="Q100" s="25">
        <f t="shared" si="10"/>
        <v>6.1162079510703364E-3</v>
      </c>
      <c r="R100" s="26">
        <v>364</v>
      </c>
      <c r="S100" s="26">
        <v>42</v>
      </c>
      <c r="T100" s="26">
        <v>42</v>
      </c>
      <c r="U100" s="26">
        <v>2</v>
      </c>
      <c r="V100" s="26">
        <v>450</v>
      </c>
      <c r="W100" s="27">
        <v>0.80888888888888888</v>
      </c>
      <c r="X100" s="27">
        <v>9.3333333333333338E-2</v>
      </c>
      <c r="Y100" s="27">
        <v>9.3333333333333338E-2</v>
      </c>
      <c r="Z100" s="27">
        <v>4.4444444444444444E-3</v>
      </c>
      <c r="AA100" s="28">
        <v>68.49111111111111</v>
      </c>
      <c r="AB100" s="25">
        <f t="shared" si="11"/>
        <v>0.72666666666666668</v>
      </c>
    </row>
    <row r="101" spans="1:28" x14ac:dyDescent="0.25">
      <c r="A101" s="24"/>
      <c r="B101" s="24"/>
      <c r="C101" s="24"/>
      <c r="D101" s="24">
        <v>2</v>
      </c>
      <c r="E101" s="24">
        <v>345</v>
      </c>
      <c r="F101" s="24">
        <v>73</v>
      </c>
      <c r="G101" s="24">
        <v>2</v>
      </c>
      <c r="H101" s="24">
        <v>207</v>
      </c>
      <c r="I101" s="24">
        <v>59</v>
      </c>
      <c r="J101" s="24">
        <v>341</v>
      </c>
      <c r="K101" s="24">
        <v>4</v>
      </c>
      <c r="L101" s="24">
        <f t="shared" si="6"/>
        <v>345</v>
      </c>
      <c r="M101" s="24">
        <v>0</v>
      </c>
      <c r="N101" s="25">
        <f t="shared" si="7"/>
        <v>0.17101449275362318</v>
      </c>
      <c r="O101" s="25">
        <f t="shared" si="8"/>
        <v>0.21159420289855072</v>
      </c>
      <c r="P101" s="25">
        <f t="shared" si="9"/>
        <v>0.6</v>
      </c>
      <c r="Q101" s="25">
        <f t="shared" si="10"/>
        <v>5.7971014492753624E-3</v>
      </c>
      <c r="R101" s="26">
        <v>367</v>
      </c>
      <c r="S101" s="26">
        <v>37</v>
      </c>
      <c r="T101" s="26">
        <v>46</v>
      </c>
      <c r="U101" s="26">
        <v>0</v>
      </c>
      <c r="V101" s="26">
        <v>450</v>
      </c>
      <c r="W101" s="27">
        <v>0.81555555555555559</v>
      </c>
      <c r="X101" s="27">
        <v>8.2222222222222224E-2</v>
      </c>
      <c r="Y101" s="27">
        <v>0.10222222222222223</v>
      </c>
      <c r="Z101" s="27">
        <v>0</v>
      </c>
      <c r="AA101" s="28">
        <v>55.835555555555558</v>
      </c>
      <c r="AB101" s="25">
        <f t="shared" si="11"/>
        <v>0.76666666666666672</v>
      </c>
    </row>
    <row r="102" spans="1:28" x14ac:dyDescent="0.25">
      <c r="A102" s="24"/>
      <c r="B102" s="24"/>
      <c r="C102" s="24"/>
      <c r="D102" s="24">
        <v>3</v>
      </c>
      <c r="E102" s="24">
        <v>543</v>
      </c>
      <c r="F102" s="24">
        <v>203</v>
      </c>
      <c r="G102" s="24">
        <v>5</v>
      </c>
      <c r="H102" s="24">
        <v>256</v>
      </c>
      <c r="I102" s="24">
        <v>76</v>
      </c>
      <c r="J102" s="24">
        <v>540</v>
      </c>
      <c r="K102" s="24">
        <v>3</v>
      </c>
      <c r="L102" s="24">
        <f t="shared" si="6"/>
        <v>543</v>
      </c>
      <c r="M102" s="24">
        <v>0</v>
      </c>
      <c r="N102" s="25">
        <f t="shared" si="7"/>
        <v>0.13996316758747698</v>
      </c>
      <c r="O102" s="25">
        <f t="shared" si="8"/>
        <v>0.37384898710865561</v>
      </c>
      <c r="P102" s="25">
        <f t="shared" si="9"/>
        <v>0.47145488029465932</v>
      </c>
      <c r="Q102" s="25">
        <f t="shared" si="10"/>
        <v>9.2081031307550652E-3</v>
      </c>
      <c r="R102" s="26">
        <v>671</v>
      </c>
      <c r="S102" s="26">
        <v>30</v>
      </c>
      <c r="T102" s="26">
        <v>35</v>
      </c>
      <c r="U102" s="26">
        <v>1</v>
      </c>
      <c r="V102" s="26">
        <v>737</v>
      </c>
      <c r="W102" s="27">
        <v>0.91044776119402981</v>
      </c>
      <c r="X102" s="27">
        <v>4.0705563093622797E-2</v>
      </c>
      <c r="Y102" s="27">
        <v>4.7489823609226593E-2</v>
      </c>
      <c r="Z102" s="27">
        <v>1.3568521031207597E-3</v>
      </c>
      <c r="AA102" s="28">
        <v>41.207598371777479</v>
      </c>
      <c r="AB102" s="25">
        <f t="shared" si="11"/>
        <v>0.73677069199457257</v>
      </c>
    </row>
    <row r="103" spans="1:28" x14ac:dyDescent="0.25">
      <c r="A103" s="24"/>
      <c r="B103" s="24"/>
      <c r="C103" s="24"/>
      <c r="D103" s="24">
        <v>4</v>
      </c>
      <c r="E103" s="24">
        <v>554</v>
      </c>
      <c r="F103" s="24">
        <v>274</v>
      </c>
      <c r="G103" s="24">
        <v>8</v>
      </c>
      <c r="H103" s="24">
        <v>211</v>
      </c>
      <c r="I103" s="24">
        <v>58</v>
      </c>
      <c r="J103" s="24">
        <v>551</v>
      </c>
      <c r="K103" s="24">
        <v>3</v>
      </c>
      <c r="L103" s="24">
        <f t="shared" si="6"/>
        <v>554</v>
      </c>
      <c r="M103" s="24">
        <v>0</v>
      </c>
      <c r="N103" s="25">
        <f t="shared" si="7"/>
        <v>0.10469314079422383</v>
      </c>
      <c r="O103" s="25">
        <f t="shared" si="8"/>
        <v>0.49458483754512633</v>
      </c>
      <c r="P103" s="25">
        <f t="shared" si="9"/>
        <v>0.38086642599277976</v>
      </c>
      <c r="Q103" s="25">
        <f t="shared" si="10"/>
        <v>1.444043321299639E-2</v>
      </c>
      <c r="R103" s="26">
        <v>676</v>
      </c>
      <c r="S103" s="26">
        <v>34</v>
      </c>
      <c r="T103" s="26">
        <v>25</v>
      </c>
      <c r="U103" s="26">
        <v>2</v>
      </c>
      <c r="V103" s="26">
        <v>737</v>
      </c>
      <c r="W103" s="27">
        <v>0.91723202170963369</v>
      </c>
      <c r="X103" s="27">
        <v>4.6132971506105833E-2</v>
      </c>
      <c r="Y103" s="27">
        <v>3.3921302578018994E-2</v>
      </c>
      <c r="Z103" s="27">
        <v>2.7137042062415195E-3</v>
      </c>
      <c r="AA103" s="28">
        <v>27.845318860244234</v>
      </c>
      <c r="AB103" s="25">
        <f t="shared" si="11"/>
        <v>0.75169606512890097</v>
      </c>
    </row>
    <row r="104" spans="1:28" x14ac:dyDescent="0.25">
      <c r="A104" s="24">
        <v>25</v>
      </c>
      <c r="B104" s="24" t="s">
        <v>183</v>
      </c>
      <c r="C104" s="24" t="s">
        <v>184</v>
      </c>
      <c r="D104" s="24">
        <v>1</v>
      </c>
      <c r="E104" s="24">
        <v>261</v>
      </c>
      <c r="F104" s="24">
        <v>10</v>
      </c>
      <c r="G104" s="24">
        <v>3</v>
      </c>
      <c r="H104" s="24">
        <v>86</v>
      </c>
      <c r="I104" s="24">
        <v>159</v>
      </c>
      <c r="J104" s="24">
        <v>258</v>
      </c>
      <c r="K104" s="24">
        <v>3</v>
      </c>
      <c r="L104" s="24">
        <f t="shared" si="6"/>
        <v>261</v>
      </c>
      <c r="M104" s="24">
        <v>0</v>
      </c>
      <c r="N104" s="25">
        <f t="shared" si="7"/>
        <v>0.60919540229885061</v>
      </c>
      <c r="O104" s="25">
        <f t="shared" si="8"/>
        <v>3.8314176245210725E-2</v>
      </c>
      <c r="P104" s="25">
        <f t="shared" si="9"/>
        <v>0.32950191570881227</v>
      </c>
      <c r="Q104" s="25">
        <f t="shared" si="10"/>
        <v>1.1494252873563218E-2</v>
      </c>
      <c r="R104" s="26">
        <v>78</v>
      </c>
      <c r="S104" s="26">
        <v>70</v>
      </c>
      <c r="T104" s="26">
        <v>280</v>
      </c>
      <c r="U104" s="26">
        <v>0</v>
      </c>
      <c r="V104" s="26">
        <v>428</v>
      </c>
      <c r="W104" s="27">
        <v>0.1822429906542056</v>
      </c>
      <c r="X104" s="27">
        <v>0.16355140186915887</v>
      </c>
      <c r="Y104" s="27">
        <v>0.65420560747663548</v>
      </c>
      <c r="Z104" s="27">
        <v>0</v>
      </c>
      <c r="AA104" s="28">
        <v>55.532710280373834</v>
      </c>
      <c r="AB104" s="25">
        <f t="shared" si="11"/>
        <v>0.60981308411214952</v>
      </c>
    </row>
    <row r="105" spans="1:28" x14ac:dyDescent="0.25">
      <c r="A105" s="24">
        <v>26</v>
      </c>
      <c r="B105" s="24" t="s">
        <v>185</v>
      </c>
      <c r="C105" s="24" t="s">
        <v>186</v>
      </c>
      <c r="D105" s="24">
        <v>1</v>
      </c>
      <c r="E105" s="24">
        <v>315</v>
      </c>
      <c r="F105" s="24">
        <v>20</v>
      </c>
      <c r="G105" s="24">
        <v>4</v>
      </c>
      <c r="H105" s="24">
        <v>111</v>
      </c>
      <c r="I105" s="24">
        <v>178</v>
      </c>
      <c r="J105" s="24">
        <v>313</v>
      </c>
      <c r="K105" s="24">
        <v>2</v>
      </c>
      <c r="L105" s="24">
        <f t="shared" si="6"/>
        <v>315</v>
      </c>
      <c r="M105" s="24">
        <v>0</v>
      </c>
      <c r="N105" s="25">
        <f t="shared" si="7"/>
        <v>0.56507936507936507</v>
      </c>
      <c r="O105" s="25">
        <f t="shared" si="8"/>
        <v>6.3492063492063489E-2</v>
      </c>
      <c r="P105" s="25">
        <f t="shared" si="9"/>
        <v>0.35238095238095241</v>
      </c>
      <c r="Q105" s="25">
        <f t="shared" si="10"/>
        <v>1.2698412698412698E-2</v>
      </c>
      <c r="R105" s="26">
        <v>76</v>
      </c>
      <c r="S105" s="26">
        <v>75</v>
      </c>
      <c r="T105" s="26">
        <v>284</v>
      </c>
      <c r="U105" s="26">
        <v>15</v>
      </c>
      <c r="V105" s="26">
        <v>450</v>
      </c>
      <c r="W105" s="27">
        <v>0.16888888888888889</v>
      </c>
      <c r="X105" s="27">
        <v>0.16666666666666666</v>
      </c>
      <c r="Y105" s="27">
        <v>0.63111111111111107</v>
      </c>
      <c r="Z105" s="27">
        <v>3.3333333333333333E-2</v>
      </c>
      <c r="AA105" s="28">
        <v>63.791111111111114</v>
      </c>
      <c r="AB105" s="25">
        <f t="shared" si="11"/>
        <v>0.7</v>
      </c>
    </row>
    <row r="106" spans="1:28" x14ac:dyDescent="0.25">
      <c r="A106" s="24"/>
      <c r="B106" s="24"/>
      <c r="C106" s="24"/>
      <c r="D106" s="24">
        <v>2</v>
      </c>
      <c r="E106" s="24">
        <v>369</v>
      </c>
      <c r="F106" s="24">
        <v>52</v>
      </c>
      <c r="G106" s="24">
        <v>4</v>
      </c>
      <c r="H106" s="24">
        <v>134</v>
      </c>
      <c r="I106" s="24">
        <v>171</v>
      </c>
      <c r="J106" s="24">
        <v>361</v>
      </c>
      <c r="K106" s="24">
        <v>8</v>
      </c>
      <c r="L106" s="24">
        <f t="shared" si="6"/>
        <v>369</v>
      </c>
      <c r="M106" s="24">
        <v>0</v>
      </c>
      <c r="N106" s="25">
        <f t="shared" si="7"/>
        <v>0.46341463414634149</v>
      </c>
      <c r="O106" s="25">
        <f t="shared" si="8"/>
        <v>0.14092140921409213</v>
      </c>
      <c r="P106" s="25">
        <f t="shared" si="9"/>
        <v>0.36314363143631434</v>
      </c>
      <c r="Q106" s="25">
        <f t="shared" si="10"/>
        <v>1.0840108401084011E-2</v>
      </c>
      <c r="R106" s="26">
        <v>161</v>
      </c>
      <c r="S106" s="26">
        <v>43</v>
      </c>
      <c r="T106" s="26">
        <v>223</v>
      </c>
      <c r="U106" s="26">
        <v>23</v>
      </c>
      <c r="V106" s="26">
        <v>450</v>
      </c>
      <c r="W106" s="27">
        <v>0.35777777777777775</v>
      </c>
      <c r="X106" s="27">
        <v>9.555555555555556E-2</v>
      </c>
      <c r="Y106" s="27">
        <v>0.49555555555555558</v>
      </c>
      <c r="Z106" s="27">
        <v>5.1111111111111114E-2</v>
      </c>
      <c r="AA106" s="28">
        <v>59.233333333333334</v>
      </c>
      <c r="AB106" s="25">
        <f t="shared" si="11"/>
        <v>0.82</v>
      </c>
    </row>
    <row r="107" spans="1:28" x14ac:dyDescent="0.25">
      <c r="A107" s="24"/>
      <c r="B107" s="24"/>
      <c r="C107" s="24"/>
      <c r="D107" s="24">
        <v>3</v>
      </c>
      <c r="E107" s="24">
        <v>528</v>
      </c>
      <c r="F107" s="24">
        <v>80</v>
      </c>
      <c r="G107" s="24">
        <v>4</v>
      </c>
      <c r="H107" s="24">
        <v>170</v>
      </c>
      <c r="I107" s="24">
        <v>266</v>
      </c>
      <c r="J107" s="24">
        <v>520</v>
      </c>
      <c r="K107" s="24">
        <v>8</v>
      </c>
      <c r="L107" s="24">
        <f t="shared" si="6"/>
        <v>528</v>
      </c>
      <c r="M107" s="24">
        <v>0</v>
      </c>
      <c r="N107" s="25">
        <f t="shared" si="7"/>
        <v>0.50378787878787878</v>
      </c>
      <c r="O107" s="25">
        <f t="shared" si="8"/>
        <v>0.15151515151515152</v>
      </c>
      <c r="P107" s="25">
        <f t="shared" si="9"/>
        <v>0.32196969696969696</v>
      </c>
      <c r="Q107" s="25">
        <f t="shared" si="10"/>
        <v>7.575757575757576E-3</v>
      </c>
      <c r="R107" s="26">
        <v>173</v>
      </c>
      <c r="S107" s="26">
        <v>77</v>
      </c>
      <c r="T107" s="26">
        <v>347</v>
      </c>
      <c r="U107" s="26">
        <v>66</v>
      </c>
      <c r="V107" s="26">
        <v>663</v>
      </c>
      <c r="W107" s="27">
        <v>0.26093514328808448</v>
      </c>
      <c r="X107" s="27">
        <v>0.11613876319758673</v>
      </c>
      <c r="Y107" s="27">
        <v>0.52337858220211164</v>
      </c>
      <c r="Z107" s="27">
        <v>9.9547511312217188E-2</v>
      </c>
      <c r="AA107" s="28">
        <v>48.782805429864254</v>
      </c>
      <c r="AB107" s="25">
        <f t="shared" si="11"/>
        <v>0.7963800904977375</v>
      </c>
    </row>
    <row r="108" spans="1:28" x14ac:dyDescent="0.25">
      <c r="A108" s="24"/>
      <c r="B108" s="24"/>
      <c r="C108" s="24"/>
      <c r="D108" s="24">
        <v>4</v>
      </c>
      <c r="E108" s="24">
        <v>486</v>
      </c>
      <c r="F108" s="24">
        <v>70</v>
      </c>
      <c r="G108" s="24">
        <v>0</v>
      </c>
      <c r="H108" s="24">
        <v>116</v>
      </c>
      <c r="I108" s="24">
        <v>293</v>
      </c>
      <c r="J108" s="24">
        <v>479</v>
      </c>
      <c r="K108" s="24">
        <v>7</v>
      </c>
      <c r="L108" s="24">
        <f t="shared" si="6"/>
        <v>486</v>
      </c>
      <c r="M108" s="24">
        <v>0</v>
      </c>
      <c r="N108" s="25">
        <f t="shared" si="7"/>
        <v>0.60288065843621397</v>
      </c>
      <c r="O108" s="25">
        <f t="shared" si="8"/>
        <v>0.1440329218106996</v>
      </c>
      <c r="P108" s="25">
        <f t="shared" si="9"/>
        <v>0.23868312757201646</v>
      </c>
      <c r="Q108" s="25">
        <f t="shared" si="10"/>
        <v>0</v>
      </c>
      <c r="R108" s="26">
        <v>146</v>
      </c>
      <c r="S108" s="26">
        <v>88</v>
      </c>
      <c r="T108" s="26">
        <v>374</v>
      </c>
      <c r="U108" s="26">
        <v>56</v>
      </c>
      <c r="V108" s="26">
        <v>664</v>
      </c>
      <c r="W108" s="27">
        <v>0.21987951807228914</v>
      </c>
      <c r="X108" s="27">
        <v>0.13253012048192772</v>
      </c>
      <c r="Y108" s="27">
        <v>0.56325301204819278</v>
      </c>
      <c r="Z108" s="27">
        <v>8.4337349397590355E-2</v>
      </c>
      <c r="AA108" s="28">
        <v>38.436746987951807</v>
      </c>
      <c r="AB108" s="25">
        <f t="shared" si="11"/>
        <v>0.73192771084337349</v>
      </c>
    </row>
    <row r="109" spans="1:28" x14ac:dyDescent="0.25">
      <c r="A109" s="24"/>
      <c r="B109" s="24"/>
      <c r="C109" s="24"/>
      <c r="D109" s="24">
        <v>5</v>
      </c>
      <c r="E109" s="24">
        <v>445</v>
      </c>
      <c r="F109" s="24">
        <v>80</v>
      </c>
      <c r="G109" s="24">
        <v>3</v>
      </c>
      <c r="H109" s="24">
        <v>132</v>
      </c>
      <c r="I109" s="24">
        <v>227</v>
      </c>
      <c r="J109" s="24">
        <v>442</v>
      </c>
      <c r="K109" s="24">
        <v>3</v>
      </c>
      <c r="L109" s="24">
        <f t="shared" si="6"/>
        <v>445</v>
      </c>
      <c r="M109" s="24">
        <v>0</v>
      </c>
      <c r="N109" s="25">
        <f t="shared" si="7"/>
        <v>0.51011235955056178</v>
      </c>
      <c r="O109" s="25">
        <f t="shared" si="8"/>
        <v>0.1797752808988764</v>
      </c>
      <c r="P109" s="25">
        <f t="shared" si="9"/>
        <v>0.29662921348314608</v>
      </c>
      <c r="Q109" s="25">
        <f t="shared" si="10"/>
        <v>6.7415730337078653E-3</v>
      </c>
      <c r="R109" s="26">
        <v>286</v>
      </c>
      <c r="S109" s="26">
        <v>86</v>
      </c>
      <c r="T109" s="26">
        <v>260</v>
      </c>
      <c r="U109" s="26">
        <v>32</v>
      </c>
      <c r="V109" s="26">
        <v>664</v>
      </c>
      <c r="W109" s="27">
        <v>0.43072289156626509</v>
      </c>
      <c r="X109" s="27">
        <v>0.12951807228915663</v>
      </c>
      <c r="Y109" s="27">
        <v>0.39156626506024095</v>
      </c>
      <c r="Z109" s="27">
        <v>4.8192771084337352E-2</v>
      </c>
      <c r="AA109" s="28">
        <v>31.409638554216869</v>
      </c>
      <c r="AB109" s="25">
        <f t="shared" si="11"/>
        <v>0.67018072289156627</v>
      </c>
    </row>
    <row r="110" spans="1:28" x14ac:dyDescent="0.25">
      <c r="A110" s="24"/>
      <c r="B110" s="24"/>
      <c r="C110" s="24"/>
      <c r="D110" s="24">
        <v>6</v>
      </c>
      <c r="E110" s="24">
        <v>483</v>
      </c>
      <c r="F110" s="24">
        <v>109</v>
      </c>
      <c r="G110" s="24">
        <v>0</v>
      </c>
      <c r="H110" s="24">
        <v>155</v>
      </c>
      <c r="I110" s="24">
        <v>217</v>
      </c>
      <c r="J110" s="24">
        <v>481</v>
      </c>
      <c r="K110" s="24">
        <v>2</v>
      </c>
      <c r="L110" s="24">
        <f t="shared" si="6"/>
        <v>483</v>
      </c>
      <c r="M110" s="24">
        <v>0</v>
      </c>
      <c r="N110" s="25">
        <f t="shared" si="7"/>
        <v>0.44927536231884058</v>
      </c>
      <c r="O110" s="25">
        <f t="shared" si="8"/>
        <v>0.22567287784679088</v>
      </c>
      <c r="P110" s="25">
        <f t="shared" si="9"/>
        <v>0.32091097308488614</v>
      </c>
      <c r="Q110" s="25">
        <f t="shared" si="10"/>
        <v>0</v>
      </c>
      <c r="R110" s="26">
        <v>343</v>
      </c>
      <c r="S110" s="26">
        <v>63</v>
      </c>
      <c r="T110" s="26">
        <v>252</v>
      </c>
      <c r="U110" s="26">
        <v>6</v>
      </c>
      <c r="V110" s="26">
        <v>664</v>
      </c>
      <c r="W110" s="27">
        <v>0.51656626506024095</v>
      </c>
      <c r="X110" s="27">
        <v>9.4879518072289157E-2</v>
      </c>
      <c r="Y110" s="27">
        <v>0.37951807228915663</v>
      </c>
      <c r="Z110" s="27">
        <v>9.0361445783132526E-3</v>
      </c>
      <c r="AA110" s="28">
        <v>25.765060240963855</v>
      </c>
      <c r="AB110" s="25">
        <f t="shared" si="11"/>
        <v>0.72740963855421692</v>
      </c>
    </row>
    <row r="111" spans="1:28" x14ac:dyDescent="0.25">
      <c r="A111" s="24"/>
      <c r="B111" s="24"/>
      <c r="C111" s="24"/>
      <c r="D111" s="24">
        <v>7</v>
      </c>
      <c r="E111" s="24">
        <v>528</v>
      </c>
      <c r="F111" s="24">
        <v>136</v>
      </c>
      <c r="G111" s="24">
        <v>3</v>
      </c>
      <c r="H111" s="24">
        <v>119</v>
      </c>
      <c r="I111" s="24">
        <v>265</v>
      </c>
      <c r="J111" s="24">
        <v>523</v>
      </c>
      <c r="K111" s="24">
        <v>5</v>
      </c>
      <c r="L111" s="24">
        <f t="shared" si="6"/>
        <v>528</v>
      </c>
      <c r="M111" s="24">
        <v>0</v>
      </c>
      <c r="N111" s="25">
        <f t="shared" si="7"/>
        <v>0.50189393939393945</v>
      </c>
      <c r="O111" s="25">
        <f t="shared" si="8"/>
        <v>0.25757575757575757</v>
      </c>
      <c r="P111" s="25">
        <f t="shared" si="9"/>
        <v>0.22537878787878787</v>
      </c>
      <c r="Q111" s="25">
        <f t="shared" si="10"/>
        <v>5.681818181818182E-3</v>
      </c>
      <c r="R111" s="26">
        <v>346</v>
      </c>
      <c r="S111" s="26">
        <v>74</v>
      </c>
      <c r="T111" s="26">
        <v>244</v>
      </c>
      <c r="U111" s="26">
        <v>0</v>
      </c>
      <c r="V111" s="26">
        <v>664</v>
      </c>
      <c r="W111" s="27">
        <v>0.52108433734939763</v>
      </c>
      <c r="X111" s="27">
        <v>0.11144578313253012</v>
      </c>
      <c r="Y111" s="27">
        <v>0.36746987951807231</v>
      </c>
      <c r="Z111" s="27">
        <v>0</v>
      </c>
      <c r="AA111" s="28">
        <v>20.537650602409638</v>
      </c>
      <c r="AB111" s="25">
        <f t="shared" si="11"/>
        <v>0.79518072289156627</v>
      </c>
    </row>
    <row r="112" spans="1:28" x14ac:dyDescent="0.25">
      <c r="A112" s="24">
        <v>27</v>
      </c>
      <c r="B112" s="24" t="s">
        <v>187</v>
      </c>
      <c r="C112" s="24" t="s">
        <v>188</v>
      </c>
      <c r="D112" s="24">
        <v>1</v>
      </c>
      <c r="E112" s="24">
        <v>385</v>
      </c>
      <c r="F112" s="24">
        <v>31</v>
      </c>
      <c r="G112" s="24">
        <v>7</v>
      </c>
      <c r="H112" s="24">
        <v>320</v>
      </c>
      <c r="I112" s="24">
        <v>18</v>
      </c>
      <c r="J112" s="24">
        <v>376</v>
      </c>
      <c r="K112" s="24">
        <v>9</v>
      </c>
      <c r="L112" s="24">
        <f t="shared" si="6"/>
        <v>385</v>
      </c>
      <c r="M112" s="24">
        <v>0</v>
      </c>
      <c r="N112" s="25">
        <f t="shared" si="7"/>
        <v>4.6753246753246755E-2</v>
      </c>
      <c r="O112" s="25">
        <f t="shared" si="8"/>
        <v>8.0519480519480519E-2</v>
      </c>
      <c r="P112" s="25">
        <f t="shared" si="9"/>
        <v>0.83116883116883122</v>
      </c>
      <c r="Q112" s="25">
        <f t="shared" si="10"/>
        <v>1.8181818181818181E-2</v>
      </c>
      <c r="R112" s="26">
        <v>389</v>
      </c>
      <c r="S112" s="26">
        <v>18</v>
      </c>
      <c r="T112" s="26">
        <v>6</v>
      </c>
      <c r="U112" s="26">
        <v>37</v>
      </c>
      <c r="V112" s="26">
        <v>450</v>
      </c>
      <c r="W112" s="27">
        <v>0.86444444444444446</v>
      </c>
      <c r="X112" s="27">
        <v>0.04</v>
      </c>
      <c r="Y112" s="27">
        <v>1.3333333333333334E-2</v>
      </c>
      <c r="Z112" s="27">
        <v>8.2222222222222224E-2</v>
      </c>
      <c r="AA112" s="28">
        <v>60.873333333333335</v>
      </c>
      <c r="AB112" s="25">
        <f t="shared" si="11"/>
        <v>0.85555555555555551</v>
      </c>
    </row>
    <row r="113" spans="1:28" x14ac:dyDescent="0.25">
      <c r="A113" s="24"/>
      <c r="B113" s="24"/>
      <c r="C113" s="24"/>
      <c r="D113" s="24">
        <v>2</v>
      </c>
      <c r="E113" s="24">
        <v>494</v>
      </c>
      <c r="F113" s="24">
        <v>159</v>
      </c>
      <c r="G113" s="24">
        <v>1</v>
      </c>
      <c r="H113" s="24">
        <v>301</v>
      </c>
      <c r="I113" s="24">
        <v>29</v>
      </c>
      <c r="J113" s="24">
        <v>490</v>
      </c>
      <c r="K113" s="24">
        <v>4</v>
      </c>
      <c r="L113" s="24">
        <f t="shared" si="6"/>
        <v>494</v>
      </c>
      <c r="M113" s="24">
        <v>0</v>
      </c>
      <c r="N113" s="25">
        <f t="shared" si="7"/>
        <v>5.8704453441295545E-2</v>
      </c>
      <c r="O113" s="25">
        <f t="shared" si="8"/>
        <v>0.32186234817813764</v>
      </c>
      <c r="P113" s="25">
        <f t="shared" si="9"/>
        <v>0.60931174089068829</v>
      </c>
      <c r="Q113" s="25">
        <f t="shared" si="10"/>
        <v>2.0242914979757085E-3</v>
      </c>
      <c r="R113" s="26">
        <v>623</v>
      </c>
      <c r="S113" s="26">
        <v>0</v>
      </c>
      <c r="T113" s="26">
        <v>5</v>
      </c>
      <c r="U113" s="26">
        <v>4</v>
      </c>
      <c r="V113" s="26">
        <v>632</v>
      </c>
      <c r="W113" s="27">
        <v>0.98575949367088611</v>
      </c>
      <c r="X113" s="27">
        <v>0</v>
      </c>
      <c r="Y113" s="27">
        <v>7.9113924050632917E-3</v>
      </c>
      <c r="Z113" s="27">
        <v>6.3291139240506328E-3</v>
      </c>
      <c r="AA113" s="28">
        <v>33.367088607594937</v>
      </c>
      <c r="AB113" s="25">
        <f t="shared" si="11"/>
        <v>0.78164556962025311</v>
      </c>
    </row>
    <row r="114" spans="1:28" x14ac:dyDescent="0.25">
      <c r="A114" s="24">
        <v>28</v>
      </c>
      <c r="B114" s="24" t="s">
        <v>189</v>
      </c>
      <c r="C114" s="24" t="s">
        <v>190</v>
      </c>
      <c r="D114" s="24">
        <v>1</v>
      </c>
      <c r="E114" s="24">
        <v>322</v>
      </c>
      <c r="F114" s="24">
        <v>15</v>
      </c>
      <c r="G114" s="24">
        <v>3</v>
      </c>
      <c r="H114" s="24">
        <v>101</v>
      </c>
      <c r="I114" s="24">
        <v>186</v>
      </c>
      <c r="J114" s="24">
        <v>305</v>
      </c>
      <c r="K114" s="24">
        <v>17</v>
      </c>
      <c r="L114" s="24">
        <f t="shared" si="6"/>
        <v>322</v>
      </c>
      <c r="M114" s="24">
        <v>0</v>
      </c>
      <c r="N114" s="25">
        <f t="shared" si="7"/>
        <v>0.57763975155279501</v>
      </c>
      <c r="O114" s="25">
        <f t="shared" si="8"/>
        <v>4.6583850931677016E-2</v>
      </c>
      <c r="P114" s="25">
        <f t="shared" si="9"/>
        <v>0.31366459627329191</v>
      </c>
      <c r="Q114" s="25">
        <f t="shared" si="10"/>
        <v>9.316770186335404E-3</v>
      </c>
      <c r="R114" s="26">
        <v>31</v>
      </c>
      <c r="S114" s="26">
        <v>67</v>
      </c>
      <c r="T114" s="26">
        <v>347</v>
      </c>
      <c r="U114" s="26">
        <v>5</v>
      </c>
      <c r="V114" s="26">
        <v>450</v>
      </c>
      <c r="W114" s="27">
        <v>6.8888888888888888E-2</v>
      </c>
      <c r="X114" s="27">
        <v>0.14888888888888888</v>
      </c>
      <c r="Y114" s="27">
        <v>0.77111111111111108</v>
      </c>
      <c r="Z114" s="27">
        <v>1.1111111111111112E-2</v>
      </c>
      <c r="AA114" s="28">
        <v>60.297777777777775</v>
      </c>
      <c r="AB114" s="25">
        <f t="shared" si="11"/>
        <v>0.7155555555555555</v>
      </c>
    </row>
    <row r="115" spans="1:28" x14ac:dyDescent="0.25">
      <c r="A115" s="24"/>
      <c r="B115" s="24"/>
      <c r="C115" s="24"/>
      <c r="D115" s="24">
        <v>2</v>
      </c>
      <c r="E115" s="24">
        <v>453</v>
      </c>
      <c r="F115" s="24">
        <v>51</v>
      </c>
      <c r="G115" s="24">
        <v>0</v>
      </c>
      <c r="H115" s="24">
        <v>108</v>
      </c>
      <c r="I115" s="24">
        <v>289</v>
      </c>
      <c r="J115" s="24">
        <v>448</v>
      </c>
      <c r="K115" s="24">
        <v>5</v>
      </c>
      <c r="L115" s="24">
        <f t="shared" si="6"/>
        <v>453</v>
      </c>
      <c r="M115" s="24">
        <v>0</v>
      </c>
      <c r="N115" s="25">
        <f t="shared" si="7"/>
        <v>0.63796909492273735</v>
      </c>
      <c r="O115" s="25">
        <f t="shared" si="8"/>
        <v>0.11258278145695365</v>
      </c>
      <c r="P115" s="25">
        <f t="shared" si="9"/>
        <v>0.23841059602649006</v>
      </c>
      <c r="Q115" s="25">
        <f t="shared" si="10"/>
        <v>0</v>
      </c>
      <c r="R115" s="26">
        <v>115</v>
      </c>
      <c r="S115" s="26">
        <v>43</v>
      </c>
      <c r="T115" s="26">
        <v>447</v>
      </c>
      <c r="U115" s="26">
        <v>12</v>
      </c>
      <c r="V115" s="26">
        <v>617</v>
      </c>
      <c r="W115" s="27">
        <v>0.18638573743922204</v>
      </c>
      <c r="X115" s="27">
        <v>6.9692058346839544E-2</v>
      </c>
      <c r="Y115" s="27">
        <v>0.72447325769854132</v>
      </c>
      <c r="Z115" s="27">
        <v>1.9448946515397084E-2</v>
      </c>
      <c r="AA115" s="28">
        <v>33.361426256077799</v>
      </c>
      <c r="AB115" s="25">
        <f t="shared" si="11"/>
        <v>0.73419773095623986</v>
      </c>
    </row>
    <row r="116" spans="1:28" x14ac:dyDescent="0.25">
      <c r="A116" s="24">
        <v>29</v>
      </c>
      <c r="B116" s="24" t="s">
        <v>191</v>
      </c>
      <c r="C116" s="24" t="s">
        <v>192</v>
      </c>
      <c r="D116" s="24">
        <v>1</v>
      </c>
      <c r="E116" s="24">
        <v>321</v>
      </c>
      <c r="F116" s="24">
        <v>31</v>
      </c>
      <c r="G116" s="24">
        <v>0</v>
      </c>
      <c r="H116" s="24">
        <v>143</v>
      </c>
      <c r="I116" s="24">
        <v>140</v>
      </c>
      <c r="J116" s="24">
        <v>314</v>
      </c>
      <c r="K116" s="24">
        <v>7</v>
      </c>
      <c r="L116" s="24">
        <f t="shared" si="6"/>
        <v>321</v>
      </c>
      <c r="M116" s="24">
        <v>0</v>
      </c>
      <c r="N116" s="25">
        <f t="shared" si="7"/>
        <v>0.43613707165109034</v>
      </c>
      <c r="O116" s="25">
        <f t="shared" si="8"/>
        <v>9.657320872274143E-2</v>
      </c>
      <c r="P116" s="25">
        <f t="shared" si="9"/>
        <v>0.4454828660436137</v>
      </c>
      <c r="Q116" s="25">
        <f t="shared" si="10"/>
        <v>0</v>
      </c>
      <c r="R116" s="26">
        <v>59</v>
      </c>
      <c r="S116" s="26">
        <v>25</v>
      </c>
      <c r="T116" s="26">
        <v>226</v>
      </c>
      <c r="U116" s="26">
        <v>140</v>
      </c>
      <c r="V116" s="26">
        <v>450</v>
      </c>
      <c r="W116" s="27">
        <v>0.13111111111111112</v>
      </c>
      <c r="X116" s="27">
        <v>5.5555555555555552E-2</v>
      </c>
      <c r="Y116" s="27">
        <v>0.50222222222222224</v>
      </c>
      <c r="Z116" s="27">
        <v>0.31111111111111112</v>
      </c>
      <c r="AA116" s="28">
        <v>54.66</v>
      </c>
      <c r="AB116" s="25">
        <f t="shared" si="11"/>
        <v>0.71333333333333337</v>
      </c>
    </row>
    <row r="117" spans="1:28" x14ac:dyDescent="0.25">
      <c r="A117" s="24"/>
      <c r="B117" s="24"/>
      <c r="C117" s="24"/>
      <c r="D117" s="24">
        <v>2</v>
      </c>
      <c r="E117" s="24">
        <v>256</v>
      </c>
      <c r="F117" s="24">
        <v>47</v>
      </c>
      <c r="G117" s="24">
        <v>0</v>
      </c>
      <c r="H117" s="24">
        <v>94</v>
      </c>
      <c r="I117" s="24">
        <v>111</v>
      </c>
      <c r="J117" s="24">
        <v>252</v>
      </c>
      <c r="K117" s="24">
        <v>4</v>
      </c>
      <c r="L117" s="24">
        <f t="shared" si="6"/>
        <v>256</v>
      </c>
      <c r="M117" s="24">
        <v>0</v>
      </c>
      <c r="N117" s="25">
        <f t="shared" si="7"/>
        <v>0.43359375</v>
      </c>
      <c r="O117" s="25">
        <f t="shared" si="8"/>
        <v>0.18359375</v>
      </c>
      <c r="P117" s="25">
        <f t="shared" si="9"/>
        <v>0.3671875</v>
      </c>
      <c r="Q117" s="25">
        <f t="shared" si="10"/>
        <v>0</v>
      </c>
      <c r="R117" s="26">
        <v>98</v>
      </c>
      <c r="S117" s="26">
        <v>16</v>
      </c>
      <c r="T117" s="26">
        <v>138</v>
      </c>
      <c r="U117" s="26">
        <v>80</v>
      </c>
      <c r="V117" s="26">
        <v>332</v>
      </c>
      <c r="W117" s="27">
        <v>0.29518072289156627</v>
      </c>
      <c r="X117" s="27">
        <v>4.8192771084337352E-2</v>
      </c>
      <c r="Y117" s="27">
        <v>0.41566265060240964</v>
      </c>
      <c r="Z117" s="27">
        <v>0.24096385542168675</v>
      </c>
      <c r="AA117" s="28">
        <v>28.409638554216869</v>
      </c>
      <c r="AB117" s="25">
        <f t="shared" si="11"/>
        <v>0.77108433734939763</v>
      </c>
    </row>
    <row r="118" spans="1:28" x14ac:dyDescent="0.25">
      <c r="A118" s="24">
        <v>30</v>
      </c>
      <c r="B118" s="24" t="s">
        <v>193</v>
      </c>
      <c r="C118" s="24" t="s">
        <v>194</v>
      </c>
      <c r="D118" s="24">
        <v>1</v>
      </c>
      <c r="E118" s="24">
        <v>194</v>
      </c>
      <c r="F118" s="24">
        <v>12</v>
      </c>
      <c r="G118" s="24">
        <v>0</v>
      </c>
      <c r="H118" s="24">
        <v>46</v>
      </c>
      <c r="I118" s="24">
        <v>132</v>
      </c>
      <c r="J118" s="24">
        <v>190</v>
      </c>
      <c r="K118" s="24">
        <v>4</v>
      </c>
      <c r="L118" s="24">
        <f t="shared" si="6"/>
        <v>194</v>
      </c>
      <c r="M118" s="24">
        <v>0</v>
      </c>
      <c r="N118" s="25">
        <f t="shared" si="7"/>
        <v>0.68041237113402064</v>
      </c>
      <c r="O118" s="25">
        <f t="shared" si="8"/>
        <v>6.1855670103092786E-2</v>
      </c>
      <c r="P118" s="25">
        <f t="shared" si="9"/>
        <v>0.23711340206185566</v>
      </c>
      <c r="Q118" s="25">
        <f t="shared" si="10"/>
        <v>0</v>
      </c>
      <c r="R118" s="26">
        <v>44</v>
      </c>
      <c r="S118" s="26">
        <v>9</v>
      </c>
      <c r="T118" s="26">
        <v>286</v>
      </c>
      <c r="U118" s="26">
        <v>0</v>
      </c>
      <c r="V118" s="26">
        <v>339</v>
      </c>
      <c r="W118" s="27">
        <v>0.12979351032448377</v>
      </c>
      <c r="X118" s="27">
        <v>2.6548672566371681E-2</v>
      </c>
      <c r="Y118" s="27">
        <v>0.84365781710914456</v>
      </c>
      <c r="Z118" s="27">
        <v>0</v>
      </c>
      <c r="AA118" s="28">
        <v>48.26548672566372</v>
      </c>
      <c r="AB118" s="25">
        <f t="shared" si="11"/>
        <v>0.57227138643067843</v>
      </c>
    </row>
    <row r="119" spans="1:28" x14ac:dyDescent="0.25">
      <c r="A119" s="24">
        <v>31</v>
      </c>
      <c r="B119" s="24" t="s">
        <v>195</v>
      </c>
      <c r="C119" s="24" t="s">
        <v>196</v>
      </c>
      <c r="D119" s="24">
        <v>1</v>
      </c>
      <c r="E119" s="24">
        <v>243</v>
      </c>
      <c r="F119" s="24">
        <v>24</v>
      </c>
      <c r="G119" s="24">
        <v>2</v>
      </c>
      <c r="H119" s="24">
        <v>88</v>
      </c>
      <c r="I119" s="24">
        <v>126</v>
      </c>
      <c r="J119" s="24">
        <v>240</v>
      </c>
      <c r="K119" s="24">
        <v>3</v>
      </c>
      <c r="L119" s="24">
        <f t="shared" si="6"/>
        <v>243</v>
      </c>
      <c r="M119" s="24">
        <v>0</v>
      </c>
      <c r="N119" s="25">
        <f t="shared" si="7"/>
        <v>0.51851851851851849</v>
      </c>
      <c r="O119" s="25">
        <f t="shared" si="8"/>
        <v>9.8765432098765427E-2</v>
      </c>
      <c r="P119" s="25">
        <f t="shared" si="9"/>
        <v>0.36213991769547327</v>
      </c>
      <c r="Q119" s="25">
        <f t="shared" si="10"/>
        <v>8.23045267489712E-3</v>
      </c>
      <c r="R119" s="26">
        <v>61</v>
      </c>
      <c r="S119" s="26">
        <v>27</v>
      </c>
      <c r="T119" s="26">
        <v>279</v>
      </c>
      <c r="U119" s="26">
        <v>1</v>
      </c>
      <c r="V119" s="26">
        <v>368</v>
      </c>
      <c r="W119" s="27">
        <v>0.16576086956521738</v>
      </c>
      <c r="X119" s="27">
        <v>7.3369565217391311E-2</v>
      </c>
      <c r="Y119" s="27">
        <v>0.75815217391304346</v>
      </c>
      <c r="Z119" s="27">
        <v>2.717391304347826E-3</v>
      </c>
      <c r="AA119" s="28">
        <v>40.709239130434781</v>
      </c>
      <c r="AB119" s="25">
        <f t="shared" si="11"/>
        <v>0.66032608695652173</v>
      </c>
    </row>
    <row r="120" spans="1:28" x14ac:dyDescent="0.25">
      <c r="A120" s="24">
        <v>32</v>
      </c>
      <c r="B120" s="24" t="s">
        <v>197</v>
      </c>
      <c r="C120" s="24" t="s">
        <v>198</v>
      </c>
      <c r="D120" s="24">
        <v>1</v>
      </c>
      <c r="E120" s="24">
        <v>274</v>
      </c>
      <c r="F120" s="24">
        <v>21</v>
      </c>
      <c r="G120" s="24">
        <v>2</v>
      </c>
      <c r="H120" s="24">
        <v>99</v>
      </c>
      <c r="I120" s="24">
        <v>141</v>
      </c>
      <c r="J120" s="24">
        <v>263</v>
      </c>
      <c r="K120" s="24">
        <v>11</v>
      </c>
      <c r="L120" s="24">
        <f t="shared" si="6"/>
        <v>274</v>
      </c>
      <c r="M120" s="24">
        <v>0</v>
      </c>
      <c r="N120" s="25">
        <f t="shared" si="7"/>
        <v>0.51459854014598538</v>
      </c>
      <c r="O120" s="25">
        <f t="shared" si="8"/>
        <v>7.6642335766423361E-2</v>
      </c>
      <c r="P120" s="25">
        <f t="shared" si="9"/>
        <v>0.36131386861313869</v>
      </c>
      <c r="Q120" s="25">
        <f t="shared" si="10"/>
        <v>7.2992700729927005E-3</v>
      </c>
      <c r="R120" s="26">
        <v>96</v>
      </c>
      <c r="S120" s="26">
        <v>205</v>
      </c>
      <c r="T120" s="26">
        <v>147</v>
      </c>
      <c r="U120" s="26">
        <v>2</v>
      </c>
      <c r="V120" s="26">
        <v>450</v>
      </c>
      <c r="W120" s="27">
        <v>0.21333333333333335</v>
      </c>
      <c r="X120" s="27">
        <v>0.45555555555555555</v>
      </c>
      <c r="Y120" s="27">
        <v>0.32666666666666666</v>
      </c>
      <c r="Z120" s="27">
        <v>4.4444444444444444E-3</v>
      </c>
      <c r="AA120" s="28">
        <v>67.673333333333332</v>
      </c>
      <c r="AB120" s="25">
        <f t="shared" si="11"/>
        <v>0.60888888888888892</v>
      </c>
    </row>
    <row r="121" spans="1:28" x14ac:dyDescent="0.25">
      <c r="A121" s="24"/>
      <c r="B121" s="24"/>
      <c r="C121" s="24"/>
      <c r="D121" s="24">
        <v>2</v>
      </c>
      <c r="E121" s="24">
        <v>353</v>
      </c>
      <c r="F121" s="24">
        <v>28</v>
      </c>
      <c r="G121" s="24">
        <v>2</v>
      </c>
      <c r="H121" s="24">
        <v>164</v>
      </c>
      <c r="I121" s="24">
        <v>154</v>
      </c>
      <c r="J121" s="24">
        <v>348</v>
      </c>
      <c r="K121" s="24">
        <v>5</v>
      </c>
      <c r="L121" s="24">
        <f t="shared" si="6"/>
        <v>353</v>
      </c>
      <c r="M121" s="24">
        <v>0</v>
      </c>
      <c r="N121" s="25">
        <f t="shared" si="7"/>
        <v>0.43626062322946174</v>
      </c>
      <c r="O121" s="25">
        <f t="shared" si="8"/>
        <v>7.9320113314447591E-2</v>
      </c>
      <c r="P121" s="25">
        <f t="shared" si="9"/>
        <v>0.46458923512747874</v>
      </c>
      <c r="Q121" s="25">
        <f t="shared" si="10"/>
        <v>5.6657223796033997E-3</v>
      </c>
      <c r="R121" s="26">
        <v>204</v>
      </c>
      <c r="S121" s="26">
        <v>81</v>
      </c>
      <c r="T121" s="26">
        <v>164</v>
      </c>
      <c r="U121" s="26">
        <v>1</v>
      </c>
      <c r="V121" s="26">
        <v>450</v>
      </c>
      <c r="W121" s="27">
        <v>0.45333333333333331</v>
      </c>
      <c r="X121" s="27">
        <v>0.18</v>
      </c>
      <c r="Y121" s="27">
        <v>0.36444444444444446</v>
      </c>
      <c r="Z121" s="27">
        <v>2.2222222222222222E-3</v>
      </c>
      <c r="AA121" s="28">
        <v>59.22</v>
      </c>
      <c r="AB121" s="25">
        <f t="shared" si="11"/>
        <v>0.7844444444444445</v>
      </c>
    </row>
    <row r="122" spans="1:28" x14ac:dyDescent="0.25">
      <c r="A122" s="24"/>
      <c r="B122" s="24"/>
      <c r="C122" s="24"/>
      <c r="D122" s="24">
        <v>3</v>
      </c>
      <c r="E122" s="24">
        <v>517</v>
      </c>
      <c r="F122" s="24">
        <v>70</v>
      </c>
      <c r="G122" s="24">
        <v>3</v>
      </c>
      <c r="H122" s="24">
        <v>168</v>
      </c>
      <c r="I122" s="24">
        <v>265</v>
      </c>
      <c r="J122" s="24">
        <v>506</v>
      </c>
      <c r="K122" s="24">
        <v>10</v>
      </c>
      <c r="L122" s="24">
        <f t="shared" si="6"/>
        <v>516</v>
      </c>
      <c r="M122" s="24">
        <v>1</v>
      </c>
      <c r="N122" s="25">
        <f t="shared" si="7"/>
        <v>0.51356589147286824</v>
      </c>
      <c r="O122" s="25">
        <f t="shared" si="8"/>
        <v>0.13565891472868216</v>
      </c>
      <c r="P122" s="25">
        <f t="shared" si="9"/>
        <v>0.32558139534883723</v>
      </c>
      <c r="Q122" s="25">
        <f t="shared" si="10"/>
        <v>5.8139534883720929E-3</v>
      </c>
      <c r="R122" s="26">
        <v>273</v>
      </c>
      <c r="S122" s="26">
        <v>198</v>
      </c>
      <c r="T122" s="26">
        <v>252</v>
      </c>
      <c r="U122" s="26">
        <v>4</v>
      </c>
      <c r="V122" s="26">
        <v>727</v>
      </c>
      <c r="W122" s="27">
        <v>0.37551581843191195</v>
      </c>
      <c r="X122" s="27">
        <v>0.27235213204951858</v>
      </c>
      <c r="Y122" s="27">
        <v>0.34662998624484181</v>
      </c>
      <c r="Z122" s="27">
        <v>5.5020632737276479E-3</v>
      </c>
      <c r="AA122" s="28">
        <v>46.854195323246216</v>
      </c>
      <c r="AB122" s="25">
        <f t="shared" si="11"/>
        <v>0.70976616231086653</v>
      </c>
    </row>
    <row r="123" spans="1:28" x14ac:dyDescent="0.25">
      <c r="A123" s="24"/>
      <c r="B123" s="24"/>
      <c r="C123" s="24"/>
      <c r="D123" s="24">
        <v>4</v>
      </c>
      <c r="E123" s="24">
        <v>487</v>
      </c>
      <c r="F123" s="24">
        <v>92</v>
      </c>
      <c r="G123" s="24">
        <v>2</v>
      </c>
      <c r="H123" s="24">
        <v>139</v>
      </c>
      <c r="I123" s="24">
        <v>248</v>
      </c>
      <c r="J123" s="24">
        <v>481</v>
      </c>
      <c r="K123" s="24">
        <v>6</v>
      </c>
      <c r="L123" s="24">
        <f t="shared" si="6"/>
        <v>487</v>
      </c>
      <c r="M123" s="24">
        <v>0</v>
      </c>
      <c r="N123" s="25">
        <f t="shared" si="7"/>
        <v>0.50924024640657084</v>
      </c>
      <c r="O123" s="25">
        <f t="shared" si="8"/>
        <v>0.18891170431211499</v>
      </c>
      <c r="P123" s="25">
        <f t="shared" si="9"/>
        <v>0.28542094455852157</v>
      </c>
      <c r="Q123" s="25">
        <f t="shared" si="10"/>
        <v>4.1067761806981521E-3</v>
      </c>
      <c r="R123" s="26">
        <v>303</v>
      </c>
      <c r="S123" s="26">
        <v>107</v>
      </c>
      <c r="T123" s="26">
        <v>309</v>
      </c>
      <c r="U123" s="26">
        <v>8</v>
      </c>
      <c r="V123" s="26">
        <v>727</v>
      </c>
      <c r="W123" s="27">
        <v>0.41678129298486932</v>
      </c>
      <c r="X123" s="27">
        <v>0.14718019257221457</v>
      </c>
      <c r="Y123" s="27">
        <v>0.42503438789546077</v>
      </c>
      <c r="Z123" s="27">
        <v>1.1004126547455296E-2</v>
      </c>
      <c r="AA123" s="28">
        <v>33.456671251719392</v>
      </c>
      <c r="AB123" s="25">
        <f t="shared" si="11"/>
        <v>0.66987620357634114</v>
      </c>
    </row>
    <row r="124" spans="1:28" x14ac:dyDescent="0.25">
      <c r="A124" s="24"/>
      <c r="B124" s="24"/>
      <c r="C124" s="24"/>
      <c r="D124" s="24">
        <v>5</v>
      </c>
      <c r="E124" s="24">
        <v>528</v>
      </c>
      <c r="F124" s="24">
        <v>129</v>
      </c>
      <c r="G124" s="24">
        <v>0</v>
      </c>
      <c r="H124" s="24">
        <v>176</v>
      </c>
      <c r="I124" s="24">
        <v>221</v>
      </c>
      <c r="J124" s="24">
        <v>526</v>
      </c>
      <c r="K124" s="24">
        <v>2</v>
      </c>
      <c r="L124" s="24">
        <f t="shared" si="6"/>
        <v>528</v>
      </c>
      <c r="M124" s="24">
        <v>0</v>
      </c>
      <c r="N124" s="25">
        <f t="shared" si="7"/>
        <v>0.41856060606060608</v>
      </c>
      <c r="O124" s="25">
        <f t="shared" si="8"/>
        <v>0.24431818181818182</v>
      </c>
      <c r="P124" s="25">
        <f t="shared" si="9"/>
        <v>0.33333333333333331</v>
      </c>
      <c r="Q124" s="25">
        <f t="shared" si="10"/>
        <v>0</v>
      </c>
      <c r="R124" s="26">
        <v>420</v>
      </c>
      <c r="S124" s="26">
        <v>74</v>
      </c>
      <c r="T124" s="26">
        <v>229</v>
      </c>
      <c r="U124" s="26">
        <v>4</v>
      </c>
      <c r="V124" s="26">
        <v>727</v>
      </c>
      <c r="W124" s="27">
        <v>0.57771664374140308</v>
      </c>
      <c r="X124" s="27">
        <v>0.10178817056396149</v>
      </c>
      <c r="Y124" s="27">
        <v>0.31499312242090782</v>
      </c>
      <c r="Z124" s="27">
        <v>5.5020632737276479E-3</v>
      </c>
      <c r="AA124" s="28">
        <v>23.583218707015131</v>
      </c>
      <c r="AB124" s="25">
        <f t="shared" si="11"/>
        <v>0.72627235213204955</v>
      </c>
    </row>
    <row r="125" spans="1:28" x14ac:dyDescent="0.25">
      <c r="A125" s="24">
        <v>33</v>
      </c>
      <c r="B125" s="24" t="s">
        <v>199</v>
      </c>
      <c r="C125" s="24" t="s">
        <v>200</v>
      </c>
      <c r="D125" s="24">
        <v>1</v>
      </c>
      <c r="E125" s="24">
        <v>332</v>
      </c>
      <c r="F125" s="24">
        <v>35</v>
      </c>
      <c r="G125" s="24">
        <v>4</v>
      </c>
      <c r="H125" s="24">
        <v>229</v>
      </c>
      <c r="I125" s="24">
        <v>57</v>
      </c>
      <c r="J125" s="24">
        <v>325</v>
      </c>
      <c r="K125" s="24">
        <v>7</v>
      </c>
      <c r="L125" s="24">
        <f t="shared" si="6"/>
        <v>332</v>
      </c>
      <c r="M125" s="24">
        <v>0</v>
      </c>
      <c r="N125" s="25">
        <f t="shared" si="7"/>
        <v>0.1716867469879518</v>
      </c>
      <c r="O125" s="25">
        <f t="shared" si="8"/>
        <v>0.10542168674698796</v>
      </c>
      <c r="P125" s="25">
        <f t="shared" si="9"/>
        <v>0.68975903614457834</v>
      </c>
      <c r="Q125" s="25">
        <f t="shared" si="10"/>
        <v>1.2048192771084338E-2</v>
      </c>
      <c r="R125" s="26">
        <v>361</v>
      </c>
      <c r="S125" s="26">
        <v>48</v>
      </c>
      <c r="T125" s="26">
        <v>41</v>
      </c>
      <c r="U125" s="26">
        <v>0</v>
      </c>
      <c r="V125" s="26">
        <v>450</v>
      </c>
      <c r="W125" s="27">
        <v>0.80222222222222217</v>
      </c>
      <c r="X125" s="27">
        <v>0.10666666666666667</v>
      </c>
      <c r="Y125" s="27">
        <v>9.1111111111111115E-2</v>
      </c>
      <c r="Z125" s="27">
        <v>0</v>
      </c>
      <c r="AA125" s="28">
        <v>68.697777777777773</v>
      </c>
      <c r="AB125" s="25">
        <f t="shared" si="11"/>
        <v>0.73777777777777775</v>
      </c>
    </row>
    <row r="126" spans="1:28" x14ac:dyDescent="0.25">
      <c r="A126" s="24"/>
      <c r="B126" s="24"/>
      <c r="C126" s="24"/>
      <c r="D126" s="24">
        <v>2</v>
      </c>
      <c r="E126" s="24">
        <v>347</v>
      </c>
      <c r="F126" s="24">
        <v>54</v>
      </c>
      <c r="G126" s="24">
        <v>3</v>
      </c>
      <c r="H126" s="24">
        <v>217</v>
      </c>
      <c r="I126" s="24">
        <v>70</v>
      </c>
      <c r="J126" s="24">
        <v>344</v>
      </c>
      <c r="K126" s="24">
        <v>3</v>
      </c>
      <c r="L126" s="24">
        <f t="shared" si="6"/>
        <v>347</v>
      </c>
      <c r="M126" s="24">
        <v>0</v>
      </c>
      <c r="N126" s="25">
        <f t="shared" si="7"/>
        <v>0.20172910662824209</v>
      </c>
      <c r="O126" s="25">
        <f t="shared" si="8"/>
        <v>0.15561959654178675</v>
      </c>
      <c r="P126" s="25">
        <f t="shared" si="9"/>
        <v>0.62536023054755041</v>
      </c>
      <c r="Q126" s="25">
        <f t="shared" si="10"/>
        <v>8.6455331412103754E-3</v>
      </c>
      <c r="R126" s="26">
        <v>375</v>
      </c>
      <c r="S126" s="26">
        <v>27</v>
      </c>
      <c r="T126" s="26">
        <v>46</v>
      </c>
      <c r="U126" s="26">
        <v>2</v>
      </c>
      <c r="V126" s="26">
        <v>450</v>
      </c>
      <c r="W126" s="27">
        <v>0.83333333333333337</v>
      </c>
      <c r="X126" s="27">
        <v>0.06</v>
      </c>
      <c r="Y126" s="27">
        <v>0.10222222222222223</v>
      </c>
      <c r="Z126" s="27">
        <v>4.4444444444444444E-3</v>
      </c>
      <c r="AA126" s="28">
        <v>58.595555555555556</v>
      </c>
      <c r="AB126" s="25">
        <f t="shared" si="11"/>
        <v>0.77111111111111108</v>
      </c>
    </row>
    <row r="127" spans="1:28" x14ac:dyDescent="0.25">
      <c r="A127" s="24"/>
      <c r="B127" s="24"/>
      <c r="C127" s="24"/>
      <c r="D127" s="24">
        <v>3</v>
      </c>
      <c r="E127" s="24">
        <v>436</v>
      </c>
      <c r="F127" s="24">
        <v>188</v>
      </c>
      <c r="G127" s="24">
        <v>4</v>
      </c>
      <c r="H127" s="24">
        <v>174</v>
      </c>
      <c r="I127" s="24">
        <v>66</v>
      </c>
      <c r="J127" s="24">
        <v>432</v>
      </c>
      <c r="K127" s="24">
        <v>4</v>
      </c>
      <c r="L127" s="24">
        <f t="shared" si="6"/>
        <v>436</v>
      </c>
      <c r="M127" s="24">
        <v>0</v>
      </c>
      <c r="N127" s="25">
        <f t="shared" si="7"/>
        <v>0.15137614678899083</v>
      </c>
      <c r="O127" s="25">
        <f t="shared" si="8"/>
        <v>0.43119266055045874</v>
      </c>
      <c r="P127" s="25">
        <f t="shared" si="9"/>
        <v>0.39908256880733944</v>
      </c>
      <c r="Q127" s="25">
        <f t="shared" si="10"/>
        <v>9.1743119266055051E-3</v>
      </c>
      <c r="R127" s="26">
        <v>528</v>
      </c>
      <c r="S127" s="26">
        <v>20</v>
      </c>
      <c r="T127" s="26">
        <v>43</v>
      </c>
      <c r="U127" s="26">
        <v>1</v>
      </c>
      <c r="V127" s="26">
        <v>592</v>
      </c>
      <c r="W127" s="27">
        <v>0.89189189189189189</v>
      </c>
      <c r="X127" s="27">
        <v>3.3783783783783786E-2</v>
      </c>
      <c r="Y127" s="27">
        <v>7.2635135135135129E-2</v>
      </c>
      <c r="Z127" s="27">
        <v>1.6891891891891893E-3</v>
      </c>
      <c r="AA127" s="28">
        <v>43.994932432432435</v>
      </c>
      <c r="AB127" s="25">
        <f t="shared" si="11"/>
        <v>0.73648648648648651</v>
      </c>
    </row>
    <row r="128" spans="1:28" x14ac:dyDescent="0.25">
      <c r="A128" s="24"/>
      <c r="B128" s="24"/>
      <c r="C128" s="24"/>
      <c r="D128" s="24">
        <v>4</v>
      </c>
      <c r="E128" s="24">
        <v>417</v>
      </c>
      <c r="F128" s="24">
        <v>193</v>
      </c>
      <c r="G128" s="24">
        <v>1</v>
      </c>
      <c r="H128" s="24">
        <v>166</v>
      </c>
      <c r="I128" s="24">
        <v>52</v>
      </c>
      <c r="J128" s="24">
        <v>412</v>
      </c>
      <c r="K128" s="24">
        <v>5</v>
      </c>
      <c r="L128" s="24">
        <f t="shared" si="6"/>
        <v>417</v>
      </c>
      <c r="M128" s="24">
        <v>0</v>
      </c>
      <c r="N128" s="25">
        <f t="shared" si="7"/>
        <v>0.12470023980815348</v>
      </c>
      <c r="O128" s="25">
        <f t="shared" si="8"/>
        <v>0.46282973621103118</v>
      </c>
      <c r="P128" s="25">
        <f t="shared" si="9"/>
        <v>0.39808153477218228</v>
      </c>
      <c r="Q128" s="25">
        <f t="shared" si="10"/>
        <v>2.3980815347721821E-3</v>
      </c>
      <c r="R128" s="26">
        <v>567</v>
      </c>
      <c r="S128" s="26">
        <v>13</v>
      </c>
      <c r="T128" s="26">
        <v>10</v>
      </c>
      <c r="U128" s="26">
        <v>2</v>
      </c>
      <c r="V128" s="26">
        <v>592</v>
      </c>
      <c r="W128" s="27">
        <v>0.95777027027027029</v>
      </c>
      <c r="X128" s="27">
        <v>2.1959459459459461E-2</v>
      </c>
      <c r="Y128" s="27">
        <v>1.6891891891891893E-2</v>
      </c>
      <c r="Z128" s="27">
        <v>3.3783783783783786E-3</v>
      </c>
      <c r="AA128" s="28">
        <v>36.545608108108105</v>
      </c>
      <c r="AB128" s="25">
        <f t="shared" si="11"/>
        <v>0.70439189189189189</v>
      </c>
    </row>
    <row r="129" spans="1:28" x14ac:dyDescent="0.25">
      <c r="A129" s="24"/>
      <c r="B129" s="24"/>
      <c r="C129" s="24"/>
      <c r="D129" s="24">
        <v>5</v>
      </c>
      <c r="E129" s="24">
        <v>422</v>
      </c>
      <c r="F129" s="24">
        <v>200</v>
      </c>
      <c r="G129" s="24">
        <v>3</v>
      </c>
      <c r="H129" s="24">
        <v>160</v>
      </c>
      <c r="I129" s="24">
        <v>57</v>
      </c>
      <c r="J129" s="24">
        <v>420</v>
      </c>
      <c r="K129" s="24">
        <v>2</v>
      </c>
      <c r="L129" s="24">
        <f t="shared" si="6"/>
        <v>422</v>
      </c>
      <c r="M129" s="24">
        <v>0</v>
      </c>
      <c r="N129" s="25">
        <f t="shared" si="7"/>
        <v>0.13507109004739337</v>
      </c>
      <c r="O129" s="25">
        <f t="shared" si="8"/>
        <v>0.47393364928909953</v>
      </c>
      <c r="P129" s="25">
        <f t="shared" si="9"/>
        <v>0.37914691943127959</v>
      </c>
      <c r="Q129" s="25">
        <f t="shared" si="10"/>
        <v>7.1090047393364926E-3</v>
      </c>
      <c r="R129" s="26">
        <v>554</v>
      </c>
      <c r="S129" s="26">
        <v>10</v>
      </c>
      <c r="T129" s="26">
        <v>29</v>
      </c>
      <c r="U129" s="26">
        <v>0</v>
      </c>
      <c r="V129" s="26">
        <v>593</v>
      </c>
      <c r="W129" s="27">
        <v>0.93423271500843175</v>
      </c>
      <c r="X129" s="27">
        <v>1.6863406408094434E-2</v>
      </c>
      <c r="Y129" s="27">
        <v>4.8903878583473864E-2</v>
      </c>
      <c r="Z129" s="27">
        <v>0</v>
      </c>
      <c r="AA129" s="28">
        <v>25.310286677908937</v>
      </c>
      <c r="AB129" s="25">
        <f t="shared" si="11"/>
        <v>0.71163575042158511</v>
      </c>
    </row>
    <row r="130" spans="1:28" x14ac:dyDescent="0.25">
      <c r="A130" s="24">
        <v>34</v>
      </c>
      <c r="B130" s="24" t="s">
        <v>201</v>
      </c>
      <c r="C130" s="24" t="s">
        <v>202</v>
      </c>
      <c r="D130" s="24">
        <v>1</v>
      </c>
      <c r="E130" s="24">
        <v>354</v>
      </c>
      <c r="F130" s="24">
        <v>44</v>
      </c>
      <c r="G130" s="24">
        <v>3</v>
      </c>
      <c r="H130" s="24">
        <v>272</v>
      </c>
      <c r="I130" s="24">
        <v>29</v>
      </c>
      <c r="J130" s="24">
        <v>348</v>
      </c>
      <c r="K130" s="24">
        <v>6</v>
      </c>
      <c r="L130" s="24">
        <f t="shared" si="6"/>
        <v>354</v>
      </c>
      <c r="M130" s="24">
        <v>0</v>
      </c>
      <c r="N130" s="25">
        <f t="shared" si="7"/>
        <v>8.1920903954802254E-2</v>
      </c>
      <c r="O130" s="25">
        <f t="shared" si="8"/>
        <v>0.12429378531073447</v>
      </c>
      <c r="P130" s="25">
        <f t="shared" si="9"/>
        <v>0.76836158192090398</v>
      </c>
      <c r="Q130" s="25">
        <f t="shared" si="10"/>
        <v>8.4745762711864406E-3</v>
      </c>
      <c r="R130" s="26">
        <v>391</v>
      </c>
      <c r="S130" s="26">
        <v>11</v>
      </c>
      <c r="T130" s="26">
        <v>47</v>
      </c>
      <c r="U130" s="26">
        <v>1</v>
      </c>
      <c r="V130" s="26">
        <v>450</v>
      </c>
      <c r="W130" s="27">
        <v>0.86888888888888893</v>
      </c>
      <c r="X130" s="27">
        <v>2.4444444444444446E-2</v>
      </c>
      <c r="Y130" s="27">
        <v>0.10444444444444445</v>
      </c>
      <c r="Z130" s="27">
        <v>2.2222222222222222E-3</v>
      </c>
      <c r="AA130" s="28">
        <v>70.102222222222224</v>
      </c>
      <c r="AB130" s="25">
        <f t="shared" si="11"/>
        <v>0.78666666666666663</v>
      </c>
    </row>
    <row r="131" spans="1:28" x14ac:dyDescent="0.25">
      <c r="A131" s="24"/>
      <c r="B131" s="24"/>
      <c r="C131" s="24"/>
      <c r="D131" s="24">
        <v>2</v>
      </c>
      <c r="E131" s="24">
        <v>450</v>
      </c>
      <c r="F131" s="24">
        <v>135</v>
      </c>
      <c r="G131" s="24">
        <v>4</v>
      </c>
      <c r="H131" s="24">
        <v>233</v>
      </c>
      <c r="I131" s="24">
        <v>77</v>
      </c>
      <c r="J131" s="24">
        <v>449</v>
      </c>
      <c r="K131" s="24">
        <v>1</v>
      </c>
      <c r="L131" s="24">
        <f t="shared" ref="L131:L179" si="12">K131+J131</f>
        <v>450</v>
      </c>
      <c r="M131" s="24">
        <v>0</v>
      </c>
      <c r="N131" s="25">
        <f t="shared" ref="N131:N179" si="13">I131/L131</f>
        <v>0.1711111111111111</v>
      </c>
      <c r="O131" s="25">
        <f t="shared" ref="O131:O179" si="14">F131/L131</f>
        <v>0.3</v>
      </c>
      <c r="P131" s="25">
        <f t="shared" ref="P131:P179" si="15">H131/L131</f>
        <v>0.51777777777777778</v>
      </c>
      <c r="Q131" s="25">
        <f t="shared" ref="Q131:Q179" si="16">G131/L131</f>
        <v>8.8888888888888889E-3</v>
      </c>
      <c r="R131" s="26">
        <v>527</v>
      </c>
      <c r="S131" s="26">
        <v>11</v>
      </c>
      <c r="T131" s="26">
        <v>51</v>
      </c>
      <c r="U131" s="26">
        <v>2</v>
      </c>
      <c r="V131" s="26">
        <v>591</v>
      </c>
      <c r="W131" s="27">
        <v>0.89170896785109988</v>
      </c>
      <c r="X131" s="27">
        <v>1.8612521150592216E-2</v>
      </c>
      <c r="Y131" s="27">
        <v>8.6294416243654817E-2</v>
      </c>
      <c r="Z131" s="27">
        <v>3.3840947546531302E-3</v>
      </c>
      <c r="AA131" s="28">
        <v>50.197969543147209</v>
      </c>
      <c r="AB131" s="25">
        <f t="shared" ref="AB131:AB181" si="17">L131/V131</f>
        <v>0.76142131979695427</v>
      </c>
    </row>
    <row r="132" spans="1:28" x14ac:dyDescent="0.25">
      <c r="A132" s="24"/>
      <c r="B132" s="24"/>
      <c r="C132" s="24"/>
      <c r="D132" s="24">
        <v>3</v>
      </c>
      <c r="E132" s="24">
        <v>435</v>
      </c>
      <c r="F132" s="24">
        <v>181</v>
      </c>
      <c r="G132" s="24">
        <v>6</v>
      </c>
      <c r="H132" s="24">
        <v>189</v>
      </c>
      <c r="I132" s="24">
        <v>54</v>
      </c>
      <c r="J132" s="24">
        <v>430</v>
      </c>
      <c r="K132" s="24">
        <v>5</v>
      </c>
      <c r="L132" s="24">
        <f t="shared" si="12"/>
        <v>435</v>
      </c>
      <c r="M132" s="24">
        <v>0</v>
      </c>
      <c r="N132" s="25">
        <f t="shared" si="13"/>
        <v>0.12413793103448276</v>
      </c>
      <c r="O132" s="25">
        <f t="shared" si="14"/>
        <v>0.41609195402298849</v>
      </c>
      <c r="P132" s="25">
        <f t="shared" si="15"/>
        <v>0.43448275862068964</v>
      </c>
      <c r="Q132" s="25">
        <f t="shared" si="16"/>
        <v>1.3793103448275862E-2</v>
      </c>
      <c r="R132" s="26">
        <v>544</v>
      </c>
      <c r="S132" s="26">
        <v>7</v>
      </c>
      <c r="T132" s="26">
        <v>39</v>
      </c>
      <c r="U132" s="26">
        <v>1</v>
      </c>
      <c r="V132" s="26">
        <v>591</v>
      </c>
      <c r="W132" s="27">
        <v>0.92047377326565138</v>
      </c>
      <c r="X132" s="27">
        <v>1.1844331641285956E-2</v>
      </c>
      <c r="Y132" s="27">
        <v>6.5989847715736044E-2</v>
      </c>
      <c r="Z132" s="27">
        <v>1.6920473773265651E-3</v>
      </c>
      <c r="AA132" s="28">
        <v>39.780033840947546</v>
      </c>
      <c r="AB132" s="25">
        <f t="shared" si="17"/>
        <v>0.73604060913705582</v>
      </c>
    </row>
    <row r="133" spans="1:28" x14ac:dyDescent="0.25">
      <c r="A133" s="24"/>
      <c r="B133" s="24"/>
      <c r="C133" s="24"/>
      <c r="D133" s="24">
        <v>4</v>
      </c>
      <c r="E133" s="24">
        <v>420</v>
      </c>
      <c r="F133" s="24">
        <v>166</v>
      </c>
      <c r="G133" s="24">
        <v>4</v>
      </c>
      <c r="H133" s="24">
        <v>185</v>
      </c>
      <c r="I133" s="24">
        <v>65</v>
      </c>
      <c r="J133" s="24">
        <v>420</v>
      </c>
      <c r="K133" s="24">
        <v>0</v>
      </c>
      <c r="L133" s="24">
        <f t="shared" si="12"/>
        <v>420</v>
      </c>
      <c r="M133" s="24">
        <v>0</v>
      </c>
      <c r="N133" s="25">
        <f t="shared" si="13"/>
        <v>0.15476190476190477</v>
      </c>
      <c r="O133" s="25">
        <f t="shared" si="14"/>
        <v>0.39523809523809522</v>
      </c>
      <c r="P133" s="25">
        <f t="shared" si="15"/>
        <v>0.44047619047619047</v>
      </c>
      <c r="Q133" s="25">
        <f t="shared" si="16"/>
        <v>9.5238095238095247E-3</v>
      </c>
      <c r="R133" s="26">
        <v>538</v>
      </c>
      <c r="S133" s="26">
        <v>12</v>
      </c>
      <c r="T133" s="26">
        <v>42</v>
      </c>
      <c r="U133" s="26">
        <v>0</v>
      </c>
      <c r="V133" s="26">
        <v>592</v>
      </c>
      <c r="W133" s="27">
        <v>0.90878378378378377</v>
      </c>
      <c r="X133" s="27">
        <v>2.0270270270270271E-2</v>
      </c>
      <c r="Y133" s="27">
        <v>7.0945945945945943E-2</v>
      </c>
      <c r="Z133" s="27">
        <v>0</v>
      </c>
      <c r="AA133" s="28">
        <v>26.089527027027028</v>
      </c>
      <c r="AB133" s="25">
        <f t="shared" si="17"/>
        <v>0.70945945945945943</v>
      </c>
    </row>
    <row r="134" spans="1:28" x14ac:dyDescent="0.25">
      <c r="A134" s="44">
        <v>35</v>
      </c>
      <c r="B134" s="44" t="s">
        <v>203</v>
      </c>
      <c r="C134" s="44" t="s">
        <v>204</v>
      </c>
      <c r="D134" s="44">
        <v>1</v>
      </c>
      <c r="E134" s="44">
        <v>408</v>
      </c>
      <c r="F134" s="44">
        <v>110</v>
      </c>
      <c r="G134" s="44">
        <v>5</v>
      </c>
      <c r="H134" s="44">
        <v>235</v>
      </c>
      <c r="I134" s="44">
        <v>55</v>
      </c>
      <c r="J134" s="44">
        <v>405</v>
      </c>
      <c r="K134" s="44">
        <v>3</v>
      </c>
      <c r="L134" s="44">
        <f t="shared" si="12"/>
        <v>408</v>
      </c>
      <c r="M134" s="44">
        <v>0</v>
      </c>
      <c r="N134" s="45">
        <f t="shared" si="13"/>
        <v>0.13480392156862744</v>
      </c>
      <c r="O134" s="45">
        <f t="shared" si="14"/>
        <v>0.26960784313725489</v>
      </c>
      <c r="P134" s="45">
        <f t="shared" si="15"/>
        <v>0.5759803921568627</v>
      </c>
      <c r="Q134" s="45">
        <f t="shared" si="16"/>
        <v>1.2254901960784314E-2</v>
      </c>
      <c r="R134" s="46">
        <v>508</v>
      </c>
      <c r="S134" s="46">
        <v>1</v>
      </c>
      <c r="T134" s="46">
        <v>2</v>
      </c>
      <c r="U134" s="46">
        <v>1</v>
      </c>
      <c r="V134" s="46">
        <v>512</v>
      </c>
      <c r="W134" s="47">
        <v>0.9921875</v>
      </c>
      <c r="X134" s="47">
        <v>1.953125E-3</v>
      </c>
      <c r="Y134" s="47">
        <v>3.90625E-3</v>
      </c>
      <c r="Z134" s="47">
        <v>1.953125E-3</v>
      </c>
      <c r="AA134" s="48">
        <v>44.04296875</v>
      </c>
      <c r="AB134" s="45">
        <f t="shared" si="17"/>
        <v>0.796875</v>
      </c>
    </row>
    <row r="135" spans="1:28" x14ac:dyDescent="0.25">
      <c r="A135" s="44">
        <v>36</v>
      </c>
      <c r="B135" s="44" t="s">
        <v>205</v>
      </c>
      <c r="C135" s="44" t="s">
        <v>206</v>
      </c>
      <c r="D135" s="44">
        <v>1</v>
      </c>
      <c r="E135" s="44">
        <v>317</v>
      </c>
      <c r="F135" s="44">
        <v>48</v>
      </c>
      <c r="G135" s="44">
        <v>5</v>
      </c>
      <c r="H135" s="44">
        <v>153</v>
      </c>
      <c r="I135" s="44">
        <v>107</v>
      </c>
      <c r="J135" s="44">
        <v>313</v>
      </c>
      <c r="K135" s="44">
        <v>4</v>
      </c>
      <c r="L135" s="44">
        <f t="shared" si="12"/>
        <v>317</v>
      </c>
      <c r="M135" s="44">
        <v>0</v>
      </c>
      <c r="N135" s="45">
        <f t="shared" si="13"/>
        <v>0.33753943217665616</v>
      </c>
      <c r="O135" s="45">
        <f t="shared" si="14"/>
        <v>0.15141955835962145</v>
      </c>
      <c r="P135" s="45">
        <f t="shared" si="15"/>
        <v>0.48264984227129337</v>
      </c>
      <c r="Q135" s="45">
        <f t="shared" si="16"/>
        <v>1.5772870662460567E-2</v>
      </c>
      <c r="R135" s="46">
        <v>321</v>
      </c>
      <c r="S135" s="46">
        <v>119</v>
      </c>
      <c r="T135" s="46">
        <v>9</v>
      </c>
      <c r="U135" s="46">
        <v>1</v>
      </c>
      <c r="V135" s="46">
        <v>450</v>
      </c>
      <c r="W135" s="47">
        <v>0.71333333333333337</v>
      </c>
      <c r="X135" s="47">
        <v>0.26444444444444443</v>
      </c>
      <c r="Y135" s="47">
        <v>0.02</v>
      </c>
      <c r="Z135" s="47">
        <v>2.2222222222222222E-3</v>
      </c>
      <c r="AA135" s="48">
        <v>66.471111111111114</v>
      </c>
      <c r="AB135" s="45">
        <f t="shared" si="17"/>
        <v>0.70444444444444443</v>
      </c>
    </row>
    <row r="136" spans="1:28" x14ac:dyDescent="0.25">
      <c r="A136" s="44"/>
      <c r="B136" s="44"/>
      <c r="C136" s="44"/>
      <c r="D136" s="44">
        <v>2</v>
      </c>
      <c r="E136" s="44">
        <v>519</v>
      </c>
      <c r="F136" s="44">
        <v>173</v>
      </c>
      <c r="G136" s="44">
        <v>14</v>
      </c>
      <c r="H136" s="44">
        <v>213</v>
      </c>
      <c r="I136" s="44">
        <v>113</v>
      </c>
      <c r="J136" s="44">
        <v>513</v>
      </c>
      <c r="K136" s="44">
        <v>6</v>
      </c>
      <c r="L136" s="44">
        <f t="shared" si="12"/>
        <v>519</v>
      </c>
      <c r="M136" s="44">
        <v>0</v>
      </c>
      <c r="N136" s="45">
        <f t="shared" si="13"/>
        <v>0.21772639691714837</v>
      </c>
      <c r="O136" s="45">
        <f t="shared" si="14"/>
        <v>0.33333333333333331</v>
      </c>
      <c r="P136" s="45">
        <f t="shared" si="15"/>
        <v>0.41040462427745666</v>
      </c>
      <c r="Q136" s="45">
        <f t="shared" si="16"/>
        <v>2.6974951830443159E-2</v>
      </c>
      <c r="R136" s="46">
        <v>597</v>
      </c>
      <c r="S136" s="46">
        <v>64</v>
      </c>
      <c r="T136" s="46">
        <v>4</v>
      </c>
      <c r="U136" s="46">
        <v>5</v>
      </c>
      <c r="V136" s="46">
        <v>670</v>
      </c>
      <c r="W136" s="47">
        <v>0.89104477611940303</v>
      </c>
      <c r="X136" s="47">
        <v>9.5522388059701493E-2</v>
      </c>
      <c r="Y136" s="47">
        <v>5.9701492537313433E-3</v>
      </c>
      <c r="Z136" s="47">
        <v>7.462686567164179E-3</v>
      </c>
      <c r="AA136" s="48">
        <v>47.686567164179102</v>
      </c>
      <c r="AB136" s="45">
        <f t="shared" si="17"/>
        <v>0.77462686567164174</v>
      </c>
    </row>
    <row r="137" spans="1:28" x14ac:dyDescent="0.25">
      <c r="A137" s="44"/>
      <c r="B137" s="44"/>
      <c r="C137" s="44"/>
      <c r="D137" s="44">
        <v>3</v>
      </c>
      <c r="E137" s="44">
        <v>504</v>
      </c>
      <c r="F137" s="44">
        <v>191</v>
      </c>
      <c r="G137" s="44">
        <v>11</v>
      </c>
      <c r="H137" s="44">
        <v>202</v>
      </c>
      <c r="I137" s="44">
        <v>97</v>
      </c>
      <c r="J137" s="44">
        <v>501</v>
      </c>
      <c r="K137" s="44">
        <v>3</v>
      </c>
      <c r="L137" s="44">
        <f t="shared" si="12"/>
        <v>504</v>
      </c>
      <c r="M137" s="44">
        <v>0</v>
      </c>
      <c r="N137" s="45">
        <f t="shared" si="13"/>
        <v>0.19246031746031747</v>
      </c>
      <c r="O137" s="45">
        <f t="shared" si="14"/>
        <v>0.37896825396825395</v>
      </c>
      <c r="P137" s="45">
        <f t="shared" si="15"/>
        <v>0.40079365079365081</v>
      </c>
      <c r="Q137" s="45">
        <f t="shared" si="16"/>
        <v>2.1825396825396824E-2</v>
      </c>
      <c r="R137" s="46">
        <v>626</v>
      </c>
      <c r="S137" s="46">
        <v>39</v>
      </c>
      <c r="T137" s="46">
        <v>4</v>
      </c>
      <c r="U137" s="46">
        <v>1</v>
      </c>
      <c r="V137" s="46">
        <v>670</v>
      </c>
      <c r="W137" s="47">
        <v>0.93432835820895521</v>
      </c>
      <c r="X137" s="47">
        <v>5.8208955223880594E-2</v>
      </c>
      <c r="Y137" s="47">
        <v>5.9701492537313433E-3</v>
      </c>
      <c r="Z137" s="47">
        <v>1.4925373134328358E-3</v>
      </c>
      <c r="AA137" s="48">
        <v>33.007462686567166</v>
      </c>
      <c r="AB137" s="45">
        <f t="shared" si="17"/>
        <v>0.75223880597014925</v>
      </c>
    </row>
    <row r="138" spans="1:28" x14ac:dyDescent="0.25">
      <c r="A138" s="44"/>
      <c r="B138" s="44"/>
      <c r="C138" s="44"/>
      <c r="D138" s="44">
        <v>4</v>
      </c>
      <c r="E138" s="44">
        <v>527</v>
      </c>
      <c r="F138" s="44">
        <v>209</v>
      </c>
      <c r="G138" s="44">
        <v>10</v>
      </c>
      <c r="H138" s="44">
        <v>181</v>
      </c>
      <c r="I138" s="44">
        <v>124</v>
      </c>
      <c r="J138" s="44">
        <v>524</v>
      </c>
      <c r="K138" s="44">
        <v>3</v>
      </c>
      <c r="L138" s="44">
        <f t="shared" si="12"/>
        <v>527</v>
      </c>
      <c r="M138" s="44">
        <v>0</v>
      </c>
      <c r="N138" s="45">
        <f t="shared" si="13"/>
        <v>0.23529411764705882</v>
      </c>
      <c r="O138" s="45">
        <f t="shared" si="14"/>
        <v>0.396584440227704</v>
      </c>
      <c r="P138" s="45">
        <f t="shared" si="15"/>
        <v>0.34345351043643263</v>
      </c>
      <c r="Q138" s="45">
        <f t="shared" si="16"/>
        <v>1.8975332068311195E-2</v>
      </c>
      <c r="R138" s="46">
        <v>655</v>
      </c>
      <c r="S138" s="46">
        <v>15</v>
      </c>
      <c r="T138" s="46">
        <v>1</v>
      </c>
      <c r="U138" s="46">
        <v>0</v>
      </c>
      <c r="V138" s="46">
        <v>671</v>
      </c>
      <c r="W138" s="47">
        <v>0.97615499254843519</v>
      </c>
      <c r="X138" s="47">
        <v>2.2354694485842028E-2</v>
      </c>
      <c r="Y138" s="47">
        <v>1.4903129657228018E-3</v>
      </c>
      <c r="Z138" s="47">
        <v>0</v>
      </c>
      <c r="AA138" s="48">
        <v>22.733233979135619</v>
      </c>
      <c r="AB138" s="45">
        <f t="shared" si="17"/>
        <v>0.78539493293591656</v>
      </c>
    </row>
    <row r="139" spans="1:28" x14ac:dyDescent="0.25">
      <c r="A139" s="44">
        <v>37</v>
      </c>
      <c r="B139" s="44" t="s">
        <v>207</v>
      </c>
      <c r="C139" s="44" t="s">
        <v>208</v>
      </c>
      <c r="D139" s="44">
        <v>1</v>
      </c>
      <c r="E139" s="44">
        <v>504</v>
      </c>
      <c r="F139" s="44">
        <v>146</v>
      </c>
      <c r="G139" s="44">
        <v>15</v>
      </c>
      <c r="H139" s="44">
        <v>260</v>
      </c>
      <c r="I139" s="44">
        <v>79</v>
      </c>
      <c r="J139" s="44">
        <v>500</v>
      </c>
      <c r="K139" s="44">
        <v>4</v>
      </c>
      <c r="L139" s="44">
        <f t="shared" si="12"/>
        <v>504</v>
      </c>
      <c r="M139" s="44">
        <v>0</v>
      </c>
      <c r="N139" s="45">
        <f t="shared" si="13"/>
        <v>0.15674603174603174</v>
      </c>
      <c r="O139" s="45">
        <f t="shared" si="14"/>
        <v>0.28968253968253971</v>
      </c>
      <c r="P139" s="45">
        <f t="shared" si="15"/>
        <v>0.51587301587301593</v>
      </c>
      <c r="Q139" s="45">
        <f t="shared" si="16"/>
        <v>2.976190476190476E-2</v>
      </c>
      <c r="R139" s="46">
        <v>616</v>
      </c>
      <c r="S139" s="46">
        <v>2</v>
      </c>
      <c r="T139" s="46">
        <v>0</v>
      </c>
      <c r="U139" s="46">
        <v>1</v>
      </c>
      <c r="V139" s="46">
        <v>619</v>
      </c>
      <c r="W139" s="47">
        <v>0.99515347334410342</v>
      </c>
      <c r="X139" s="47">
        <v>3.2310177705977385E-3</v>
      </c>
      <c r="Y139" s="47">
        <v>0</v>
      </c>
      <c r="Z139" s="47">
        <v>1.6155088852988692E-3</v>
      </c>
      <c r="AA139" s="48">
        <v>49.44103392568659</v>
      </c>
      <c r="AB139" s="45">
        <f t="shared" si="17"/>
        <v>0.81421647819063003</v>
      </c>
    </row>
    <row r="140" spans="1:28" x14ac:dyDescent="0.25">
      <c r="A140" s="44">
        <v>38</v>
      </c>
      <c r="B140" s="44" t="s">
        <v>209</v>
      </c>
      <c r="C140" s="44" t="s">
        <v>210</v>
      </c>
      <c r="D140" s="44">
        <v>1</v>
      </c>
      <c r="E140" s="44">
        <v>335</v>
      </c>
      <c r="F140" s="44">
        <v>73</v>
      </c>
      <c r="G140" s="44">
        <v>2</v>
      </c>
      <c r="H140" s="44">
        <v>216</v>
      </c>
      <c r="I140" s="44">
        <v>37</v>
      </c>
      <c r="J140" s="44">
        <v>328</v>
      </c>
      <c r="K140" s="44">
        <v>7</v>
      </c>
      <c r="L140" s="44">
        <f t="shared" si="12"/>
        <v>335</v>
      </c>
      <c r="M140" s="44">
        <v>0</v>
      </c>
      <c r="N140" s="45">
        <f t="shared" si="13"/>
        <v>0.11044776119402985</v>
      </c>
      <c r="O140" s="45">
        <f t="shared" si="14"/>
        <v>0.21791044776119403</v>
      </c>
      <c r="P140" s="45">
        <f t="shared" si="15"/>
        <v>0.64477611940298507</v>
      </c>
      <c r="Q140" s="45">
        <f t="shared" si="16"/>
        <v>5.9701492537313433E-3</v>
      </c>
      <c r="R140" s="46">
        <v>447</v>
      </c>
      <c r="S140" s="46">
        <v>2</v>
      </c>
      <c r="T140" s="46">
        <v>0</v>
      </c>
      <c r="U140" s="46">
        <v>1</v>
      </c>
      <c r="V140" s="46">
        <v>450</v>
      </c>
      <c r="W140" s="47">
        <v>0.99333333333333329</v>
      </c>
      <c r="X140" s="47">
        <v>4.4444444444444444E-3</v>
      </c>
      <c r="Y140" s="47">
        <v>0</v>
      </c>
      <c r="Z140" s="47">
        <v>2.2222222222222222E-3</v>
      </c>
      <c r="AA140" s="48">
        <v>66.993333333333339</v>
      </c>
      <c r="AB140" s="45">
        <f t="shared" si="17"/>
        <v>0.74444444444444446</v>
      </c>
    </row>
    <row r="141" spans="1:28" x14ac:dyDescent="0.25">
      <c r="A141" s="44"/>
      <c r="B141" s="44"/>
      <c r="C141" s="44"/>
      <c r="D141" s="44">
        <v>2</v>
      </c>
      <c r="E141" s="44">
        <v>411</v>
      </c>
      <c r="F141" s="44">
        <v>145</v>
      </c>
      <c r="G141" s="44">
        <v>1</v>
      </c>
      <c r="H141" s="44">
        <v>205</v>
      </c>
      <c r="I141" s="44">
        <v>59</v>
      </c>
      <c r="J141" s="44">
        <v>410</v>
      </c>
      <c r="K141" s="44">
        <v>1</v>
      </c>
      <c r="L141" s="44">
        <f t="shared" si="12"/>
        <v>411</v>
      </c>
      <c r="M141" s="44">
        <v>0</v>
      </c>
      <c r="N141" s="45">
        <f t="shared" si="13"/>
        <v>0.14355231143552311</v>
      </c>
      <c r="O141" s="45">
        <f t="shared" si="14"/>
        <v>0.35279805352798055</v>
      </c>
      <c r="P141" s="45">
        <f t="shared" si="15"/>
        <v>0.49878345498783455</v>
      </c>
      <c r="Q141" s="45">
        <f t="shared" si="16"/>
        <v>2.4330900243309003E-3</v>
      </c>
      <c r="R141" s="46">
        <v>502</v>
      </c>
      <c r="S141" s="46">
        <v>1</v>
      </c>
      <c r="T141" s="46">
        <v>0</v>
      </c>
      <c r="U141" s="46">
        <v>0</v>
      </c>
      <c r="V141" s="46">
        <v>503</v>
      </c>
      <c r="W141" s="47">
        <v>0.99801192842942343</v>
      </c>
      <c r="X141" s="47">
        <v>1.9880715705765406E-3</v>
      </c>
      <c r="Y141" s="47">
        <v>0</v>
      </c>
      <c r="Z141" s="47">
        <v>0</v>
      </c>
      <c r="AA141" s="48">
        <v>51.079522862823062</v>
      </c>
      <c r="AB141" s="45">
        <f t="shared" si="17"/>
        <v>0.81709741550695825</v>
      </c>
    </row>
    <row r="142" spans="1:28" x14ac:dyDescent="0.25">
      <c r="A142" s="44"/>
      <c r="B142" s="44"/>
      <c r="C142" s="44"/>
      <c r="D142" s="44">
        <v>3</v>
      </c>
      <c r="E142" s="44">
        <v>371</v>
      </c>
      <c r="F142" s="44">
        <v>183</v>
      </c>
      <c r="G142" s="44">
        <v>11</v>
      </c>
      <c r="H142" s="44">
        <v>133</v>
      </c>
      <c r="I142" s="44">
        <v>42</v>
      </c>
      <c r="J142" s="44">
        <v>369</v>
      </c>
      <c r="K142" s="44">
        <v>2</v>
      </c>
      <c r="L142" s="44">
        <f t="shared" si="12"/>
        <v>371</v>
      </c>
      <c r="M142" s="44">
        <v>0</v>
      </c>
      <c r="N142" s="45">
        <f t="shared" si="13"/>
        <v>0.11320754716981132</v>
      </c>
      <c r="O142" s="45">
        <f t="shared" si="14"/>
        <v>0.49326145552560646</v>
      </c>
      <c r="P142" s="45">
        <f t="shared" si="15"/>
        <v>0.35849056603773582</v>
      </c>
      <c r="Q142" s="45">
        <f t="shared" si="16"/>
        <v>2.9649595687331536E-2</v>
      </c>
      <c r="R142" s="46">
        <v>501</v>
      </c>
      <c r="S142" s="46">
        <v>0</v>
      </c>
      <c r="T142" s="46">
        <v>1</v>
      </c>
      <c r="U142" s="46">
        <v>1</v>
      </c>
      <c r="V142" s="46">
        <v>503</v>
      </c>
      <c r="W142" s="47">
        <v>0.99602385685884687</v>
      </c>
      <c r="X142" s="47">
        <v>0</v>
      </c>
      <c r="Y142" s="47">
        <v>1.9880715705765406E-3</v>
      </c>
      <c r="Z142" s="47">
        <v>1.9880715705765406E-3</v>
      </c>
      <c r="AA142" s="48">
        <v>36.455268389662031</v>
      </c>
      <c r="AB142" s="45">
        <f t="shared" si="17"/>
        <v>0.7375745526838966</v>
      </c>
    </row>
    <row r="143" spans="1:28" x14ac:dyDescent="0.25">
      <c r="A143" s="44"/>
      <c r="B143" s="44"/>
      <c r="C143" s="44"/>
      <c r="D143" s="44">
        <v>4</v>
      </c>
      <c r="E143" s="44">
        <v>424</v>
      </c>
      <c r="F143" s="44">
        <v>208</v>
      </c>
      <c r="G143" s="44">
        <v>8</v>
      </c>
      <c r="H143" s="44">
        <v>124</v>
      </c>
      <c r="I143" s="44">
        <v>83</v>
      </c>
      <c r="J143" s="44">
        <v>423</v>
      </c>
      <c r="K143" s="44">
        <v>1</v>
      </c>
      <c r="L143" s="44">
        <f t="shared" si="12"/>
        <v>424</v>
      </c>
      <c r="M143" s="44">
        <v>0</v>
      </c>
      <c r="N143" s="45">
        <f t="shared" si="13"/>
        <v>0.19575471698113209</v>
      </c>
      <c r="O143" s="45">
        <f t="shared" si="14"/>
        <v>0.49056603773584906</v>
      </c>
      <c r="P143" s="45">
        <f t="shared" si="15"/>
        <v>0.29245283018867924</v>
      </c>
      <c r="Q143" s="45">
        <f t="shared" si="16"/>
        <v>1.8867924528301886E-2</v>
      </c>
      <c r="R143" s="46">
        <v>499</v>
      </c>
      <c r="S143" s="46">
        <v>2</v>
      </c>
      <c r="T143" s="46">
        <v>2</v>
      </c>
      <c r="U143" s="46">
        <v>0</v>
      </c>
      <c r="V143" s="46">
        <v>503</v>
      </c>
      <c r="W143" s="47">
        <v>0.99204771371769385</v>
      </c>
      <c r="X143" s="47">
        <v>3.9761431411530811E-3</v>
      </c>
      <c r="Y143" s="47">
        <v>3.9761431411530811E-3</v>
      </c>
      <c r="Z143" s="47">
        <v>0</v>
      </c>
      <c r="AA143" s="48">
        <v>23.737574552683895</v>
      </c>
      <c r="AB143" s="45">
        <f t="shared" si="17"/>
        <v>0.84294234592445327</v>
      </c>
    </row>
    <row r="144" spans="1:28" x14ac:dyDescent="0.25">
      <c r="A144" s="44">
        <v>39</v>
      </c>
      <c r="B144" s="44" t="s">
        <v>211</v>
      </c>
      <c r="C144" s="44" t="s">
        <v>212</v>
      </c>
      <c r="D144" s="44">
        <v>1</v>
      </c>
      <c r="E144" s="44">
        <v>159</v>
      </c>
      <c r="F144" s="44">
        <v>37</v>
      </c>
      <c r="G144" s="44">
        <v>0</v>
      </c>
      <c r="H144" s="44">
        <v>96</v>
      </c>
      <c r="I144" s="44">
        <v>26</v>
      </c>
      <c r="J144" s="44">
        <v>159</v>
      </c>
      <c r="K144" s="44">
        <v>0</v>
      </c>
      <c r="L144" s="44">
        <f t="shared" si="12"/>
        <v>159</v>
      </c>
      <c r="M144" s="44">
        <v>0</v>
      </c>
      <c r="N144" s="45">
        <f t="shared" si="13"/>
        <v>0.16352201257861634</v>
      </c>
      <c r="O144" s="45">
        <f t="shared" si="14"/>
        <v>0.23270440251572327</v>
      </c>
      <c r="P144" s="45">
        <f t="shared" si="15"/>
        <v>0.60377358490566035</v>
      </c>
      <c r="Q144" s="45">
        <f t="shared" si="16"/>
        <v>0</v>
      </c>
      <c r="R144" s="46">
        <v>220</v>
      </c>
      <c r="S144" s="46">
        <v>2</v>
      </c>
      <c r="T144" s="46">
        <v>0</v>
      </c>
      <c r="U144" s="46">
        <v>0</v>
      </c>
      <c r="V144" s="46">
        <v>222</v>
      </c>
      <c r="W144" s="47">
        <v>0.99099099099099097</v>
      </c>
      <c r="X144" s="47">
        <v>9.0090090090090089E-3</v>
      </c>
      <c r="Y144" s="47">
        <v>0</v>
      </c>
      <c r="Z144" s="47">
        <v>0</v>
      </c>
      <c r="AA144" s="48">
        <v>53.022522522522522</v>
      </c>
      <c r="AB144" s="45">
        <f t="shared" si="17"/>
        <v>0.71621621621621623</v>
      </c>
    </row>
    <row r="145" spans="1:28" x14ac:dyDescent="0.25">
      <c r="A145" s="44">
        <v>40</v>
      </c>
      <c r="B145" s="44" t="s">
        <v>213</v>
      </c>
      <c r="C145" s="44" t="s">
        <v>214</v>
      </c>
      <c r="D145" s="44">
        <v>1</v>
      </c>
      <c r="E145" s="44">
        <v>316</v>
      </c>
      <c r="F145" s="44">
        <v>17</v>
      </c>
      <c r="G145" s="44">
        <v>1</v>
      </c>
      <c r="H145" s="44">
        <v>83</v>
      </c>
      <c r="I145" s="44">
        <v>211</v>
      </c>
      <c r="J145" s="44">
        <v>312</v>
      </c>
      <c r="K145" s="44">
        <v>4</v>
      </c>
      <c r="L145" s="44">
        <f t="shared" si="12"/>
        <v>316</v>
      </c>
      <c r="M145" s="44">
        <v>0</v>
      </c>
      <c r="N145" s="45">
        <f t="shared" si="13"/>
        <v>0.66772151898734178</v>
      </c>
      <c r="O145" s="45">
        <f t="shared" si="14"/>
        <v>5.3797468354430382E-2</v>
      </c>
      <c r="P145" s="45">
        <f t="shared" si="15"/>
        <v>0.26265822784810128</v>
      </c>
      <c r="Q145" s="45">
        <f t="shared" si="16"/>
        <v>3.1645569620253164E-3</v>
      </c>
      <c r="R145" s="46">
        <v>105</v>
      </c>
      <c r="S145" s="46">
        <v>278</v>
      </c>
      <c r="T145" s="46">
        <v>66</v>
      </c>
      <c r="U145" s="46">
        <v>1</v>
      </c>
      <c r="V145" s="46">
        <v>450</v>
      </c>
      <c r="W145" s="47">
        <v>0.23333333333333334</v>
      </c>
      <c r="X145" s="47">
        <v>0.61777777777777776</v>
      </c>
      <c r="Y145" s="47">
        <v>0.14666666666666667</v>
      </c>
      <c r="Z145" s="47">
        <v>2.2222222222222222E-3</v>
      </c>
      <c r="AA145" s="48">
        <v>67.033333333333331</v>
      </c>
      <c r="AB145" s="45">
        <f t="shared" si="17"/>
        <v>0.70222222222222219</v>
      </c>
    </row>
    <row r="146" spans="1:28" x14ac:dyDescent="0.25">
      <c r="A146" s="44"/>
      <c r="B146" s="44"/>
      <c r="C146" s="44"/>
      <c r="D146" s="44">
        <v>2</v>
      </c>
      <c r="E146" s="44">
        <v>355</v>
      </c>
      <c r="F146" s="44">
        <v>24</v>
      </c>
      <c r="G146" s="44">
        <v>3</v>
      </c>
      <c r="H146" s="44">
        <v>98</v>
      </c>
      <c r="I146" s="44">
        <v>227</v>
      </c>
      <c r="J146" s="44">
        <v>352</v>
      </c>
      <c r="K146" s="44">
        <v>3</v>
      </c>
      <c r="L146" s="44">
        <f t="shared" si="12"/>
        <v>355</v>
      </c>
      <c r="M146" s="44">
        <v>0</v>
      </c>
      <c r="N146" s="45">
        <f t="shared" si="13"/>
        <v>0.6394366197183099</v>
      </c>
      <c r="O146" s="45">
        <f t="shared" si="14"/>
        <v>6.7605633802816895E-2</v>
      </c>
      <c r="P146" s="45">
        <f t="shared" si="15"/>
        <v>0.27605633802816903</v>
      </c>
      <c r="Q146" s="45">
        <f t="shared" si="16"/>
        <v>8.4507042253521118E-3</v>
      </c>
      <c r="R146" s="46">
        <v>136</v>
      </c>
      <c r="S146" s="46">
        <v>254</v>
      </c>
      <c r="T146" s="46">
        <v>55</v>
      </c>
      <c r="U146" s="46">
        <v>5</v>
      </c>
      <c r="V146" s="46">
        <v>450</v>
      </c>
      <c r="W146" s="47">
        <v>0.30222222222222223</v>
      </c>
      <c r="X146" s="47">
        <v>0.56444444444444442</v>
      </c>
      <c r="Y146" s="47">
        <v>0.12222222222222222</v>
      </c>
      <c r="Z146" s="47">
        <v>1.1111111111111112E-2</v>
      </c>
      <c r="AA146" s="48">
        <v>56.68888888888889</v>
      </c>
      <c r="AB146" s="45">
        <f t="shared" si="17"/>
        <v>0.78888888888888886</v>
      </c>
    </row>
    <row r="147" spans="1:28" x14ac:dyDescent="0.25">
      <c r="A147" s="44"/>
      <c r="B147" s="44"/>
      <c r="C147" s="44"/>
      <c r="D147" s="44">
        <v>3</v>
      </c>
      <c r="E147" s="44">
        <v>533</v>
      </c>
      <c r="F147" s="44">
        <v>57</v>
      </c>
      <c r="G147" s="44">
        <v>4</v>
      </c>
      <c r="H147" s="44">
        <v>100</v>
      </c>
      <c r="I147" s="44">
        <v>362</v>
      </c>
      <c r="J147" s="44">
        <v>523</v>
      </c>
      <c r="K147" s="44">
        <v>10</v>
      </c>
      <c r="L147" s="44">
        <f t="shared" si="12"/>
        <v>533</v>
      </c>
      <c r="M147" s="44">
        <v>0</v>
      </c>
      <c r="N147" s="45">
        <f t="shared" si="13"/>
        <v>0.67917448405253278</v>
      </c>
      <c r="O147" s="45">
        <f t="shared" si="14"/>
        <v>0.10694183864915573</v>
      </c>
      <c r="P147" s="45">
        <f t="shared" si="15"/>
        <v>0.18761726078799248</v>
      </c>
      <c r="Q147" s="45">
        <f t="shared" si="16"/>
        <v>7.5046904315196998E-3</v>
      </c>
      <c r="R147" s="46">
        <v>203</v>
      </c>
      <c r="S147" s="46">
        <v>409</v>
      </c>
      <c r="T147" s="46">
        <v>114</v>
      </c>
      <c r="U147" s="46">
        <v>1</v>
      </c>
      <c r="V147" s="46">
        <v>727</v>
      </c>
      <c r="W147" s="47">
        <v>0.27922971114167811</v>
      </c>
      <c r="X147" s="47">
        <v>0.56258596973865205</v>
      </c>
      <c r="Y147" s="47">
        <v>0.15680880330123798</v>
      </c>
      <c r="Z147" s="47">
        <v>1.375515818431912E-3</v>
      </c>
      <c r="AA147" s="48">
        <v>45.818431911966989</v>
      </c>
      <c r="AB147" s="45">
        <f t="shared" si="17"/>
        <v>0.73314993122420913</v>
      </c>
    </row>
    <row r="148" spans="1:28" x14ac:dyDescent="0.25">
      <c r="A148" s="44"/>
      <c r="B148" s="44"/>
      <c r="C148" s="44"/>
      <c r="D148" s="44">
        <v>4</v>
      </c>
      <c r="E148" s="44">
        <v>489</v>
      </c>
      <c r="F148" s="44">
        <v>72</v>
      </c>
      <c r="G148" s="44">
        <v>4</v>
      </c>
      <c r="H148" s="44">
        <v>73</v>
      </c>
      <c r="I148" s="44">
        <v>336</v>
      </c>
      <c r="J148" s="44">
        <v>485</v>
      </c>
      <c r="K148" s="44">
        <v>4</v>
      </c>
      <c r="L148" s="44">
        <f t="shared" si="12"/>
        <v>489</v>
      </c>
      <c r="M148" s="44">
        <v>0</v>
      </c>
      <c r="N148" s="45">
        <f t="shared" si="13"/>
        <v>0.68711656441717794</v>
      </c>
      <c r="O148" s="45">
        <f t="shared" si="14"/>
        <v>0.14723926380368099</v>
      </c>
      <c r="P148" s="45">
        <f t="shared" si="15"/>
        <v>0.1492842535787321</v>
      </c>
      <c r="Q148" s="45">
        <f t="shared" si="16"/>
        <v>8.1799591002044997E-3</v>
      </c>
      <c r="R148" s="46">
        <v>201</v>
      </c>
      <c r="S148" s="46">
        <v>402</v>
      </c>
      <c r="T148" s="46">
        <v>123</v>
      </c>
      <c r="U148" s="46">
        <v>1</v>
      </c>
      <c r="V148" s="46">
        <v>727</v>
      </c>
      <c r="W148" s="47">
        <v>0.27647867950481431</v>
      </c>
      <c r="X148" s="47">
        <v>0.55295735900962861</v>
      </c>
      <c r="Y148" s="47">
        <v>0.16918844566712518</v>
      </c>
      <c r="Z148" s="47">
        <v>1.375515818431912E-3</v>
      </c>
      <c r="AA148" s="48">
        <v>36.580467675378266</v>
      </c>
      <c r="AB148" s="45">
        <f t="shared" si="17"/>
        <v>0.672627235213205</v>
      </c>
    </row>
    <row r="149" spans="1:28" x14ac:dyDescent="0.25">
      <c r="A149" s="44"/>
      <c r="B149" s="44"/>
      <c r="C149" s="44"/>
      <c r="D149" s="44">
        <v>5</v>
      </c>
      <c r="E149" s="44">
        <v>491</v>
      </c>
      <c r="F149" s="44">
        <v>81</v>
      </c>
      <c r="G149" s="44">
        <v>2</v>
      </c>
      <c r="H149" s="44">
        <v>74</v>
      </c>
      <c r="I149" s="44">
        <v>333</v>
      </c>
      <c r="J149" s="44">
        <v>490</v>
      </c>
      <c r="K149" s="44">
        <v>1</v>
      </c>
      <c r="L149" s="44">
        <f t="shared" si="12"/>
        <v>491</v>
      </c>
      <c r="M149" s="44">
        <v>0</v>
      </c>
      <c r="N149" s="45">
        <f t="shared" si="13"/>
        <v>0.67820773930753564</v>
      </c>
      <c r="O149" s="45">
        <f t="shared" si="14"/>
        <v>0.164969450101833</v>
      </c>
      <c r="P149" s="45">
        <f t="shared" si="15"/>
        <v>0.15071283095723015</v>
      </c>
      <c r="Q149" s="45">
        <f t="shared" si="16"/>
        <v>4.0733197556008143E-3</v>
      </c>
      <c r="R149" s="46">
        <v>222</v>
      </c>
      <c r="S149" s="46">
        <v>376</v>
      </c>
      <c r="T149" s="46">
        <v>129</v>
      </c>
      <c r="U149" s="46">
        <v>1</v>
      </c>
      <c r="V149" s="46">
        <v>728</v>
      </c>
      <c r="W149" s="47">
        <v>0.30494505494505497</v>
      </c>
      <c r="X149" s="47">
        <v>0.51648351648351654</v>
      </c>
      <c r="Y149" s="47">
        <v>0.17719780219780221</v>
      </c>
      <c r="Z149" s="47">
        <v>1.3736263736263737E-3</v>
      </c>
      <c r="AA149" s="48">
        <v>29.258241758241759</v>
      </c>
      <c r="AB149" s="45">
        <f t="shared" si="17"/>
        <v>0.6744505494505495</v>
      </c>
    </row>
    <row r="150" spans="1:28" x14ac:dyDescent="0.25">
      <c r="A150" s="44"/>
      <c r="B150" s="44"/>
      <c r="C150" s="44"/>
      <c r="D150" s="44">
        <v>6</v>
      </c>
      <c r="E150" s="44">
        <v>565</v>
      </c>
      <c r="F150" s="44">
        <v>123</v>
      </c>
      <c r="G150" s="44">
        <v>1</v>
      </c>
      <c r="H150" s="44">
        <v>99</v>
      </c>
      <c r="I150" s="44">
        <v>338</v>
      </c>
      <c r="J150" s="44">
        <v>561</v>
      </c>
      <c r="K150" s="44">
        <v>4</v>
      </c>
      <c r="L150" s="44">
        <f t="shared" si="12"/>
        <v>565</v>
      </c>
      <c r="M150" s="44">
        <v>0</v>
      </c>
      <c r="N150" s="45">
        <f t="shared" si="13"/>
        <v>0.59823008849557524</v>
      </c>
      <c r="O150" s="45">
        <f t="shared" si="14"/>
        <v>0.2176991150442478</v>
      </c>
      <c r="P150" s="45">
        <f t="shared" si="15"/>
        <v>0.17522123893805311</v>
      </c>
      <c r="Q150" s="45">
        <f t="shared" si="16"/>
        <v>1.7699115044247787E-3</v>
      </c>
      <c r="R150" s="46">
        <v>286</v>
      </c>
      <c r="S150" s="46">
        <v>342</v>
      </c>
      <c r="T150" s="46">
        <v>100</v>
      </c>
      <c r="U150" s="46">
        <v>0</v>
      </c>
      <c r="V150" s="46">
        <v>728</v>
      </c>
      <c r="W150" s="47">
        <v>0.39285714285714285</v>
      </c>
      <c r="X150" s="47">
        <v>0.46978021978021978</v>
      </c>
      <c r="Y150" s="47">
        <v>0.13736263736263737</v>
      </c>
      <c r="Z150" s="47">
        <v>0</v>
      </c>
      <c r="AA150" s="48">
        <v>21.807692307692307</v>
      </c>
      <c r="AB150" s="45">
        <f t="shared" si="17"/>
        <v>0.77609890109890112</v>
      </c>
    </row>
    <row r="151" spans="1:28" x14ac:dyDescent="0.25">
      <c r="A151" s="44">
        <v>41</v>
      </c>
      <c r="B151" s="44" t="s">
        <v>215</v>
      </c>
      <c r="C151" s="44" t="s">
        <v>216</v>
      </c>
      <c r="D151" s="44">
        <v>1</v>
      </c>
      <c r="E151" s="44">
        <v>316</v>
      </c>
      <c r="F151" s="44">
        <v>10</v>
      </c>
      <c r="G151" s="44">
        <v>2</v>
      </c>
      <c r="H151" s="44">
        <v>51</v>
      </c>
      <c r="I151" s="44">
        <v>248</v>
      </c>
      <c r="J151" s="44">
        <v>311</v>
      </c>
      <c r="K151" s="44">
        <v>5</v>
      </c>
      <c r="L151" s="44">
        <f t="shared" si="12"/>
        <v>316</v>
      </c>
      <c r="M151" s="44">
        <v>0</v>
      </c>
      <c r="N151" s="45">
        <f t="shared" si="13"/>
        <v>0.78481012658227844</v>
      </c>
      <c r="O151" s="45">
        <f t="shared" si="14"/>
        <v>3.1645569620253167E-2</v>
      </c>
      <c r="P151" s="45">
        <f t="shared" si="15"/>
        <v>0.16139240506329114</v>
      </c>
      <c r="Q151" s="45">
        <f t="shared" si="16"/>
        <v>6.3291139240506328E-3</v>
      </c>
      <c r="R151" s="46">
        <v>9</v>
      </c>
      <c r="S151" s="46">
        <v>393</v>
      </c>
      <c r="T151" s="46">
        <v>46</v>
      </c>
      <c r="U151" s="46">
        <v>2</v>
      </c>
      <c r="V151" s="46">
        <v>450</v>
      </c>
      <c r="W151" s="47">
        <v>0.02</v>
      </c>
      <c r="X151" s="47">
        <v>0.87333333333333329</v>
      </c>
      <c r="Y151" s="47">
        <v>0.10222222222222223</v>
      </c>
      <c r="Z151" s="47">
        <v>4.4444444444444444E-3</v>
      </c>
      <c r="AA151" s="48">
        <v>70.635555555555555</v>
      </c>
      <c r="AB151" s="45">
        <f t="shared" si="17"/>
        <v>0.70222222222222219</v>
      </c>
    </row>
    <row r="152" spans="1:28" x14ac:dyDescent="0.25">
      <c r="A152" s="44"/>
      <c r="B152" s="44"/>
      <c r="C152" s="44"/>
      <c r="D152" s="44">
        <v>2</v>
      </c>
      <c r="E152" s="44">
        <v>349</v>
      </c>
      <c r="F152" s="44">
        <v>4</v>
      </c>
      <c r="G152" s="44">
        <v>2</v>
      </c>
      <c r="H152" s="44">
        <v>33</v>
      </c>
      <c r="I152" s="44">
        <v>305</v>
      </c>
      <c r="J152" s="44">
        <v>344</v>
      </c>
      <c r="K152" s="44">
        <v>5</v>
      </c>
      <c r="L152" s="44">
        <f t="shared" si="12"/>
        <v>349</v>
      </c>
      <c r="M152" s="44">
        <v>0</v>
      </c>
      <c r="N152" s="45">
        <f t="shared" si="13"/>
        <v>0.87392550143266479</v>
      </c>
      <c r="O152" s="45">
        <f t="shared" si="14"/>
        <v>1.1461318051575931E-2</v>
      </c>
      <c r="P152" s="45">
        <f t="shared" si="15"/>
        <v>9.4555873925501438E-2</v>
      </c>
      <c r="Q152" s="45">
        <f t="shared" si="16"/>
        <v>5.7306590257879654E-3</v>
      </c>
      <c r="R152" s="46">
        <v>14</v>
      </c>
      <c r="S152" s="46">
        <v>404</v>
      </c>
      <c r="T152" s="46">
        <v>32</v>
      </c>
      <c r="U152" s="46">
        <v>0</v>
      </c>
      <c r="V152" s="46">
        <v>450</v>
      </c>
      <c r="W152" s="47">
        <v>3.111111111111111E-2</v>
      </c>
      <c r="X152" s="47">
        <v>0.89777777777777779</v>
      </c>
      <c r="Y152" s="47">
        <v>7.1111111111111111E-2</v>
      </c>
      <c r="Z152" s="47">
        <v>0</v>
      </c>
      <c r="AA152" s="48">
        <v>63.888888888888886</v>
      </c>
      <c r="AB152" s="45">
        <f t="shared" si="17"/>
        <v>0.77555555555555555</v>
      </c>
    </row>
    <row r="153" spans="1:28" x14ac:dyDescent="0.25">
      <c r="A153" s="44"/>
      <c r="B153" s="44"/>
      <c r="C153" s="44"/>
      <c r="D153" s="44">
        <v>3</v>
      </c>
      <c r="E153" s="44">
        <v>490</v>
      </c>
      <c r="F153" s="44">
        <v>10</v>
      </c>
      <c r="G153" s="44">
        <v>0</v>
      </c>
      <c r="H153" s="44">
        <v>38</v>
      </c>
      <c r="I153" s="44">
        <v>437</v>
      </c>
      <c r="J153" s="44">
        <v>485</v>
      </c>
      <c r="K153" s="44">
        <v>5</v>
      </c>
      <c r="L153" s="44">
        <f t="shared" si="12"/>
        <v>490</v>
      </c>
      <c r="M153" s="44">
        <v>0</v>
      </c>
      <c r="N153" s="45">
        <f t="shared" si="13"/>
        <v>0.89183673469387759</v>
      </c>
      <c r="O153" s="45">
        <f t="shared" si="14"/>
        <v>2.0408163265306121E-2</v>
      </c>
      <c r="P153" s="45">
        <f t="shared" si="15"/>
        <v>7.7551020408163265E-2</v>
      </c>
      <c r="Q153" s="45">
        <f t="shared" si="16"/>
        <v>0</v>
      </c>
      <c r="R153" s="46">
        <v>30</v>
      </c>
      <c r="S153" s="46">
        <v>580</v>
      </c>
      <c r="T153" s="46">
        <v>70</v>
      </c>
      <c r="U153" s="46">
        <v>3</v>
      </c>
      <c r="V153" s="46">
        <v>683</v>
      </c>
      <c r="W153" s="47">
        <v>4.3923865300146414E-2</v>
      </c>
      <c r="X153" s="47">
        <v>0.84919472913616401</v>
      </c>
      <c r="Y153" s="47">
        <v>0.10248901903367497</v>
      </c>
      <c r="Z153" s="47">
        <v>4.3923865300146414E-3</v>
      </c>
      <c r="AA153" s="48">
        <v>54.282576866764273</v>
      </c>
      <c r="AB153" s="45">
        <f t="shared" si="17"/>
        <v>0.71742313323572471</v>
      </c>
    </row>
    <row r="154" spans="1:28" x14ac:dyDescent="0.25">
      <c r="A154" s="44"/>
      <c r="B154" s="44"/>
      <c r="C154" s="44"/>
      <c r="D154" s="44">
        <v>4</v>
      </c>
      <c r="E154" s="44">
        <v>460</v>
      </c>
      <c r="F154" s="44">
        <v>11</v>
      </c>
      <c r="G154" s="44">
        <v>1</v>
      </c>
      <c r="H154" s="44">
        <v>38</v>
      </c>
      <c r="I154" s="44">
        <v>404</v>
      </c>
      <c r="J154" s="44">
        <v>454</v>
      </c>
      <c r="K154" s="44">
        <v>6</v>
      </c>
      <c r="L154" s="44">
        <f t="shared" si="12"/>
        <v>460</v>
      </c>
      <c r="M154" s="44">
        <v>0</v>
      </c>
      <c r="N154" s="45">
        <f t="shared" si="13"/>
        <v>0.87826086956521743</v>
      </c>
      <c r="O154" s="45">
        <f t="shared" si="14"/>
        <v>2.391304347826087E-2</v>
      </c>
      <c r="P154" s="45">
        <f t="shared" si="15"/>
        <v>8.2608695652173908E-2</v>
      </c>
      <c r="Q154" s="45">
        <f t="shared" si="16"/>
        <v>2.1739130434782609E-3</v>
      </c>
      <c r="R154" s="46">
        <v>37</v>
      </c>
      <c r="S154" s="46">
        <v>540</v>
      </c>
      <c r="T154" s="46">
        <v>105</v>
      </c>
      <c r="U154" s="46">
        <v>1</v>
      </c>
      <c r="V154" s="46">
        <v>683</v>
      </c>
      <c r="W154" s="47">
        <v>5.4172767203513911E-2</v>
      </c>
      <c r="X154" s="47">
        <v>0.79062957540263545</v>
      </c>
      <c r="Y154" s="47">
        <v>0.15373352855051245</v>
      </c>
      <c r="Z154" s="47">
        <v>1.4641288433382138E-3</v>
      </c>
      <c r="AA154" s="48">
        <v>44.216691068814058</v>
      </c>
      <c r="AB154" s="45">
        <f t="shared" si="17"/>
        <v>0.67349926793557835</v>
      </c>
    </row>
    <row r="155" spans="1:28" x14ac:dyDescent="0.25">
      <c r="A155" s="44"/>
      <c r="B155" s="44"/>
      <c r="C155" s="44"/>
      <c r="D155" s="44">
        <v>5</v>
      </c>
      <c r="E155" s="44">
        <v>435</v>
      </c>
      <c r="F155" s="44">
        <v>21</v>
      </c>
      <c r="G155" s="44">
        <v>4</v>
      </c>
      <c r="H155" s="44">
        <v>24</v>
      </c>
      <c r="I155" s="44">
        <v>381</v>
      </c>
      <c r="J155" s="44">
        <v>430</v>
      </c>
      <c r="K155" s="44">
        <v>5</v>
      </c>
      <c r="L155" s="44">
        <f t="shared" si="12"/>
        <v>435</v>
      </c>
      <c r="M155" s="44">
        <v>0</v>
      </c>
      <c r="N155" s="45">
        <f t="shared" si="13"/>
        <v>0.87586206896551722</v>
      </c>
      <c r="O155" s="45">
        <f t="shared" si="14"/>
        <v>4.8275862068965517E-2</v>
      </c>
      <c r="P155" s="45">
        <f t="shared" si="15"/>
        <v>5.5172413793103448E-2</v>
      </c>
      <c r="Q155" s="45">
        <f t="shared" si="16"/>
        <v>9.1954022988505746E-3</v>
      </c>
      <c r="R155" s="46">
        <v>48</v>
      </c>
      <c r="S155" s="46">
        <v>518</v>
      </c>
      <c r="T155" s="46">
        <v>114</v>
      </c>
      <c r="U155" s="46">
        <v>3</v>
      </c>
      <c r="V155" s="46">
        <v>683</v>
      </c>
      <c r="W155" s="47">
        <v>7.0278184480234263E-2</v>
      </c>
      <c r="X155" s="47">
        <v>0.75841874084919469</v>
      </c>
      <c r="Y155" s="47">
        <v>0.16691068814055637</v>
      </c>
      <c r="Z155" s="47">
        <v>4.3923865300146414E-3</v>
      </c>
      <c r="AA155" s="48">
        <v>36.064421669106885</v>
      </c>
      <c r="AB155" s="45">
        <f t="shared" si="17"/>
        <v>0.63689604685212298</v>
      </c>
    </row>
    <row r="156" spans="1:28" x14ac:dyDescent="0.25">
      <c r="A156" s="44"/>
      <c r="B156" s="44"/>
      <c r="C156" s="44"/>
      <c r="D156" s="44">
        <v>6</v>
      </c>
      <c r="E156" s="44">
        <v>425</v>
      </c>
      <c r="F156" s="44">
        <v>21</v>
      </c>
      <c r="G156" s="44">
        <v>0</v>
      </c>
      <c r="H156" s="44">
        <v>27</v>
      </c>
      <c r="I156" s="44">
        <v>375</v>
      </c>
      <c r="J156" s="44">
        <v>423</v>
      </c>
      <c r="K156" s="44">
        <v>2</v>
      </c>
      <c r="L156" s="44">
        <f t="shared" si="12"/>
        <v>425</v>
      </c>
      <c r="M156" s="44">
        <v>0</v>
      </c>
      <c r="N156" s="45">
        <f t="shared" si="13"/>
        <v>0.88235294117647056</v>
      </c>
      <c r="O156" s="45">
        <f t="shared" si="14"/>
        <v>4.9411764705882349E-2</v>
      </c>
      <c r="P156" s="45">
        <f t="shared" si="15"/>
        <v>6.3529411764705876E-2</v>
      </c>
      <c r="Q156" s="45">
        <f t="shared" si="16"/>
        <v>0</v>
      </c>
      <c r="R156" s="46">
        <v>51</v>
      </c>
      <c r="S156" s="46">
        <v>511</v>
      </c>
      <c r="T156" s="46">
        <v>120</v>
      </c>
      <c r="U156" s="46">
        <v>1</v>
      </c>
      <c r="V156" s="46">
        <v>683</v>
      </c>
      <c r="W156" s="47">
        <v>7.4670571010248904E-2</v>
      </c>
      <c r="X156" s="47">
        <v>0.74816983894582723</v>
      </c>
      <c r="Y156" s="47">
        <v>0.17569546120058566</v>
      </c>
      <c r="Z156" s="47">
        <v>1.4641288433382138E-3</v>
      </c>
      <c r="AA156" s="48">
        <v>29.144948755490482</v>
      </c>
      <c r="AB156" s="45">
        <f t="shared" si="17"/>
        <v>0.62225475841874089</v>
      </c>
    </row>
    <row r="157" spans="1:28" x14ac:dyDescent="0.25">
      <c r="A157" s="44"/>
      <c r="B157" s="44"/>
      <c r="C157" s="44"/>
      <c r="D157" s="44">
        <v>7</v>
      </c>
      <c r="E157" s="44">
        <v>494</v>
      </c>
      <c r="F157" s="44">
        <v>25</v>
      </c>
      <c r="G157" s="44">
        <v>0</v>
      </c>
      <c r="H157" s="44">
        <v>36</v>
      </c>
      <c r="I157" s="44">
        <v>430</v>
      </c>
      <c r="J157" s="44">
        <v>491</v>
      </c>
      <c r="K157" s="44">
        <v>3</v>
      </c>
      <c r="L157" s="44">
        <f t="shared" si="12"/>
        <v>494</v>
      </c>
      <c r="M157" s="44">
        <v>0</v>
      </c>
      <c r="N157" s="45">
        <f t="shared" si="13"/>
        <v>0.87044534412955465</v>
      </c>
      <c r="O157" s="45">
        <f t="shared" si="14"/>
        <v>5.0607287449392711E-2</v>
      </c>
      <c r="P157" s="45">
        <f t="shared" si="15"/>
        <v>7.28744939271255E-2</v>
      </c>
      <c r="Q157" s="45">
        <f t="shared" si="16"/>
        <v>0</v>
      </c>
      <c r="R157" s="46">
        <v>80</v>
      </c>
      <c r="S157" s="46">
        <v>437</v>
      </c>
      <c r="T157" s="46">
        <v>167</v>
      </c>
      <c r="U157" s="46">
        <v>0</v>
      </c>
      <c r="V157" s="46">
        <v>684</v>
      </c>
      <c r="W157" s="47">
        <v>0.11695906432748537</v>
      </c>
      <c r="X157" s="47">
        <v>0.63888888888888884</v>
      </c>
      <c r="Y157" s="47">
        <v>0.24415204678362573</v>
      </c>
      <c r="Z157" s="47">
        <v>0</v>
      </c>
      <c r="AA157" s="48">
        <v>21.969298245614034</v>
      </c>
      <c r="AB157" s="45">
        <f t="shared" si="17"/>
        <v>0.72222222222222221</v>
      </c>
    </row>
    <row r="158" spans="1:28" x14ac:dyDescent="0.25">
      <c r="A158" s="44">
        <v>42</v>
      </c>
      <c r="B158" s="44" t="s">
        <v>217</v>
      </c>
      <c r="C158" s="44" t="s">
        <v>218</v>
      </c>
      <c r="D158" s="44">
        <v>1</v>
      </c>
      <c r="E158" s="44">
        <v>251</v>
      </c>
      <c r="F158" s="44">
        <v>7</v>
      </c>
      <c r="G158" s="44">
        <v>2</v>
      </c>
      <c r="H158" s="44">
        <v>31</v>
      </c>
      <c r="I158" s="44">
        <v>204</v>
      </c>
      <c r="J158" s="44">
        <v>244</v>
      </c>
      <c r="K158" s="44">
        <v>7</v>
      </c>
      <c r="L158" s="44">
        <f t="shared" si="12"/>
        <v>251</v>
      </c>
      <c r="M158" s="44">
        <v>0</v>
      </c>
      <c r="N158" s="45">
        <f t="shared" si="13"/>
        <v>0.8127490039840638</v>
      </c>
      <c r="O158" s="45">
        <f t="shared" si="14"/>
        <v>2.7888446215139442E-2</v>
      </c>
      <c r="P158" s="45">
        <f t="shared" si="15"/>
        <v>0.12350597609561753</v>
      </c>
      <c r="Q158" s="45">
        <f t="shared" si="16"/>
        <v>7.9681274900398405E-3</v>
      </c>
      <c r="R158" s="46">
        <v>11</v>
      </c>
      <c r="S158" s="46">
        <v>405</v>
      </c>
      <c r="T158" s="46">
        <v>33</v>
      </c>
      <c r="U158" s="46">
        <v>1</v>
      </c>
      <c r="V158" s="46">
        <v>450</v>
      </c>
      <c r="W158" s="47">
        <v>2.4444444444444446E-2</v>
      </c>
      <c r="X158" s="47">
        <v>0.9</v>
      </c>
      <c r="Y158" s="47">
        <v>7.3333333333333334E-2</v>
      </c>
      <c r="Z158" s="47">
        <v>2.2222222222222222E-3</v>
      </c>
      <c r="AA158" s="48">
        <v>78.540000000000006</v>
      </c>
      <c r="AB158" s="45">
        <f t="shared" si="17"/>
        <v>0.55777777777777782</v>
      </c>
    </row>
    <row r="159" spans="1:28" x14ac:dyDescent="0.25">
      <c r="A159" s="44"/>
      <c r="B159" s="44"/>
      <c r="C159" s="44"/>
      <c r="D159" s="44">
        <v>2</v>
      </c>
      <c r="E159" s="44">
        <v>306</v>
      </c>
      <c r="F159" s="44">
        <v>5</v>
      </c>
      <c r="G159" s="44">
        <v>2</v>
      </c>
      <c r="H159" s="44">
        <v>41</v>
      </c>
      <c r="I159" s="44">
        <v>252</v>
      </c>
      <c r="J159" s="44">
        <v>300</v>
      </c>
      <c r="K159" s="44">
        <v>6</v>
      </c>
      <c r="L159" s="44">
        <f t="shared" si="12"/>
        <v>306</v>
      </c>
      <c r="M159" s="44">
        <v>0</v>
      </c>
      <c r="N159" s="45">
        <f t="shared" si="13"/>
        <v>0.82352941176470584</v>
      </c>
      <c r="O159" s="45">
        <f t="shared" si="14"/>
        <v>1.6339869281045753E-2</v>
      </c>
      <c r="P159" s="45">
        <f t="shared" si="15"/>
        <v>0.13398692810457516</v>
      </c>
      <c r="Q159" s="45">
        <f t="shared" si="16"/>
        <v>6.5359477124183009E-3</v>
      </c>
      <c r="R159" s="46">
        <v>32</v>
      </c>
      <c r="S159" s="46">
        <v>384</v>
      </c>
      <c r="T159" s="46">
        <v>26</v>
      </c>
      <c r="U159" s="46">
        <v>8</v>
      </c>
      <c r="V159" s="46">
        <v>450</v>
      </c>
      <c r="W159" s="47">
        <v>7.1111111111111111E-2</v>
      </c>
      <c r="X159" s="47">
        <v>0.85333333333333339</v>
      </c>
      <c r="Y159" s="47">
        <v>5.7777777777777775E-2</v>
      </c>
      <c r="Z159" s="47">
        <v>1.7777777777777778E-2</v>
      </c>
      <c r="AA159" s="48">
        <v>67.884444444444441</v>
      </c>
      <c r="AB159" s="45">
        <f t="shared" si="17"/>
        <v>0.68</v>
      </c>
    </row>
    <row r="160" spans="1:28" x14ac:dyDescent="0.25">
      <c r="A160" s="44"/>
      <c r="B160" s="44"/>
      <c r="C160" s="44"/>
      <c r="D160" s="44">
        <v>3</v>
      </c>
      <c r="E160" s="44">
        <v>321</v>
      </c>
      <c r="F160" s="44">
        <v>8</v>
      </c>
      <c r="G160" s="44">
        <v>4</v>
      </c>
      <c r="H160" s="44">
        <v>32</v>
      </c>
      <c r="I160" s="44">
        <v>273</v>
      </c>
      <c r="J160" s="44">
        <v>317</v>
      </c>
      <c r="K160" s="44">
        <v>4</v>
      </c>
      <c r="L160" s="44">
        <f t="shared" si="12"/>
        <v>321</v>
      </c>
      <c r="M160" s="44">
        <v>0</v>
      </c>
      <c r="N160" s="45">
        <f t="shared" si="13"/>
        <v>0.85046728971962615</v>
      </c>
      <c r="O160" s="45">
        <f t="shared" si="14"/>
        <v>2.4922118380062305E-2</v>
      </c>
      <c r="P160" s="45">
        <f t="shared" si="15"/>
        <v>9.9688473520249218E-2</v>
      </c>
      <c r="Q160" s="45">
        <f t="shared" si="16"/>
        <v>1.2461059190031152E-2</v>
      </c>
      <c r="R160" s="46">
        <v>42</v>
      </c>
      <c r="S160" s="46">
        <v>371</v>
      </c>
      <c r="T160" s="46">
        <v>34</v>
      </c>
      <c r="U160" s="46">
        <v>3</v>
      </c>
      <c r="V160" s="46">
        <v>450</v>
      </c>
      <c r="W160" s="47">
        <v>9.3333333333333338E-2</v>
      </c>
      <c r="X160" s="47">
        <v>0.82444444444444442</v>
      </c>
      <c r="Y160" s="47">
        <v>7.5555555555555556E-2</v>
      </c>
      <c r="Z160" s="47">
        <v>6.6666666666666671E-3</v>
      </c>
      <c r="AA160" s="48">
        <v>59.415555555555557</v>
      </c>
      <c r="AB160" s="45">
        <f t="shared" si="17"/>
        <v>0.71333333333333337</v>
      </c>
    </row>
    <row r="161" spans="1:28" x14ac:dyDescent="0.25">
      <c r="A161" s="44"/>
      <c r="B161" s="44"/>
      <c r="C161" s="44"/>
      <c r="D161" s="44">
        <v>4</v>
      </c>
      <c r="E161" s="44">
        <v>389</v>
      </c>
      <c r="F161" s="44">
        <v>10</v>
      </c>
      <c r="G161" s="44">
        <v>1</v>
      </c>
      <c r="H161" s="44">
        <v>27</v>
      </c>
      <c r="I161" s="44">
        <v>349</v>
      </c>
      <c r="J161" s="44">
        <v>387</v>
      </c>
      <c r="K161" s="44">
        <v>2</v>
      </c>
      <c r="L161" s="44">
        <f t="shared" si="12"/>
        <v>389</v>
      </c>
      <c r="M161" s="44">
        <v>0</v>
      </c>
      <c r="N161" s="45">
        <f t="shared" si="13"/>
        <v>0.89717223650385602</v>
      </c>
      <c r="O161" s="45">
        <f t="shared" si="14"/>
        <v>2.570694087403599E-2</v>
      </c>
      <c r="P161" s="45">
        <f t="shared" si="15"/>
        <v>6.9408740359897178E-2</v>
      </c>
      <c r="Q161" s="45">
        <f t="shared" si="16"/>
        <v>2.5706940874035988E-3</v>
      </c>
      <c r="R161" s="46">
        <v>47</v>
      </c>
      <c r="S161" s="46">
        <v>480</v>
      </c>
      <c r="T161" s="46">
        <v>35</v>
      </c>
      <c r="U161" s="46">
        <v>3</v>
      </c>
      <c r="V161" s="46">
        <v>565</v>
      </c>
      <c r="W161" s="47">
        <v>8.3185840707964601E-2</v>
      </c>
      <c r="X161" s="47">
        <v>0.84955752212389379</v>
      </c>
      <c r="Y161" s="47">
        <v>6.1946902654867256E-2</v>
      </c>
      <c r="Z161" s="47">
        <v>5.3097345132743362E-3</v>
      </c>
      <c r="AA161" s="48">
        <v>46.007079646017701</v>
      </c>
      <c r="AB161" s="45">
        <f t="shared" si="17"/>
        <v>0.68849557522123894</v>
      </c>
    </row>
    <row r="162" spans="1:28" x14ac:dyDescent="0.25">
      <c r="A162" s="44"/>
      <c r="B162" s="44"/>
      <c r="C162" s="44"/>
      <c r="D162" s="44">
        <v>5</v>
      </c>
      <c r="E162" s="44">
        <v>380</v>
      </c>
      <c r="F162" s="44">
        <v>34</v>
      </c>
      <c r="G162" s="44">
        <v>1</v>
      </c>
      <c r="H162" s="44">
        <v>29</v>
      </c>
      <c r="I162" s="44">
        <v>312</v>
      </c>
      <c r="J162" s="44">
        <v>376</v>
      </c>
      <c r="K162" s="44">
        <v>4</v>
      </c>
      <c r="L162" s="44">
        <f t="shared" si="12"/>
        <v>380</v>
      </c>
      <c r="M162" s="44">
        <v>0</v>
      </c>
      <c r="N162" s="45">
        <f t="shared" si="13"/>
        <v>0.82105263157894737</v>
      </c>
      <c r="O162" s="45">
        <f t="shared" si="14"/>
        <v>8.9473684210526316E-2</v>
      </c>
      <c r="P162" s="45">
        <f t="shared" si="15"/>
        <v>7.6315789473684212E-2</v>
      </c>
      <c r="Q162" s="45">
        <f t="shared" si="16"/>
        <v>2.631578947368421E-3</v>
      </c>
      <c r="R162" s="46">
        <v>86</v>
      </c>
      <c r="S162" s="46">
        <v>434</v>
      </c>
      <c r="T162" s="46">
        <v>44</v>
      </c>
      <c r="U162" s="46">
        <v>2</v>
      </c>
      <c r="V162" s="46">
        <v>566</v>
      </c>
      <c r="W162" s="47">
        <v>0.1519434628975265</v>
      </c>
      <c r="X162" s="47">
        <v>0.7667844522968198</v>
      </c>
      <c r="Y162" s="47">
        <v>7.7738515901060068E-2</v>
      </c>
      <c r="Z162" s="47">
        <v>3.5335689045936395E-3</v>
      </c>
      <c r="AA162" s="48">
        <v>29.056537102473499</v>
      </c>
      <c r="AB162" s="45">
        <f t="shared" si="17"/>
        <v>0.67137809187279152</v>
      </c>
    </row>
    <row r="163" spans="1:28" x14ac:dyDescent="0.25">
      <c r="A163" s="44">
        <v>43</v>
      </c>
      <c r="B163" s="44" t="s">
        <v>219</v>
      </c>
      <c r="C163" s="44" t="s">
        <v>220</v>
      </c>
      <c r="D163" s="44">
        <v>1</v>
      </c>
      <c r="E163" s="44">
        <v>283</v>
      </c>
      <c r="F163" s="44">
        <v>3</v>
      </c>
      <c r="G163" s="44">
        <v>3</v>
      </c>
      <c r="H163" s="44">
        <v>51</v>
      </c>
      <c r="I163" s="44">
        <v>221</v>
      </c>
      <c r="J163" s="44">
        <v>278</v>
      </c>
      <c r="K163" s="44">
        <v>5</v>
      </c>
      <c r="L163" s="44">
        <f t="shared" si="12"/>
        <v>283</v>
      </c>
      <c r="M163" s="44">
        <v>0</v>
      </c>
      <c r="N163" s="45">
        <f t="shared" si="13"/>
        <v>0.78091872791519434</v>
      </c>
      <c r="O163" s="45">
        <f t="shared" si="14"/>
        <v>1.0600706713780919E-2</v>
      </c>
      <c r="P163" s="45">
        <f t="shared" si="15"/>
        <v>0.18021201413427562</v>
      </c>
      <c r="Q163" s="45">
        <f t="shared" si="16"/>
        <v>1.0600706713780919E-2</v>
      </c>
      <c r="R163" s="46">
        <v>5</v>
      </c>
      <c r="S163" s="46">
        <v>431</v>
      </c>
      <c r="T163" s="46">
        <v>14</v>
      </c>
      <c r="U163" s="46">
        <v>0</v>
      </c>
      <c r="V163" s="46">
        <v>450</v>
      </c>
      <c r="W163" s="47">
        <v>1.1111111111111112E-2</v>
      </c>
      <c r="X163" s="47">
        <v>0.95777777777777773</v>
      </c>
      <c r="Y163" s="47">
        <v>3.111111111111111E-2</v>
      </c>
      <c r="Z163" s="47">
        <v>0</v>
      </c>
      <c r="AA163" s="48">
        <v>73.16</v>
      </c>
      <c r="AB163" s="45">
        <f t="shared" si="17"/>
        <v>0.62888888888888894</v>
      </c>
    </row>
    <row r="164" spans="1:28" x14ac:dyDescent="0.25">
      <c r="A164" s="44"/>
      <c r="B164" s="44"/>
      <c r="C164" s="44"/>
      <c r="D164" s="44">
        <v>2</v>
      </c>
      <c r="E164" s="44">
        <v>344</v>
      </c>
      <c r="F164" s="44">
        <v>1</v>
      </c>
      <c r="G164" s="44">
        <v>1</v>
      </c>
      <c r="H164" s="44">
        <v>34</v>
      </c>
      <c r="I164" s="44">
        <v>308</v>
      </c>
      <c r="J164" s="44">
        <v>344</v>
      </c>
      <c r="K164" s="44">
        <v>0</v>
      </c>
      <c r="L164" s="44">
        <f t="shared" si="12"/>
        <v>344</v>
      </c>
      <c r="M164" s="44">
        <v>0</v>
      </c>
      <c r="N164" s="45">
        <f t="shared" si="13"/>
        <v>0.89534883720930236</v>
      </c>
      <c r="O164" s="45">
        <f t="shared" si="14"/>
        <v>2.9069767441860465E-3</v>
      </c>
      <c r="P164" s="45">
        <f t="shared" si="15"/>
        <v>9.8837209302325577E-2</v>
      </c>
      <c r="Q164" s="45">
        <f t="shared" si="16"/>
        <v>2.9069767441860465E-3</v>
      </c>
      <c r="R164" s="46">
        <v>2</v>
      </c>
      <c r="S164" s="46">
        <v>431</v>
      </c>
      <c r="T164" s="46">
        <v>16</v>
      </c>
      <c r="U164" s="46">
        <v>1</v>
      </c>
      <c r="V164" s="46">
        <v>450</v>
      </c>
      <c r="W164" s="47">
        <v>4.4444444444444444E-3</v>
      </c>
      <c r="X164" s="47">
        <v>0.95777777777777773</v>
      </c>
      <c r="Y164" s="47">
        <v>3.5555555555555556E-2</v>
      </c>
      <c r="Z164" s="47">
        <v>2.2222222222222222E-3</v>
      </c>
      <c r="AA164" s="48">
        <v>63.102222222222224</v>
      </c>
      <c r="AB164" s="45">
        <f t="shared" si="17"/>
        <v>0.76444444444444448</v>
      </c>
    </row>
    <row r="165" spans="1:28" x14ac:dyDescent="0.25">
      <c r="A165" s="44"/>
      <c r="B165" s="44"/>
      <c r="C165" s="44"/>
      <c r="D165" s="44">
        <v>3</v>
      </c>
      <c r="E165" s="44">
        <v>361</v>
      </c>
      <c r="F165" s="44">
        <v>1</v>
      </c>
      <c r="G165" s="44">
        <v>0</v>
      </c>
      <c r="H165" s="44">
        <v>26</v>
      </c>
      <c r="I165" s="44">
        <v>328</v>
      </c>
      <c r="J165" s="44">
        <v>355</v>
      </c>
      <c r="K165" s="44">
        <v>6</v>
      </c>
      <c r="L165" s="44">
        <f t="shared" si="12"/>
        <v>361</v>
      </c>
      <c r="M165" s="44">
        <v>0</v>
      </c>
      <c r="N165" s="45">
        <f t="shared" si="13"/>
        <v>0.90858725761772852</v>
      </c>
      <c r="O165" s="45">
        <f t="shared" si="14"/>
        <v>2.7700831024930748E-3</v>
      </c>
      <c r="P165" s="45">
        <f t="shared" si="15"/>
        <v>7.2022160664819951E-2</v>
      </c>
      <c r="Q165" s="45">
        <f t="shared" si="16"/>
        <v>0</v>
      </c>
      <c r="R165" s="46">
        <v>6</v>
      </c>
      <c r="S165" s="46">
        <v>490</v>
      </c>
      <c r="T165" s="46">
        <v>12</v>
      </c>
      <c r="U165" s="46">
        <v>2</v>
      </c>
      <c r="V165" s="46">
        <v>510</v>
      </c>
      <c r="W165" s="47">
        <v>1.1764705882352941E-2</v>
      </c>
      <c r="X165" s="47">
        <v>0.96078431372549022</v>
      </c>
      <c r="Y165" s="47">
        <v>2.3529411764705882E-2</v>
      </c>
      <c r="Z165" s="47">
        <v>3.9215686274509803E-3</v>
      </c>
      <c r="AA165" s="48">
        <v>52.639215686274511</v>
      </c>
      <c r="AB165" s="45">
        <f t="shared" si="17"/>
        <v>0.707843137254902</v>
      </c>
    </row>
    <row r="166" spans="1:28" x14ac:dyDescent="0.25">
      <c r="A166" s="44"/>
      <c r="B166" s="44"/>
      <c r="C166" s="44"/>
      <c r="D166" s="44">
        <v>4</v>
      </c>
      <c r="E166" s="44">
        <v>340</v>
      </c>
      <c r="F166" s="44">
        <v>6</v>
      </c>
      <c r="G166" s="44">
        <v>0</v>
      </c>
      <c r="H166" s="44">
        <v>35</v>
      </c>
      <c r="I166" s="44">
        <v>296</v>
      </c>
      <c r="J166" s="44">
        <v>337</v>
      </c>
      <c r="K166" s="44">
        <v>3</v>
      </c>
      <c r="L166" s="44">
        <f t="shared" si="12"/>
        <v>340</v>
      </c>
      <c r="M166" s="44">
        <v>0</v>
      </c>
      <c r="N166" s="45">
        <f t="shared" si="13"/>
        <v>0.87058823529411766</v>
      </c>
      <c r="O166" s="45">
        <f t="shared" si="14"/>
        <v>1.7647058823529412E-2</v>
      </c>
      <c r="P166" s="45">
        <f t="shared" si="15"/>
        <v>0.10294117647058823</v>
      </c>
      <c r="Q166" s="45">
        <f t="shared" si="16"/>
        <v>0</v>
      </c>
      <c r="R166" s="46">
        <v>26</v>
      </c>
      <c r="S166" s="46">
        <v>449</v>
      </c>
      <c r="T166" s="46">
        <v>36</v>
      </c>
      <c r="U166" s="46">
        <v>0</v>
      </c>
      <c r="V166" s="46">
        <v>511</v>
      </c>
      <c r="W166" s="47">
        <v>5.0880626223091974E-2</v>
      </c>
      <c r="X166" s="47">
        <v>0.87866927592954991</v>
      </c>
      <c r="Y166" s="47">
        <v>7.0450097847358117E-2</v>
      </c>
      <c r="Z166" s="47">
        <v>0</v>
      </c>
      <c r="AA166" s="48">
        <v>40.665362035225051</v>
      </c>
      <c r="AB166" s="45">
        <f t="shared" si="17"/>
        <v>0.66536203522504889</v>
      </c>
    </row>
    <row r="167" spans="1:28" x14ac:dyDescent="0.25">
      <c r="A167" s="44"/>
      <c r="B167" s="44"/>
      <c r="C167" s="44"/>
      <c r="D167" s="44">
        <v>5</v>
      </c>
      <c r="E167" s="44">
        <v>342</v>
      </c>
      <c r="F167" s="44">
        <v>12</v>
      </c>
      <c r="G167" s="44">
        <v>0</v>
      </c>
      <c r="H167" s="44">
        <v>37</v>
      </c>
      <c r="I167" s="44">
        <v>291</v>
      </c>
      <c r="J167" s="44">
        <v>340</v>
      </c>
      <c r="K167" s="44">
        <v>2</v>
      </c>
      <c r="L167" s="44">
        <f t="shared" si="12"/>
        <v>342</v>
      </c>
      <c r="M167" s="44">
        <v>0</v>
      </c>
      <c r="N167" s="45">
        <f t="shared" si="13"/>
        <v>0.85087719298245612</v>
      </c>
      <c r="O167" s="45">
        <f t="shared" si="14"/>
        <v>3.5087719298245612E-2</v>
      </c>
      <c r="P167" s="45">
        <f t="shared" si="15"/>
        <v>0.10818713450292397</v>
      </c>
      <c r="Q167" s="45">
        <f t="shared" si="16"/>
        <v>0</v>
      </c>
      <c r="R167" s="46">
        <v>48</v>
      </c>
      <c r="S167" s="46">
        <v>417</v>
      </c>
      <c r="T167" s="46">
        <v>46</v>
      </c>
      <c r="U167" s="46">
        <v>0</v>
      </c>
      <c r="V167" s="46">
        <v>511</v>
      </c>
      <c r="W167" s="47">
        <v>9.393346379647749E-2</v>
      </c>
      <c r="X167" s="47">
        <v>0.81604696673189825</v>
      </c>
      <c r="Y167" s="47">
        <v>9.0019569471624261E-2</v>
      </c>
      <c r="Z167" s="47">
        <v>0</v>
      </c>
      <c r="AA167" s="48">
        <v>25.700587084148729</v>
      </c>
      <c r="AB167" s="45">
        <f t="shared" si="17"/>
        <v>0.66927592954990212</v>
      </c>
    </row>
    <row r="168" spans="1:28" x14ac:dyDescent="0.25">
      <c r="A168" s="44">
        <v>44</v>
      </c>
      <c r="B168" s="44" t="s">
        <v>221</v>
      </c>
      <c r="C168" s="44" t="s">
        <v>222</v>
      </c>
      <c r="D168" s="44">
        <v>1</v>
      </c>
      <c r="E168" s="44">
        <v>311</v>
      </c>
      <c r="F168" s="44">
        <v>9</v>
      </c>
      <c r="G168" s="44">
        <v>1</v>
      </c>
      <c r="H168" s="44">
        <v>62</v>
      </c>
      <c r="I168" s="44">
        <v>233</v>
      </c>
      <c r="J168" s="44">
        <v>305</v>
      </c>
      <c r="K168" s="44">
        <v>6</v>
      </c>
      <c r="L168" s="44">
        <f t="shared" si="12"/>
        <v>311</v>
      </c>
      <c r="M168" s="44">
        <v>0</v>
      </c>
      <c r="N168" s="45">
        <f t="shared" si="13"/>
        <v>0.74919614147909963</v>
      </c>
      <c r="O168" s="45">
        <f t="shared" si="14"/>
        <v>2.8938906752411574E-2</v>
      </c>
      <c r="P168" s="45">
        <f t="shared" si="15"/>
        <v>0.19935691318327975</v>
      </c>
      <c r="Q168" s="45">
        <f t="shared" si="16"/>
        <v>3.2154340836012861E-3</v>
      </c>
      <c r="R168" s="46">
        <v>44</v>
      </c>
      <c r="S168" s="46">
        <v>335</v>
      </c>
      <c r="T168" s="46">
        <v>71</v>
      </c>
      <c r="U168" s="46">
        <v>0</v>
      </c>
      <c r="V168" s="46">
        <v>450</v>
      </c>
      <c r="W168" s="47">
        <v>9.7777777777777783E-2</v>
      </c>
      <c r="X168" s="47">
        <v>0.74444444444444446</v>
      </c>
      <c r="Y168" s="47">
        <v>0.15777777777777777</v>
      </c>
      <c r="Z168" s="47">
        <v>0</v>
      </c>
      <c r="AA168" s="48">
        <v>68.871111111111105</v>
      </c>
      <c r="AB168" s="45">
        <f t="shared" si="17"/>
        <v>0.69111111111111112</v>
      </c>
    </row>
    <row r="169" spans="1:28" x14ac:dyDescent="0.25">
      <c r="A169" s="44"/>
      <c r="B169" s="44"/>
      <c r="C169" s="44"/>
      <c r="D169" s="44">
        <v>2</v>
      </c>
      <c r="E169" s="44">
        <v>566</v>
      </c>
      <c r="F169" s="44">
        <v>20</v>
      </c>
      <c r="G169" s="44">
        <v>4</v>
      </c>
      <c r="H169" s="44">
        <v>93</v>
      </c>
      <c r="I169" s="44">
        <v>443</v>
      </c>
      <c r="J169" s="44">
        <v>560</v>
      </c>
      <c r="K169" s="44">
        <v>5</v>
      </c>
      <c r="L169" s="44">
        <f t="shared" si="12"/>
        <v>565</v>
      </c>
      <c r="M169" s="44">
        <v>1</v>
      </c>
      <c r="N169" s="45">
        <f t="shared" si="13"/>
        <v>0.78407079646017697</v>
      </c>
      <c r="O169" s="45">
        <f t="shared" si="14"/>
        <v>3.5398230088495575E-2</v>
      </c>
      <c r="P169" s="45">
        <f t="shared" si="15"/>
        <v>0.16460176991150444</v>
      </c>
      <c r="Q169" s="45">
        <f t="shared" si="16"/>
        <v>7.0796460176991149E-3</v>
      </c>
      <c r="R169" s="46">
        <v>68</v>
      </c>
      <c r="S169" s="46">
        <v>528</v>
      </c>
      <c r="T169" s="46">
        <v>150</v>
      </c>
      <c r="U169" s="46">
        <v>1</v>
      </c>
      <c r="V169" s="46">
        <v>747</v>
      </c>
      <c r="W169" s="47">
        <v>9.1030789825970543E-2</v>
      </c>
      <c r="X169" s="47">
        <v>0.70682730923694781</v>
      </c>
      <c r="Y169" s="47">
        <v>0.20080321285140562</v>
      </c>
      <c r="Z169" s="47">
        <v>1.3386880856760374E-3</v>
      </c>
      <c r="AA169" s="48">
        <v>57.528781793842036</v>
      </c>
      <c r="AB169" s="45">
        <f t="shared" si="17"/>
        <v>0.75635876840696115</v>
      </c>
    </row>
    <row r="170" spans="1:28" x14ac:dyDescent="0.25">
      <c r="A170" s="44"/>
      <c r="B170" s="44"/>
      <c r="C170" s="44"/>
      <c r="D170" s="44">
        <v>3</v>
      </c>
      <c r="E170" s="44">
        <v>511</v>
      </c>
      <c r="F170" s="44">
        <v>21</v>
      </c>
      <c r="G170" s="44">
        <v>3</v>
      </c>
      <c r="H170" s="44">
        <v>47</v>
      </c>
      <c r="I170" s="44">
        <v>429</v>
      </c>
      <c r="J170" s="44">
        <v>500</v>
      </c>
      <c r="K170" s="44">
        <v>11</v>
      </c>
      <c r="L170" s="44">
        <f t="shared" si="12"/>
        <v>511</v>
      </c>
      <c r="M170" s="44">
        <v>0</v>
      </c>
      <c r="N170" s="45">
        <f t="shared" si="13"/>
        <v>0.83953033268101762</v>
      </c>
      <c r="O170" s="45">
        <f t="shared" si="14"/>
        <v>4.1095890410958902E-2</v>
      </c>
      <c r="P170" s="45">
        <f t="shared" si="15"/>
        <v>9.1976516634050876E-2</v>
      </c>
      <c r="Q170" s="45">
        <f t="shared" si="16"/>
        <v>5.8708414872798431E-3</v>
      </c>
      <c r="R170" s="46">
        <v>65</v>
      </c>
      <c r="S170" s="46">
        <v>508</v>
      </c>
      <c r="T170" s="46">
        <v>174</v>
      </c>
      <c r="U170" s="46">
        <v>0</v>
      </c>
      <c r="V170" s="46">
        <v>747</v>
      </c>
      <c r="W170" s="47">
        <v>8.7014725568942436E-2</v>
      </c>
      <c r="X170" s="47">
        <v>0.68005354752342706</v>
      </c>
      <c r="Y170" s="47">
        <v>0.23293172690763053</v>
      </c>
      <c r="Z170" s="47">
        <v>0</v>
      </c>
      <c r="AA170" s="48">
        <v>44.372155287817939</v>
      </c>
      <c r="AB170" s="45">
        <f t="shared" si="17"/>
        <v>0.68406961178045511</v>
      </c>
    </row>
    <row r="171" spans="1:28" x14ac:dyDescent="0.25">
      <c r="A171" s="44"/>
      <c r="B171" s="44"/>
      <c r="C171" s="44"/>
      <c r="D171" s="44">
        <v>4</v>
      </c>
      <c r="E171" s="44">
        <v>448</v>
      </c>
      <c r="F171" s="44">
        <v>31</v>
      </c>
      <c r="G171" s="44">
        <v>2</v>
      </c>
      <c r="H171" s="44">
        <v>39</v>
      </c>
      <c r="I171" s="44">
        <v>372</v>
      </c>
      <c r="J171" s="44">
        <v>444</v>
      </c>
      <c r="K171" s="44">
        <v>4</v>
      </c>
      <c r="L171" s="44">
        <f t="shared" si="12"/>
        <v>448</v>
      </c>
      <c r="M171" s="44">
        <v>0</v>
      </c>
      <c r="N171" s="45">
        <f t="shared" si="13"/>
        <v>0.8303571428571429</v>
      </c>
      <c r="O171" s="45">
        <f t="shared" si="14"/>
        <v>6.9196428571428575E-2</v>
      </c>
      <c r="P171" s="45">
        <f t="shared" si="15"/>
        <v>8.7053571428571425E-2</v>
      </c>
      <c r="Q171" s="45">
        <f t="shared" si="16"/>
        <v>4.464285714285714E-3</v>
      </c>
      <c r="R171" s="46">
        <v>90</v>
      </c>
      <c r="S171" s="46">
        <v>470</v>
      </c>
      <c r="T171" s="46">
        <v>185</v>
      </c>
      <c r="U171" s="46">
        <v>2</v>
      </c>
      <c r="V171" s="46">
        <v>747</v>
      </c>
      <c r="W171" s="47">
        <v>0.12048192771084337</v>
      </c>
      <c r="X171" s="47">
        <v>0.62918340026773767</v>
      </c>
      <c r="Y171" s="47">
        <v>0.24765729585006693</v>
      </c>
      <c r="Z171" s="47">
        <v>2.6773761713520749E-3</v>
      </c>
      <c r="AA171" s="48">
        <v>35.455153949129851</v>
      </c>
      <c r="AB171" s="45">
        <f t="shared" si="17"/>
        <v>0.59973226238286481</v>
      </c>
    </row>
    <row r="172" spans="1:28" x14ac:dyDescent="0.25">
      <c r="A172" s="44"/>
      <c r="B172" s="44"/>
      <c r="C172" s="44"/>
      <c r="D172" s="44">
        <v>5</v>
      </c>
      <c r="E172" s="44">
        <v>480</v>
      </c>
      <c r="F172" s="44">
        <v>26</v>
      </c>
      <c r="G172" s="44">
        <v>2</v>
      </c>
      <c r="H172" s="44">
        <v>34</v>
      </c>
      <c r="I172" s="44">
        <v>415</v>
      </c>
      <c r="J172" s="44">
        <v>477</v>
      </c>
      <c r="K172" s="44">
        <v>3</v>
      </c>
      <c r="L172" s="44">
        <f t="shared" si="12"/>
        <v>480</v>
      </c>
      <c r="M172" s="44">
        <v>0</v>
      </c>
      <c r="N172" s="45">
        <f t="shared" si="13"/>
        <v>0.86458333333333337</v>
      </c>
      <c r="O172" s="45">
        <f t="shared" si="14"/>
        <v>5.4166666666666669E-2</v>
      </c>
      <c r="P172" s="45">
        <f t="shared" si="15"/>
        <v>7.0833333333333331E-2</v>
      </c>
      <c r="Q172" s="45">
        <f t="shared" si="16"/>
        <v>4.1666666666666666E-3</v>
      </c>
      <c r="R172" s="46">
        <v>89</v>
      </c>
      <c r="S172" s="46">
        <v>443</v>
      </c>
      <c r="T172" s="46">
        <v>214</v>
      </c>
      <c r="U172" s="46">
        <v>1</v>
      </c>
      <c r="V172" s="46">
        <v>747</v>
      </c>
      <c r="W172" s="47">
        <v>0.11914323962516733</v>
      </c>
      <c r="X172" s="47">
        <v>0.59303882195448465</v>
      </c>
      <c r="Y172" s="47">
        <v>0.28647925033467203</v>
      </c>
      <c r="Z172" s="47">
        <v>1.3386880856760374E-3</v>
      </c>
      <c r="AA172" s="48">
        <v>28.349397590361445</v>
      </c>
      <c r="AB172" s="45">
        <f t="shared" si="17"/>
        <v>0.64257028112449799</v>
      </c>
    </row>
    <row r="173" spans="1:28" x14ac:dyDescent="0.25">
      <c r="A173" s="44"/>
      <c r="B173" s="44"/>
      <c r="C173" s="44"/>
      <c r="D173" s="44">
        <v>6</v>
      </c>
      <c r="E173" s="44">
        <v>538</v>
      </c>
      <c r="F173" s="44">
        <v>32</v>
      </c>
      <c r="G173" s="44">
        <v>0</v>
      </c>
      <c r="H173" s="44">
        <v>45</v>
      </c>
      <c r="I173" s="44">
        <v>459</v>
      </c>
      <c r="J173" s="44">
        <v>536</v>
      </c>
      <c r="K173" s="44">
        <v>2</v>
      </c>
      <c r="L173" s="44">
        <f t="shared" si="12"/>
        <v>538</v>
      </c>
      <c r="M173" s="44">
        <v>0</v>
      </c>
      <c r="N173" s="45">
        <f t="shared" si="13"/>
        <v>0.85315985130111527</v>
      </c>
      <c r="O173" s="45">
        <f t="shared" si="14"/>
        <v>5.9479553903345722E-2</v>
      </c>
      <c r="P173" s="45">
        <f t="shared" si="15"/>
        <v>8.3643122676579931E-2</v>
      </c>
      <c r="Q173" s="45">
        <f t="shared" si="16"/>
        <v>0</v>
      </c>
      <c r="R173" s="46">
        <v>91</v>
      </c>
      <c r="S173" s="46">
        <v>447</v>
      </c>
      <c r="T173" s="46">
        <v>208</v>
      </c>
      <c r="U173" s="46">
        <v>1</v>
      </c>
      <c r="V173" s="46">
        <v>747</v>
      </c>
      <c r="W173" s="47">
        <v>0.12182061579651941</v>
      </c>
      <c r="X173" s="47">
        <v>0.59839357429718876</v>
      </c>
      <c r="Y173" s="47">
        <v>0.27844712182061582</v>
      </c>
      <c r="Z173" s="47">
        <v>1.3386880856760374E-3</v>
      </c>
      <c r="AA173" s="48">
        <v>21.680053547523428</v>
      </c>
      <c r="AB173" s="45">
        <f t="shared" si="17"/>
        <v>0.72021419009370813</v>
      </c>
    </row>
    <row r="174" spans="1:28" x14ac:dyDescent="0.25">
      <c r="A174" s="44"/>
      <c r="B174" s="44"/>
      <c r="C174" s="44" t="s">
        <v>223</v>
      </c>
      <c r="D174" s="44">
        <v>1</v>
      </c>
      <c r="E174" s="44">
        <v>272</v>
      </c>
      <c r="F174" s="44">
        <v>3</v>
      </c>
      <c r="G174" s="44">
        <v>3</v>
      </c>
      <c r="H174" s="44">
        <v>31</v>
      </c>
      <c r="I174" s="44">
        <v>230</v>
      </c>
      <c r="J174" s="44">
        <v>267</v>
      </c>
      <c r="K174" s="44">
        <v>5</v>
      </c>
      <c r="L174" s="44">
        <f t="shared" si="12"/>
        <v>272</v>
      </c>
      <c r="M174" s="44">
        <v>0</v>
      </c>
      <c r="N174" s="45">
        <f t="shared" si="13"/>
        <v>0.84558823529411764</v>
      </c>
      <c r="O174" s="45">
        <f t="shared" si="14"/>
        <v>1.1029411764705883E-2</v>
      </c>
      <c r="P174" s="45">
        <f t="shared" si="15"/>
        <v>0.11397058823529412</v>
      </c>
      <c r="Q174" s="45">
        <f t="shared" si="16"/>
        <v>1.1029411764705883E-2</v>
      </c>
      <c r="R174" s="46">
        <v>2</v>
      </c>
      <c r="S174" s="46">
        <v>439</v>
      </c>
      <c r="T174" s="46">
        <v>9</v>
      </c>
      <c r="U174" s="46">
        <v>0</v>
      </c>
      <c r="V174" s="46">
        <v>450</v>
      </c>
      <c r="W174" s="47">
        <v>4.4444444444444444E-3</v>
      </c>
      <c r="X174" s="47">
        <v>0.97555555555555551</v>
      </c>
      <c r="Y174" s="47">
        <v>0.02</v>
      </c>
      <c r="Z174" s="47">
        <v>0</v>
      </c>
      <c r="AA174" s="48">
        <v>74.582222222222228</v>
      </c>
      <c r="AB174" s="45">
        <f t="shared" si="17"/>
        <v>0.60444444444444445</v>
      </c>
    </row>
    <row r="175" spans="1:28" x14ac:dyDescent="0.25">
      <c r="A175" s="44"/>
      <c r="B175" s="44"/>
      <c r="C175" s="44"/>
      <c r="D175" s="44">
        <v>2</v>
      </c>
      <c r="E175" s="44">
        <v>343</v>
      </c>
      <c r="F175" s="44">
        <v>5</v>
      </c>
      <c r="G175" s="44">
        <v>0</v>
      </c>
      <c r="H175" s="44">
        <v>28</v>
      </c>
      <c r="I175" s="44">
        <v>307</v>
      </c>
      <c r="J175" s="44">
        <v>340</v>
      </c>
      <c r="K175" s="44">
        <v>3</v>
      </c>
      <c r="L175" s="44">
        <f t="shared" si="12"/>
        <v>343</v>
      </c>
      <c r="M175" s="44">
        <v>0</v>
      </c>
      <c r="N175" s="45">
        <f t="shared" si="13"/>
        <v>0.89504373177842567</v>
      </c>
      <c r="O175" s="45">
        <f t="shared" si="14"/>
        <v>1.4577259475218658E-2</v>
      </c>
      <c r="P175" s="45">
        <f t="shared" si="15"/>
        <v>8.1632653061224483E-2</v>
      </c>
      <c r="Q175" s="45">
        <f t="shared" si="16"/>
        <v>0</v>
      </c>
      <c r="R175" s="46">
        <v>4</v>
      </c>
      <c r="S175" s="46">
        <v>438</v>
      </c>
      <c r="T175" s="46">
        <v>7</v>
      </c>
      <c r="U175" s="46">
        <v>1</v>
      </c>
      <c r="V175" s="46">
        <v>450</v>
      </c>
      <c r="W175" s="47">
        <v>8.8888888888888889E-3</v>
      </c>
      <c r="X175" s="47">
        <v>0.97333333333333338</v>
      </c>
      <c r="Y175" s="47">
        <v>1.5555555555555555E-2</v>
      </c>
      <c r="Z175" s="47">
        <v>2.2222222222222222E-3</v>
      </c>
      <c r="AA175" s="48">
        <v>65.062222222222218</v>
      </c>
      <c r="AB175" s="45">
        <f t="shared" si="17"/>
        <v>0.76222222222222225</v>
      </c>
    </row>
    <row r="176" spans="1:28" x14ac:dyDescent="0.25">
      <c r="A176" s="44"/>
      <c r="B176" s="44"/>
      <c r="C176" s="44"/>
      <c r="D176" s="44">
        <v>3</v>
      </c>
      <c r="E176" s="44">
        <v>422</v>
      </c>
      <c r="F176" s="44">
        <v>2</v>
      </c>
      <c r="G176" s="44">
        <v>1</v>
      </c>
      <c r="H176" s="44">
        <v>30</v>
      </c>
      <c r="I176" s="44">
        <v>385</v>
      </c>
      <c r="J176" s="44">
        <v>418</v>
      </c>
      <c r="K176" s="44">
        <v>4</v>
      </c>
      <c r="L176" s="44">
        <f t="shared" si="12"/>
        <v>422</v>
      </c>
      <c r="M176" s="44">
        <v>0</v>
      </c>
      <c r="N176" s="45">
        <f t="shared" si="13"/>
        <v>0.91232227488151663</v>
      </c>
      <c r="O176" s="45">
        <f t="shared" si="14"/>
        <v>4.7393364928909956E-3</v>
      </c>
      <c r="P176" s="45">
        <f t="shared" si="15"/>
        <v>7.1090047393364927E-2</v>
      </c>
      <c r="Q176" s="45">
        <f t="shared" si="16"/>
        <v>2.3696682464454978E-3</v>
      </c>
      <c r="R176" s="46">
        <v>10</v>
      </c>
      <c r="S176" s="46">
        <v>556</v>
      </c>
      <c r="T176" s="46">
        <v>17</v>
      </c>
      <c r="U176" s="46">
        <v>1</v>
      </c>
      <c r="V176" s="46">
        <v>584</v>
      </c>
      <c r="W176" s="47">
        <v>1.7123287671232876E-2</v>
      </c>
      <c r="X176" s="47">
        <v>0.95205479452054798</v>
      </c>
      <c r="Y176" s="47">
        <v>2.9109589041095889E-2</v>
      </c>
      <c r="Z176" s="47">
        <v>1.7123287671232876E-3</v>
      </c>
      <c r="AA176" s="48">
        <v>54.539383561643838</v>
      </c>
      <c r="AB176" s="45">
        <f t="shared" si="17"/>
        <v>0.7226027397260274</v>
      </c>
    </row>
    <row r="177" spans="1:28" x14ac:dyDescent="0.25">
      <c r="A177" s="44"/>
      <c r="B177" s="44"/>
      <c r="C177" s="44"/>
      <c r="D177" s="44">
        <v>4</v>
      </c>
      <c r="E177" s="44">
        <v>364</v>
      </c>
      <c r="F177" s="44">
        <v>0</v>
      </c>
      <c r="G177" s="44">
        <v>1</v>
      </c>
      <c r="H177" s="44">
        <v>27</v>
      </c>
      <c r="I177" s="44">
        <v>331</v>
      </c>
      <c r="J177" s="44">
        <v>359</v>
      </c>
      <c r="K177" s="44">
        <v>5</v>
      </c>
      <c r="L177" s="44">
        <f t="shared" si="12"/>
        <v>364</v>
      </c>
      <c r="M177" s="44">
        <v>0</v>
      </c>
      <c r="N177" s="45">
        <f t="shared" si="13"/>
        <v>0.90934065934065933</v>
      </c>
      <c r="O177" s="45">
        <f t="shared" si="14"/>
        <v>0</v>
      </c>
      <c r="P177" s="45">
        <f t="shared" si="15"/>
        <v>7.4175824175824176E-2</v>
      </c>
      <c r="Q177" s="45">
        <f t="shared" si="16"/>
        <v>2.7472527472527475E-3</v>
      </c>
      <c r="R177" s="46">
        <v>8</v>
      </c>
      <c r="S177" s="46">
        <v>555</v>
      </c>
      <c r="T177" s="46">
        <v>20</v>
      </c>
      <c r="U177" s="46">
        <v>1</v>
      </c>
      <c r="V177" s="46">
        <v>584</v>
      </c>
      <c r="W177" s="47">
        <v>1.3698630136986301E-2</v>
      </c>
      <c r="X177" s="47">
        <v>0.95034246575342463</v>
      </c>
      <c r="Y177" s="47">
        <v>3.4246575342465752E-2</v>
      </c>
      <c r="Z177" s="47">
        <v>1.7123287671232876E-3</v>
      </c>
      <c r="AA177" s="48">
        <v>41.979452054794521</v>
      </c>
      <c r="AB177" s="45">
        <f t="shared" si="17"/>
        <v>0.62328767123287676</v>
      </c>
    </row>
    <row r="178" spans="1:28" x14ac:dyDescent="0.25">
      <c r="A178" s="44"/>
      <c r="B178" s="44"/>
      <c r="C178" s="44"/>
      <c r="D178" s="44">
        <v>5</v>
      </c>
      <c r="E178" s="44">
        <v>382</v>
      </c>
      <c r="F178" s="44">
        <v>9</v>
      </c>
      <c r="G178" s="44">
        <v>0</v>
      </c>
      <c r="H178" s="44">
        <v>26</v>
      </c>
      <c r="I178" s="44">
        <v>345</v>
      </c>
      <c r="J178" s="44">
        <v>380</v>
      </c>
      <c r="K178" s="44">
        <v>2</v>
      </c>
      <c r="L178" s="44">
        <f t="shared" si="12"/>
        <v>382</v>
      </c>
      <c r="M178" s="44">
        <v>0</v>
      </c>
      <c r="N178" s="45">
        <f t="shared" si="13"/>
        <v>0.90314136125654454</v>
      </c>
      <c r="O178" s="45">
        <f t="shared" si="14"/>
        <v>2.356020942408377E-2</v>
      </c>
      <c r="P178" s="45">
        <f t="shared" si="15"/>
        <v>6.8062827225130892E-2</v>
      </c>
      <c r="Q178" s="45">
        <f t="shared" si="16"/>
        <v>0</v>
      </c>
      <c r="R178" s="46">
        <v>33</v>
      </c>
      <c r="S178" s="46">
        <v>506</v>
      </c>
      <c r="T178" s="46">
        <v>46</v>
      </c>
      <c r="U178" s="46">
        <v>0</v>
      </c>
      <c r="V178" s="46">
        <v>585</v>
      </c>
      <c r="W178" s="47">
        <v>5.6410256410256411E-2</v>
      </c>
      <c r="X178" s="47">
        <v>0.86495726495726499</v>
      </c>
      <c r="Y178" s="47">
        <v>7.8632478632478631E-2</v>
      </c>
      <c r="Z178" s="47">
        <v>0</v>
      </c>
      <c r="AA178" s="48">
        <v>27.51794871794872</v>
      </c>
      <c r="AB178" s="45">
        <f t="shared" si="17"/>
        <v>0.652991452991453</v>
      </c>
    </row>
    <row r="179" spans="1:28" x14ac:dyDescent="0.25">
      <c r="A179" s="24" t="s">
        <v>224</v>
      </c>
      <c r="B179" s="24"/>
      <c r="C179" s="24"/>
      <c r="D179" s="24">
        <v>177</v>
      </c>
      <c r="E179" s="24">
        <v>72808</v>
      </c>
      <c r="F179" s="24">
        <v>16722</v>
      </c>
      <c r="G179" s="24">
        <v>654</v>
      </c>
      <c r="H179" s="24">
        <v>30138</v>
      </c>
      <c r="I179" s="24">
        <v>24281</v>
      </c>
      <c r="J179" s="24">
        <v>71795</v>
      </c>
      <c r="K179" s="24">
        <v>834</v>
      </c>
      <c r="L179" s="24">
        <f t="shared" si="12"/>
        <v>72629</v>
      </c>
      <c r="M179" s="24">
        <v>179</v>
      </c>
      <c r="N179" s="25">
        <f t="shared" si="13"/>
        <v>0.33431549381101211</v>
      </c>
      <c r="O179" s="25">
        <f t="shared" si="14"/>
        <v>0.23023860992165665</v>
      </c>
      <c r="P179" s="25">
        <f t="shared" si="15"/>
        <v>0.4149582122843492</v>
      </c>
      <c r="Q179" s="25">
        <f t="shared" si="16"/>
        <v>9.0046675570364457E-3</v>
      </c>
      <c r="R179" s="26">
        <v>62160</v>
      </c>
      <c r="S179" s="26">
        <v>21028</v>
      </c>
      <c r="T179" s="26">
        <v>11926</v>
      </c>
      <c r="U179" s="26">
        <v>699</v>
      </c>
      <c r="V179" s="26">
        <v>95813</v>
      </c>
      <c r="W179" s="27">
        <v>0.64876373769738971</v>
      </c>
      <c r="X179" s="27">
        <v>0.21946917432916202</v>
      </c>
      <c r="Y179" s="27">
        <v>0.12447162702347281</v>
      </c>
      <c r="Z179" s="27">
        <v>7.2954609499754734E-3</v>
      </c>
      <c r="AA179" s="28">
        <v>44.752555766894524</v>
      </c>
      <c r="AB179" s="25">
        <f t="shared" si="17"/>
        <v>0.75802865999394653</v>
      </c>
    </row>
    <row r="181" spans="1:28" x14ac:dyDescent="0.25">
      <c r="A181" s="24"/>
      <c r="B181" s="24"/>
      <c r="C181" s="24" t="s">
        <v>346</v>
      </c>
      <c r="D181" s="24"/>
      <c r="E181" s="24">
        <f>SUM(E3:E5)</f>
        <v>355</v>
      </c>
      <c r="F181" s="24">
        <f t="shared" ref="F181:M181" si="18">SUM(F3:F5)</f>
        <v>119</v>
      </c>
      <c r="G181" s="24">
        <f t="shared" si="18"/>
        <v>0</v>
      </c>
      <c r="H181" s="24">
        <f t="shared" si="18"/>
        <v>224</v>
      </c>
      <c r="I181" s="24">
        <f t="shared" si="18"/>
        <v>10</v>
      </c>
      <c r="J181" s="24">
        <f t="shared" si="18"/>
        <v>353</v>
      </c>
      <c r="K181" s="24">
        <f t="shared" si="18"/>
        <v>2</v>
      </c>
      <c r="L181" s="24">
        <f t="shared" si="18"/>
        <v>355</v>
      </c>
      <c r="M181" s="24">
        <f t="shared" si="18"/>
        <v>0</v>
      </c>
      <c r="N181" s="25">
        <f t="shared" ref="N181" si="19">I181/L181</f>
        <v>2.8169014084507043E-2</v>
      </c>
      <c r="O181" s="25">
        <f t="shared" ref="O181" si="20">F181/L181</f>
        <v>0.3352112676056338</v>
      </c>
      <c r="P181" s="25">
        <f t="shared" ref="P181" si="21">H181/L181</f>
        <v>0.63098591549295779</v>
      </c>
      <c r="Q181" s="25">
        <f t="shared" ref="Q181" si="22">G181/L181</f>
        <v>0</v>
      </c>
      <c r="R181" s="24">
        <f t="shared" ref="R181:V181" si="23">SUM(R3:R5)</f>
        <v>358</v>
      </c>
      <c r="S181" s="24">
        <f t="shared" si="23"/>
        <v>2</v>
      </c>
      <c r="T181" s="24">
        <f t="shared" si="23"/>
        <v>12</v>
      </c>
      <c r="U181" s="24">
        <f t="shared" si="23"/>
        <v>18</v>
      </c>
      <c r="V181" s="24">
        <f t="shared" si="23"/>
        <v>390</v>
      </c>
      <c r="W181" s="25">
        <f>R181/V181</f>
        <v>0.91794871794871791</v>
      </c>
      <c r="X181" s="25">
        <f>S181/V181</f>
        <v>5.1282051282051282E-3</v>
      </c>
      <c r="Y181" s="25">
        <f>T181/V181</f>
        <v>3.0769230769230771E-2</v>
      </c>
      <c r="Z181" s="25">
        <f>U181/V181</f>
        <v>4.6153846153846156E-2</v>
      </c>
      <c r="AA181" s="30">
        <f>AVERAGE(AA3:AA5)</f>
        <v>35.844718710124276</v>
      </c>
      <c r="AB181" s="25">
        <f t="shared" si="17"/>
        <v>0.91025641025641024</v>
      </c>
    </row>
    <row r="183" spans="1:28" ht="13.8" x14ac:dyDescent="0.3">
      <c r="B183" s="43" t="s">
        <v>347</v>
      </c>
      <c r="C183" s="43" t="s">
        <v>348</v>
      </c>
      <c r="D183" s="24"/>
      <c r="E183" s="24">
        <f>SUM(E6:E60)</f>
        <v>22766</v>
      </c>
      <c r="F183" s="24">
        <f t="shared" ref="F183:M183" si="24">SUM(F6:F60)</f>
        <v>5932</v>
      </c>
      <c r="G183" s="24">
        <f t="shared" si="24"/>
        <v>251</v>
      </c>
      <c r="H183" s="24">
        <f t="shared" si="24"/>
        <v>10891</v>
      </c>
      <c r="I183" s="24">
        <f t="shared" si="24"/>
        <v>5466</v>
      </c>
      <c r="J183" s="24">
        <f t="shared" si="24"/>
        <v>22540</v>
      </c>
      <c r="K183" s="24">
        <f t="shared" si="24"/>
        <v>225</v>
      </c>
      <c r="L183" s="24">
        <f t="shared" si="24"/>
        <v>22765</v>
      </c>
      <c r="M183" s="24">
        <f t="shared" si="24"/>
        <v>1</v>
      </c>
      <c r="N183" s="25">
        <f t="shared" ref="N183:N186" si="25">I183/L183</f>
        <v>0.24010542499450913</v>
      </c>
      <c r="O183" s="25">
        <f t="shared" ref="O183:O186" si="26">F183/L183</f>
        <v>0.26057544476169558</v>
      </c>
      <c r="P183" s="25">
        <f t="shared" ref="P183:P186" si="27">H183/L183</f>
        <v>0.47840983966615419</v>
      </c>
      <c r="Q183" s="25">
        <f t="shared" ref="Q183:Q186" si="28">G183/L183</f>
        <v>1.1025697342411597E-2</v>
      </c>
      <c r="R183" s="24">
        <f t="shared" ref="R183:V183" si="29">SUM(R6:R60)</f>
        <v>23556</v>
      </c>
      <c r="S183" s="24">
        <f t="shared" si="29"/>
        <v>3822</v>
      </c>
      <c r="T183" s="24">
        <f t="shared" si="29"/>
        <v>2505</v>
      </c>
      <c r="U183" s="24">
        <f t="shared" si="29"/>
        <v>74</v>
      </c>
      <c r="V183" s="24">
        <f t="shared" si="29"/>
        <v>29957</v>
      </c>
      <c r="W183" s="25">
        <f t="shared" ref="W183:W186" si="30">R183/V183</f>
        <v>0.78632706879861136</v>
      </c>
      <c r="X183" s="25">
        <f t="shared" ref="X183:X186" si="31">S183/V183</f>
        <v>0.12758286877858263</v>
      </c>
      <c r="Y183" s="25">
        <f t="shared" ref="Y183:Y186" si="32">T183/V183</f>
        <v>8.361985512568014E-2</v>
      </c>
      <c r="Z183" s="25">
        <f t="shared" ref="Z183:Z186" si="33">U183/V183</f>
        <v>2.4702072971258806E-3</v>
      </c>
      <c r="AA183" s="30"/>
      <c r="AB183" s="25">
        <f t="shared" ref="AB183:AB186" si="34">L183/V183</f>
        <v>0.75992255566311717</v>
      </c>
    </row>
    <row r="184" spans="1:28" ht="13.8" x14ac:dyDescent="0.3">
      <c r="B184" s="43" t="s">
        <v>349</v>
      </c>
      <c r="C184" s="43" t="s">
        <v>350</v>
      </c>
      <c r="D184" s="24"/>
      <c r="E184" s="24">
        <f>SUM(E61:E103)</f>
        <v>17938</v>
      </c>
      <c r="F184" s="24">
        <f t="shared" ref="F184:M184" si="35">SUM(F61:F103)</f>
        <v>5568</v>
      </c>
      <c r="G184" s="24">
        <f t="shared" si="35"/>
        <v>161</v>
      </c>
      <c r="H184" s="24">
        <f t="shared" si="35"/>
        <v>9873</v>
      </c>
      <c r="I184" s="24">
        <f t="shared" si="35"/>
        <v>2144</v>
      </c>
      <c r="J184" s="24">
        <f t="shared" si="35"/>
        <v>17746</v>
      </c>
      <c r="K184" s="24">
        <f t="shared" si="35"/>
        <v>189</v>
      </c>
      <c r="L184" s="24">
        <f t="shared" si="35"/>
        <v>17935</v>
      </c>
      <c r="M184" s="24">
        <f t="shared" si="35"/>
        <v>3</v>
      </c>
      <c r="N184" s="25">
        <f t="shared" si="25"/>
        <v>0.11954279342068581</v>
      </c>
      <c r="O184" s="25">
        <f t="shared" si="26"/>
        <v>0.31045441873431839</v>
      </c>
      <c r="P184" s="25">
        <f t="shared" si="27"/>
        <v>0.55048787287426815</v>
      </c>
      <c r="Q184" s="25">
        <f t="shared" si="28"/>
        <v>8.9768608865347082E-3</v>
      </c>
      <c r="R184" s="24">
        <f t="shared" ref="R184:V184" si="36">SUM(R61:R103)</f>
        <v>21809</v>
      </c>
      <c r="S184" s="24">
        <f t="shared" si="36"/>
        <v>391</v>
      </c>
      <c r="T184" s="24">
        <f t="shared" si="36"/>
        <v>1301</v>
      </c>
      <c r="U184" s="24">
        <f t="shared" si="36"/>
        <v>44</v>
      </c>
      <c r="V184" s="24">
        <f t="shared" si="36"/>
        <v>23545</v>
      </c>
      <c r="W184" s="25">
        <f t="shared" si="30"/>
        <v>0.92626884688893607</v>
      </c>
      <c r="X184" s="25">
        <f t="shared" si="31"/>
        <v>1.6606498194945848E-2</v>
      </c>
      <c r="Y184" s="25">
        <f t="shared" si="32"/>
        <v>5.5255892970906773E-2</v>
      </c>
      <c r="Z184" s="25">
        <f t="shared" si="33"/>
        <v>1.8687619452112975E-3</v>
      </c>
      <c r="AA184" s="30"/>
      <c r="AB184" s="25">
        <f t="shared" si="34"/>
        <v>0.76173285198555951</v>
      </c>
    </row>
    <row r="185" spans="1:28" ht="13.8" x14ac:dyDescent="0.3">
      <c r="B185" s="43" t="s">
        <v>351</v>
      </c>
      <c r="C185" s="43" t="s">
        <v>352</v>
      </c>
      <c r="D185" s="24"/>
      <c r="E185" s="24">
        <f>SUM(E104:E133)</f>
        <v>11855</v>
      </c>
      <c r="F185" s="24">
        <f t="shared" ref="F185:M185" si="37">SUM(F104:F133)</f>
        <v>2463</v>
      </c>
      <c r="G185" s="24">
        <f t="shared" si="37"/>
        <v>75</v>
      </c>
      <c r="H185" s="24">
        <f t="shared" si="37"/>
        <v>4795</v>
      </c>
      <c r="I185" s="24">
        <f t="shared" si="37"/>
        <v>4363</v>
      </c>
      <c r="J185" s="24">
        <f t="shared" si="37"/>
        <v>11696</v>
      </c>
      <c r="K185" s="24">
        <f t="shared" si="37"/>
        <v>158</v>
      </c>
      <c r="L185" s="24">
        <f t="shared" si="37"/>
        <v>11854</v>
      </c>
      <c r="M185" s="24">
        <f t="shared" si="37"/>
        <v>1</v>
      </c>
      <c r="N185" s="25">
        <f t="shared" si="25"/>
        <v>0.36806141386873631</v>
      </c>
      <c r="O185" s="25">
        <f t="shared" si="26"/>
        <v>0.20777796524379957</v>
      </c>
      <c r="P185" s="25">
        <f t="shared" si="27"/>
        <v>0.40450480850345877</v>
      </c>
      <c r="Q185" s="25">
        <f t="shared" si="28"/>
        <v>6.326978235194871E-3</v>
      </c>
      <c r="R185" s="24">
        <f t="shared" ref="R185:V185" si="38">SUM(R104:R133)</f>
        <v>8710</v>
      </c>
      <c r="S185" s="24">
        <f t="shared" si="38"/>
        <v>1605</v>
      </c>
      <c r="T185" s="24">
        <f t="shared" si="38"/>
        <v>5447</v>
      </c>
      <c r="U185" s="24">
        <f t="shared" si="38"/>
        <v>505</v>
      </c>
      <c r="V185" s="24">
        <f t="shared" si="38"/>
        <v>16267</v>
      </c>
      <c r="W185" s="25">
        <f t="shared" si="30"/>
        <v>0.53543984754410767</v>
      </c>
      <c r="X185" s="25">
        <f t="shared" si="31"/>
        <v>9.8666010942398727E-2</v>
      </c>
      <c r="Y185" s="25">
        <f t="shared" si="32"/>
        <v>0.33484969570295692</v>
      </c>
      <c r="Z185" s="25">
        <f t="shared" si="33"/>
        <v>3.1044445810536669E-2</v>
      </c>
      <c r="AA185" s="30"/>
      <c r="AB185" s="25">
        <f t="shared" si="34"/>
        <v>0.72871457552099339</v>
      </c>
    </row>
    <row r="186" spans="1:28" ht="13.8" x14ac:dyDescent="0.3">
      <c r="B186" s="43" t="s">
        <v>353</v>
      </c>
      <c r="C186" s="43" t="s">
        <v>354</v>
      </c>
      <c r="D186" s="24"/>
      <c r="E186" s="24">
        <f>SUM(E134:E178)</f>
        <v>18151</v>
      </c>
      <c r="F186" s="24">
        <f t="shared" ref="F186:M186" si="39">SUM(F134:F178)</f>
        <v>2244</v>
      </c>
      <c r="G186" s="24">
        <f t="shared" si="39"/>
        <v>137</v>
      </c>
      <c r="H186" s="24">
        <f t="shared" si="39"/>
        <v>3597</v>
      </c>
      <c r="I186" s="24">
        <f t="shared" si="39"/>
        <v>11992</v>
      </c>
      <c r="J186" s="24">
        <f t="shared" si="39"/>
        <v>17970</v>
      </c>
      <c r="K186" s="24">
        <f t="shared" si="39"/>
        <v>180</v>
      </c>
      <c r="L186" s="24">
        <f t="shared" si="39"/>
        <v>18150</v>
      </c>
      <c r="M186" s="24">
        <f t="shared" si="39"/>
        <v>1</v>
      </c>
      <c r="N186" s="25">
        <f t="shared" si="25"/>
        <v>0.66071625344352614</v>
      </c>
      <c r="O186" s="25">
        <f t="shared" si="26"/>
        <v>0.12363636363636364</v>
      </c>
      <c r="P186" s="25">
        <f t="shared" si="27"/>
        <v>0.19818181818181818</v>
      </c>
      <c r="Q186" s="25">
        <f t="shared" si="28"/>
        <v>7.5482093663911849E-3</v>
      </c>
      <c r="R186" s="24">
        <f t="shared" ref="R186:V186" si="40">SUM(R134:R178)</f>
        <v>7723</v>
      </c>
      <c r="S186" s="24">
        <f t="shared" si="40"/>
        <v>15208</v>
      </c>
      <c r="T186" s="24">
        <f t="shared" si="40"/>
        <v>2661</v>
      </c>
      <c r="U186" s="24">
        <f t="shared" si="40"/>
        <v>58</v>
      </c>
      <c r="V186" s="24">
        <f t="shared" si="40"/>
        <v>25650</v>
      </c>
      <c r="W186" s="25">
        <f t="shared" si="30"/>
        <v>0.30109161793372319</v>
      </c>
      <c r="X186" s="25">
        <f t="shared" si="31"/>
        <v>0.59290448343079927</v>
      </c>
      <c r="Y186" s="25">
        <f t="shared" si="32"/>
        <v>0.10374269005847953</v>
      </c>
      <c r="Z186" s="25">
        <f t="shared" si="33"/>
        <v>2.2612085769980507E-3</v>
      </c>
      <c r="AA186" s="30"/>
      <c r="AB186" s="25">
        <f t="shared" si="34"/>
        <v>0.70760233918128657</v>
      </c>
    </row>
  </sheetData>
  <autoFilter ref="A1:AB179" xr:uid="{1303965C-EF5B-4DEF-9A19-D7755E6EF72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870F6-3E90-421F-9DCC-79B71E75E66A}">
  <dimension ref="A1:AB47"/>
  <sheetViews>
    <sheetView workbookViewId="0">
      <pane xSplit="4" ySplit="1" topLeftCell="L32" activePane="bottomRight" state="frozen"/>
      <selection pane="topRight" activeCell="E1" sqref="E1"/>
      <selection pane="bottomLeft" activeCell="A2" sqref="A2"/>
      <selection pane="bottomRight" activeCell="AC43" sqref="AC43"/>
    </sheetView>
  </sheetViews>
  <sheetFormatPr defaultRowHeight="13.2" x14ac:dyDescent="0.25"/>
  <cols>
    <col min="1" max="1" width="8.44140625" bestFit="1" customWidth="1"/>
    <col min="2" max="7" width="6" bestFit="1" customWidth="1"/>
    <col min="8" max="8" width="5" bestFit="1" customWidth="1"/>
    <col min="9" max="9" width="7.33203125" bestFit="1" customWidth="1"/>
  </cols>
  <sheetData>
    <row r="1" spans="1:28" x14ac:dyDescent="0.25">
      <c r="A1" s="24" t="s">
        <v>345</v>
      </c>
      <c r="B1" s="24" t="s">
        <v>226</v>
      </c>
      <c r="C1" s="24" t="s">
        <v>227</v>
      </c>
      <c r="D1" s="24" t="s">
        <v>228</v>
      </c>
      <c r="E1" s="24" t="s">
        <v>332</v>
      </c>
      <c r="F1" s="24" t="s">
        <v>333</v>
      </c>
      <c r="G1" s="24" t="s">
        <v>334</v>
      </c>
      <c r="H1" s="24" t="s">
        <v>335</v>
      </c>
      <c r="I1" s="24" t="s">
        <v>336</v>
      </c>
    </row>
    <row r="2" spans="1:28" x14ac:dyDescent="0.25">
      <c r="A2" s="45">
        <v>0.796875</v>
      </c>
      <c r="B2" s="45">
        <v>0.13480392156862744</v>
      </c>
      <c r="C2" s="45">
        <v>0.26960784313725489</v>
      </c>
      <c r="D2" s="45">
        <v>0.5759803921568627</v>
      </c>
      <c r="E2" s="47">
        <v>0.9921875</v>
      </c>
      <c r="F2" s="47">
        <v>1.953125E-3</v>
      </c>
      <c r="G2" s="47">
        <v>3.90625E-3</v>
      </c>
      <c r="H2" s="47">
        <v>1.953125E-3</v>
      </c>
      <c r="I2" s="48">
        <v>44.04296875</v>
      </c>
      <c r="K2" t="s">
        <v>355</v>
      </c>
      <c r="T2" t="s">
        <v>358</v>
      </c>
    </row>
    <row r="3" spans="1:28" x14ac:dyDescent="0.25">
      <c r="A3" s="45">
        <v>0.70444444444444443</v>
      </c>
      <c r="B3" s="45">
        <v>0.33753943217665616</v>
      </c>
      <c r="C3" s="45">
        <v>0.15141955835962145</v>
      </c>
      <c r="D3" s="45">
        <v>0.48264984227129337</v>
      </c>
      <c r="E3" s="47">
        <v>0.71333333333333337</v>
      </c>
      <c r="F3" s="47">
        <v>0.26444444444444443</v>
      </c>
      <c r="G3" s="47">
        <v>0.02</v>
      </c>
      <c r="H3" s="47">
        <v>2.2222222222222222E-3</v>
      </c>
      <c r="I3" s="48">
        <v>66.471111111111114</v>
      </c>
    </row>
    <row r="4" spans="1:28" x14ac:dyDescent="0.25">
      <c r="A4" s="45">
        <v>0.77462686567164174</v>
      </c>
      <c r="B4" s="45">
        <v>0.21772639691714837</v>
      </c>
      <c r="C4" s="45">
        <v>0.33333333333333331</v>
      </c>
      <c r="D4" s="45">
        <v>0.41040462427745666</v>
      </c>
      <c r="E4" s="47">
        <v>0.89104477611940303</v>
      </c>
      <c r="F4" s="47">
        <v>9.5522388059701493E-2</v>
      </c>
      <c r="G4" s="47">
        <v>5.9701492537313433E-3</v>
      </c>
      <c r="H4" s="47">
        <v>7.462686567164179E-3</v>
      </c>
      <c r="I4" s="48">
        <v>47.686567164179102</v>
      </c>
    </row>
    <row r="5" spans="1:28" x14ac:dyDescent="0.25">
      <c r="A5" s="45">
        <v>0.75223880597014925</v>
      </c>
      <c r="B5" s="45">
        <v>0.19246031746031747</v>
      </c>
      <c r="C5" s="45">
        <v>0.37896825396825395</v>
      </c>
      <c r="D5" s="45">
        <v>0.40079365079365081</v>
      </c>
      <c r="E5" s="47">
        <v>0.93432835820895521</v>
      </c>
      <c r="F5" s="47">
        <v>5.8208955223880594E-2</v>
      </c>
      <c r="G5" s="47">
        <v>5.9701492537313433E-3</v>
      </c>
      <c r="H5" s="47">
        <v>1.4925373134328358E-3</v>
      </c>
      <c r="I5" s="48">
        <v>33.007462686567166</v>
      </c>
    </row>
    <row r="6" spans="1:28" x14ac:dyDescent="0.25">
      <c r="A6" s="45">
        <v>0.78539493293591656</v>
      </c>
      <c r="B6" s="45">
        <v>0.23529411764705882</v>
      </c>
      <c r="C6" s="45">
        <v>0.396584440227704</v>
      </c>
      <c r="D6" s="45">
        <v>0.34345351043643263</v>
      </c>
      <c r="E6" s="47">
        <v>0.97615499254843519</v>
      </c>
      <c r="F6" s="47">
        <v>2.2354694485842028E-2</v>
      </c>
      <c r="G6" s="47">
        <v>1.4903129657228018E-3</v>
      </c>
      <c r="H6" s="47">
        <v>0</v>
      </c>
      <c r="I6" s="48">
        <v>22.733233979135619</v>
      </c>
    </row>
    <row r="7" spans="1:28" x14ac:dyDescent="0.25">
      <c r="A7" s="45">
        <v>0.81421647819063003</v>
      </c>
      <c r="B7" s="45">
        <v>0.15674603174603174</v>
      </c>
      <c r="C7" s="45">
        <v>0.28968253968253971</v>
      </c>
      <c r="D7" s="45">
        <v>0.51587301587301593</v>
      </c>
      <c r="E7" s="47">
        <v>0.99515347334410342</v>
      </c>
      <c r="F7" s="47">
        <v>3.2310177705977385E-3</v>
      </c>
      <c r="G7" s="47">
        <v>0</v>
      </c>
      <c r="H7" s="47">
        <v>1.6155088852988692E-3</v>
      </c>
      <c r="I7" s="48">
        <v>49.44103392568659</v>
      </c>
      <c r="S7" s="34">
        <f>0.1034+0.6765</f>
        <v>0.77990000000000004</v>
      </c>
      <c r="AB7" s="34">
        <f>-0.7515+0.8985</f>
        <v>0.14700000000000002</v>
      </c>
    </row>
    <row r="8" spans="1:28" x14ac:dyDescent="0.25">
      <c r="A8" s="45">
        <v>0.74444444444444446</v>
      </c>
      <c r="B8" s="45">
        <v>0.11044776119402985</v>
      </c>
      <c r="C8" s="45">
        <v>0.21791044776119403</v>
      </c>
      <c r="D8" s="45">
        <v>0.64477611940298507</v>
      </c>
      <c r="E8" s="47">
        <v>0.99333333333333329</v>
      </c>
      <c r="F8" s="47">
        <v>4.4444444444444444E-3</v>
      </c>
      <c r="G8" s="47">
        <v>0</v>
      </c>
      <c r="H8" s="47">
        <v>2.2222222222222222E-3</v>
      </c>
      <c r="I8" s="48">
        <v>66.993333333333339</v>
      </c>
    </row>
    <row r="9" spans="1:28" x14ac:dyDescent="0.25">
      <c r="A9" s="45">
        <v>0.81709741550695825</v>
      </c>
      <c r="B9" s="45">
        <v>0.14355231143552311</v>
      </c>
      <c r="C9" s="45">
        <v>0.35279805352798055</v>
      </c>
      <c r="D9" s="45">
        <v>0.49878345498783455</v>
      </c>
      <c r="E9" s="47">
        <v>0.99801192842942343</v>
      </c>
      <c r="F9" s="47">
        <v>1.9880715705765406E-3</v>
      </c>
      <c r="G9" s="47">
        <v>0</v>
      </c>
      <c r="H9" s="47">
        <v>0</v>
      </c>
      <c r="I9" s="48">
        <v>51.079522862823062</v>
      </c>
    </row>
    <row r="10" spans="1:28" x14ac:dyDescent="0.25">
      <c r="A10" s="45">
        <v>0.7375745526838966</v>
      </c>
      <c r="B10" s="45">
        <v>0.11320754716981132</v>
      </c>
      <c r="C10" s="45">
        <v>0.49326145552560646</v>
      </c>
      <c r="D10" s="45">
        <v>0.35849056603773582</v>
      </c>
      <c r="E10" s="47">
        <v>0.99602385685884687</v>
      </c>
      <c r="F10" s="47">
        <v>0</v>
      </c>
      <c r="G10" s="47">
        <v>1.9880715705765406E-3</v>
      </c>
      <c r="H10" s="47">
        <v>1.9880715705765406E-3</v>
      </c>
      <c r="I10" s="48">
        <v>36.455268389662031</v>
      </c>
    </row>
    <row r="11" spans="1:28" x14ac:dyDescent="0.25">
      <c r="A11" s="45">
        <v>0.84294234592445327</v>
      </c>
      <c r="B11" s="45">
        <v>0.19575471698113209</v>
      </c>
      <c r="C11" s="45">
        <v>0.49056603773584906</v>
      </c>
      <c r="D11" s="45">
        <v>0.29245283018867924</v>
      </c>
      <c r="E11" s="47">
        <v>0.99204771371769385</v>
      </c>
      <c r="F11" s="47">
        <v>3.9761431411530811E-3</v>
      </c>
      <c r="G11" s="47">
        <v>3.9761431411530811E-3</v>
      </c>
      <c r="H11" s="47">
        <v>0</v>
      </c>
      <c r="I11" s="48">
        <v>23.737574552683895</v>
      </c>
    </row>
    <row r="12" spans="1:28" x14ac:dyDescent="0.25">
      <c r="A12" s="45">
        <v>0.71621621621621623</v>
      </c>
      <c r="B12" s="45">
        <v>0.16352201257861634</v>
      </c>
      <c r="C12" s="45">
        <v>0.23270440251572327</v>
      </c>
      <c r="D12" s="45">
        <v>0.60377358490566035</v>
      </c>
      <c r="E12" s="47">
        <v>0.99099099099099097</v>
      </c>
      <c r="F12" s="47">
        <v>9.0090090090090089E-3</v>
      </c>
      <c r="G12" s="47">
        <v>0</v>
      </c>
      <c r="H12" s="47">
        <v>0</v>
      </c>
      <c r="I12" s="48">
        <v>53.022522522522522</v>
      </c>
    </row>
    <row r="13" spans="1:28" x14ac:dyDescent="0.25">
      <c r="A13" s="45">
        <v>0.70222222222222219</v>
      </c>
      <c r="B13" s="45">
        <v>0.66772151898734178</v>
      </c>
      <c r="C13" s="45">
        <v>5.3797468354430382E-2</v>
      </c>
      <c r="D13" s="45">
        <v>0.26265822784810128</v>
      </c>
      <c r="E13" s="47">
        <v>0.23333333333333334</v>
      </c>
      <c r="F13" s="47">
        <v>0.61777777777777776</v>
      </c>
      <c r="G13" s="47">
        <v>0.14666666666666667</v>
      </c>
      <c r="H13" s="47">
        <v>2.2222222222222222E-3</v>
      </c>
      <c r="I13" s="48">
        <v>67.033333333333331</v>
      </c>
    </row>
    <row r="14" spans="1:28" x14ac:dyDescent="0.25">
      <c r="A14" s="45">
        <v>0.78888888888888886</v>
      </c>
      <c r="B14" s="45">
        <v>0.6394366197183099</v>
      </c>
      <c r="C14" s="45">
        <v>6.7605633802816895E-2</v>
      </c>
      <c r="D14" s="45">
        <v>0.27605633802816903</v>
      </c>
      <c r="E14" s="47">
        <v>0.30222222222222223</v>
      </c>
      <c r="F14" s="47">
        <v>0.56444444444444442</v>
      </c>
      <c r="G14" s="47">
        <v>0.12222222222222222</v>
      </c>
      <c r="H14" s="47">
        <v>1.1111111111111112E-2</v>
      </c>
      <c r="I14" s="48">
        <v>56.68888888888889</v>
      </c>
    </row>
    <row r="15" spans="1:28" x14ac:dyDescent="0.25">
      <c r="A15" s="45">
        <v>0.73314993122420913</v>
      </c>
      <c r="B15" s="45">
        <v>0.67917448405253278</v>
      </c>
      <c r="C15" s="45">
        <v>0.10694183864915573</v>
      </c>
      <c r="D15" s="45">
        <v>0.18761726078799248</v>
      </c>
      <c r="E15" s="47">
        <v>0.27922971114167811</v>
      </c>
      <c r="F15" s="47">
        <v>0.56258596973865205</v>
      </c>
      <c r="G15" s="47">
        <v>0.15680880330123798</v>
      </c>
      <c r="H15" s="47">
        <v>1.375515818431912E-3</v>
      </c>
      <c r="I15" s="48">
        <v>45.818431911966989</v>
      </c>
    </row>
    <row r="16" spans="1:28" x14ac:dyDescent="0.25">
      <c r="A16" s="45">
        <v>0.672627235213205</v>
      </c>
      <c r="B16" s="45">
        <v>0.68711656441717794</v>
      </c>
      <c r="C16" s="45">
        <v>0.14723926380368099</v>
      </c>
      <c r="D16" s="45">
        <v>0.1492842535787321</v>
      </c>
      <c r="E16" s="47">
        <v>0.27647867950481431</v>
      </c>
      <c r="F16" s="47">
        <v>0.55295735900962861</v>
      </c>
      <c r="G16" s="47">
        <v>0.16918844566712518</v>
      </c>
      <c r="H16" s="47">
        <v>1.375515818431912E-3</v>
      </c>
      <c r="I16" s="48">
        <v>36.580467675378266</v>
      </c>
    </row>
    <row r="17" spans="1:28" x14ac:dyDescent="0.25">
      <c r="A17" s="45">
        <v>0.6744505494505495</v>
      </c>
      <c r="B17" s="45">
        <v>0.67820773930753564</v>
      </c>
      <c r="C17" s="45">
        <v>0.164969450101833</v>
      </c>
      <c r="D17" s="45">
        <v>0.15071283095723015</v>
      </c>
      <c r="E17" s="47">
        <v>0.30494505494505497</v>
      </c>
      <c r="F17" s="47">
        <v>0.51648351648351654</v>
      </c>
      <c r="G17" s="47">
        <v>0.17719780219780221</v>
      </c>
      <c r="H17" s="47">
        <v>1.3736263736263737E-3</v>
      </c>
      <c r="I17" s="48">
        <v>29.258241758241759</v>
      </c>
    </row>
    <row r="18" spans="1:28" x14ac:dyDescent="0.25">
      <c r="A18" s="45">
        <v>0.77609890109890112</v>
      </c>
      <c r="B18" s="45">
        <v>0.59823008849557524</v>
      </c>
      <c r="C18" s="45">
        <v>0.2176991150442478</v>
      </c>
      <c r="D18" s="45">
        <v>0.17522123893805311</v>
      </c>
      <c r="E18" s="47">
        <v>0.39285714285714285</v>
      </c>
      <c r="F18" s="47">
        <v>0.46978021978021978</v>
      </c>
      <c r="G18" s="47">
        <v>0.13736263736263737</v>
      </c>
      <c r="H18" s="47">
        <v>0</v>
      </c>
      <c r="I18" s="48">
        <v>21.807692307692307</v>
      </c>
    </row>
    <row r="19" spans="1:28" x14ac:dyDescent="0.25">
      <c r="A19" s="45">
        <v>0.70222222222222219</v>
      </c>
      <c r="B19" s="45">
        <v>0.78481012658227844</v>
      </c>
      <c r="C19" s="45">
        <v>3.1645569620253167E-2</v>
      </c>
      <c r="D19" s="45">
        <v>0.16139240506329114</v>
      </c>
      <c r="E19" s="47">
        <v>0.02</v>
      </c>
      <c r="F19" s="47">
        <v>0.87333333333333329</v>
      </c>
      <c r="G19" s="47">
        <v>0.10222222222222223</v>
      </c>
      <c r="H19" s="47">
        <v>4.4444444444444444E-3</v>
      </c>
      <c r="I19" s="48">
        <v>70.635555555555555</v>
      </c>
    </row>
    <row r="20" spans="1:28" x14ac:dyDescent="0.25">
      <c r="A20" s="45">
        <v>0.77555555555555555</v>
      </c>
      <c r="B20" s="45">
        <v>0.87392550143266479</v>
      </c>
      <c r="C20" s="45">
        <v>1.1461318051575931E-2</v>
      </c>
      <c r="D20" s="45">
        <v>9.4555873925501438E-2</v>
      </c>
      <c r="E20" s="47">
        <v>3.111111111111111E-2</v>
      </c>
      <c r="F20" s="47">
        <v>0.89777777777777779</v>
      </c>
      <c r="G20" s="47">
        <v>7.1111111111111111E-2</v>
      </c>
      <c r="H20" s="47">
        <v>0</v>
      </c>
      <c r="I20" s="48">
        <v>63.888888888888886</v>
      </c>
    </row>
    <row r="21" spans="1:28" x14ac:dyDescent="0.25">
      <c r="A21" s="45">
        <v>0.71742313323572471</v>
      </c>
      <c r="B21" s="45">
        <v>0.89183673469387759</v>
      </c>
      <c r="C21" s="45">
        <v>2.0408163265306121E-2</v>
      </c>
      <c r="D21" s="45">
        <v>7.7551020408163265E-2</v>
      </c>
      <c r="E21" s="47">
        <v>4.3923865300146414E-2</v>
      </c>
      <c r="F21" s="47">
        <v>0.84919472913616401</v>
      </c>
      <c r="G21" s="47">
        <v>0.10248901903367497</v>
      </c>
      <c r="H21" s="47">
        <v>4.3923865300146414E-3</v>
      </c>
      <c r="I21" s="48">
        <v>54.282576866764273</v>
      </c>
      <c r="K21" t="s">
        <v>356</v>
      </c>
      <c r="T21" t="s">
        <v>359</v>
      </c>
    </row>
    <row r="22" spans="1:28" x14ac:dyDescent="0.25">
      <c r="A22" s="45">
        <v>0.67349926793557835</v>
      </c>
      <c r="B22" s="45">
        <v>0.87826086956521743</v>
      </c>
      <c r="C22" s="45">
        <v>2.391304347826087E-2</v>
      </c>
      <c r="D22" s="45">
        <v>8.2608695652173908E-2</v>
      </c>
      <c r="E22" s="47">
        <v>5.4172767203513911E-2</v>
      </c>
      <c r="F22" s="47">
        <v>0.79062957540263545</v>
      </c>
      <c r="G22" s="47">
        <v>0.15373352855051245</v>
      </c>
      <c r="H22" s="47">
        <v>1.4641288433382138E-3</v>
      </c>
      <c r="I22" s="48">
        <v>44.216691068814058</v>
      </c>
    </row>
    <row r="23" spans="1:28" x14ac:dyDescent="0.25">
      <c r="A23" s="45">
        <v>0.63689604685212298</v>
      </c>
      <c r="B23" s="45">
        <v>0.87586206896551722</v>
      </c>
      <c r="C23" s="45">
        <v>4.8275862068965517E-2</v>
      </c>
      <c r="D23" s="45">
        <v>5.5172413793103448E-2</v>
      </c>
      <c r="E23" s="47">
        <v>7.0278184480234263E-2</v>
      </c>
      <c r="F23" s="47">
        <v>0.75841874084919469</v>
      </c>
      <c r="G23" s="47">
        <v>0.16691068814055637</v>
      </c>
      <c r="H23" s="47">
        <v>4.3923865300146414E-3</v>
      </c>
      <c r="I23" s="48">
        <v>36.064421669106885</v>
      </c>
    </row>
    <row r="24" spans="1:28" x14ac:dyDescent="0.25">
      <c r="A24" s="45">
        <v>0.62225475841874089</v>
      </c>
      <c r="B24" s="45">
        <v>0.88235294117647056</v>
      </c>
      <c r="C24" s="45">
        <v>4.9411764705882349E-2</v>
      </c>
      <c r="D24" s="45">
        <v>6.3529411764705876E-2</v>
      </c>
      <c r="E24" s="47">
        <v>7.4670571010248904E-2</v>
      </c>
      <c r="F24" s="47">
        <v>0.74816983894582723</v>
      </c>
      <c r="G24" s="47">
        <v>0.17569546120058566</v>
      </c>
      <c r="H24" s="47">
        <v>1.4641288433382138E-3</v>
      </c>
      <c r="I24" s="48">
        <v>29.144948755490482</v>
      </c>
    </row>
    <row r="25" spans="1:28" x14ac:dyDescent="0.25">
      <c r="A25" s="45">
        <v>0.72222222222222221</v>
      </c>
      <c r="B25" s="45">
        <v>0.87044534412955465</v>
      </c>
      <c r="C25" s="45">
        <v>5.0607287449392711E-2</v>
      </c>
      <c r="D25" s="45">
        <v>7.28744939271255E-2</v>
      </c>
      <c r="E25" s="47">
        <v>0.11695906432748537</v>
      </c>
      <c r="F25" s="47">
        <v>0.63888888888888884</v>
      </c>
      <c r="G25" s="47">
        <v>0.24415204678362573</v>
      </c>
      <c r="H25" s="47">
        <v>0</v>
      </c>
      <c r="I25" s="48">
        <v>21.969298245614034</v>
      </c>
      <c r="S25" s="34">
        <f>-0.1092+0.7735</f>
        <v>0.6643</v>
      </c>
    </row>
    <row r="26" spans="1:28" x14ac:dyDescent="0.25">
      <c r="A26" s="45">
        <v>0.55777777777777782</v>
      </c>
      <c r="B26" s="45">
        <v>0.8127490039840638</v>
      </c>
      <c r="C26" s="45">
        <v>2.7888446215139442E-2</v>
      </c>
      <c r="D26" s="45">
        <v>0.12350597609561753</v>
      </c>
      <c r="E26" s="47">
        <v>2.4444444444444446E-2</v>
      </c>
      <c r="F26" s="47">
        <v>0.9</v>
      </c>
      <c r="G26" s="47">
        <v>7.3333333333333334E-2</v>
      </c>
      <c r="H26" s="47">
        <v>2.2222222222222222E-3</v>
      </c>
      <c r="I26" s="48">
        <v>78.540000000000006</v>
      </c>
      <c r="AB26">
        <f>0.8039+0.1869</f>
        <v>0.9907999999999999</v>
      </c>
    </row>
    <row r="27" spans="1:28" x14ac:dyDescent="0.25">
      <c r="A27" s="45">
        <v>0.68</v>
      </c>
      <c r="B27" s="45">
        <v>0.82352941176470584</v>
      </c>
      <c r="C27" s="45">
        <v>1.6339869281045753E-2</v>
      </c>
      <c r="D27" s="45">
        <v>0.13398692810457516</v>
      </c>
      <c r="E27" s="47">
        <v>7.1111111111111111E-2</v>
      </c>
      <c r="F27" s="47">
        <v>0.85333333333333339</v>
      </c>
      <c r="G27" s="47">
        <v>5.7777777777777775E-2</v>
      </c>
      <c r="H27" s="47">
        <v>1.7777777777777778E-2</v>
      </c>
      <c r="I27" s="48">
        <v>67.884444444444441</v>
      </c>
    </row>
    <row r="28" spans="1:28" x14ac:dyDescent="0.25">
      <c r="A28" s="45">
        <v>0.71333333333333337</v>
      </c>
      <c r="B28" s="45">
        <v>0.85046728971962615</v>
      </c>
      <c r="C28" s="45">
        <v>2.4922118380062305E-2</v>
      </c>
      <c r="D28" s="45">
        <v>9.9688473520249218E-2</v>
      </c>
      <c r="E28" s="47">
        <v>9.3333333333333338E-2</v>
      </c>
      <c r="F28" s="47">
        <v>0.82444444444444442</v>
      </c>
      <c r="G28" s="47">
        <v>7.5555555555555556E-2</v>
      </c>
      <c r="H28" s="47">
        <v>6.6666666666666671E-3</v>
      </c>
      <c r="I28" s="48">
        <v>59.415555555555557</v>
      </c>
    </row>
    <row r="29" spans="1:28" x14ac:dyDescent="0.25">
      <c r="A29" s="45">
        <v>0.68849557522123894</v>
      </c>
      <c r="B29" s="45">
        <v>0.89717223650385602</v>
      </c>
      <c r="C29" s="45">
        <v>2.570694087403599E-2</v>
      </c>
      <c r="D29" s="45">
        <v>6.9408740359897178E-2</v>
      </c>
      <c r="E29" s="47">
        <v>8.3185840707964601E-2</v>
      </c>
      <c r="F29" s="47">
        <v>0.84955752212389379</v>
      </c>
      <c r="G29" s="47">
        <v>6.1946902654867256E-2</v>
      </c>
      <c r="H29" s="47">
        <v>5.3097345132743362E-3</v>
      </c>
      <c r="I29" s="48">
        <v>46.007079646017701</v>
      </c>
    </row>
    <row r="30" spans="1:28" x14ac:dyDescent="0.25">
      <c r="A30" s="45">
        <v>0.67137809187279152</v>
      </c>
      <c r="B30" s="45">
        <v>0.82105263157894737</v>
      </c>
      <c r="C30" s="45">
        <v>8.9473684210526316E-2</v>
      </c>
      <c r="D30" s="45">
        <v>7.6315789473684212E-2</v>
      </c>
      <c r="E30" s="47">
        <v>0.1519434628975265</v>
      </c>
      <c r="F30" s="47">
        <v>0.7667844522968198</v>
      </c>
      <c r="G30" s="47">
        <v>7.7738515901060068E-2</v>
      </c>
      <c r="H30" s="47">
        <v>3.5335689045936395E-3</v>
      </c>
      <c r="I30" s="48">
        <v>29.056537102473499</v>
      </c>
    </row>
    <row r="31" spans="1:28" x14ac:dyDescent="0.25">
      <c r="A31" s="45">
        <v>0.62888888888888894</v>
      </c>
      <c r="B31" s="45">
        <v>0.78091872791519434</v>
      </c>
      <c r="C31" s="45">
        <v>1.0600706713780919E-2</v>
      </c>
      <c r="D31" s="45">
        <v>0.18021201413427562</v>
      </c>
      <c r="E31" s="47">
        <v>1.1111111111111112E-2</v>
      </c>
      <c r="F31" s="47">
        <v>0.95777777777777773</v>
      </c>
      <c r="G31" s="47">
        <v>3.111111111111111E-2</v>
      </c>
      <c r="H31" s="47">
        <v>0</v>
      </c>
      <c r="I31" s="48">
        <v>73.16</v>
      </c>
    </row>
    <row r="32" spans="1:28" x14ac:dyDescent="0.25">
      <c r="A32" s="45">
        <v>0.76444444444444448</v>
      </c>
      <c r="B32" s="45">
        <v>0.89534883720930236</v>
      </c>
      <c r="C32" s="45">
        <v>2.9069767441860465E-3</v>
      </c>
      <c r="D32" s="45">
        <v>9.8837209302325577E-2</v>
      </c>
      <c r="E32" s="47">
        <v>4.4444444444444444E-3</v>
      </c>
      <c r="F32" s="47">
        <v>0.95777777777777773</v>
      </c>
      <c r="G32" s="47">
        <v>3.5555555555555556E-2</v>
      </c>
      <c r="H32" s="47">
        <v>2.2222222222222222E-3</v>
      </c>
      <c r="I32" s="48">
        <v>63.102222222222224</v>
      </c>
    </row>
    <row r="33" spans="1:28" x14ac:dyDescent="0.25">
      <c r="A33" s="45">
        <v>0.707843137254902</v>
      </c>
      <c r="B33" s="45">
        <v>0.90858725761772852</v>
      </c>
      <c r="C33" s="45">
        <v>2.7700831024930748E-3</v>
      </c>
      <c r="D33" s="45">
        <v>7.2022160664819951E-2</v>
      </c>
      <c r="E33" s="47">
        <v>1.1764705882352941E-2</v>
      </c>
      <c r="F33" s="47">
        <v>0.96078431372549022</v>
      </c>
      <c r="G33" s="47">
        <v>2.3529411764705882E-2</v>
      </c>
      <c r="H33" s="47">
        <v>3.9215686274509803E-3</v>
      </c>
      <c r="I33" s="48">
        <v>52.639215686274511</v>
      </c>
    </row>
    <row r="34" spans="1:28" x14ac:dyDescent="0.25">
      <c r="A34" s="45">
        <v>0.66536203522504889</v>
      </c>
      <c r="B34" s="45">
        <v>0.87058823529411766</v>
      </c>
      <c r="C34" s="45">
        <v>1.7647058823529412E-2</v>
      </c>
      <c r="D34" s="45">
        <v>0.10294117647058823</v>
      </c>
      <c r="E34" s="47">
        <v>5.0880626223091974E-2</v>
      </c>
      <c r="F34" s="47">
        <v>0.87866927592954991</v>
      </c>
      <c r="G34" s="47">
        <v>7.0450097847358117E-2</v>
      </c>
      <c r="H34" s="47">
        <v>0</v>
      </c>
      <c r="I34" s="48">
        <v>40.665362035225051</v>
      </c>
    </row>
    <row r="35" spans="1:28" x14ac:dyDescent="0.25">
      <c r="A35" s="45">
        <v>0.66927592954990212</v>
      </c>
      <c r="B35" s="45">
        <v>0.85087719298245612</v>
      </c>
      <c r="C35" s="45">
        <v>3.5087719298245612E-2</v>
      </c>
      <c r="D35" s="45">
        <v>0.10818713450292397</v>
      </c>
      <c r="E35" s="47">
        <v>9.393346379647749E-2</v>
      </c>
      <c r="F35" s="47">
        <v>0.81604696673189825</v>
      </c>
      <c r="G35" s="47">
        <v>9.0019569471624261E-2</v>
      </c>
      <c r="H35" s="47">
        <v>0</v>
      </c>
      <c r="I35" s="48">
        <v>25.700587084148729</v>
      </c>
    </row>
    <row r="36" spans="1:28" x14ac:dyDescent="0.25">
      <c r="A36" s="45">
        <v>0.69111111111111112</v>
      </c>
      <c r="B36" s="45">
        <v>0.74919614147909963</v>
      </c>
      <c r="C36" s="45">
        <v>2.8938906752411574E-2</v>
      </c>
      <c r="D36" s="45">
        <v>0.19935691318327975</v>
      </c>
      <c r="E36" s="47">
        <v>9.7777777777777783E-2</v>
      </c>
      <c r="F36" s="47">
        <v>0.74444444444444446</v>
      </c>
      <c r="G36" s="47">
        <v>0.15777777777777777</v>
      </c>
      <c r="H36" s="47">
        <v>0</v>
      </c>
      <c r="I36" s="48">
        <v>68.871111111111105</v>
      </c>
    </row>
    <row r="37" spans="1:28" x14ac:dyDescent="0.25">
      <c r="A37" s="45">
        <v>0.75635876840696115</v>
      </c>
      <c r="B37" s="45">
        <v>0.78407079646017697</v>
      </c>
      <c r="C37" s="45">
        <v>3.5398230088495575E-2</v>
      </c>
      <c r="D37" s="45">
        <v>0.16460176991150444</v>
      </c>
      <c r="E37" s="47">
        <v>9.1030789825970543E-2</v>
      </c>
      <c r="F37" s="47">
        <v>0.70682730923694781</v>
      </c>
      <c r="G37" s="47">
        <v>0.20080321285140562</v>
      </c>
      <c r="H37" s="47">
        <v>1.3386880856760374E-3</v>
      </c>
      <c r="I37" s="48">
        <v>57.528781793842036</v>
      </c>
    </row>
    <row r="38" spans="1:28" x14ac:dyDescent="0.25">
      <c r="A38" s="45">
        <v>0.68406961178045511</v>
      </c>
      <c r="B38" s="45">
        <v>0.83953033268101762</v>
      </c>
      <c r="C38" s="45">
        <v>4.1095890410958902E-2</v>
      </c>
      <c r="D38" s="45">
        <v>9.1976516634050876E-2</v>
      </c>
      <c r="E38" s="47">
        <v>8.7014725568942436E-2</v>
      </c>
      <c r="F38" s="47">
        <v>0.68005354752342706</v>
      </c>
      <c r="G38" s="47">
        <v>0.23293172690763053</v>
      </c>
      <c r="H38" s="47">
        <v>0</v>
      </c>
      <c r="I38" s="48">
        <v>44.372155287817939</v>
      </c>
    </row>
    <row r="39" spans="1:28" x14ac:dyDescent="0.25">
      <c r="A39" s="45">
        <v>0.59973226238286481</v>
      </c>
      <c r="B39" s="45">
        <v>0.8303571428571429</v>
      </c>
      <c r="C39" s="45">
        <v>6.9196428571428575E-2</v>
      </c>
      <c r="D39" s="45">
        <v>8.7053571428571425E-2</v>
      </c>
      <c r="E39" s="47">
        <v>0.12048192771084337</v>
      </c>
      <c r="F39" s="47">
        <v>0.62918340026773767</v>
      </c>
      <c r="G39" s="47">
        <v>0.24765729585006693</v>
      </c>
      <c r="H39" s="47">
        <v>2.6773761713520749E-3</v>
      </c>
      <c r="I39" s="48">
        <v>35.455153949129851</v>
      </c>
    </row>
    <row r="40" spans="1:28" x14ac:dyDescent="0.25">
      <c r="A40" s="45">
        <v>0.64257028112449799</v>
      </c>
      <c r="B40" s="45">
        <v>0.86458333333333337</v>
      </c>
      <c r="C40" s="45">
        <v>5.4166666666666669E-2</v>
      </c>
      <c r="D40" s="45">
        <v>7.0833333333333331E-2</v>
      </c>
      <c r="E40" s="47">
        <v>0.11914323962516733</v>
      </c>
      <c r="F40" s="47">
        <v>0.59303882195448465</v>
      </c>
      <c r="G40" s="47">
        <v>0.28647925033467203</v>
      </c>
      <c r="H40" s="47">
        <v>1.3386880856760374E-3</v>
      </c>
      <c r="I40" s="48">
        <v>28.349397590361445</v>
      </c>
    </row>
    <row r="41" spans="1:28" x14ac:dyDescent="0.25">
      <c r="A41" s="45">
        <v>0.72021419009370813</v>
      </c>
      <c r="B41" s="45">
        <v>0.85315985130111527</v>
      </c>
      <c r="C41" s="45">
        <v>5.9479553903345722E-2</v>
      </c>
      <c r="D41" s="45">
        <v>8.3643122676579931E-2</v>
      </c>
      <c r="E41" s="47">
        <v>0.12182061579651941</v>
      </c>
      <c r="F41" s="47">
        <v>0.59839357429718876</v>
      </c>
      <c r="G41" s="47">
        <v>0.27844712182061582</v>
      </c>
      <c r="H41" s="47">
        <v>1.3386880856760374E-3</v>
      </c>
      <c r="I41" s="48">
        <v>21.680053547523428</v>
      </c>
      <c r="K41" t="s">
        <v>357</v>
      </c>
      <c r="T41" t="s">
        <v>360</v>
      </c>
    </row>
    <row r="42" spans="1:28" x14ac:dyDescent="0.25">
      <c r="A42" s="45">
        <v>0.60444444444444445</v>
      </c>
      <c r="B42" s="45">
        <v>0.84558823529411764</v>
      </c>
      <c r="C42" s="45">
        <v>1.1029411764705883E-2</v>
      </c>
      <c r="D42" s="45">
        <v>0.11397058823529412</v>
      </c>
      <c r="E42" s="47">
        <v>4.4444444444444444E-3</v>
      </c>
      <c r="F42" s="47">
        <v>0.97555555555555551</v>
      </c>
      <c r="G42" s="47">
        <v>0.02</v>
      </c>
      <c r="H42" s="47">
        <v>0</v>
      </c>
      <c r="I42" s="48">
        <v>74.582222222222228</v>
      </c>
    </row>
    <row r="43" spans="1:28" x14ac:dyDescent="0.25">
      <c r="A43" s="45">
        <v>0.76222222222222225</v>
      </c>
      <c r="B43" s="45">
        <v>0.89504373177842567</v>
      </c>
      <c r="C43" s="45">
        <v>1.4577259475218658E-2</v>
      </c>
      <c r="D43" s="45">
        <v>8.1632653061224483E-2</v>
      </c>
      <c r="E43" s="47">
        <v>8.8888888888888889E-3</v>
      </c>
      <c r="F43" s="47">
        <v>0.97333333333333338</v>
      </c>
      <c r="G43" s="47">
        <v>1.5555555555555555E-2</v>
      </c>
      <c r="H43" s="47">
        <v>2.2222222222222222E-3</v>
      </c>
      <c r="I43" s="48">
        <v>65.062222222222218</v>
      </c>
    </row>
    <row r="44" spans="1:28" x14ac:dyDescent="0.25">
      <c r="A44" s="45">
        <v>0.7226027397260274</v>
      </c>
      <c r="B44" s="45">
        <v>0.91232227488151663</v>
      </c>
      <c r="C44" s="45">
        <v>4.7393364928909956E-3</v>
      </c>
      <c r="D44" s="45">
        <v>7.1090047393364927E-2</v>
      </c>
      <c r="E44" s="47">
        <v>1.7123287671232876E-2</v>
      </c>
      <c r="F44" s="47">
        <v>0.95205479452054798</v>
      </c>
      <c r="G44" s="47">
        <v>2.9109589041095889E-2</v>
      </c>
      <c r="H44" s="47">
        <v>1.7123287671232876E-3</v>
      </c>
      <c r="I44" s="48">
        <v>54.539383561643838</v>
      </c>
    </row>
    <row r="45" spans="1:28" x14ac:dyDescent="0.25">
      <c r="A45" s="45">
        <v>0.62328767123287676</v>
      </c>
      <c r="B45" s="45">
        <v>0.90934065934065933</v>
      </c>
      <c r="C45" s="45">
        <v>0</v>
      </c>
      <c r="D45" s="45">
        <v>7.4175824175824176E-2</v>
      </c>
      <c r="E45" s="47">
        <v>1.3698630136986301E-2</v>
      </c>
      <c r="F45" s="47">
        <v>0.95034246575342463</v>
      </c>
      <c r="G45" s="47">
        <v>3.4246575342465752E-2</v>
      </c>
      <c r="H45" s="47">
        <v>1.7123287671232876E-3</v>
      </c>
      <c r="I45" s="48">
        <v>41.979452054794521</v>
      </c>
    </row>
    <row r="46" spans="1:28" x14ac:dyDescent="0.25">
      <c r="A46" s="45">
        <v>0.652991452991453</v>
      </c>
      <c r="B46" s="45">
        <v>0.90314136125654454</v>
      </c>
      <c r="C46" s="45">
        <v>2.356020942408377E-2</v>
      </c>
      <c r="D46" s="45">
        <v>6.8062827225130892E-2</v>
      </c>
      <c r="E46" s="47">
        <v>5.6410256410256411E-2</v>
      </c>
      <c r="F46" s="47">
        <v>0.86495726495726499</v>
      </c>
      <c r="G46" s="47">
        <v>7.8632478632478631E-2</v>
      </c>
      <c r="H46" s="47">
        <v>0</v>
      </c>
      <c r="I46" s="48">
        <v>27.51794871794872</v>
      </c>
      <c r="S46" s="34">
        <f>-0.2733+0.7339</f>
        <v>0.46060000000000001</v>
      </c>
    </row>
    <row r="47" spans="1:28" x14ac:dyDescent="0.25">
      <c r="AB47" t="s">
        <v>361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8CCD7-916F-441D-9F9C-9D5F7A5B7EE0}">
  <dimension ref="A1:Y188"/>
  <sheetViews>
    <sheetView workbookViewId="0">
      <pane xSplit="4" ySplit="1" topLeftCell="M161" activePane="bottomRight" state="frozen"/>
      <selection pane="topRight" activeCell="E1" sqref="E1"/>
      <selection pane="bottomLeft" activeCell="A2" sqref="A2"/>
      <selection pane="bottomRight" activeCell="P2" sqref="P2:Y174"/>
    </sheetView>
  </sheetViews>
  <sheetFormatPr defaultRowHeight="13.2" x14ac:dyDescent="0.25"/>
  <cols>
    <col min="1" max="1" width="8" bestFit="1" customWidth="1"/>
    <col min="2" max="2" width="26.5546875" bestFit="1" customWidth="1"/>
    <col min="3" max="3" width="61.33203125" bestFit="1" customWidth="1"/>
    <col min="4" max="4" width="8.21875" bestFit="1" customWidth="1"/>
    <col min="5" max="5" width="8.5546875" bestFit="1" customWidth="1"/>
    <col min="6" max="6" width="13.77734375" bestFit="1" customWidth="1"/>
    <col min="7" max="7" width="15.5546875" bestFit="1" customWidth="1"/>
    <col min="8" max="9" width="6" bestFit="1" customWidth="1"/>
    <col min="10" max="10" width="7.5546875" bestFit="1" customWidth="1"/>
    <col min="11" max="11" width="6.44140625" bestFit="1" customWidth="1"/>
    <col min="13" max="13" width="7.6640625" bestFit="1" customWidth="1"/>
    <col min="14" max="14" width="7" style="29" bestFit="1" customWidth="1"/>
    <col min="15" max="15" width="14.109375" bestFit="1" customWidth="1"/>
    <col min="16" max="18" width="6" bestFit="1" customWidth="1"/>
    <col min="19" max="19" width="4" bestFit="1" customWidth="1"/>
    <col min="20" max="20" width="6" bestFit="1" customWidth="1"/>
    <col min="21" max="21" width="7" bestFit="1" customWidth="1"/>
    <col min="22" max="24" width="6" bestFit="1" customWidth="1"/>
    <col min="25" max="25" width="7.33203125" bestFit="1" customWidth="1"/>
  </cols>
  <sheetData>
    <row r="1" spans="1:25" x14ac:dyDescent="0.25">
      <c r="A1" s="26" t="s">
        <v>230</v>
      </c>
      <c r="B1" s="26" t="s">
        <v>231</v>
      </c>
      <c r="C1" s="26" t="s">
        <v>232</v>
      </c>
      <c r="D1" s="26" t="s">
        <v>233</v>
      </c>
      <c r="E1" s="26" t="s">
        <v>234</v>
      </c>
      <c r="F1" s="26" t="s">
        <v>235</v>
      </c>
      <c r="G1" s="26" t="s">
        <v>236</v>
      </c>
      <c r="H1" s="26" t="s">
        <v>237</v>
      </c>
      <c r="I1" s="26" t="s">
        <v>238</v>
      </c>
      <c r="J1" s="26" t="s">
        <v>239</v>
      </c>
      <c r="K1" s="26" t="s">
        <v>240</v>
      </c>
      <c r="L1" s="26" t="s">
        <v>241</v>
      </c>
      <c r="M1" s="26" t="s">
        <v>242</v>
      </c>
      <c r="N1" s="28" t="s">
        <v>243</v>
      </c>
      <c r="O1" s="26" t="s">
        <v>244</v>
      </c>
      <c r="P1" s="26" t="s">
        <v>327</v>
      </c>
      <c r="Q1" s="26" t="s">
        <v>328</v>
      </c>
      <c r="R1" s="26" t="s">
        <v>329</v>
      </c>
      <c r="S1" s="26" t="s">
        <v>330</v>
      </c>
      <c r="T1" s="26" t="s">
        <v>331</v>
      </c>
      <c r="U1" s="26" t="s">
        <v>332</v>
      </c>
      <c r="V1" s="26" t="s">
        <v>333</v>
      </c>
      <c r="W1" s="26" t="s">
        <v>334</v>
      </c>
      <c r="X1" s="26" t="s">
        <v>335</v>
      </c>
      <c r="Y1" s="26" t="s">
        <v>336</v>
      </c>
    </row>
    <row r="2" spans="1:25" x14ac:dyDescent="0.25">
      <c r="A2" s="26" t="s">
        <v>245</v>
      </c>
      <c r="B2" s="26" t="s">
        <v>246</v>
      </c>
      <c r="C2" s="26" t="s">
        <v>134</v>
      </c>
      <c r="D2" s="26">
        <v>1</v>
      </c>
      <c r="E2" s="26"/>
      <c r="F2" s="26"/>
      <c r="G2" s="26"/>
      <c r="H2" s="26">
        <v>2</v>
      </c>
      <c r="I2" s="26">
        <v>5</v>
      </c>
      <c r="J2" s="26">
        <v>2</v>
      </c>
      <c r="K2" s="26">
        <v>441</v>
      </c>
      <c r="L2" s="26"/>
      <c r="M2" s="26">
        <v>450</v>
      </c>
      <c r="N2" s="28">
        <v>61.495555555555555</v>
      </c>
      <c r="O2" s="26" t="s">
        <v>247</v>
      </c>
      <c r="P2" s="26">
        <f t="shared" ref="P2" si="0">K2</f>
        <v>441</v>
      </c>
      <c r="Q2" s="26">
        <f t="shared" ref="Q2:R2" si="1">H2</f>
        <v>2</v>
      </c>
      <c r="R2" s="26">
        <f t="shared" si="1"/>
        <v>5</v>
      </c>
      <c r="S2" s="26">
        <f t="shared" ref="S2" si="2">M2-SUM(P2:R2)</f>
        <v>2</v>
      </c>
      <c r="T2" s="26">
        <f t="shared" ref="T2" si="3">SUM(P2:S2)</f>
        <v>450</v>
      </c>
      <c r="U2" s="27">
        <f t="shared" ref="U2" si="4">P2/M2</f>
        <v>0.98</v>
      </c>
      <c r="V2" s="27">
        <f t="shared" ref="V2" si="5">Q2/M2</f>
        <v>4.4444444444444444E-3</v>
      </c>
      <c r="W2" s="27">
        <f t="shared" ref="W2" si="6">R2/M2</f>
        <v>1.1111111111111112E-2</v>
      </c>
      <c r="X2" s="27">
        <f t="shared" ref="X2" si="7">S2/M2</f>
        <v>4.4444444444444444E-3</v>
      </c>
      <c r="Y2" s="28">
        <f t="shared" ref="Y2" si="8">N2</f>
        <v>61.495555555555555</v>
      </c>
    </row>
    <row r="3" spans="1:25" x14ac:dyDescent="0.25">
      <c r="A3" s="26" t="s">
        <v>245</v>
      </c>
      <c r="B3" s="26" t="s">
        <v>246</v>
      </c>
      <c r="C3" s="26" t="s">
        <v>134</v>
      </c>
      <c r="D3" s="26">
        <v>2</v>
      </c>
      <c r="E3" s="26"/>
      <c r="F3" s="26"/>
      <c r="G3" s="26"/>
      <c r="H3" s="26">
        <v>1</v>
      </c>
      <c r="I3" s="26">
        <v>2</v>
      </c>
      <c r="J3" s="26"/>
      <c r="K3" s="26">
        <v>684</v>
      </c>
      <c r="L3" s="26"/>
      <c r="M3" s="26">
        <v>687</v>
      </c>
      <c r="N3" s="28">
        <v>32.535662299854437</v>
      </c>
      <c r="O3" s="26" t="s">
        <v>247</v>
      </c>
      <c r="P3" s="26">
        <f t="shared" ref="P3:P63" si="9">K3</f>
        <v>684</v>
      </c>
      <c r="Q3" s="26">
        <f t="shared" ref="Q3:Q63" si="10">H3</f>
        <v>1</v>
      </c>
      <c r="R3" s="26">
        <f t="shared" ref="R3:R63" si="11">I3</f>
        <v>2</v>
      </c>
      <c r="S3" s="26">
        <f t="shared" ref="S3:S63" si="12">M3-SUM(P3:R3)</f>
        <v>0</v>
      </c>
      <c r="T3" s="26">
        <f t="shared" ref="T3:T63" si="13">SUM(P3:S3)</f>
        <v>687</v>
      </c>
      <c r="U3" s="27">
        <f t="shared" ref="U3:U63" si="14">P3/M3</f>
        <v>0.99563318777292575</v>
      </c>
      <c r="V3" s="27">
        <f t="shared" ref="V3:V63" si="15">Q3/M3</f>
        <v>1.455604075691412E-3</v>
      </c>
      <c r="W3" s="27">
        <f t="shared" ref="W3:W63" si="16">R3/M3</f>
        <v>2.911208151382824E-3</v>
      </c>
      <c r="X3" s="27">
        <f t="shared" ref="X3:X63" si="17">S3/M3</f>
        <v>0</v>
      </c>
      <c r="Y3" s="28">
        <f t="shared" ref="Y3:Y63" si="18">N3</f>
        <v>32.535662299854437</v>
      </c>
    </row>
    <row r="4" spans="1:25" x14ac:dyDescent="0.25">
      <c r="A4" s="26" t="s">
        <v>248</v>
      </c>
      <c r="B4" s="26" t="s">
        <v>249</v>
      </c>
      <c r="C4" s="26" t="s">
        <v>136</v>
      </c>
      <c r="D4" s="26">
        <v>1</v>
      </c>
      <c r="E4" s="26"/>
      <c r="F4" s="26"/>
      <c r="G4" s="26"/>
      <c r="H4" s="26">
        <v>3</v>
      </c>
      <c r="I4" s="26"/>
      <c r="J4" s="26"/>
      <c r="K4" s="26">
        <v>446</v>
      </c>
      <c r="L4" s="26">
        <v>1</v>
      </c>
      <c r="M4" s="26">
        <v>450</v>
      </c>
      <c r="N4" s="28">
        <v>63.50888888888889</v>
      </c>
      <c r="O4" s="26" t="s">
        <v>247</v>
      </c>
      <c r="P4" s="26">
        <f t="shared" si="9"/>
        <v>446</v>
      </c>
      <c r="Q4" s="26">
        <f t="shared" si="10"/>
        <v>3</v>
      </c>
      <c r="R4" s="26">
        <f t="shared" si="11"/>
        <v>0</v>
      </c>
      <c r="S4" s="26">
        <f t="shared" si="12"/>
        <v>1</v>
      </c>
      <c r="T4" s="26">
        <f t="shared" si="13"/>
        <v>450</v>
      </c>
      <c r="U4" s="27">
        <f t="shared" si="14"/>
        <v>0.99111111111111116</v>
      </c>
      <c r="V4" s="27">
        <f t="shared" si="15"/>
        <v>6.6666666666666671E-3</v>
      </c>
      <c r="W4" s="27">
        <f t="shared" si="16"/>
        <v>0</v>
      </c>
      <c r="X4" s="27">
        <f t="shared" si="17"/>
        <v>2.2222222222222222E-3</v>
      </c>
      <c r="Y4" s="28">
        <f t="shared" si="18"/>
        <v>63.50888888888889</v>
      </c>
    </row>
    <row r="5" spans="1:25" x14ac:dyDescent="0.25">
      <c r="A5" s="26" t="s">
        <v>248</v>
      </c>
      <c r="B5" s="26" t="s">
        <v>249</v>
      </c>
      <c r="C5" s="26" t="s">
        <v>136</v>
      </c>
      <c r="D5" s="26">
        <v>2</v>
      </c>
      <c r="E5" s="26"/>
      <c r="F5" s="26"/>
      <c r="G5" s="26"/>
      <c r="H5" s="26">
        <v>2</v>
      </c>
      <c r="I5" s="26"/>
      <c r="J5" s="26"/>
      <c r="K5" s="26">
        <v>546</v>
      </c>
      <c r="L5" s="26"/>
      <c r="M5" s="26">
        <v>548</v>
      </c>
      <c r="N5" s="28">
        <v>42.704379562043798</v>
      </c>
      <c r="O5" s="26" t="s">
        <v>247</v>
      </c>
      <c r="P5" s="26">
        <f t="shared" si="9"/>
        <v>546</v>
      </c>
      <c r="Q5" s="26">
        <f t="shared" si="10"/>
        <v>2</v>
      </c>
      <c r="R5" s="26">
        <f t="shared" si="11"/>
        <v>0</v>
      </c>
      <c r="S5" s="26">
        <f t="shared" si="12"/>
        <v>0</v>
      </c>
      <c r="T5" s="26">
        <f t="shared" si="13"/>
        <v>548</v>
      </c>
      <c r="U5" s="27">
        <f t="shared" si="14"/>
        <v>0.9963503649635036</v>
      </c>
      <c r="V5" s="27">
        <f t="shared" si="15"/>
        <v>3.6496350364963502E-3</v>
      </c>
      <c r="W5" s="27">
        <f t="shared" si="16"/>
        <v>0</v>
      </c>
      <c r="X5" s="27">
        <f t="shared" si="17"/>
        <v>0</v>
      </c>
      <c r="Y5" s="28">
        <f t="shared" si="18"/>
        <v>42.704379562043798</v>
      </c>
    </row>
    <row r="6" spans="1:25" x14ac:dyDescent="0.25">
      <c r="A6" s="26" t="s">
        <v>248</v>
      </c>
      <c r="B6" s="26" t="s">
        <v>249</v>
      </c>
      <c r="C6" s="26" t="s">
        <v>136</v>
      </c>
      <c r="D6" s="26">
        <v>3</v>
      </c>
      <c r="E6" s="26"/>
      <c r="F6" s="26"/>
      <c r="G6" s="26"/>
      <c r="H6" s="26">
        <v>1</v>
      </c>
      <c r="I6" s="26"/>
      <c r="J6" s="26"/>
      <c r="K6" s="26">
        <v>548</v>
      </c>
      <c r="L6" s="26"/>
      <c r="M6" s="26">
        <v>549</v>
      </c>
      <c r="N6" s="28">
        <v>25.896174863387976</v>
      </c>
      <c r="O6" s="26" t="s">
        <v>247</v>
      </c>
      <c r="P6" s="26">
        <f t="shared" si="9"/>
        <v>548</v>
      </c>
      <c r="Q6" s="26">
        <f t="shared" si="10"/>
        <v>1</v>
      </c>
      <c r="R6" s="26">
        <f t="shared" si="11"/>
        <v>0</v>
      </c>
      <c r="S6" s="26">
        <f t="shared" si="12"/>
        <v>0</v>
      </c>
      <c r="T6" s="26">
        <f t="shared" si="13"/>
        <v>549</v>
      </c>
      <c r="U6" s="27">
        <f t="shared" si="14"/>
        <v>0.99817850637522765</v>
      </c>
      <c r="V6" s="27">
        <f t="shared" si="15"/>
        <v>1.8214936247723133E-3</v>
      </c>
      <c r="W6" s="27">
        <f t="shared" si="16"/>
        <v>0</v>
      </c>
      <c r="X6" s="27">
        <f t="shared" si="17"/>
        <v>0</v>
      </c>
      <c r="Y6" s="28">
        <f t="shared" si="18"/>
        <v>25.896174863387976</v>
      </c>
    </row>
    <row r="7" spans="1:25" x14ac:dyDescent="0.25">
      <c r="A7" s="26" t="s">
        <v>250</v>
      </c>
      <c r="B7" s="26" t="s">
        <v>251</v>
      </c>
      <c r="C7" s="26" t="s">
        <v>138</v>
      </c>
      <c r="D7" s="26">
        <v>1</v>
      </c>
      <c r="E7" s="26"/>
      <c r="F7" s="26"/>
      <c r="G7" s="26"/>
      <c r="H7" s="26">
        <v>2</v>
      </c>
      <c r="I7" s="26">
        <v>19</v>
      </c>
      <c r="J7" s="26">
        <v>4</v>
      </c>
      <c r="K7" s="26">
        <v>425</v>
      </c>
      <c r="L7" s="26"/>
      <c r="M7" s="26">
        <v>450</v>
      </c>
      <c r="N7" s="28">
        <v>69.946666666666673</v>
      </c>
      <c r="O7" s="26" t="s">
        <v>247</v>
      </c>
      <c r="P7" s="26">
        <f t="shared" si="9"/>
        <v>425</v>
      </c>
      <c r="Q7" s="26">
        <f t="shared" si="10"/>
        <v>2</v>
      </c>
      <c r="R7" s="26">
        <f t="shared" si="11"/>
        <v>19</v>
      </c>
      <c r="S7" s="26">
        <f t="shared" si="12"/>
        <v>4</v>
      </c>
      <c r="T7" s="26">
        <f t="shared" si="13"/>
        <v>450</v>
      </c>
      <c r="U7" s="27">
        <f t="shared" si="14"/>
        <v>0.94444444444444442</v>
      </c>
      <c r="V7" s="27">
        <f t="shared" si="15"/>
        <v>4.4444444444444444E-3</v>
      </c>
      <c r="W7" s="27">
        <f t="shared" si="16"/>
        <v>4.2222222222222223E-2</v>
      </c>
      <c r="X7" s="27">
        <f t="shared" si="17"/>
        <v>8.8888888888888889E-3</v>
      </c>
      <c r="Y7" s="28">
        <f t="shared" si="18"/>
        <v>69.946666666666673</v>
      </c>
    </row>
    <row r="8" spans="1:25" x14ac:dyDescent="0.25">
      <c r="A8" s="26" t="s">
        <v>250</v>
      </c>
      <c r="B8" s="26" t="s">
        <v>251</v>
      </c>
      <c r="C8" s="26" t="s">
        <v>138</v>
      </c>
      <c r="D8" s="26">
        <v>2</v>
      </c>
      <c r="E8" s="26"/>
      <c r="F8" s="26"/>
      <c r="G8" s="26"/>
      <c r="H8" s="26"/>
      <c r="I8" s="26">
        <v>23</v>
      </c>
      <c r="J8" s="26">
        <v>2</v>
      </c>
      <c r="K8" s="26">
        <v>425</v>
      </c>
      <c r="L8" s="26"/>
      <c r="M8" s="26">
        <v>450</v>
      </c>
      <c r="N8" s="28">
        <v>56.375555555555557</v>
      </c>
      <c r="O8" s="26" t="s">
        <v>247</v>
      </c>
      <c r="P8" s="26">
        <f t="shared" si="9"/>
        <v>425</v>
      </c>
      <c r="Q8" s="26">
        <f t="shared" si="10"/>
        <v>0</v>
      </c>
      <c r="R8" s="26">
        <f t="shared" si="11"/>
        <v>23</v>
      </c>
      <c r="S8" s="26">
        <f t="shared" si="12"/>
        <v>2</v>
      </c>
      <c r="T8" s="26">
        <f t="shared" si="13"/>
        <v>450</v>
      </c>
      <c r="U8" s="27">
        <f t="shared" si="14"/>
        <v>0.94444444444444442</v>
      </c>
      <c r="V8" s="27">
        <f t="shared" si="15"/>
        <v>0</v>
      </c>
      <c r="W8" s="27">
        <f t="shared" si="16"/>
        <v>5.1111111111111114E-2</v>
      </c>
      <c r="X8" s="27">
        <f t="shared" si="17"/>
        <v>4.4444444444444444E-3</v>
      </c>
      <c r="Y8" s="28">
        <f t="shared" si="18"/>
        <v>56.375555555555557</v>
      </c>
    </row>
    <row r="9" spans="1:25" x14ac:dyDescent="0.25">
      <c r="A9" s="26" t="s">
        <v>250</v>
      </c>
      <c r="B9" s="26" t="s">
        <v>251</v>
      </c>
      <c r="C9" s="26" t="s">
        <v>138</v>
      </c>
      <c r="D9" s="26">
        <v>3</v>
      </c>
      <c r="E9" s="26"/>
      <c r="F9" s="26"/>
      <c r="G9" s="26">
        <v>1</v>
      </c>
      <c r="H9" s="26">
        <v>5</v>
      </c>
      <c r="I9" s="26">
        <v>56</v>
      </c>
      <c r="J9" s="26">
        <v>1</v>
      </c>
      <c r="K9" s="26">
        <v>575</v>
      </c>
      <c r="L9" s="26"/>
      <c r="M9" s="26">
        <v>638</v>
      </c>
      <c r="N9" s="28">
        <v>44.274294670846395</v>
      </c>
      <c r="O9" s="26" t="s">
        <v>247</v>
      </c>
      <c r="P9" s="26">
        <f t="shared" si="9"/>
        <v>575</v>
      </c>
      <c r="Q9" s="26">
        <f t="shared" si="10"/>
        <v>5</v>
      </c>
      <c r="R9" s="26">
        <f t="shared" si="11"/>
        <v>56</v>
      </c>
      <c r="S9" s="26">
        <f t="shared" si="12"/>
        <v>2</v>
      </c>
      <c r="T9" s="26">
        <f t="shared" si="13"/>
        <v>638</v>
      </c>
      <c r="U9" s="27">
        <f t="shared" si="14"/>
        <v>0.90125391849529779</v>
      </c>
      <c r="V9" s="27">
        <f t="shared" si="15"/>
        <v>7.8369905956112845E-3</v>
      </c>
      <c r="W9" s="27">
        <f t="shared" si="16"/>
        <v>8.7774294670846395E-2</v>
      </c>
      <c r="X9" s="27">
        <f t="shared" si="17"/>
        <v>3.134796238244514E-3</v>
      </c>
      <c r="Y9" s="28">
        <f t="shared" si="18"/>
        <v>44.274294670846395</v>
      </c>
    </row>
    <row r="10" spans="1:25" x14ac:dyDescent="0.25">
      <c r="A10" s="26" t="s">
        <v>250</v>
      </c>
      <c r="B10" s="26" t="s">
        <v>251</v>
      </c>
      <c r="C10" s="26" t="s">
        <v>138</v>
      </c>
      <c r="D10" s="26">
        <v>4</v>
      </c>
      <c r="E10" s="26"/>
      <c r="F10" s="26"/>
      <c r="G10" s="26">
        <v>1</v>
      </c>
      <c r="H10" s="26">
        <v>9</v>
      </c>
      <c r="I10" s="26">
        <v>51</v>
      </c>
      <c r="J10" s="26"/>
      <c r="K10" s="26">
        <v>577</v>
      </c>
      <c r="L10" s="26"/>
      <c r="M10" s="26">
        <v>638</v>
      </c>
      <c r="N10" s="28">
        <v>33.29937304075235</v>
      </c>
      <c r="O10" s="26" t="s">
        <v>247</v>
      </c>
      <c r="P10" s="26">
        <f t="shared" si="9"/>
        <v>577</v>
      </c>
      <c r="Q10" s="26">
        <f t="shared" si="10"/>
        <v>9</v>
      </c>
      <c r="R10" s="26">
        <f t="shared" si="11"/>
        <v>51</v>
      </c>
      <c r="S10" s="26">
        <f t="shared" si="12"/>
        <v>1</v>
      </c>
      <c r="T10" s="26">
        <f t="shared" si="13"/>
        <v>638</v>
      </c>
      <c r="U10" s="27">
        <f t="shared" si="14"/>
        <v>0.90438871473354232</v>
      </c>
      <c r="V10" s="27">
        <f t="shared" si="15"/>
        <v>1.4106583072100314E-2</v>
      </c>
      <c r="W10" s="27">
        <f t="shared" si="16"/>
        <v>7.9937304075235111E-2</v>
      </c>
      <c r="X10" s="27">
        <f t="shared" si="17"/>
        <v>1.567398119122257E-3</v>
      </c>
      <c r="Y10" s="28">
        <f t="shared" si="18"/>
        <v>33.29937304075235</v>
      </c>
    </row>
    <row r="11" spans="1:25" x14ac:dyDescent="0.25">
      <c r="A11" s="26" t="s">
        <v>250</v>
      </c>
      <c r="B11" s="26" t="s">
        <v>251</v>
      </c>
      <c r="C11" s="26" t="s">
        <v>138</v>
      </c>
      <c r="D11" s="26">
        <v>5</v>
      </c>
      <c r="E11" s="26"/>
      <c r="F11" s="26"/>
      <c r="G11" s="26"/>
      <c r="H11" s="26">
        <v>5</v>
      </c>
      <c r="I11" s="26">
        <v>35</v>
      </c>
      <c r="J11" s="26"/>
      <c r="K11" s="26">
        <v>598</v>
      </c>
      <c r="L11" s="26"/>
      <c r="M11" s="26">
        <v>638</v>
      </c>
      <c r="N11" s="28">
        <v>23.368338557993731</v>
      </c>
      <c r="O11" s="26" t="s">
        <v>247</v>
      </c>
      <c r="P11" s="26">
        <f t="shared" si="9"/>
        <v>598</v>
      </c>
      <c r="Q11" s="26">
        <f t="shared" si="10"/>
        <v>5</v>
      </c>
      <c r="R11" s="26">
        <f t="shared" si="11"/>
        <v>35</v>
      </c>
      <c r="S11" s="26">
        <f t="shared" si="12"/>
        <v>0</v>
      </c>
      <c r="T11" s="26">
        <f t="shared" si="13"/>
        <v>638</v>
      </c>
      <c r="U11" s="27">
        <f t="shared" si="14"/>
        <v>0.93730407523510972</v>
      </c>
      <c r="V11" s="27">
        <f t="shared" si="15"/>
        <v>7.8369905956112845E-3</v>
      </c>
      <c r="W11" s="27">
        <f t="shared" si="16"/>
        <v>5.4858934169278999E-2</v>
      </c>
      <c r="X11" s="27">
        <f t="shared" si="17"/>
        <v>0</v>
      </c>
      <c r="Y11" s="28">
        <f t="shared" si="18"/>
        <v>23.368338557993731</v>
      </c>
    </row>
    <row r="12" spans="1:25" x14ac:dyDescent="0.25">
      <c r="A12" s="26" t="s">
        <v>253</v>
      </c>
      <c r="B12" s="26" t="s">
        <v>254</v>
      </c>
      <c r="C12" s="26" t="s">
        <v>145</v>
      </c>
      <c r="D12" s="26">
        <v>1</v>
      </c>
      <c r="E12" s="26"/>
      <c r="F12" s="26"/>
      <c r="G12" s="26"/>
      <c r="H12" s="26">
        <v>132</v>
      </c>
      <c r="I12" s="26">
        <v>39</v>
      </c>
      <c r="J12" s="26"/>
      <c r="K12" s="26">
        <v>23</v>
      </c>
      <c r="L12" s="26"/>
      <c r="M12" s="26">
        <v>194</v>
      </c>
      <c r="N12" s="28">
        <v>57.628865979381445</v>
      </c>
      <c r="O12" s="26" t="s">
        <v>247</v>
      </c>
      <c r="P12" s="26">
        <f t="shared" si="9"/>
        <v>23</v>
      </c>
      <c r="Q12" s="26">
        <f t="shared" si="10"/>
        <v>132</v>
      </c>
      <c r="R12" s="26">
        <f t="shared" si="11"/>
        <v>39</v>
      </c>
      <c r="S12" s="26">
        <f t="shared" si="12"/>
        <v>0</v>
      </c>
      <c r="T12" s="26">
        <f t="shared" si="13"/>
        <v>194</v>
      </c>
      <c r="U12" s="27">
        <f t="shared" si="14"/>
        <v>0.11855670103092783</v>
      </c>
      <c r="V12" s="27">
        <f t="shared" si="15"/>
        <v>0.68041237113402064</v>
      </c>
      <c r="W12" s="27">
        <f t="shared" si="16"/>
        <v>0.20103092783505155</v>
      </c>
      <c r="X12" s="27">
        <f t="shared" si="17"/>
        <v>0</v>
      </c>
      <c r="Y12" s="28">
        <f t="shared" si="18"/>
        <v>57.628865979381445</v>
      </c>
    </row>
    <row r="13" spans="1:25" x14ac:dyDescent="0.25">
      <c r="A13" s="26" t="s">
        <v>255</v>
      </c>
      <c r="B13" s="26" t="s">
        <v>256</v>
      </c>
      <c r="C13" s="26" t="s">
        <v>147</v>
      </c>
      <c r="D13" s="26">
        <v>1</v>
      </c>
      <c r="E13" s="26"/>
      <c r="F13" s="26"/>
      <c r="G13" s="26"/>
      <c r="H13" s="26">
        <v>293</v>
      </c>
      <c r="I13" s="26">
        <v>91</v>
      </c>
      <c r="J13" s="26"/>
      <c r="K13" s="26">
        <v>66</v>
      </c>
      <c r="L13" s="26"/>
      <c r="M13" s="26">
        <v>450</v>
      </c>
      <c r="N13" s="28">
        <v>67.884444444444441</v>
      </c>
      <c r="O13" s="26" t="s">
        <v>247</v>
      </c>
      <c r="P13" s="26">
        <f t="shared" si="9"/>
        <v>66</v>
      </c>
      <c r="Q13" s="26">
        <f t="shared" si="10"/>
        <v>293</v>
      </c>
      <c r="R13" s="26">
        <f t="shared" si="11"/>
        <v>91</v>
      </c>
      <c r="S13" s="26">
        <f t="shared" si="12"/>
        <v>0</v>
      </c>
      <c r="T13" s="26">
        <f t="shared" si="13"/>
        <v>450</v>
      </c>
      <c r="U13" s="27">
        <f t="shared" si="14"/>
        <v>0.14666666666666667</v>
      </c>
      <c r="V13" s="27">
        <f t="shared" si="15"/>
        <v>0.65111111111111108</v>
      </c>
      <c r="W13" s="27">
        <f t="shared" si="16"/>
        <v>0.20222222222222222</v>
      </c>
      <c r="X13" s="27">
        <f t="shared" si="17"/>
        <v>0</v>
      </c>
      <c r="Y13" s="28">
        <f t="shared" si="18"/>
        <v>67.884444444444441</v>
      </c>
    </row>
    <row r="14" spans="1:25" x14ac:dyDescent="0.25">
      <c r="A14" s="26" t="s">
        <v>255</v>
      </c>
      <c r="B14" s="26" t="s">
        <v>256</v>
      </c>
      <c r="C14" s="26" t="s">
        <v>147</v>
      </c>
      <c r="D14" s="26">
        <v>2</v>
      </c>
      <c r="E14" s="26"/>
      <c r="F14" s="26">
        <v>1</v>
      </c>
      <c r="G14" s="26"/>
      <c r="H14" s="26">
        <v>287</v>
      </c>
      <c r="I14" s="26">
        <v>107</v>
      </c>
      <c r="J14" s="26">
        <v>1</v>
      </c>
      <c r="K14" s="26">
        <v>54</v>
      </c>
      <c r="L14" s="26"/>
      <c r="M14" s="26">
        <v>450</v>
      </c>
      <c r="N14" s="28">
        <v>56.195555555555558</v>
      </c>
      <c r="O14" s="26" t="s">
        <v>247</v>
      </c>
      <c r="P14" s="26">
        <f t="shared" si="9"/>
        <v>54</v>
      </c>
      <c r="Q14" s="26">
        <f t="shared" si="10"/>
        <v>287</v>
      </c>
      <c r="R14" s="26">
        <f t="shared" si="11"/>
        <v>107</v>
      </c>
      <c r="S14" s="26">
        <f t="shared" si="12"/>
        <v>2</v>
      </c>
      <c r="T14" s="26">
        <f t="shared" si="13"/>
        <v>450</v>
      </c>
      <c r="U14" s="27">
        <f t="shared" si="14"/>
        <v>0.12</v>
      </c>
      <c r="V14" s="27">
        <f t="shared" si="15"/>
        <v>0.63777777777777778</v>
      </c>
      <c r="W14" s="27">
        <f t="shared" si="16"/>
        <v>0.23777777777777778</v>
      </c>
      <c r="X14" s="27">
        <f t="shared" si="17"/>
        <v>4.4444444444444444E-3</v>
      </c>
      <c r="Y14" s="28">
        <f t="shared" si="18"/>
        <v>56.195555555555558</v>
      </c>
    </row>
    <row r="15" spans="1:25" x14ac:dyDescent="0.25">
      <c r="A15" s="26" t="s">
        <v>255</v>
      </c>
      <c r="B15" s="26" t="s">
        <v>256</v>
      </c>
      <c r="C15" s="26" t="s">
        <v>147</v>
      </c>
      <c r="D15" s="26">
        <v>3</v>
      </c>
      <c r="E15" s="26"/>
      <c r="F15" s="26"/>
      <c r="G15" s="26"/>
      <c r="H15" s="26">
        <v>363</v>
      </c>
      <c r="I15" s="26">
        <v>152</v>
      </c>
      <c r="J15" s="26">
        <v>1</v>
      </c>
      <c r="K15" s="26">
        <v>86</v>
      </c>
      <c r="L15" s="26">
        <v>2</v>
      </c>
      <c r="M15" s="26">
        <v>604</v>
      </c>
      <c r="N15" s="28">
        <v>45.014900662251655</v>
      </c>
      <c r="O15" s="26" t="s">
        <v>247</v>
      </c>
      <c r="P15" s="26">
        <f t="shared" si="9"/>
        <v>86</v>
      </c>
      <c r="Q15" s="26">
        <f t="shared" si="10"/>
        <v>363</v>
      </c>
      <c r="R15" s="26">
        <f t="shared" si="11"/>
        <v>152</v>
      </c>
      <c r="S15" s="26">
        <f t="shared" si="12"/>
        <v>3</v>
      </c>
      <c r="T15" s="26">
        <f t="shared" si="13"/>
        <v>604</v>
      </c>
      <c r="U15" s="27">
        <f t="shared" si="14"/>
        <v>0.14238410596026491</v>
      </c>
      <c r="V15" s="27">
        <f t="shared" si="15"/>
        <v>0.60099337748344372</v>
      </c>
      <c r="W15" s="27">
        <f t="shared" si="16"/>
        <v>0.25165562913907286</v>
      </c>
      <c r="X15" s="27">
        <f t="shared" si="17"/>
        <v>4.9668874172185433E-3</v>
      </c>
      <c r="Y15" s="28">
        <f t="shared" si="18"/>
        <v>45.014900662251655</v>
      </c>
    </row>
    <row r="16" spans="1:25" x14ac:dyDescent="0.25">
      <c r="A16" s="26" t="s">
        <v>255</v>
      </c>
      <c r="B16" s="26" t="s">
        <v>256</v>
      </c>
      <c r="C16" s="26" t="s">
        <v>147</v>
      </c>
      <c r="D16" s="26">
        <v>4</v>
      </c>
      <c r="E16" s="26"/>
      <c r="F16" s="26">
        <v>1</v>
      </c>
      <c r="G16" s="26"/>
      <c r="H16" s="26">
        <v>349</v>
      </c>
      <c r="I16" s="26">
        <v>164</v>
      </c>
      <c r="J16" s="26">
        <v>1</v>
      </c>
      <c r="K16" s="26">
        <v>88</v>
      </c>
      <c r="L16" s="26">
        <v>1</v>
      </c>
      <c r="M16" s="26">
        <v>604</v>
      </c>
      <c r="N16" s="28">
        <v>36.11258278145695</v>
      </c>
      <c r="O16" s="26" t="s">
        <v>247</v>
      </c>
      <c r="P16" s="26">
        <f t="shared" si="9"/>
        <v>88</v>
      </c>
      <c r="Q16" s="26">
        <f t="shared" si="10"/>
        <v>349</v>
      </c>
      <c r="R16" s="26">
        <f t="shared" si="11"/>
        <v>164</v>
      </c>
      <c r="S16" s="26">
        <f t="shared" si="12"/>
        <v>3</v>
      </c>
      <c r="T16" s="26">
        <f t="shared" si="13"/>
        <v>604</v>
      </c>
      <c r="U16" s="27">
        <f t="shared" si="14"/>
        <v>0.14569536423841059</v>
      </c>
      <c r="V16" s="27">
        <f t="shared" si="15"/>
        <v>0.57781456953642385</v>
      </c>
      <c r="W16" s="27">
        <f t="shared" si="16"/>
        <v>0.27152317880794702</v>
      </c>
      <c r="X16" s="27">
        <f t="shared" si="17"/>
        <v>4.9668874172185433E-3</v>
      </c>
      <c r="Y16" s="28">
        <f t="shared" si="18"/>
        <v>36.11258278145695</v>
      </c>
    </row>
    <row r="17" spans="1:25" x14ac:dyDescent="0.25">
      <c r="A17" s="26" t="s">
        <v>255</v>
      </c>
      <c r="B17" s="26" t="s">
        <v>256</v>
      </c>
      <c r="C17" s="26" t="s">
        <v>147</v>
      </c>
      <c r="D17" s="26">
        <v>5</v>
      </c>
      <c r="E17" s="26"/>
      <c r="F17" s="26"/>
      <c r="G17" s="26"/>
      <c r="H17" s="26">
        <v>333</v>
      </c>
      <c r="I17" s="26">
        <v>173</v>
      </c>
      <c r="J17" s="26"/>
      <c r="K17" s="26">
        <v>99</v>
      </c>
      <c r="L17" s="26"/>
      <c r="M17" s="26">
        <v>605</v>
      </c>
      <c r="N17" s="28">
        <v>28.745454545454546</v>
      </c>
      <c r="O17" s="26" t="s">
        <v>247</v>
      </c>
      <c r="P17" s="26">
        <f t="shared" si="9"/>
        <v>99</v>
      </c>
      <c r="Q17" s="26">
        <f t="shared" si="10"/>
        <v>333</v>
      </c>
      <c r="R17" s="26">
        <f t="shared" si="11"/>
        <v>173</v>
      </c>
      <c r="S17" s="26">
        <f t="shared" si="12"/>
        <v>0</v>
      </c>
      <c r="T17" s="26">
        <f t="shared" si="13"/>
        <v>605</v>
      </c>
      <c r="U17" s="27">
        <f t="shared" si="14"/>
        <v>0.16363636363636364</v>
      </c>
      <c r="V17" s="27">
        <f t="shared" si="15"/>
        <v>0.5504132231404959</v>
      </c>
      <c r="W17" s="27">
        <f t="shared" si="16"/>
        <v>0.28595041322314052</v>
      </c>
      <c r="X17" s="27">
        <f t="shared" si="17"/>
        <v>0</v>
      </c>
      <c r="Y17" s="28">
        <f t="shared" si="18"/>
        <v>28.745454545454546</v>
      </c>
    </row>
    <row r="18" spans="1:25" x14ac:dyDescent="0.25">
      <c r="A18" s="26" t="s">
        <v>255</v>
      </c>
      <c r="B18" s="26" t="s">
        <v>256</v>
      </c>
      <c r="C18" s="26" t="s">
        <v>147</v>
      </c>
      <c r="D18" s="26">
        <v>6</v>
      </c>
      <c r="E18" s="26"/>
      <c r="F18" s="26"/>
      <c r="G18" s="26"/>
      <c r="H18" s="26">
        <v>274</v>
      </c>
      <c r="I18" s="26">
        <v>217</v>
      </c>
      <c r="J18" s="26"/>
      <c r="K18" s="26">
        <v>114</v>
      </c>
      <c r="L18" s="26"/>
      <c r="M18" s="26">
        <v>605</v>
      </c>
      <c r="N18" s="28">
        <v>21.828099173553721</v>
      </c>
      <c r="O18" s="26" t="s">
        <v>247</v>
      </c>
      <c r="P18" s="26">
        <f t="shared" si="9"/>
        <v>114</v>
      </c>
      <c r="Q18" s="26">
        <f t="shared" si="10"/>
        <v>274</v>
      </c>
      <c r="R18" s="26">
        <f t="shared" si="11"/>
        <v>217</v>
      </c>
      <c r="S18" s="26">
        <f t="shared" si="12"/>
        <v>0</v>
      </c>
      <c r="T18" s="26">
        <f t="shared" si="13"/>
        <v>605</v>
      </c>
      <c r="U18" s="27">
        <f t="shared" si="14"/>
        <v>0.1884297520661157</v>
      </c>
      <c r="V18" s="27">
        <f t="shared" si="15"/>
        <v>0.45289256198347105</v>
      </c>
      <c r="W18" s="27">
        <f t="shared" si="16"/>
        <v>0.35867768595041322</v>
      </c>
      <c r="X18" s="27">
        <f t="shared" si="17"/>
        <v>0</v>
      </c>
      <c r="Y18" s="28">
        <f t="shared" si="18"/>
        <v>21.828099173553721</v>
      </c>
    </row>
    <row r="19" spans="1:25" x14ac:dyDescent="0.25">
      <c r="A19" s="26" t="s">
        <v>257</v>
      </c>
      <c r="B19" s="26" t="s">
        <v>258</v>
      </c>
      <c r="C19" s="26" t="s">
        <v>149</v>
      </c>
      <c r="D19" s="26">
        <v>1</v>
      </c>
      <c r="E19" s="26"/>
      <c r="F19" s="26">
        <v>1</v>
      </c>
      <c r="G19" s="26"/>
      <c r="H19" s="26"/>
      <c r="I19" s="26"/>
      <c r="J19" s="26">
        <v>2</v>
      </c>
      <c r="K19" s="26">
        <v>447</v>
      </c>
      <c r="L19" s="26"/>
      <c r="M19" s="26">
        <v>450</v>
      </c>
      <c r="N19" s="28">
        <v>63.506666666666668</v>
      </c>
      <c r="O19" s="26" t="s">
        <v>247</v>
      </c>
      <c r="P19" s="26">
        <f t="shared" ref="P19:P26" si="19">K19</f>
        <v>447</v>
      </c>
      <c r="Q19" s="26">
        <f t="shared" ref="Q19:R26" si="20">H19</f>
        <v>0</v>
      </c>
      <c r="R19" s="26">
        <f t="shared" si="20"/>
        <v>0</v>
      </c>
      <c r="S19" s="26">
        <f t="shared" ref="S19:S26" si="21">M19-SUM(P19:R19)</f>
        <v>3</v>
      </c>
      <c r="T19" s="26">
        <f t="shared" ref="T19:T26" si="22">SUM(P19:S19)</f>
        <v>450</v>
      </c>
      <c r="U19" s="27">
        <f t="shared" ref="U19:U26" si="23">P19/M19</f>
        <v>0.99333333333333329</v>
      </c>
      <c r="V19" s="27">
        <f t="shared" ref="V19:V26" si="24">Q19/M19</f>
        <v>0</v>
      </c>
      <c r="W19" s="27">
        <f t="shared" ref="W19:W26" si="25">R19/M19</f>
        <v>0</v>
      </c>
      <c r="X19" s="27">
        <f t="shared" ref="X19:X26" si="26">S19/M19</f>
        <v>6.6666666666666671E-3</v>
      </c>
      <c r="Y19" s="28">
        <f t="shared" ref="Y19:Y26" si="27">N19</f>
        <v>63.506666666666668</v>
      </c>
    </row>
    <row r="20" spans="1:25" x14ac:dyDescent="0.25">
      <c r="A20" s="26" t="s">
        <v>257</v>
      </c>
      <c r="B20" s="26" t="s">
        <v>258</v>
      </c>
      <c r="C20" s="26" t="s">
        <v>149</v>
      </c>
      <c r="D20" s="26">
        <v>2</v>
      </c>
      <c r="E20" s="26"/>
      <c r="F20" s="26"/>
      <c r="G20" s="26"/>
      <c r="H20" s="26">
        <v>1</v>
      </c>
      <c r="I20" s="26">
        <v>2</v>
      </c>
      <c r="J20" s="26">
        <v>1</v>
      </c>
      <c r="K20" s="26">
        <v>655</v>
      </c>
      <c r="L20" s="26"/>
      <c r="M20" s="26">
        <v>659</v>
      </c>
      <c r="N20" s="28">
        <v>47.004552352048556</v>
      </c>
      <c r="O20" s="26" t="s">
        <v>247</v>
      </c>
      <c r="P20" s="26">
        <f t="shared" si="19"/>
        <v>655</v>
      </c>
      <c r="Q20" s="26">
        <f t="shared" si="20"/>
        <v>1</v>
      </c>
      <c r="R20" s="26">
        <f t="shared" si="20"/>
        <v>2</v>
      </c>
      <c r="S20" s="26">
        <f t="shared" si="21"/>
        <v>1</v>
      </c>
      <c r="T20" s="26">
        <f t="shared" si="22"/>
        <v>659</v>
      </c>
      <c r="U20" s="27">
        <f t="shared" si="23"/>
        <v>0.99393019726858878</v>
      </c>
      <c r="V20" s="27">
        <f t="shared" si="24"/>
        <v>1.5174506828528073E-3</v>
      </c>
      <c r="W20" s="27">
        <f t="shared" si="25"/>
        <v>3.0349013657056147E-3</v>
      </c>
      <c r="X20" s="27">
        <f t="shared" si="26"/>
        <v>1.5174506828528073E-3</v>
      </c>
      <c r="Y20" s="28">
        <f t="shared" si="27"/>
        <v>47.004552352048556</v>
      </c>
    </row>
    <row r="21" spans="1:25" x14ac:dyDescent="0.25">
      <c r="A21" s="26" t="s">
        <v>257</v>
      </c>
      <c r="B21" s="26" t="s">
        <v>258</v>
      </c>
      <c r="C21" s="26" t="s">
        <v>149</v>
      </c>
      <c r="D21" s="26">
        <v>3</v>
      </c>
      <c r="E21" s="26"/>
      <c r="F21" s="26"/>
      <c r="G21" s="26"/>
      <c r="H21" s="26"/>
      <c r="I21" s="26"/>
      <c r="J21" s="26"/>
      <c r="K21" s="26">
        <v>659</v>
      </c>
      <c r="L21" s="26"/>
      <c r="M21" s="26">
        <v>659</v>
      </c>
      <c r="N21" s="28">
        <v>34.541729893778452</v>
      </c>
      <c r="O21" s="26" t="s">
        <v>247</v>
      </c>
      <c r="P21" s="26">
        <f t="shared" si="19"/>
        <v>659</v>
      </c>
      <c r="Q21" s="26">
        <f t="shared" si="20"/>
        <v>0</v>
      </c>
      <c r="R21" s="26">
        <f t="shared" si="20"/>
        <v>0</v>
      </c>
      <c r="S21" s="26">
        <f t="shared" si="21"/>
        <v>0</v>
      </c>
      <c r="T21" s="26">
        <f t="shared" si="22"/>
        <v>659</v>
      </c>
      <c r="U21" s="27">
        <f t="shared" si="23"/>
        <v>1</v>
      </c>
      <c r="V21" s="27">
        <f t="shared" si="24"/>
        <v>0</v>
      </c>
      <c r="W21" s="27">
        <f t="shared" si="25"/>
        <v>0</v>
      </c>
      <c r="X21" s="27">
        <f t="shared" si="26"/>
        <v>0</v>
      </c>
      <c r="Y21" s="28">
        <f t="shared" si="27"/>
        <v>34.541729893778452</v>
      </c>
    </row>
    <row r="22" spans="1:25" x14ac:dyDescent="0.25">
      <c r="A22" s="26" t="s">
        <v>257</v>
      </c>
      <c r="B22" s="26" t="s">
        <v>258</v>
      </c>
      <c r="C22" s="26" t="s">
        <v>149</v>
      </c>
      <c r="D22" s="26">
        <v>4</v>
      </c>
      <c r="E22" s="26"/>
      <c r="F22" s="26"/>
      <c r="G22" s="26"/>
      <c r="H22" s="26"/>
      <c r="I22" s="26">
        <v>1</v>
      </c>
      <c r="J22" s="26"/>
      <c r="K22" s="26">
        <v>659</v>
      </c>
      <c r="L22" s="26"/>
      <c r="M22" s="26">
        <v>660</v>
      </c>
      <c r="N22" s="28">
        <v>25.639393939393941</v>
      </c>
      <c r="O22" s="26" t="s">
        <v>247</v>
      </c>
      <c r="P22" s="26">
        <f t="shared" si="19"/>
        <v>659</v>
      </c>
      <c r="Q22" s="26">
        <f t="shared" si="20"/>
        <v>0</v>
      </c>
      <c r="R22" s="26">
        <f t="shared" si="20"/>
        <v>1</v>
      </c>
      <c r="S22" s="26">
        <f t="shared" si="21"/>
        <v>0</v>
      </c>
      <c r="T22" s="26">
        <f t="shared" si="22"/>
        <v>660</v>
      </c>
      <c r="U22" s="27">
        <f t="shared" si="23"/>
        <v>0.99848484848484853</v>
      </c>
      <c r="V22" s="27">
        <f t="shared" si="24"/>
        <v>0</v>
      </c>
      <c r="W22" s="27">
        <f t="shared" si="25"/>
        <v>1.5151515151515152E-3</v>
      </c>
      <c r="X22" s="27">
        <f t="shared" si="26"/>
        <v>0</v>
      </c>
      <c r="Y22" s="28">
        <f t="shared" si="27"/>
        <v>25.639393939393941</v>
      </c>
    </row>
    <row r="23" spans="1:25" x14ac:dyDescent="0.25">
      <c r="A23" s="26" t="s">
        <v>257</v>
      </c>
      <c r="B23" s="26" t="s">
        <v>258</v>
      </c>
      <c r="C23" s="26" t="s">
        <v>150</v>
      </c>
      <c r="D23" s="26">
        <v>1</v>
      </c>
      <c r="E23" s="26"/>
      <c r="F23" s="26"/>
      <c r="G23" s="26"/>
      <c r="H23" s="26"/>
      <c r="I23" s="26">
        <v>4</v>
      </c>
      <c r="J23" s="26">
        <v>2</v>
      </c>
      <c r="K23" s="26">
        <v>444</v>
      </c>
      <c r="L23" s="26"/>
      <c r="M23" s="26">
        <v>450</v>
      </c>
      <c r="N23" s="28">
        <v>63.833333333333336</v>
      </c>
      <c r="O23" s="26" t="s">
        <v>247</v>
      </c>
      <c r="P23" s="26">
        <f t="shared" si="19"/>
        <v>444</v>
      </c>
      <c r="Q23" s="26">
        <f t="shared" si="20"/>
        <v>0</v>
      </c>
      <c r="R23" s="26">
        <f t="shared" si="20"/>
        <v>4</v>
      </c>
      <c r="S23" s="26">
        <f t="shared" si="21"/>
        <v>2</v>
      </c>
      <c r="T23" s="26">
        <f t="shared" si="22"/>
        <v>450</v>
      </c>
      <c r="U23" s="27">
        <f t="shared" si="23"/>
        <v>0.98666666666666669</v>
      </c>
      <c r="V23" s="27">
        <f t="shared" si="24"/>
        <v>0</v>
      </c>
      <c r="W23" s="27">
        <f t="shared" si="25"/>
        <v>8.8888888888888889E-3</v>
      </c>
      <c r="X23" s="27">
        <f t="shared" si="26"/>
        <v>4.4444444444444444E-3</v>
      </c>
      <c r="Y23" s="28">
        <f t="shared" si="27"/>
        <v>63.833333333333336</v>
      </c>
    </row>
    <row r="24" spans="1:25" x14ac:dyDescent="0.25">
      <c r="A24" s="26" t="s">
        <v>257</v>
      </c>
      <c r="B24" s="26" t="s">
        <v>258</v>
      </c>
      <c r="C24" s="26" t="s">
        <v>150</v>
      </c>
      <c r="D24" s="26">
        <v>2</v>
      </c>
      <c r="E24" s="26"/>
      <c r="F24" s="26"/>
      <c r="G24" s="26"/>
      <c r="H24" s="26"/>
      <c r="I24" s="26">
        <v>2</v>
      </c>
      <c r="J24" s="26"/>
      <c r="K24" s="26">
        <v>533</v>
      </c>
      <c r="L24" s="26"/>
      <c r="M24" s="26">
        <v>535</v>
      </c>
      <c r="N24" s="28">
        <v>44.960747663551402</v>
      </c>
      <c r="O24" s="26" t="s">
        <v>247</v>
      </c>
      <c r="P24" s="26">
        <f t="shared" si="19"/>
        <v>533</v>
      </c>
      <c r="Q24" s="26">
        <f t="shared" si="20"/>
        <v>0</v>
      </c>
      <c r="R24" s="26">
        <f t="shared" si="20"/>
        <v>2</v>
      </c>
      <c r="S24" s="26">
        <f t="shared" si="21"/>
        <v>0</v>
      </c>
      <c r="T24" s="26">
        <f t="shared" si="22"/>
        <v>535</v>
      </c>
      <c r="U24" s="27">
        <f t="shared" si="23"/>
        <v>0.99626168224299061</v>
      </c>
      <c r="V24" s="27">
        <f t="shared" si="24"/>
        <v>0</v>
      </c>
      <c r="W24" s="27">
        <f t="shared" si="25"/>
        <v>3.7383177570093459E-3</v>
      </c>
      <c r="X24" s="27">
        <f t="shared" si="26"/>
        <v>0</v>
      </c>
      <c r="Y24" s="28">
        <f t="shared" si="27"/>
        <v>44.960747663551402</v>
      </c>
    </row>
    <row r="25" spans="1:25" x14ac:dyDescent="0.25">
      <c r="A25" s="26" t="s">
        <v>257</v>
      </c>
      <c r="B25" s="26" t="s">
        <v>258</v>
      </c>
      <c r="C25" s="26" t="s">
        <v>150</v>
      </c>
      <c r="D25" s="26">
        <v>3</v>
      </c>
      <c r="E25" s="26">
        <v>1</v>
      </c>
      <c r="F25" s="26"/>
      <c r="G25" s="26"/>
      <c r="H25" s="26">
        <v>1</v>
      </c>
      <c r="I25" s="26"/>
      <c r="J25" s="26"/>
      <c r="K25" s="26">
        <v>533</v>
      </c>
      <c r="L25" s="26"/>
      <c r="M25" s="26">
        <v>535</v>
      </c>
      <c r="N25" s="28">
        <v>34.77570093457944</v>
      </c>
      <c r="O25" s="26" t="s">
        <v>247</v>
      </c>
      <c r="P25" s="26">
        <f t="shared" si="19"/>
        <v>533</v>
      </c>
      <c r="Q25" s="26">
        <f t="shared" si="20"/>
        <v>1</v>
      </c>
      <c r="R25" s="26">
        <f t="shared" si="20"/>
        <v>0</v>
      </c>
      <c r="S25" s="26">
        <f t="shared" si="21"/>
        <v>1</v>
      </c>
      <c r="T25" s="26">
        <f t="shared" si="22"/>
        <v>535</v>
      </c>
      <c r="U25" s="27">
        <f t="shared" si="23"/>
        <v>0.99626168224299061</v>
      </c>
      <c r="V25" s="27">
        <f t="shared" si="24"/>
        <v>1.869158878504673E-3</v>
      </c>
      <c r="W25" s="27">
        <f t="shared" si="25"/>
        <v>0</v>
      </c>
      <c r="X25" s="27">
        <f t="shared" si="26"/>
        <v>1.869158878504673E-3</v>
      </c>
      <c r="Y25" s="28">
        <f t="shared" si="27"/>
        <v>34.77570093457944</v>
      </c>
    </row>
    <row r="26" spans="1:25" x14ac:dyDescent="0.25">
      <c r="A26" s="26" t="s">
        <v>257</v>
      </c>
      <c r="B26" s="26" t="s">
        <v>258</v>
      </c>
      <c r="C26" s="26" t="s">
        <v>150</v>
      </c>
      <c r="D26" s="26">
        <v>4</v>
      </c>
      <c r="E26" s="26"/>
      <c r="F26" s="26"/>
      <c r="G26" s="26"/>
      <c r="H26" s="26"/>
      <c r="I26" s="26"/>
      <c r="J26" s="26"/>
      <c r="K26" s="26">
        <v>535</v>
      </c>
      <c r="L26" s="26"/>
      <c r="M26" s="26">
        <v>535</v>
      </c>
      <c r="N26" s="28">
        <v>25.826168224299064</v>
      </c>
      <c r="O26" s="26" t="s">
        <v>247</v>
      </c>
      <c r="P26" s="26">
        <f t="shared" si="19"/>
        <v>535</v>
      </c>
      <c r="Q26" s="26">
        <f t="shared" si="20"/>
        <v>0</v>
      </c>
      <c r="R26" s="26">
        <f t="shared" si="20"/>
        <v>0</v>
      </c>
      <c r="S26" s="26">
        <f t="shared" si="21"/>
        <v>0</v>
      </c>
      <c r="T26" s="26">
        <f t="shared" si="22"/>
        <v>535</v>
      </c>
      <c r="U26" s="27">
        <f t="shared" si="23"/>
        <v>1</v>
      </c>
      <c r="V26" s="27">
        <f t="shared" si="24"/>
        <v>0</v>
      </c>
      <c r="W26" s="27">
        <f t="shared" si="25"/>
        <v>0</v>
      </c>
      <c r="X26" s="27">
        <f t="shared" si="26"/>
        <v>0</v>
      </c>
      <c r="Y26" s="28">
        <f t="shared" si="27"/>
        <v>25.826168224299064</v>
      </c>
    </row>
    <row r="27" spans="1:25" x14ac:dyDescent="0.25">
      <c r="A27" s="26" t="s">
        <v>257</v>
      </c>
      <c r="B27" s="26" t="s">
        <v>258</v>
      </c>
      <c r="C27" s="26" t="s">
        <v>151</v>
      </c>
      <c r="D27" s="26">
        <v>1</v>
      </c>
      <c r="E27" s="26"/>
      <c r="F27" s="26"/>
      <c r="G27" s="26"/>
      <c r="H27" s="26"/>
      <c r="I27" s="26">
        <v>5</v>
      </c>
      <c r="J27" s="26"/>
      <c r="K27" s="26">
        <v>445</v>
      </c>
      <c r="L27" s="26"/>
      <c r="M27" s="26">
        <v>450</v>
      </c>
      <c r="N27" s="28">
        <v>60.704444444444441</v>
      </c>
      <c r="O27" s="26" t="s">
        <v>247</v>
      </c>
      <c r="P27" s="26">
        <f t="shared" si="9"/>
        <v>445</v>
      </c>
      <c r="Q27" s="26">
        <f t="shared" si="10"/>
        <v>0</v>
      </c>
      <c r="R27" s="26">
        <f t="shared" si="11"/>
        <v>5</v>
      </c>
      <c r="S27" s="26">
        <f t="shared" si="12"/>
        <v>0</v>
      </c>
      <c r="T27" s="26">
        <f t="shared" si="13"/>
        <v>450</v>
      </c>
      <c r="U27" s="27">
        <f t="shared" si="14"/>
        <v>0.98888888888888893</v>
      </c>
      <c r="V27" s="27">
        <f t="shared" si="15"/>
        <v>0</v>
      </c>
      <c r="W27" s="27">
        <f t="shared" si="16"/>
        <v>1.1111111111111112E-2</v>
      </c>
      <c r="X27" s="27">
        <f t="shared" si="17"/>
        <v>0</v>
      </c>
      <c r="Y27" s="28">
        <f t="shared" si="18"/>
        <v>60.704444444444441</v>
      </c>
    </row>
    <row r="28" spans="1:25" x14ac:dyDescent="0.25">
      <c r="A28" s="26" t="s">
        <v>257</v>
      </c>
      <c r="B28" s="26" t="s">
        <v>258</v>
      </c>
      <c r="C28" s="26" t="s">
        <v>151</v>
      </c>
      <c r="D28" s="26">
        <v>2</v>
      </c>
      <c r="E28" s="26"/>
      <c r="F28" s="26"/>
      <c r="G28" s="26"/>
      <c r="H28" s="26"/>
      <c r="I28" s="26">
        <v>3</v>
      </c>
      <c r="J28" s="26">
        <v>1</v>
      </c>
      <c r="K28" s="26">
        <v>505</v>
      </c>
      <c r="L28" s="26"/>
      <c r="M28" s="26">
        <v>509</v>
      </c>
      <c r="N28" s="28">
        <v>38.593320235756387</v>
      </c>
      <c r="O28" s="26" t="s">
        <v>247</v>
      </c>
      <c r="P28" s="26">
        <f t="shared" si="9"/>
        <v>505</v>
      </c>
      <c r="Q28" s="26">
        <f t="shared" si="10"/>
        <v>0</v>
      </c>
      <c r="R28" s="26">
        <f t="shared" si="11"/>
        <v>3</v>
      </c>
      <c r="S28" s="26">
        <f t="shared" si="12"/>
        <v>1</v>
      </c>
      <c r="T28" s="26">
        <f t="shared" si="13"/>
        <v>509</v>
      </c>
      <c r="U28" s="27">
        <f t="shared" si="14"/>
        <v>0.99214145383104124</v>
      </c>
      <c r="V28" s="27">
        <f t="shared" si="15"/>
        <v>0</v>
      </c>
      <c r="W28" s="27">
        <f t="shared" si="16"/>
        <v>5.893909626719057E-3</v>
      </c>
      <c r="X28" s="27">
        <f t="shared" si="17"/>
        <v>1.9646365422396855E-3</v>
      </c>
      <c r="Y28" s="28">
        <f t="shared" si="18"/>
        <v>38.593320235756387</v>
      </c>
    </row>
    <row r="29" spans="1:25" x14ac:dyDescent="0.25">
      <c r="A29" s="26" t="s">
        <v>257</v>
      </c>
      <c r="B29" s="26" t="s">
        <v>258</v>
      </c>
      <c r="C29" s="26" t="s">
        <v>151</v>
      </c>
      <c r="D29" s="26">
        <v>3</v>
      </c>
      <c r="E29" s="26"/>
      <c r="F29" s="26"/>
      <c r="G29" s="26"/>
      <c r="H29" s="26"/>
      <c r="I29" s="26">
        <v>4</v>
      </c>
      <c r="J29" s="26"/>
      <c r="K29" s="26">
        <v>505</v>
      </c>
      <c r="L29" s="26"/>
      <c r="M29" s="26">
        <v>509</v>
      </c>
      <c r="N29" s="28">
        <v>28.039292730844792</v>
      </c>
      <c r="O29" s="26" t="s">
        <v>247</v>
      </c>
      <c r="P29" s="26">
        <f t="shared" si="9"/>
        <v>505</v>
      </c>
      <c r="Q29" s="26">
        <f t="shared" si="10"/>
        <v>0</v>
      </c>
      <c r="R29" s="26">
        <f t="shared" si="11"/>
        <v>4</v>
      </c>
      <c r="S29" s="26">
        <f t="shared" si="12"/>
        <v>0</v>
      </c>
      <c r="T29" s="26">
        <f t="shared" si="13"/>
        <v>509</v>
      </c>
      <c r="U29" s="27">
        <f t="shared" si="14"/>
        <v>0.99214145383104124</v>
      </c>
      <c r="V29" s="27">
        <f t="shared" si="15"/>
        <v>0</v>
      </c>
      <c r="W29" s="27">
        <f t="shared" si="16"/>
        <v>7.8585461689587421E-3</v>
      </c>
      <c r="X29" s="27">
        <f t="shared" si="17"/>
        <v>0</v>
      </c>
      <c r="Y29" s="28">
        <f t="shared" si="18"/>
        <v>28.039292730844792</v>
      </c>
    </row>
    <row r="30" spans="1:25" x14ac:dyDescent="0.25">
      <c r="A30" s="26" t="s">
        <v>259</v>
      </c>
      <c r="B30" s="26" t="s">
        <v>260</v>
      </c>
      <c r="C30" s="26" t="s">
        <v>153</v>
      </c>
      <c r="D30" s="26">
        <v>1</v>
      </c>
      <c r="E30" s="26"/>
      <c r="F30" s="26">
        <v>1</v>
      </c>
      <c r="G30" s="26">
        <v>2</v>
      </c>
      <c r="H30" s="26">
        <v>12</v>
      </c>
      <c r="I30" s="26">
        <v>90</v>
      </c>
      <c r="J30" s="26">
        <v>1</v>
      </c>
      <c r="K30" s="26">
        <v>344</v>
      </c>
      <c r="L30" s="26"/>
      <c r="M30" s="26">
        <v>450</v>
      </c>
      <c r="N30" s="28">
        <v>61.25333333333333</v>
      </c>
      <c r="O30" s="26" t="s">
        <v>247</v>
      </c>
      <c r="P30" s="26">
        <f t="shared" si="9"/>
        <v>344</v>
      </c>
      <c r="Q30" s="26">
        <f t="shared" si="10"/>
        <v>12</v>
      </c>
      <c r="R30" s="26">
        <f t="shared" si="11"/>
        <v>90</v>
      </c>
      <c r="S30" s="26">
        <f t="shared" si="12"/>
        <v>4</v>
      </c>
      <c r="T30" s="26">
        <f t="shared" si="13"/>
        <v>450</v>
      </c>
      <c r="U30" s="27">
        <f t="shared" si="14"/>
        <v>0.76444444444444448</v>
      </c>
      <c r="V30" s="27">
        <f t="shared" si="15"/>
        <v>2.6666666666666668E-2</v>
      </c>
      <c r="W30" s="27">
        <f t="shared" si="16"/>
        <v>0.2</v>
      </c>
      <c r="X30" s="27">
        <f t="shared" si="17"/>
        <v>8.8888888888888889E-3</v>
      </c>
      <c r="Y30" s="28">
        <f t="shared" si="18"/>
        <v>61.25333333333333</v>
      </c>
    </row>
    <row r="31" spans="1:25" x14ac:dyDescent="0.25">
      <c r="A31" s="26" t="s">
        <v>259</v>
      </c>
      <c r="B31" s="26" t="s">
        <v>260</v>
      </c>
      <c r="C31" s="26" t="s">
        <v>153</v>
      </c>
      <c r="D31" s="26">
        <v>2</v>
      </c>
      <c r="E31" s="26"/>
      <c r="F31" s="26"/>
      <c r="G31" s="26">
        <v>1</v>
      </c>
      <c r="H31" s="26">
        <v>41</v>
      </c>
      <c r="I31" s="26">
        <v>120</v>
      </c>
      <c r="J31" s="26"/>
      <c r="K31" s="26">
        <v>586</v>
      </c>
      <c r="L31" s="26"/>
      <c r="M31" s="26">
        <v>748</v>
      </c>
      <c r="N31" s="28">
        <v>47.13101604278075</v>
      </c>
      <c r="O31" s="26" t="s">
        <v>247</v>
      </c>
      <c r="P31" s="26">
        <f t="shared" si="9"/>
        <v>586</v>
      </c>
      <c r="Q31" s="26">
        <f t="shared" si="10"/>
        <v>41</v>
      </c>
      <c r="R31" s="26">
        <f t="shared" si="11"/>
        <v>120</v>
      </c>
      <c r="S31" s="26">
        <f t="shared" si="12"/>
        <v>1</v>
      </c>
      <c r="T31" s="26">
        <f t="shared" si="13"/>
        <v>748</v>
      </c>
      <c r="U31" s="27">
        <f t="shared" si="14"/>
        <v>0.78342245989304815</v>
      </c>
      <c r="V31" s="27">
        <f t="shared" si="15"/>
        <v>5.4812834224598928E-2</v>
      </c>
      <c r="W31" s="27">
        <f t="shared" si="16"/>
        <v>0.16042780748663102</v>
      </c>
      <c r="X31" s="27">
        <f t="shared" si="17"/>
        <v>1.3368983957219251E-3</v>
      </c>
      <c r="Y31" s="28">
        <f t="shared" si="18"/>
        <v>47.13101604278075</v>
      </c>
    </row>
    <row r="32" spans="1:25" x14ac:dyDescent="0.25">
      <c r="A32" s="26" t="s">
        <v>259</v>
      </c>
      <c r="B32" s="26" t="s">
        <v>260</v>
      </c>
      <c r="C32" s="26" t="s">
        <v>153</v>
      </c>
      <c r="D32" s="26">
        <v>3</v>
      </c>
      <c r="E32" s="26"/>
      <c r="F32" s="26"/>
      <c r="G32" s="26"/>
      <c r="H32" s="26">
        <v>23</v>
      </c>
      <c r="I32" s="26">
        <v>71</v>
      </c>
      <c r="J32" s="26"/>
      <c r="K32" s="26">
        <v>654</v>
      </c>
      <c r="L32" s="26"/>
      <c r="M32" s="26">
        <v>748</v>
      </c>
      <c r="N32" s="28">
        <v>32.627005347593581</v>
      </c>
      <c r="O32" s="26" t="s">
        <v>247</v>
      </c>
      <c r="P32" s="26">
        <f t="shared" si="9"/>
        <v>654</v>
      </c>
      <c r="Q32" s="26">
        <f t="shared" si="10"/>
        <v>23</v>
      </c>
      <c r="R32" s="26">
        <f t="shared" si="11"/>
        <v>71</v>
      </c>
      <c r="S32" s="26">
        <f t="shared" si="12"/>
        <v>0</v>
      </c>
      <c r="T32" s="26">
        <f t="shared" si="13"/>
        <v>748</v>
      </c>
      <c r="U32" s="27">
        <f t="shared" si="14"/>
        <v>0.87433155080213909</v>
      </c>
      <c r="V32" s="27">
        <f t="shared" si="15"/>
        <v>3.074866310160428E-2</v>
      </c>
      <c r="W32" s="27">
        <f t="shared" si="16"/>
        <v>9.4919786096256689E-2</v>
      </c>
      <c r="X32" s="27">
        <f t="shared" si="17"/>
        <v>0</v>
      </c>
      <c r="Y32" s="28">
        <f t="shared" si="18"/>
        <v>32.627005347593581</v>
      </c>
    </row>
    <row r="33" spans="1:25" x14ac:dyDescent="0.25">
      <c r="A33" s="26" t="s">
        <v>259</v>
      </c>
      <c r="B33" s="26" t="s">
        <v>260</v>
      </c>
      <c r="C33" s="26" t="s">
        <v>153</v>
      </c>
      <c r="D33" s="26">
        <v>4</v>
      </c>
      <c r="E33" s="26"/>
      <c r="F33" s="26"/>
      <c r="G33" s="26"/>
      <c r="H33" s="26">
        <v>5</v>
      </c>
      <c r="I33" s="26">
        <v>36</v>
      </c>
      <c r="J33" s="26"/>
      <c r="K33" s="26">
        <v>707</v>
      </c>
      <c r="L33" s="26"/>
      <c r="M33" s="26">
        <v>748</v>
      </c>
      <c r="N33" s="28">
        <v>25.005347593582886</v>
      </c>
      <c r="O33" s="26" t="s">
        <v>247</v>
      </c>
      <c r="P33" s="26">
        <f t="shared" si="9"/>
        <v>707</v>
      </c>
      <c r="Q33" s="26">
        <f t="shared" si="10"/>
        <v>5</v>
      </c>
      <c r="R33" s="26">
        <f t="shared" si="11"/>
        <v>36</v>
      </c>
      <c r="S33" s="26">
        <f t="shared" si="12"/>
        <v>0</v>
      </c>
      <c r="T33" s="26">
        <f t="shared" si="13"/>
        <v>748</v>
      </c>
      <c r="U33" s="27">
        <f t="shared" si="14"/>
        <v>0.94518716577540107</v>
      </c>
      <c r="V33" s="27">
        <f t="shared" si="15"/>
        <v>6.6844919786096255E-3</v>
      </c>
      <c r="W33" s="27">
        <f t="shared" si="16"/>
        <v>4.8128342245989303E-2</v>
      </c>
      <c r="X33" s="27">
        <f t="shared" si="17"/>
        <v>0</v>
      </c>
      <c r="Y33" s="28">
        <f t="shared" si="18"/>
        <v>25.005347593582886</v>
      </c>
    </row>
    <row r="34" spans="1:25" x14ac:dyDescent="0.25">
      <c r="A34" s="26" t="s">
        <v>259</v>
      </c>
      <c r="B34" s="26" t="s">
        <v>260</v>
      </c>
      <c r="C34" s="26" t="s">
        <v>154</v>
      </c>
      <c r="D34" s="26">
        <v>1</v>
      </c>
      <c r="E34" s="26"/>
      <c r="F34" s="26">
        <v>1</v>
      </c>
      <c r="G34" s="26"/>
      <c r="H34" s="26">
        <v>2</v>
      </c>
      <c r="I34" s="26">
        <v>30</v>
      </c>
      <c r="J34" s="26"/>
      <c r="K34" s="26">
        <v>417</v>
      </c>
      <c r="L34" s="26"/>
      <c r="M34" s="26">
        <v>450</v>
      </c>
      <c r="N34" s="28">
        <v>58.76</v>
      </c>
      <c r="O34" s="26" t="s">
        <v>247</v>
      </c>
      <c r="P34" s="26">
        <f t="shared" si="9"/>
        <v>417</v>
      </c>
      <c r="Q34" s="26">
        <f t="shared" si="10"/>
        <v>2</v>
      </c>
      <c r="R34" s="26">
        <f t="shared" si="11"/>
        <v>30</v>
      </c>
      <c r="S34" s="26">
        <f t="shared" si="12"/>
        <v>1</v>
      </c>
      <c r="T34" s="26">
        <f t="shared" si="13"/>
        <v>450</v>
      </c>
      <c r="U34" s="27">
        <f t="shared" si="14"/>
        <v>0.92666666666666664</v>
      </c>
      <c r="V34" s="27">
        <f t="shared" si="15"/>
        <v>4.4444444444444444E-3</v>
      </c>
      <c r="W34" s="27">
        <f t="shared" si="16"/>
        <v>6.6666666666666666E-2</v>
      </c>
      <c r="X34" s="27">
        <f t="shared" si="17"/>
        <v>2.2222222222222222E-3</v>
      </c>
      <c r="Y34" s="28">
        <f t="shared" si="18"/>
        <v>58.76</v>
      </c>
    </row>
    <row r="35" spans="1:25" x14ac:dyDescent="0.25">
      <c r="A35" s="26" t="s">
        <v>259</v>
      </c>
      <c r="B35" s="26" t="s">
        <v>260</v>
      </c>
      <c r="C35" s="26" t="s">
        <v>154</v>
      </c>
      <c r="D35" s="26">
        <v>2</v>
      </c>
      <c r="E35" s="26"/>
      <c r="F35" s="26"/>
      <c r="G35" s="26">
        <v>2</v>
      </c>
      <c r="H35" s="26">
        <v>2</v>
      </c>
      <c r="I35" s="26">
        <v>19</v>
      </c>
      <c r="J35" s="26">
        <v>2</v>
      </c>
      <c r="K35" s="26">
        <v>425</v>
      </c>
      <c r="L35" s="26"/>
      <c r="M35" s="26">
        <v>450</v>
      </c>
      <c r="N35" s="28">
        <v>59.917777777777779</v>
      </c>
      <c r="O35" s="26" t="s">
        <v>247</v>
      </c>
      <c r="P35" s="26">
        <f t="shared" si="9"/>
        <v>425</v>
      </c>
      <c r="Q35" s="26">
        <f t="shared" si="10"/>
        <v>2</v>
      </c>
      <c r="R35" s="26">
        <f t="shared" si="11"/>
        <v>19</v>
      </c>
      <c r="S35" s="26">
        <f t="shared" si="12"/>
        <v>4</v>
      </c>
      <c r="T35" s="26">
        <f t="shared" si="13"/>
        <v>450</v>
      </c>
      <c r="U35" s="27">
        <f t="shared" si="14"/>
        <v>0.94444444444444442</v>
      </c>
      <c r="V35" s="27">
        <f t="shared" si="15"/>
        <v>4.4444444444444444E-3</v>
      </c>
      <c r="W35" s="27">
        <f t="shared" si="16"/>
        <v>4.2222222222222223E-2</v>
      </c>
      <c r="X35" s="27">
        <f t="shared" si="17"/>
        <v>8.8888888888888889E-3</v>
      </c>
      <c r="Y35" s="28">
        <f t="shared" si="18"/>
        <v>59.917777777777779</v>
      </c>
    </row>
    <row r="36" spans="1:25" x14ac:dyDescent="0.25">
      <c r="A36" s="26" t="s">
        <v>259</v>
      </c>
      <c r="B36" s="26" t="s">
        <v>260</v>
      </c>
      <c r="C36" s="26" t="s">
        <v>154</v>
      </c>
      <c r="D36" s="26">
        <v>3</v>
      </c>
      <c r="E36" s="26"/>
      <c r="F36" s="26">
        <v>1</v>
      </c>
      <c r="G36" s="26"/>
      <c r="H36" s="26">
        <v>1</v>
      </c>
      <c r="I36" s="26">
        <v>29</v>
      </c>
      <c r="J36" s="26">
        <v>2</v>
      </c>
      <c r="K36" s="26">
        <v>416</v>
      </c>
      <c r="L36" s="26">
        <v>1</v>
      </c>
      <c r="M36" s="26">
        <v>450</v>
      </c>
      <c r="N36" s="28">
        <v>49.69777777777778</v>
      </c>
      <c r="O36" s="26" t="s">
        <v>247</v>
      </c>
      <c r="P36" s="26">
        <f t="shared" si="9"/>
        <v>416</v>
      </c>
      <c r="Q36" s="26">
        <f t="shared" si="10"/>
        <v>1</v>
      </c>
      <c r="R36" s="26">
        <f t="shared" si="11"/>
        <v>29</v>
      </c>
      <c r="S36" s="26">
        <f t="shared" si="12"/>
        <v>4</v>
      </c>
      <c r="T36" s="26">
        <f t="shared" si="13"/>
        <v>450</v>
      </c>
      <c r="U36" s="27">
        <f t="shared" si="14"/>
        <v>0.9244444444444444</v>
      </c>
      <c r="V36" s="27">
        <f t="shared" si="15"/>
        <v>2.2222222222222222E-3</v>
      </c>
      <c r="W36" s="27">
        <f t="shared" si="16"/>
        <v>6.4444444444444443E-2</v>
      </c>
      <c r="X36" s="27">
        <f t="shared" si="17"/>
        <v>8.8888888888888889E-3</v>
      </c>
      <c r="Y36" s="28">
        <f t="shared" si="18"/>
        <v>49.69777777777778</v>
      </c>
    </row>
    <row r="37" spans="1:25" x14ac:dyDescent="0.25">
      <c r="A37" s="26" t="s">
        <v>259</v>
      </c>
      <c r="B37" s="26" t="s">
        <v>260</v>
      </c>
      <c r="C37" s="26" t="s">
        <v>154</v>
      </c>
      <c r="D37" s="26">
        <v>4</v>
      </c>
      <c r="E37" s="26"/>
      <c r="F37" s="26"/>
      <c r="G37" s="26"/>
      <c r="H37" s="26">
        <v>3</v>
      </c>
      <c r="I37" s="26">
        <v>42</v>
      </c>
      <c r="J37" s="26"/>
      <c r="K37" s="26">
        <v>592</v>
      </c>
      <c r="L37" s="26"/>
      <c r="M37" s="26">
        <v>637</v>
      </c>
      <c r="N37" s="28">
        <v>37.010989010989015</v>
      </c>
      <c r="O37" s="26" t="s">
        <v>247</v>
      </c>
      <c r="P37" s="26">
        <f t="shared" si="9"/>
        <v>592</v>
      </c>
      <c r="Q37" s="26">
        <f t="shared" si="10"/>
        <v>3</v>
      </c>
      <c r="R37" s="26">
        <f t="shared" si="11"/>
        <v>42</v>
      </c>
      <c r="S37" s="26">
        <f t="shared" si="12"/>
        <v>0</v>
      </c>
      <c r="T37" s="26">
        <f t="shared" si="13"/>
        <v>637</v>
      </c>
      <c r="U37" s="27">
        <f t="shared" si="14"/>
        <v>0.92935635792778648</v>
      </c>
      <c r="V37" s="27">
        <f t="shared" si="15"/>
        <v>4.7095761381475663E-3</v>
      </c>
      <c r="W37" s="27">
        <f t="shared" si="16"/>
        <v>6.5934065934065936E-2</v>
      </c>
      <c r="X37" s="27">
        <f t="shared" si="17"/>
        <v>0</v>
      </c>
      <c r="Y37" s="28">
        <f t="shared" si="18"/>
        <v>37.010989010989015</v>
      </c>
    </row>
    <row r="38" spans="1:25" x14ac:dyDescent="0.25">
      <c r="A38" s="26" t="s">
        <v>259</v>
      </c>
      <c r="B38" s="26" t="s">
        <v>260</v>
      </c>
      <c r="C38" s="26" t="s">
        <v>154</v>
      </c>
      <c r="D38" s="26">
        <v>5</v>
      </c>
      <c r="E38" s="26"/>
      <c r="F38" s="26"/>
      <c r="G38" s="26"/>
      <c r="H38" s="26">
        <v>1</v>
      </c>
      <c r="I38" s="26">
        <v>15</v>
      </c>
      <c r="J38" s="26"/>
      <c r="K38" s="26">
        <v>622</v>
      </c>
      <c r="L38" s="26"/>
      <c r="M38" s="26">
        <v>638</v>
      </c>
      <c r="N38" s="28">
        <v>32.637931034482762</v>
      </c>
      <c r="O38" s="26" t="s">
        <v>247</v>
      </c>
      <c r="P38" s="26">
        <f t="shared" si="9"/>
        <v>622</v>
      </c>
      <c r="Q38" s="26">
        <f t="shared" si="10"/>
        <v>1</v>
      </c>
      <c r="R38" s="26">
        <f t="shared" si="11"/>
        <v>15</v>
      </c>
      <c r="S38" s="26">
        <f t="shared" si="12"/>
        <v>0</v>
      </c>
      <c r="T38" s="26">
        <f t="shared" si="13"/>
        <v>638</v>
      </c>
      <c r="U38" s="27">
        <f t="shared" si="14"/>
        <v>0.97492163009404387</v>
      </c>
      <c r="V38" s="27">
        <f t="shared" si="15"/>
        <v>1.567398119122257E-3</v>
      </c>
      <c r="W38" s="27">
        <f t="shared" si="16"/>
        <v>2.3510971786833857E-2</v>
      </c>
      <c r="X38" s="27">
        <f t="shared" si="17"/>
        <v>0</v>
      </c>
      <c r="Y38" s="28">
        <f t="shared" si="18"/>
        <v>32.637931034482762</v>
      </c>
    </row>
    <row r="39" spans="1:25" x14ac:dyDescent="0.25">
      <c r="A39" s="26" t="s">
        <v>259</v>
      </c>
      <c r="B39" s="26" t="s">
        <v>260</v>
      </c>
      <c r="C39" s="26" t="s">
        <v>154</v>
      </c>
      <c r="D39" s="26">
        <v>6</v>
      </c>
      <c r="E39" s="26"/>
      <c r="F39" s="26"/>
      <c r="G39" s="26"/>
      <c r="H39" s="26">
        <v>4</v>
      </c>
      <c r="I39" s="26">
        <v>7</v>
      </c>
      <c r="J39" s="26">
        <v>1</v>
      </c>
      <c r="K39" s="26">
        <v>626</v>
      </c>
      <c r="L39" s="26"/>
      <c r="M39" s="26">
        <v>638</v>
      </c>
      <c r="N39" s="28">
        <v>28.746081504702193</v>
      </c>
      <c r="O39" s="26" t="s">
        <v>247</v>
      </c>
      <c r="P39" s="26">
        <f t="shared" si="9"/>
        <v>626</v>
      </c>
      <c r="Q39" s="26">
        <f t="shared" si="10"/>
        <v>4</v>
      </c>
      <c r="R39" s="26">
        <f t="shared" si="11"/>
        <v>7</v>
      </c>
      <c r="S39" s="26">
        <f t="shared" si="12"/>
        <v>1</v>
      </c>
      <c r="T39" s="26">
        <f t="shared" si="13"/>
        <v>638</v>
      </c>
      <c r="U39" s="27">
        <f t="shared" si="14"/>
        <v>0.98119122257053293</v>
      </c>
      <c r="V39" s="27">
        <f t="shared" si="15"/>
        <v>6.269592476489028E-3</v>
      </c>
      <c r="W39" s="27">
        <f t="shared" si="16"/>
        <v>1.0971786833855799E-2</v>
      </c>
      <c r="X39" s="27">
        <f t="shared" si="17"/>
        <v>1.567398119122257E-3</v>
      </c>
      <c r="Y39" s="28">
        <f t="shared" si="18"/>
        <v>28.746081504702193</v>
      </c>
    </row>
    <row r="40" spans="1:25" x14ac:dyDescent="0.25">
      <c r="A40" s="26" t="s">
        <v>259</v>
      </c>
      <c r="B40" s="26" t="s">
        <v>260</v>
      </c>
      <c r="C40" s="26" t="s">
        <v>154</v>
      </c>
      <c r="D40" s="26">
        <v>7</v>
      </c>
      <c r="E40" s="26"/>
      <c r="F40" s="26"/>
      <c r="G40" s="26"/>
      <c r="H40" s="26">
        <v>3</v>
      </c>
      <c r="I40" s="26">
        <v>7</v>
      </c>
      <c r="J40" s="26"/>
      <c r="K40" s="26">
        <v>628</v>
      </c>
      <c r="L40" s="26"/>
      <c r="M40" s="26">
        <v>638</v>
      </c>
      <c r="N40" s="28">
        <v>22.40909090909091</v>
      </c>
      <c r="O40" s="26" t="s">
        <v>247</v>
      </c>
      <c r="P40" s="26">
        <f t="shared" si="9"/>
        <v>628</v>
      </c>
      <c r="Q40" s="26">
        <f t="shared" si="10"/>
        <v>3</v>
      </c>
      <c r="R40" s="26">
        <f t="shared" si="11"/>
        <v>7</v>
      </c>
      <c r="S40" s="26">
        <f t="shared" si="12"/>
        <v>0</v>
      </c>
      <c r="T40" s="26">
        <f t="shared" si="13"/>
        <v>638</v>
      </c>
      <c r="U40" s="27">
        <f t="shared" si="14"/>
        <v>0.98432601880877746</v>
      </c>
      <c r="V40" s="27">
        <f t="shared" si="15"/>
        <v>4.7021943573667714E-3</v>
      </c>
      <c r="W40" s="27">
        <f t="shared" si="16"/>
        <v>1.0971786833855799E-2</v>
      </c>
      <c r="X40" s="27">
        <f t="shared" si="17"/>
        <v>0</v>
      </c>
      <c r="Y40" s="28">
        <f t="shared" si="18"/>
        <v>22.40909090909091</v>
      </c>
    </row>
    <row r="41" spans="1:25" x14ac:dyDescent="0.25">
      <c r="A41" s="26" t="s">
        <v>261</v>
      </c>
      <c r="B41" s="26" t="s">
        <v>262</v>
      </c>
      <c r="C41" s="26" t="s">
        <v>156</v>
      </c>
      <c r="D41" s="26">
        <v>1</v>
      </c>
      <c r="E41" s="26"/>
      <c r="F41" s="26"/>
      <c r="G41" s="26"/>
      <c r="H41" s="26">
        <v>385</v>
      </c>
      <c r="I41" s="26">
        <v>50</v>
      </c>
      <c r="J41" s="26"/>
      <c r="K41" s="26">
        <v>15</v>
      </c>
      <c r="L41" s="26"/>
      <c r="M41" s="26">
        <v>450</v>
      </c>
      <c r="N41" s="28">
        <v>53.18888888888889</v>
      </c>
      <c r="O41" s="26" t="s">
        <v>247</v>
      </c>
      <c r="P41" s="26">
        <f t="shared" si="9"/>
        <v>15</v>
      </c>
      <c r="Q41" s="26">
        <f t="shared" si="10"/>
        <v>385</v>
      </c>
      <c r="R41" s="26">
        <f t="shared" si="11"/>
        <v>50</v>
      </c>
      <c r="S41" s="26">
        <f t="shared" si="12"/>
        <v>0</v>
      </c>
      <c r="T41" s="26">
        <f t="shared" si="13"/>
        <v>450</v>
      </c>
      <c r="U41" s="27">
        <f t="shared" si="14"/>
        <v>3.3333333333333333E-2</v>
      </c>
      <c r="V41" s="27">
        <f t="shared" si="15"/>
        <v>0.85555555555555551</v>
      </c>
      <c r="W41" s="27">
        <f t="shared" si="16"/>
        <v>0.1111111111111111</v>
      </c>
      <c r="X41" s="27">
        <f t="shared" si="17"/>
        <v>0</v>
      </c>
      <c r="Y41" s="28">
        <f t="shared" si="18"/>
        <v>53.18888888888889</v>
      </c>
    </row>
    <row r="42" spans="1:25" x14ac:dyDescent="0.25">
      <c r="A42" s="26" t="s">
        <v>261</v>
      </c>
      <c r="B42" s="26" t="s">
        <v>262</v>
      </c>
      <c r="C42" s="26" t="s">
        <v>156</v>
      </c>
      <c r="D42" s="26">
        <v>2</v>
      </c>
      <c r="E42" s="26"/>
      <c r="F42" s="26"/>
      <c r="G42" s="26"/>
      <c r="H42" s="26">
        <v>292</v>
      </c>
      <c r="I42" s="26">
        <v>101</v>
      </c>
      <c r="J42" s="26"/>
      <c r="K42" s="26">
        <v>48</v>
      </c>
      <c r="L42" s="26">
        <v>2</v>
      </c>
      <c r="M42" s="26">
        <v>443</v>
      </c>
      <c r="N42" s="28">
        <v>26.372460496613996</v>
      </c>
      <c r="O42" s="26" t="s">
        <v>247</v>
      </c>
      <c r="P42" s="26">
        <f t="shared" si="9"/>
        <v>48</v>
      </c>
      <c r="Q42" s="26">
        <f t="shared" si="10"/>
        <v>292</v>
      </c>
      <c r="R42" s="26">
        <f t="shared" si="11"/>
        <v>101</v>
      </c>
      <c r="S42" s="26">
        <f t="shared" si="12"/>
        <v>2</v>
      </c>
      <c r="T42" s="26">
        <f t="shared" si="13"/>
        <v>443</v>
      </c>
      <c r="U42" s="27">
        <f t="shared" si="14"/>
        <v>0.10835214446952596</v>
      </c>
      <c r="V42" s="27">
        <f t="shared" si="15"/>
        <v>0.65914221218961622</v>
      </c>
      <c r="W42" s="27">
        <f t="shared" si="16"/>
        <v>0.22799097065462753</v>
      </c>
      <c r="X42" s="27">
        <f t="shared" si="17"/>
        <v>4.5146726862302479E-3</v>
      </c>
      <c r="Y42" s="28">
        <f t="shared" si="18"/>
        <v>26.372460496613996</v>
      </c>
    </row>
    <row r="43" spans="1:25" x14ac:dyDescent="0.25">
      <c r="A43" s="26" t="s">
        <v>263</v>
      </c>
      <c r="B43" s="26" t="s">
        <v>264</v>
      </c>
      <c r="C43" s="26" t="s">
        <v>158</v>
      </c>
      <c r="D43" s="26">
        <v>1</v>
      </c>
      <c r="E43" s="26"/>
      <c r="F43" s="26"/>
      <c r="G43" s="26"/>
      <c r="H43" s="26">
        <v>340</v>
      </c>
      <c r="I43" s="26">
        <v>101</v>
      </c>
      <c r="J43" s="26">
        <v>1</v>
      </c>
      <c r="K43" s="26">
        <v>7</v>
      </c>
      <c r="L43" s="26">
        <v>1</v>
      </c>
      <c r="M43" s="26">
        <v>450</v>
      </c>
      <c r="N43" s="28">
        <v>73.817777777777778</v>
      </c>
      <c r="O43" s="26" t="s">
        <v>247</v>
      </c>
      <c r="P43" s="26">
        <f t="shared" si="9"/>
        <v>7</v>
      </c>
      <c r="Q43" s="26">
        <f t="shared" si="10"/>
        <v>340</v>
      </c>
      <c r="R43" s="26">
        <f t="shared" si="11"/>
        <v>101</v>
      </c>
      <c r="S43" s="26">
        <f t="shared" si="12"/>
        <v>2</v>
      </c>
      <c r="T43" s="26">
        <f t="shared" si="13"/>
        <v>450</v>
      </c>
      <c r="U43" s="27">
        <f t="shared" si="14"/>
        <v>1.5555555555555555E-2</v>
      </c>
      <c r="V43" s="27">
        <f t="shared" si="15"/>
        <v>0.75555555555555554</v>
      </c>
      <c r="W43" s="27">
        <f t="shared" si="16"/>
        <v>0.22444444444444445</v>
      </c>
      <c r="X43" s="27">
        <f t="shared" si="17"/>
        <v>4.4444444444444444E-3</v>
      </c>
      <c r="Y43" s="28">
        <f t="shared" si="18"/>
        <v>73.817777777777778</v>
      </c>
    </row>
    <row r="44" spans="1:25" x14ac:dyDescent="0.25">
      <c r="A44" s="26" t="s">
        <v>263</v>
      </c>
      <c r="B44" s="26" t="s">
        <v>264</v>
      </c>
      <c r="C44" s="26" t="s">
        <v>158</v>
      </c>
      <c r="D44" s="26">
        <v>2</v>
      </c>
      <c r="E44" s="26"/>
      <c r="F44" s="26"/>
      <c r="G44" s="26"/>
      <c r="H44" s="26">
        <v>342</v>
      </c>
      <c r="I44" s="26">
        <v>140</v>
      </c>
      <c r="J44" s="26"/>
      <c r="K44" s="26">
        <v>5</v>
      </c>
      <c r="L44" s="26">
        <v>1</v>
      </c>
      <c r="M44" s="26">
        <v>488</v>
      </c>
      <c r="N44" s="28">
        <v>55.725409836065573</v>
      </c>
      <c r="O44" s="26" t="s">
        <v>247</v>
      </c>
      <c r="P44" s="26">
        <f t="shared" si="9"/>
        <v>5</v>
      </c>
      <c r="Q44" s="26">
        <f t="shared" si="10"/>
        <v>342</v>
      </c>
      <c r="R44" s="26">
        <f t="shared" si="11"/>
        <v>140</v>
      </c>
      <c r="S44" s="26">
        <f t="shared" si="12"/>
        <v>1</v>
      </c>
      <c r="T44" s="26">
        <f t="shared" si="13"/>
        <v>488</v>
      </c>
      <c r="U44" s="27">
        <f t="shared" si="14"/>
        <v>1.0245901639344262E-2</v>
      </c>
      <c r="V44" s="27">
        <f t="shared" si="15"/>
        <v>0.70081967213114749</v>
      </c>
      <c r="W44" s="27">
        <f t="shared" si="16"/>
        <v>0.28688524590163933</v>
      </c>
      <c r="X44" s="27">
        <f t="shared" si="17"/>
        <v>2.0491803278688526E-3</v>
      </c>
      <c r="Y44" s="28">
        <f t="shared" si="18"/>
        <v>55.725409836065573</v>
      </c>
    </row>
    <row r="45" spans="1:25" x14ac:dyDescent="0.25">
      <c r="A45" s="26" t="s">
        <v>263</v>
      </c>
      <c r="B45" s="26" t="s">
        <v>264</v>
      </c>
      <c r="C45" s="26" t="s">
        <v>158</v>
      </c>
      <c r="D45" s="26">
        <v>3</v>
      </c>
      <c r="E45" s="26"/>
      <c r="F45" s="26"/>
      <c r="G45" s="26"/>
      <c r="H45" s="26">
        <v>268</v>
      </c>
      <c r="I45" s="26">
        <v>186</v>
      </c>
      <c r="J45" s="26"/>
      <c r="K45" s="26">
        <v>16</v>
      </c>
      <c r="L45" s="26">
        <v>18</v>
      </c>
      <c r="M45" s="26">
        <v>488</v>
      </c>
      <c r="N45" s="28">
        <v>35.657786885245905</v>
      </c>
      <c r="O45" s="26" t="s">
        <v>247</v>
      </c>
      <c r="P45" s="26">
        <f t="shared" si="9"/>
        <v>16</v>
      </c>
      <c r="Q45" s="26">
        <f t="shared" si="10"/>
        <v>268</v>
      </c>
      <c r="R45" s="26">
        <f t="shared" si="11"/>
        <v>186</v>
      </c>
      <c r="S45" s="26">
        <f t="shared" si="12"/>
        <v>18</v>
      </c>
      <c r="T45" s="26">
        <f t="shared" si="13"/>
        <v>488</v>
      </c>
      <c r="U45" s="27">
        <f t="shared" si="14"/>
        <v>3.2786885245901641E-2</v>
      </c>
      <c r="V45" s="27">
        <f t="shared" si="15"/>
        <v>0.54918032786885251</v>
      </c>
      <c r="W45" s="27">
        <f t="shared" si="16"/>
        <v>0.38114754098360654</v>
      </c>
      <c r="X45" s="27">
        <f t="shared" si="17"/>
        <v>3.6885245901639344E-2</v>
      </c>
      <c r="Y45" s="28">
        <f t="shared" si="18"/>
        <v>35.657786885245905</v>
      </c>
    </row>
    <row r="46" spans="1:25" x14ac:dyDescent="0.25">
      <c r="A46" s="26" t="s">
        <v>265</v>
      </c>
      <c r="B46" s="26" t="s">
        <v>266</v>
      </c>
      <c r="C46" s="26" t="s">
        <v>160</v>
      </c>
      <c r="D46" s="26">
        <v>1</v>
      </c>
      <c r="E46" s="26"/>
      <c r="F46" s="26"/>
      <c r="G46" s="26"/>
      <c r="H46" s="26">
        <v>18</v>
      </c>
      <c r="I46" s="26">
        <v>172</v>
      </c>
      <c r="J46" s="26">
        <v>1</v>
      </c>
      <c r="K46" s="26">
        <v>31</v>
      </c>
      <c r="L46" s="26"/>
      <c r="M46" s="26">
        <v>222</v>
      </c>
      <c r="N46" s="28">
        <v>49.036036036036037</v>
      </c>
      <c r="O46" s="26" t="s">
        <v>247</v>
      </c>
      <c r="P46" s="26">
        <f t="shared" si="9"/>
        <v>31</v>
      </c>
      <c r="Q46" s="26">
        <f t="shared" si="10"/>
        <v>18</v>
      </c>
      <c r="R46" s="26">
        <f t="shared" si="11"/>
        <v>172</v>
      </c>
      <c r="S46" s="26">
        <f t="shared" si="12"/>
        <v>1</v>
      </c>
      <c r="T46" s="26">
        <f t="shared" si="13"/>
        <v>222</v>
      </c>
      <c r="U46" s="27">
        <f t="shared" si="14"/>
        <v>0.13963963963963963</v>
      </c>
      <c r="V46" s="27">
        <f t="shared" si="15"/>
        <v>8.1081081081081086E-2</v>
      </c>
      <c r="W46" s="27">
        <f t="shared" si="16"/>
        <v>0.77477477477477474</v>
      </c>
      <c r="X46" s="27">
        <f t="shared" si="17"/>
        <v>4.5045045045045045E-3</v>
      </c>
      <c r="Y46" s="28">
        <f t="shared" si="18"/>
        <v>49.036036036036037</v>
      </c>
    </row>
    <row r="47" spans="1:25" x14ac:dyDescent="0.25">
      <c r="A47" s="26" t="s">
        <v>267</v>
      </c>
      <c r="B47" s="26" t="s">
        <v>268</v>
      </c>
      <c r="C47" s="26" t="s">
        <v>162</v>
      </c>
      <c r="D47" s="26">
        <v>1</v>
      </c>
      <c r="E47" s="26"/>
      <c r="F47" s="26"/>
      <c r="G47" s="26"/>
      <c r="H47" s="26">
        <v>7</v>
      </c>
      <c r="I47" s="26">
        <v>22</v>
      </c>
      <c r="J47" s="26">
        <v>2</v>
      </c>
      <c r="K47" s="26">
        <v>419</v>
      </c>
      <c r="L47" s="26"/>
      <c r="M47" s="26">
        <v>450</v>
      </c>
      <c r="N47" s="28">
        <v>61.348888888888887</v>
      </c>
      <c r="O47" s="26" t="s">
        <v>247</v>
      </c>
      <c r="P47" s="26">
        <f t="shared" si="9"/>
        <v>419</v>
      </c>
      <c r="Q47" s="26">
        <f t="shared" si="10"/>
        <v>7</v>
      </c>
      <c r="R47" s="26">
        <f t="shared" si="11"/>
        <v>22</v>
      </c>
      <c r="S47" s="26">
        <f t="shared" si="12"/>
        <v>2</v>
      </c>
      <c r="T47" s="26">
        <f t="shared" si="13"/>
        <v>450</v>
      </c>
      <c r="U47" s="27">
        <f t="shared" si="14"/>
        <v>0.93111111111111111</v>
      </c>
      <c r="V47" s="27">
        <f t="shared" si="15"/>
        <v>1.5555555555555555E-2</v>
      </c>
      <c r="W47" s="27">
        <f t="shared" si="16"/>
        <v>4.8888888888888891E-2</v>
      </c>
      <c r="X47" s="27">
        <f t="shared" si="17"/>
        <v>4.4444444444444444E-3</v>
      </c>
      <c r="Y47" s="28">
        <f t="shared" si="18"/>
        <v>61.348888888888887</v>
      </c>
    </row>
    <row r="48" spans="1:25" x14ac:dyDescent="0.25">
      <c r="A48" s="26" t="s">
        <v>267</v>
      </c>
      <c r="B48" s="26" t="s">
        <v>268</v>
      </c>
      <c r="C48" s="26" t="s">
        <v>162</v>
      </c>
      <c r="D48" s="26">
        <v>2</v>
      </c>
      <c r="E48" s="26"/>
      <c r="F48" s="26">
        <v>1</v>
      </c>
      <c r="G48" s="26">
        <v>1</v>
      </c>
      <c r="H48" s="26">
        <v>3</v>
      </c>
      <c r="I48" s="26">
        <v>32</v>
      </c>
      <c r="J48" s="26"/>
      <c r="K48" s="26">
        <v>552</v>
      </c>
      <c r="L48" s="26">
        <v>1</v>
      </c>
      <c r="M48" s="26">
        <v>590</v>
      </c>
      <c r="N48" s="28">
        <v>49.783050847457631</v>
      </c>
      <c r="O48" s="26" t="s">
        <v>247</v>
      </c>
      <c r="P48" s="26">
        <f t="shared" si="9"/>
        <v>552</v>
      </c>
      <c r="Q48" s="26">
        <f t="shared" si="10"/>
        <v>3</v>
      </c>
      <c r="R48" s="26">
        <f t="shared" si="11"/>
        <v>32</v>
      </c>
      <c r="S48" s="26">
        <f t="shared" si="12"/>
        <v>3</v>
      </c>
      <c r="T48" s="26">
        <f t="shared" si="13"/>
        <v>590</v>
      </c>
      <c r="U48" s="27">
        <f t="shared" si="14"/>
        <v>0.93559322033898307</v>
      </c>
      <c r="V48" s="27">
        <f t="shared" si="15"/>
        <v>5.084745762711864E-3</v>
      </c>
      <c r="W48" s="27">
        <f t="shared" si="16"/>
        <v>5.4237288135593219E-2</v>
      </c>
      <c r="X48" s="27">
        <f t="shared" si="17"/>
        <v>5.084745762711864E-3</v>
      </c>
      <c r="Y48" s="28">
        <f t="shared" si="18"/>
        <v>49.783050847457631</v>
      </c>
    </row>
    <row r="49" spans="1:25" x14ac:dyDescent="0.25">
      <c r="A49" s="26" t="s">
        <v>267</v>
      </c>
      <c r="B49" s="26" t="s">
        <v>268</v>
      </c>
      <c r="C49" s="26" t="s">
        <v>162</v>
      </c>
      <c r="D49" s="26">
        <v>3</v>
      </c>
      <c r="E49" s="26"/>
      <c r="F49" s="26"/>
      <c r="G49" s="26"/>
      <c r="H49" s="26">
        <v>2</v>
      </c>
      <c r="I49" s="26">
        <v>34</v>
      </c>
      <c r="J49" s="26">
        <v>1</v>
      </c>
      <c r="K49" s="26">
        <v>553</v>
      </c>
      <c r="L49" s="26"/>
      <c r="M49" s="26">
        <v>590</v>
      </c>
      <c r="N49" s="28">
        <v>34.955932203389828</v>
      </c>
      <c r="O49" s="26" t="s">
        <v>247</v>
      </c>
      <c r="P49" s="26">
        <f t="shared" si="9"/>
        <v>553</v>
      </c>
      <c r="Q49" s="26">
        <f t="shared" si="10"/>
        <v>2</v>
      </c>
      <c r="R49" s="26">
        <f t="shared" si="11"/>
        <v>34</v>
      </c>
      <c r="S49" s="26">
        <f t="shared" si="12"/>
        <v>1</v>
      </c>
      <c r="T49" s="26">
        <f t="shared" si="13"/>
        <v>590</v>
      </c>
      <c r="U49" s="27">
        <f t="shared" si="14"/>
        <v>0.93728813559322033</v>
      </c>
      <c r="V49" s="27">
        <f t="shared" si="15"/>
        <v>3.3898305084745762E-3</v>
      </c>
      <c r="W49" s="27">
        <f t="shared" si="16"/>
        <v>5.7627118644067797E-2</v>
      </c>
      <c r="X49" s="27">
        <f t="shared" si="17"/>
        <v>1.6949152542372881E-3</v>
      </c>
      <c r="Y49" s="28">
        <f t="shared" si="18"/>
        <v>34.955932203389828</v>
      </c>
    </row>
    <row r="50" spans="1:25" x14ac:dyDescent="0.25">
      <c r="A50" s="26" t="s">
        <v>267</v>
      </c>
      <c r="B50" s="26" t="s">
        <v>268</v>
      </c>
      <c r="C50" s="26" t="s">
        <v>162</v>
      </c>
      <c r="D50" s="26">
        <v>4</v>
      </c>
      <c r="E50" s="26"/>
      <c r="F50" s="26"/>
      <c r="G50" s="26"/>
      <c r="H50" s="26">
        <v>1</v>
      </c>
      <c r="I50" s="26">
        <v>20</v>
      </c>
      <c r="J50" s="26">
        <v>1</v>
      </c>
      <c r="K50" s="26">
        <v>568</v>
      </c>
      <c r="L50" s="26"/>
      <c r="M50" s="26">
        <v>590</v>
      </c>
      <c r="N50" s="28">
        <v>27.91186440677966</v>
      </c>
      <c r="O50" s="26" t="s">
        <v>247</v>
      </c>
      <c r="P50" s="26">
        <f t="shared" si="9"/>
        <v>568</v>
      </c>
      <c r="Q50" s="26">
        <f t="shared" si="10"/>
        <v>1</v>
      </c>
      <c r="R50" s="26">
        <f t="shared" si="11"/>
        <v>20</v>
      </c>
      <c r="S50" s="26">
        <f t="shared" si="12"/>
        <v>1</v>
      </c>
      <c r="T50" s="26">
        <f t="shared" si="13"/>
        <v>590</v>
      </c>
      <c r="U50" s="27">
        <f t="shared" si="14"/>
        <v>0.96271186440677969</v>
      </c>
      <c r="V50" s="27">
        <f t="shared" si="15"/>
        <v>1.6949152542372881E-3</v>
      </c>
      <c r="W50" s="27">
        <f t="shared" si="16"/>
        <v>3.3898305084745763E-2</v>
      </c>
      <c r="X50" s="27">
        <f t="shared" si="17"/>
        <v>1.6949152542372881E-3</v>
      </c>
      <c r="Y50" s="28">
        <f t="shared" si="18"/>
        <v>27.91186440677966</v>
      </c>
    </row>
    <row r="51" spans="1:25" x14ac:dyDescent="0.25">
      <c r="A51" s="26" t="s">
        <v>267</v>
      </c>
      <c r="B51" s="26" t="s">
        <v>268</v>
      </c>
      <c r="C51" s="26" t="s">
        <v>162</v>
      </c>
      <c r="D51" s="26">
        <v>5</v>
      </c>
      <c r="E51" s="26"/>
      <c r="F51" s="26"/>
      <c r="G51" s="26"/>
      <c r="H51" s="26">
        <v>3</v>
      </c>
      <c r="I51" s="26">
        <v>16</v>
      </c>
      <c r="J51" s="26"/>
      <c r="K51" s="26">
        <v>571</v>
      </c>
      <c r="L51" s="26"/>
      <c r="M51" s="26">
        <v>590</v>
      </c>
      <c r="N51" s="28">
        <v>21.335593220338982</v>
      </c>
      <c r="O51" s="26" t="s">
        <v>247</v>
      </c>
      <c r="P51" s="26">
        <f t="shared" si="9"/>
        <v>571</v>
      </c>
      <c r="Q51" s="26">
        <f t="shared" si="10"/>
        <v>3</v>
      </c>
      <c r="R51" s="26">
        <f t="shared" si="11"/>
        <v>16</v>
      </c>
      <c r="S51" s="26">
        <f t="shared" si="12"/>
        <v>0</v>
      </c>
      <c r="T51" s="26">
        <f t="shared" si="13"/>
        <v>590</v>
      </c>
      <c r="U51" s="27">
        <f t="shared" si="14"/>
        <v>0.96779661016949148</v>
      </c>
      <c r="V51" s="27">
        <f t="shared" si="15"/>
        <v>5.084745762711864E-3</v>
      </c>
      <c r="W51" s="27">
        <f t="shared" si="16"/>
        <v>2.7118644067796609E-2</v>
      </c>
      <c r="X51" s="27">
        <f t="shared" si="17"/>
        <v>0</v>
      </c>
      <c r="Y51" s="28">
        <f t="shared" si="18"/>
        <v>21.335593220338982</v>
      </c>
    </row>
    <row r="52" spans="1:25" x14ac:dyDescent="0.25">
      <c r="A52" s="26" t="s">
        <v>267</v>
      </c>
      <c r="B52" s="26" t="s">
        <v>268</v>
      </c>
      <c r="C52" s="26" t="s">
        <v>163</v>
      </c>
      <c r="D52" s="26">
        <v>1</v>
      </c>
      <c r="E52" s="26"/>
      <c r="F52" s="26"/>
      <c r="G52" s="26"/>
      <c r="H52" s="26"/>
      <c r="I52" s="26">
        <v>2</v>
      </c>
      <c r="J52" s="26"/>
      <c r="K52" s="26">
        <v>448</v>
      </c>
      <c r="L52" s="26"/>
      <c r="M52" s="26">
        <v>450</v>
      </c>
      <c r="N52" s="28">
        <v>64.451111111111118</v>
      </c>
      <c r="O52" s="26" t="s">
        <v>247</v>
      </c>
      <c r="P52" s="26">
        <f t="shared" si="9"/>
        <v>448</v>
      </c>
      <c r="Q52" s="26">
        <f t="shared" si="10"/>
        <v>0</v>
      </c>
      <c r="R52" s="26">
        <f t="shared" si="11"/>
        <v>2</v>
      </c>
      <c r="S52" s="26">
        <f t="shared" si="12"/>
        <v>0</v>
      </c>
      <c r="T52" s="26">
        <f t="shared" si="13"/>
        <v>450</v>
      </c>
      <c r="U52" s="27">
        <f t="shared" si="14"/>
        <v>0.99555555555555553</v>
      </c>
      <c r="V52" s="27">
        <f t="shared" si="15"/>
        <v>0</v>
      </c>
      <c r="W52" s="27">
        <f t="shared" si="16"/>
        <v>4.4444444444444444E-3</v>
      </c>
      <c r="X52" s="27">
        <f t="shared" si="17"/>
        <v>0</v>
      </c>
      <c r="Y52" s="28">
        <f t="shared" si="18"/>
        <v>64.451111111111118</v>
      </c>
    </row>
    <row r="53" spans="1:25" x14ac:dyDescent="0.25">
      <c r="A53" s="26" t="s">
        <v>267</v>
      </c>
      <c r="B53" s="26" t="s">
        <v>268</v>
      </c>
      <c r="C53" s="26" t="s">
        <v>163</v>
      </c>
      <c r="D53" s="26">
        <v>2</v>
      </c>
      <c r="E53" s="26"/>
      <c r="F53" s="26"/>
      <c r="G53" s="26"/>
      <c r="H53" s="26"/>
      <c r="I53" s="26">
        <v>2</v>
      </c>
      <c r="J53" s="26"/>
      <c r="K53" s="26">
        <v>448</v>
      </c>
      <c r="L53" s="26"/>
      <c r="M53" s="26">
        <v>450</v>
      </c>
      <c r="N53" s="28">
        <v>56.533333333333331</v>
      </c>
      <c r="O53" s="26" t="s">
        <v>247</v>
      </c>
      <c r="P53" s="26">
        <f t="shared" si="9"/>
        <v>448</v>
      </c>
      <c r="Q53" s="26">
        <f t="shared" si="10"/>
        <v>0</v>
      </c>
      <c r="R53" s="26">
        <f t="shared" si="11"/>
        <v>2</v>
      </c>
      <c r="S53" s="26">
        <f t="shared" si="12"/>
        <v>0</v>
      </c>
      <c r="T53" s="26">
        <f t="shared" si="13"/>
        <v>450</v>
      </c>
      <c r="U53" s="27">
        <f t="shared" si="14"/>
        <v>0.99555555555555553</v>
      </c>
      <c r="V53" s="27">
        <f t="shared" si="15"/>
        <v>0</v>
      </c>
      <c r="W53" s="27">
        <f t="shared" si="16"/>
        <v>4.4444444444444444E-3</v>
      </c>
      <c r="X53" s="27">
        <f t="shared" si="17"/>
        <v>0</v>
      </c>
      <c r="Y53" s="28">
        <f t="shared" si="18"/>
        <v>56.533333333333331</v>
      </c>
    </row>
    <row r="54" spans="1:25" x14ac:dyDescent="0.25">
      <c r="A54" s="26" t="s">
        <v>267</v>
      </c>
      <c r="B54" s="26" t="s">
        <v>268</v>
      </c>
      <c r="C54" s="26" t="s">
        <v>163</v>
      </c>
      <c r="D54" s="26">
        <v>3</v>
      </c>
      <c r="E54" s="26"/>
      <c r="F54" s="26"/>
      <c r="G54" s="26"/>
      <c r="H54" s="26"/>
      <c r="I54" s="26">
        <v>5</v>
      </c>
      <c r="J54" s="26"/>
      <c r="K54" s="26">
        <v>711</v>
      </c>
      <c r="L54" s="26"/>
      <c r="M54" s="26">
        <v>716</v>
      </c>
      <c r="N54" s="28">
        <v>39.539106145251395</v>
      </c>
      <c r="O54" s="26" t="s">
        <v>247</v>
      </c>
      <c r="P54" s="26">
        <f t="shared" si="9"/>
        <v>711</v>
      </c>
      <c r="Q54" s="26">
        <f t="shared" si="10"/>
        <v>0</v>
      </c>
      <c r="R54" s="26">
        <f t="shared" si="11"/>
        <v>5</v>
      </c>
      <c r="S54" s="26">
        <f t="shared" si="12"/>
        <v>0</v>
      </c>
      <c r="T54" s="26">
        <f t="shared" si="13"/>
        <v>716</v>
      </c>
      <c r="U54" s="27">
        <f t="shared" si="14"/>
        <v>0.99301675977653636</v>
      </c>
      <c r="V54" s="27">
        <f t="shared" si="15"/>
        <v>0</v>
      </c>
      <c r="W54" s="27">
        <f t="shared" si="16"/>
        <v>6.9832402234636867E-3</v>
      </c>
      <c r="X54" s="27">
        <f t="shared" si="17"/>
        <v>0</v>
      </c>
      <c r="Y54" s="28">
        <f t="shared" si="18"/>
        <v>39.539106145251395</v>
      </c>
    </row>
    <row r="55" spans="1:25" x14ac:dyDescent="0.25">
      <c r="A55" s="26" t="s">
        <v>267</v>
      </c>
      <c r="B55" s="26" t="s">
        <v>268</v>
      </c>
      <c r="C55" s="26" t="s">
        <v>163</v>
      </c>
      <c r="D55" s="26">
        <v>4</v>
      </c>
      <c r="E55" s="26"/>
      <c r="F55" s="26"/>
      <c r="G55" s="26"/>
      <c r="H55" s="26">
        <v>1</v>
      </c>
      <c r="I55" s="26">
        <v>1</v>
      </c>
      <c r="J55" s="26"/>
      <c r="K55" s="26">
        <v>715</v>
      </c>
      <c r="L55" s="26"/>
      <c r="M55" s="26">
        <v>717</v>
      </c>
      <c r="N55" s="28">
        <v>33.126917712691771</v>
      </c>
      <c r="O55" s="26" t="s">
        <v>247</v>
      </c>
      <c r="P55" s="26">
        <f t="shared" si="9"/>
        <v>715</v>
      </c>
      <c r="Q55" s="26">
        <f t="shared" si="10"/>
        <v>1</v>
      </c>
      <c r="R55" s="26">
        <f t="shared" si="11"/>
        <v>1</v>
      </c>
      <c r="S55" s="26">
        <f t="shared" si="12"/>
        <v>0</v>
      </c>
      <c r="T55" s="26">
        <f t="shared" si="13"/>
        <v>717</v>
      </c>
      <c r="U55" s="27">
        <f t="shared" si="14"/>
        <v>0.99721059972105996</v>
      </c>
      <c r="V55" s="27">
        <f t="shared" si="15"/>
        <v>1.3947001394700139E-3</v>
      </c>
      <c r="W55" s="27">
        <f t="shared" si="16"/>
        <v>1.3947001394700139E-3</v>
      </c>
      <c r="X55" s="27">
        <f t="shared" si="17"/>
        <v>0</v>
      </c>
      <c r="Y55" s="28">
        <f t="shared" si="18"/>
        <v>33.126917712691771</v>
      </c>
    </row>
    <row r="56" spans="1:25" x14ac:dyDescent="0.25">
      <c r="A56" s="26" t="s">
        <v>267</v>
      </c>
      <c r="B56" s="26" t="s">
        <v>268</v>
      </c>
      <c r="C56" s="26" t="s">
        <v>163</v>
      </c>
      <c r="D56" s="26">
        <v>5</v>
      </c>
      <c r="E56" s="26"/>
      <c r="F56" s="26"/>
      <c r="G56" s="26"/>
      <c r="H56" s="26"/>
      <c r="I56" s="26"/>
      <c r="J56" s="26"/>
      <c r="K56" s="26">
        <v>717</v>
      </c>
      <c r="L56" s="26"/>
      <c r="M56" s="26">
        <v>717</v>
      </c>
      <c r="N56" s="28">
        <v>24.483960948396096</v>
      </c>
      <c r="O56" s="26" t="s">
        <v>247</v>
      </c>
      <c r="P56" s="26">
        <f t="shared" si="9"/>
        <v>717</v>
      </c>
      <c r="Q56" s="26">
        <f t="shared" si="10"/>
        <v>0</v>
      </c>
      <c r="R56" s="26">
        <f t="shared" si="11"/>
        <v>0</v>
      </c>
      <c r="S56" s="26">
        <f t="shared" si="12"/>
        <v>0</v>
      </c>
      <c r="T56" s="26">
        <f t="shared" si="13"/>
        <v>717</v>
      </c>
      <c r="U56" s="27">
        <f t="shared" si="14"/>
        <v>1</v>
      </c>
      <c r="V56" s="27">
        <f t="shared" si="15"/>
        <v>0</v>
      </c>
      <c r="W56" s="27">
        <f t="shared" si="16"/>
        <v>0</v>
      </c>
      <c r="X56" s="27">
        <f t="shared" si="17"/>
        <v>0</v>
      </c>
      <c r="Y56" s="28">
        <f t="shared" si="18"/>
        <v>24.483960948396096</v>
      </c>
    </row>
    <row r="57" spans="1:25" x14ac:dyDescent="0.25">
      <c r="A57" s="26" t="s">
        <v>269</v>
      </c>
      <c r="B57" s="26" t="s">
        <v>270</v>
      </c>
      <c r="C57" s="26" t="s">
        <v>165</v>
      </c>
      <c r="D57" s="26">
        <v>1</v>
      </c>
      <c r="E57" s="26"/>
      <c r="F57" s="26"/>
      <c r="G57" s="26"/>
      <c r="H57" s="26"/>
      <c r="I57" s="26">
        <v>19</v>
      </c>
      <c r="J57" s="26">
        <v>1</v>
      </c>
      <c r="K57" s="26">
        <v>430</v>
      </c>
      <c r="L57" s="26"/>
      <c r="M57" s="26">
        <v>450</v>
      </c>
      <c r="N57" s="28">
        <v>60.386666666666663</v>
      </c>
      <c r="O57" s="26" t="s">
        <v>247</v>
      </c>
      <c r="P57" s="26">
        <f t="shared" si="9"/>
        <v>430</v>
      </c>
      <c r="Q57" s="26">
        <f t="shared" si="10"/>
        <v>0</v>
      </c>
      <c r="R57" s="26">
        <f t="shared" si="11"/>
        <v>19</v>
      </c>
      <c r="S57" s="26">
        <f t="shared" si="12"/>
        <v>1</v>
      </c>
      <c r="T57" s="26">
        <f t="shared" si="13"/>
        <v>450</v>
      </c>
      <c r="U57" s="27">
        <f t="shared" si="14"/>
        <v>0.9555555555555556</v>
      </c>
      <c r="V57" s="27">
        <f t="shared" si="15"/>
        <v>0</v>
      </c>
      <c r="W57" s="27">
        <f t="shared" si="16"/>
        <v>4.2222222222222223E-2</v>
      </c>
      <c r="X57" s="27">
        <f t="shared" si="17"/>
        <v>2.2222222222222222E-3</v>
      </c>
      <c r="Y57" s="28">
        <f t="shared" si="18"/>
        <v>60.386666666666663</v>
      </c>
    </row>
    <row r="58" spans="1:25" x14ac:dyDescent="0.25">
      <c r="A58" s="26" t="s">
        <v>269</v>
      </c>
      <c r="B58" s="26" t="s">
        <v>270</v>
      </c>
      <c r="C58" s="26" t="s">
        <v>165</v>
      </c>
      <c r="D58" s="26">
        <v>2</v>
      </c>
      <c r="E58" s="26"/>
      <c r="F58" s="26"/>
      <c r="G58" s="26">
        <v>1</v>
      </c>
      <c r="H58" s="26">
        <v>1</v>
      </c>
      <c r="I58" s="26">
        <v>16</v>
      </c>
      <c r="J58" s="26"/>
      <c r="K58" s="26">
        <v>520</v>
      </c>
      <c r="L58" s="26"/>
      <c r="M58" s="26">
        <v>538</v>
      </c>
      <c r="N58" s="28">
        <v>38.847583643122675</v>
      </c>
      <c r="O58" s="26" t="s">
        <v>247</v>
      </c>
      <c r="P58" s="26">
        <f t="shared" si="9"/>
        <v>520</v>
      </c>
      <c r="Q58" s="26">
        <f t="shared" si="10"/>
        <v>1</v>
      </c>
      <c r="R58" s="26">
        <f t="shared" si="11"/>
        <v>16</v>
      </c>
      <c r="S58" s="26">
        <f t="shared" si="12"/>
        <v>1</v>
      </c>
      <c r="T58" s="26">
        <f t="shared" si="13"/>
        <v>538</v>
      </c>
      <c r="U58" s="27">
        <f t="shared" si="14"/>
        <v>0.96654275092936803</v>
      </c>
      <c r="V58" s="27">
        <f t="shared" si="15"/>
        <v>1.8587360594795538E-3</v>
      </c>
      <c r="W58" s="27">
        <f t="shared" si="16"/>
        <v>2.9739776951672861E-2</v>
      </c>
      <c r="X58" s="27">
        <f t="shared" si="17"/>
        <v>1.8587360594795538E-3</v>
      </c>
      <c r="Y58" s="28">
        <f t="shared" si="18"/>
        <v>38.847583643122675</v>
      </c>
    </row>
    <row r="59" spans="1:25" x14ac:dyDescent="0.25">
      <c r="A59" s="26" t="s">
        <v>269</v>
      </c>
      <c r="B59" s="26" t="s">
        <v>270</v>
      </c>
      <c r="C59" s="26" t="s">
        <v>165</v>
      </c>
      <c r="D59" s="26">
        <v>3</v>
      </c>
      <c r="E59" s="26"/>
      <c r="F59" s="26"/>
      <c r="G59" s="26"/>
      <c r="H59" s="26"/>
      <c r="I59" s="26">
        <v>1</v>
      </c>
      <c r="J59" s="26"/>
      <c r="K59" s="26">
        <v>538</v>
      </c>
      <c r="L59" s="26"/>
      <c r="M59" s="26">
        <v>539</v>
      </c>
      <c r="N59" s="28">
        <v>26.209647495361782</v>
      </c>
      <c r="O59" s="26" t="s">
        <v>247</v>
      </c>
      <c r="P59" s="26">
        <f t="shared" si="9"/>
        <v>538</v>
      </c>
      <c r="Q59" s="26">
        <f t="shared" si="10"/>
        <v>0</v>
      </c>
      <c r="R59" s="26">
        <f t="shared" si="11"/>
        <v>1</v>
      </c>
      <c r="S59" s="26">
        <f t="shared" si="12"/>
        <v>0</v>
      </c>
      <c r="T59" s="26">
        <f t="shared" si="13"/>
        <v>539</v>
      </c>
      <c r="U59" s="27">
        <f t="shared" si="14"/>
        <v>0.99814471243042668</v>
      </c>
      <c r="V59" s="27">
        <f t="shared" si="15"/>
        <v>0</v>
      </c>
      <c r="W59" s="27">
        <f t="shared" si="16"/>
        <v>1.8552875695732839E-3</v>
      </c>
      <c r="X59" s="27">
        <f t="shared" si="17"/>
        <v>0</v>
      </c>
      <c r="Y59" s="28">
        <f t="shared" si="18"/>
        <v>26.209647495361782</v>
      </c>
    </row>
    <row r="60" spans="1:25" x14ac:dyDescent="0.25">
      <c r="A60" s="26" t="s">
        <v>271</v>
      </c>
      <c r="B60" s="26" t="s">
        <v>272</v>
      </c>
      <c r="C60" s="26" t="s">
        <v>167</v>
      </c>
      <c r="D60" s="26">
        <v>1</v>
      </c>
      <c r="E60" s="26"/>
      <c r="F60" s="26"/>
      <c r="G60" s="26"/>
      <c r="H60" s="26">
        <v>1</v>
      </c>
      <c r="I60" s="26">
        <v>43</v>
      </c>
      <c r="J60" s="26">
        <v>1</v>
      </c>
      <c r="K60" s="26">
        <v>405</v>
      </c>
      <c r="L60" s="26"/>
      <c r="M60" s="26">
        <v>450</v>
      </c>
      <c r="N60" s="28">
        <v>65.771111111111111</v>
      </c>
      <c r="O60" s="26" t="s">
        <v>247</v>
      </c>
      <c r="P60" s="26">
        <f t="shared" si="9"/>
        <v>405</v>
      </c>
      <c r="Q60" s="26">
        <f t="shared" si="10"/>
        <v>1</v>
      </c>
      <c r="R60" s="26">
        <f t="shared" si="11"/>
        <v>43</v>
      </c>
      <c r="S60" s="26">
        <f t="shared" si="12"/>
        <v>1</v>
      </c>
      <c r="T60" s="26">
        <f t="shared" si="13"/>
        <v>450</v>
      </c>
      <c r="U60" s="27">
        <f t="shared" si="14"/>
        <v>0.9</v>
      </c>
      <c r="V60" s="27">
        <f t="shared" si="15"/>
        <v>2.2222222222222222E-3</v>
      </c>
      <c r="W60" s="27">
        <f t="shared" si="16"/>
        <v>9.555555555555556E-2</v>
      </c>
      <c r="X60" s="27">
        <f t="shared" si="17"/>
        <v>2.2222222222222222E-3</v>
      </c>
      <c r="Y60" s="28">
        <f t="shared" si="18"/>
        <v>65.771111111111111</v>
      </c>
    </row>
    <row r="61" spans="1:25" x14ac:dyDescent="0.25">
      <c r="A61" s="26" t="s">
        <v>271</v>
      </c>
      <c r="B61" s="26" t="s">
        <v>272</v>
      </c>
      <c r="C61" s="26" t="s">
        <v>167</v>
      </c>
      <c r="D61" s="26">
        <v>2</v>
      </c>
      <c r="E61" s="26"/>
      <c r="F61" s="26"/>
      <c r="G61" s="26"/>
      <c r="H61" s="26">
        <v>1</v>
      </c>
      <c r="I61" s="26">
        <v>9</v>
      </c>
      <c r="J61" s="26">
        <v>1</v>
      </c>
      <c r="K61" s="26">
        <v>439</v>
      </c>
      <c r="L61" s="26"/>
      <c r="M61" s="26">
        <v>450</v>
      </c>
      <c r="N61" s="28">
        <v>61.742222222222225</v>
      </c>
      <c r="O61" s="26" t="s">
        <v>247</v>
      </c>
      <c r="P61" s="26">
        <f t="shared" si="9"/>
        <v>439</v>
      </c>
      <c r="Q61" s="26">
        <f t="shared" si="10"/>
        <v>1</v>
      </c>
      <c r="R61" s="26">
        <f t="shared" si="11"/>
        <v>9</v>
      </c>
      <c r="S61" s="26">
        <f t="shared" si="12"/>
        <v>1</v>
      </c>
      <c r="T61" s="26">
        <f t="shared" si="13"/>
        <v>450</v>
      </c>
      <c r="U61" s="27">
        <f t="shared" si="14"/>
        <v>0.97555555555555551</v>
      </c>
      <c r="V61" s="27">
        <f t="shared" si="15"/>
        <v>2.2222222222222222E-3</v>
      </c>
      <c r="W61" s="27">
        <f t="shared" si="16"/>
        <v>0.02</v>
      </c>
      <c r="X61" s="27">
        <f t="shared" si="17"/>
        <v>2.2222222222222222E-3</v>
      </c>
      <c r="Y61" s="28">
        <f t="shared" si="18"/>
        <v>61.742222222222225</v>
      </c>
    </row>
    <row r="62" spans="1:25" x14ac:dyDescent="0.25">
      <c r="A62" s="26" t="s">
        <v>271</v>
      </c>
      <c r="B62" s="26" t="s">
        <v>272</v>
      </c>
      <c r="C62" s="26" t="s">
        <v>167</v>
      </c>
      <c r="D62" s="26">
        <v>3</v>
      </c>
      <c r="E62" s="26"/>
      <c r="F62" s="26"/>
      <c r="G62" s="26"/>
      <c r="H62" s="26">
        <v>2</v>
      </c>
      <c r="I62" s="26">
        <v>83</v>
      </c>
      <c r="J62" s="26"/>
      <c r="K62" s="26">
        <v>621</v>
      </c>
      <c r="L62" s="26">
        <v>2</v>
      </c>
      <c r="M62" s="26">
        <v>708</v>
      </c>
      <c r="N62" s="28">
        <v>44.701977401129945</v>
      </c>
      <c r="O62" s="26" t="s">
        <v>247</v>
      </c>
      <c r="P62" s="26">
        <f t="shared" si="9"/>
        <v>621</v>
      </c>
      <c r="Q62" s="26">
        <f t="shared" si="10"/>
        <v>2</v>
      </c>
      <c r="R62" s="26">
        <f t="shared" si="11"/>
        <v>83</v>
      </c>
      <c r="S62" s="26">
        <f t="shared" si="12"/>
        <v>2</v>
      </c>
      <c r="T62" s="26">
        <f t="shared" si="13"/>
        <v>708</v>
      </c>
      <c r="U62" s="27">
        <f t="shared" si="14"/>
        <v>0.8771186440677966</v>
      </c>
      <c r="V62" s="27">
        <f t="shared" si="15"/>
        <v>2.8248587570621469E-3</v>
      </c>
      <c r="W62" s="27">
        <f t="shared" si="16"/>
        <v>0.1172316384180791</v>
      </c>
      <c r="X62" s="27">
        <f t="shared" si="17"/>
        <v>2.8248587570621469E-3</v>
      </c>
      <c r="Y62" s="28">
        <f t="shared" si="18"/>
        <v>44.701977401129945</v>
      </c>
    </row>
    <row r="63" spans="1:25" x14ac:dyDescent="0.25">
      <c r="A63" s="26" t="s">
        <v>271</v>
      </c>
      <c r="B63" s="26" t="s">
        <v>272</v>
      </c>
      <c r="C63" s="26" t="s">
        <v>167</v>
      </c>
      <c r="D63" s="26">
        <v>4</v>
      </c>
      <c r="E63" s="26"/>
      <c r="F63" s="26"/>
      <c r="G63" s="26"/>
      <c r="H63" s="26">
        <v>1</v>
      </c>
      <c r="I63" s="26">
        <v>24</v>
      </c>
      <c r="J63" s="26"/>
      <c r="K63" s="26">
        <v>682</v>
      </c>
      <c r="L63" s="26">
        <v>1</v>
      </c>
      <c r="M63" s="26">
        <v>708</v>
      </c>
      <c r="N63" s="28">
        <v>37.117231638418076</v>
      </c>
      <c r="O63" s="26" t="s">
        <v>247</v>
      </c>
      <c r="P63" s="26">
        <f t="shared" si="9"/>
        <v>682</v>
      </c>
      <c r="Q63" s="26">
        <f t="shared" si="10"/>
        <v>1</v>
      </c>
      <c r="R63" s="26">
        <f t="shared" si="11"/>
        <v>24</v>
      </c>
      <c r="S63" s="26">
        <f t="shared" si="12"/>
        <v>1</v>
      </c>
      <c r="T63" s="26">
        <f t="shared" si="13"/>
        <v>708</v>
      </c>
      <c r="U63" s="27">
        <f t="shared" si="14"/>
        <v>0.96327683615819204</v>
      </c>
      <c r="V63" s="27">
        <f t="shared" si="15"/>
        <v>1.4124293785310734E-3</v>
      </c>
      <c r="W63" s="27">
        <f t="shared" si="16"/>
        <v>3.3898305084745763E-2</v>
      </c>
      <c r="X63" s="27">
        <f t="shared" si="17"/>
        <v>1.4124293785310734E-3</v>
      </c>
      <c r="Y63" s="28">
        <f t="shared" si="18"/>
        <v>37.117231638418076</v>
      </c>
    </row>
    <row r="64" spans="1:25" x14ac:dyDescent="0.25">
      <c r="A64" s="26" t="s">
        <v>271</v>
      </c>
      <c r="B64" s="26" t="s">
        <v>272</v>
      </c>
      <c r="C64" s="26" t="s">
        <v>167</v>
      </c>
      <c r="D64" s="26">
        <v>5</v>
      </c>
      <c r="E64" s="26"/>
      <c r="F64" s="26"/>
      <c r="G64" s="26"/>
      <c r="H64" s="26"/>
      <c r="I64" s="26">
        <v>25</v>
      </c>
      <c r="J64" s="26"/>
      <c r="K64" s="26">
        <v>684</v>
      </c>
      <c r="L64" s="26"/>
      <c r="M64" s="26">
        <v>709</v>
      </c>
      <c r="N64" s="28">
        <v>31.967559943582511</v>
      </c>
      <c r="O64" s="26" t="s">
        <v>247</v>
      </c>
      <c r="P64" s="26">
        <f t="shared" ref="P64:P125" si="28">K64</f>
        <v>684</v>
      </c>
      <c r="Q64" s="26">
        <f t="shared" ref="Q64:Q125" si="29">H64</f>
        <v>0</v>
      </c>
      <c r="R64" s="26">
        <f t="shared" ref="R64:R125" si="30">I64</f>
        <v>25</v>
      </c>
      <c r="S64" s="26">
        <f t="shared" ref="S64:S125" si="31">M64-SUM(P64:R64)</f>
        <v>0</v>
      </c>
      <c r="T64" s="26">
        <f t="shared" ref="T64:T125" si="32">SUM(P64:S64)</f>
        <v>709</v>
      </c>
      <c r="U64" s="27">
        <f t="shared" ref="U64:U125" si="33">P64/M64</f>
        <v>0.9647390691114246</v>
      </c>
      <c r="V64" s="27">
        <f t="shared" ref="V64:V125" si="34">Q64/M64</f>
        <v>0</v>
      </c>
      <c r="W64" s="27">
        <f t="shared" ref="W64:W125" si="35">R64/M64</f>
        <v>3.5260930888575459E-2</v>
      </c>
      <c r="X64" s="27">
        <f t="shared" ref="X64:X125" si="36">S64/M64</f>
        <v>0</v>
      </c>
      <c r="Y64" s="28">
        <f t="shared" ref="Y64:Y125" si="37">N64</f>
        <v>31.967559943582511</v>
      </c>
    </row>
    <row r="65" spans="1:25" x14ac:dyDescent="0.25">
      <c r="A65" s="26" t="s">
        <v>271</v>
      </c>
      <c r="B65" s="26" t="s">
        <v>272</v>
      </c>
      <c r="C65" s="26" t="s">
        <v>167</v>
      </c>
      <c r="D65" s="26">
        <v>6</v>
      </c>
      <c r="E65" s="26"/>
      <c r="F65" s="26"/>
      <c r="G65" s="26"/>
      <c r="H65" s="26">
        <v>1</v>
      </c>
      <c r="I65" s="26">
        <v>54</v>
      </c>
      <c r="J65" s="26"/>
      <c r="K65" s="26">
        <v>654</v>
      </c>
      <c r="L65" s="26"/>
      <c r="M65" s="26">
        <v>709</v>
      </c>
      <c r="N65" s="28">
        <v>23.875881523272213</v>
      </c>
      <c r="O65" s="26" t="s">
        <v>247</v>
      </c>
      <c r="P65" s="26">
        <f t="shared" si="28"/>
        <v>654</v>
      </c>
      <c r="Q65" s="26">
        <f t="shared" si="29"/>
        <v>1</v>
      </c>
      <c r="R65" s="26">
        <f t="shared" si="30"/>
        <v>54</v>
      </c>
      <c r="S65" s="26">
        <f t="shared" si="31"/>
        <v>0</v>
      </c>
      <c r="T65" s="26">
        <f t="shared" si="32"/>
        <v>709</v>
      </c>
      <c r="U65" s="27">
        <f t="shared" si="33"/>
        <v>0.922425952045134</v>
      </c>
      <c r="V65" s="27">
        <f t="shared" si="34"/>
        <v>1.4104372355430183E-3</v>
      </c>
      <c r="W65" s="27">
        <f t="shared" si="35"/>
        <v>7.6163610719322997E-2</v>
      </c>
      <c r="X65" s="27">
        <f t="shared" si="36"/>
        <v>0</v>
      </c>
      <c r="Y65" s="28">
        <f t="shared" si="37"/>
        <v>23.875881523272213</v>
      </c>
    </row>
    <row r="66" spans="1:25" x14ac:dyDescent="0.25">
      <c r="A66" s="26" t="s">
        <v>273</v>
      </c>
      <c r="B66" s="26" t="s">
        <v>274</v>
      </c>
      <c r="C66" s="26" t="s">
        <v>169</v>
      </c>
      <c r="D66" s="26">
        <v>1</v>
      </c>
      <c r="E66" s="26"/>
      <c r="F66" s="26"/>
      <c r="G66" s="26"/>
      <c r="H66" s="26">
        <v>5</v>
      </c>
      <c r="I66" s="26">
        <v>34</v>
      </c>
      <c r="J66" s="26">
        <v>1</v>
      </c>
      <c r="K66" s="26">
        <v>405</v>
      </c>
      <c r="L66" s="26">
        <v>5</v>
      </c>
      <c r="M66" s="26">
        <v>450</v>
      </c>
      <c r="N66" s="28">
        <v>63.295555555555559</v>
      </c>
      <c r="O66" s="26" t="s">
        <v>247</v>
      </c>
      <c r="P66" s="26">
        <f t="shared" si="28"/>
        <v>405</v>
      </c>
      <c r="Q66" s="26">
        <f t="shared" si="29"/>
        <v>5</v>
      </c>
      <c r="R66" s="26">
        <f t="shared" si="30"/>
        <v>34</v>
      </c>
      <c r="S66" s="26">
        <f t="shared" si="31"/>
        <v>6</v>
      </c>
      <c r="T66" s="26">
        <f t="shared" si="32"/>
        <v>450</v>
      </c>
      <c r="U66" s="27">
        <f t="shared" si="33"/>
        <v>0.9</v>
      </c>
      <c r="V66" s="27">
        <f t="shared" si="34"/>
        <v>1.1111111111111112E-2</v>
      </c>
      <c r="W66" s="27">
        <f t="shared" si="35"/>
        <v>7.5555555555555556E-2</v>
      </c>
      <c r="X66" s="27">
        <f t="shared" si="36"/>
        <v>1.3333333333333334E-2</v>
      </c>
      <c r="Y66" s="28">
        <f t="shared" si="37"/>
        <v>63.295555555555559</v>
      </c>
    </row>
    <row r="67" spans="1:25" x14ac:dyDescent="0.25">
      <c r="A67" s="26" t="s">
        <v>273</v>
      </c>
      <c r="B67" s="26" t="s">
        <v>274</v>
      </c>
      <c r="C67" s="26" t="s">
        <v>169</v>
      </c>
      <c r="D67" s="26">
        <v>2</v>
      </c>
      <c r="E67" s="26"/>
      <c r="F67" s="26"/>
      <c r="G67" s="26">
        <v>1</v>
      </c>
      <c r="H67" s="26">
        <v>9</v>
      </c>
      <c r="I67" s="26">
        <v>32</v>
      </c>
      <c r="J67" s="26"/>
      <c r="K67" s="26">
        <v>650</v>
      </c>
      <c r="L67" s="26">
        <v>8</v>
      </c>
      <c r="M67" s="26">
        <v>700</v>
      </c>
      <c r="N67" s="28">
        <v>43.177142857142854</v>
      </c>
      <c r="O67" s="26" t="s">
        <v>247</v>
      </c>
      <c r="P67" s="26">
        <f t="shared" si="28"/>
        <v>650</v>
      </c>
      <c r="Q67" s="26">
        <f t="shared" si="29"/>
        <v>9</v>
      </c>
      <c r="R67" s="26">
        <f t="shared" si="30"/>
        <v>32</v>
      </c>
      <c r="S67" s="26">
        <f t="shared" si="31"/>
        <v>9</v>
      </c>
      <c r="T67" s="26">
        <f t="shared" si="32"/>
        <v>700</v>
      </c>
      <c r="U67" s="27">
        <f t="shared" si="33"/>
        <v>0.9285714285714286</v>
      </c>
      <c r="V67" s="27">
        <f t="shared" si="34"/>
        <v>1.2857142857142857E-2</v>
      </c>
      <c r="W67" s="27">
        <f t="shared" si="35"/>
        <v>4.5714285714285714E-2</v>
      </c>
      <c r="X67" s="27">
        <f t="shared" si="36"/>
        <v>1.2857142857142857E-2</v>
      </c>
      <c r="Y67" s="28">
        <f t="shared" si="37"/>
        <v>43.177142857142854</v>
      </c>
    </row>
    <row r="68" spans="1:25" x14ac:dyDescent="0.25">
      <c r="A68" s="26" t="s">
        <v>273</v>
      </c>
      <c r="B68" s="26" t="s">
        <v>274</v>
      </c>
      <c r="C68" s="26" t="s">
        <v>169</v>
      </c>
      <c r="D68" s="26">
        <v>3</v>
      </c>
      <c r="E68" s="26"/>
      <c r="F68" s="26"/>
      <c r="G68" s="26"/>
      <c r="H68" s="26">
        <v>4</v>
      </c>
      <c r="I68" s="26">
        <v>27</v>
      </c>
      <c r="J68" s="26"/>
      <c r="K68" s="26">
        <v>669</v>
      </c>
      <c r="L68" s="26"/>
      <c r="M68" s="26">
        <v>700</v>
      </c>
      <c r="N68" s="28">
        <v>28.457142857142856</v>
      </c>
      <c r="O68" s="26" t="s">
        <v>247</v>
      </c>
      <c r="P68" s="26">
        <f t="shared" si="28"/>
        <v>669</v>
      </c>
      <c r="Q68" s="26">
        <f t="shared" si="29"/>
        <v>4</v>
      </c>
      <c r="R68" s="26">
        <f t="shared" si="30"/>
        <v>27</v>
      </c>
      <c r="S68" s="26">
        <f t="shared" si="31"/>
        <v>0</v>
      </c>
      <c r="T68" s="26">
        <f t="shared" si="32"/>
        <v>700</v>
      </c>
      <c r="U68" s="27">
        <f t="shared" si="33"/>
        <v>0.95571428571428574</v>
      </c>
      <c r="V68" s="27">
        <f t="shared" si="34"/>
        <v>5.7142857142857143E-3</v>
      </c>
      <c r="W68" s="27">
        <f t="shared" si="35"/>
        <v>3.8571428571428569E-2</v>
      </c>
      <c r="X68" s="27">
        <f t="shared" si="36"/>
        <v>0</v>
      </c>
      <c r="Y68" s="28">
        <f t="shared" si="37"/>
        <v>28.457142857142856</v>
      </c>
    </row>
    <row r="69" spans="1:25" x14ac:dyDescent="0.25">
      <c r="A69" s="26" t="s">
        <v>275</v>
      </c>
      <c r="B69" s="26" t="s">
        <v>276</v>
      </c>
      <c r="C69" s="26" t="s">
        <v>171</v>
      </c>
      <c r="D69" s="26">
        <v>1</v>
      </c>
      <c r="E69" s="26"/>
      <c r="F69" s="26"/>
      <c r="G69" s="26"/>
      <c r="H69" s="26">
        <v>2</v>
      </c>
      <c r="I69" s="26">
        <v>54</v>
      </c>
      <c r="J69" s="26">
        <v>1</v>
      </c>
      <c r="K69" s="26">
        <v>393</v>
      </c>
      <c r="L69" s="26"/>
      <c r="M69" s="26">
        <v>450</v>
      </c>
      <c r="N69" s="28">
        <v>67.708888888888893</v>
      </c>
      <c r="O69" s="26" t="s">
        <v>247</v>
      </c>
      <c r="P69" s="26">
        <f t="shared" si="28"/>
        <v>393</v>
      </c>
      <c r="Q69" s="26">
        <f t="shared" si="29"/>
        <v>2</v>
      </c>
      <c r="R69" s="26">
        <f t="shared" si="30"/>
        <v>54</v>
      </c>
      <c r="S69" s="26">
        <f t="shared" si="31"/>
        <v>1</v>
      </c>
      <c r="T69" s="26">
        <f t="shared" si="32"/>
        <v>450</v>
      </c>
      <c r="U69" s="27">
        <f t="shared" si="33"/>
        <v>0.87333333333333329</v>
      </c>
      <c r="V69" s="27">
        <f t="shared" si="34"/>
        <v>4.4444444444444444E-3</v>
      </c>
      <c r="W69" s="27">
        <f t="shared" si="35"/>
        <v>0.12</v>
      </c>
      <c r="X69" s="27">
        <f t="shared" si="36"/>
        <v>2.2222222222222222E-3</v>
      </c>
      <c r="Y69" s="28">
        <f t="shared" si="37"/>
        <v>67.708888888888893</v>
      </c>
    </row>
    <row r="70" spans="1:25" x14ac:dyDescent="0.25">
      <c r="A70" s="26" t="s">
        <v>275</v>
      </c>
      <c r="B70" s="26" t="s">
        <v>276</v>
      </c>
      <c r="C70" s="26" t="s">
        <v>171</v>
      </c>
      <c r="D70" s="26">
        <v>2</v>
      </c>
      <c r="E70" s="26"/>
      <c r="F70" s="26"/>
      <c r="G70" s="26"/>
      <c r="H70" s="26"/>
      <c r="I70" s="26">
        <v>33</v>
      </c>
      <c r="J70" s="26">
        <v>1</v>
      </c>
      <c r="K70" s="26">
        <v>416</v>
      </c>
      <c r="L70" s="26"/>
      <c r="M70" s="26">
        <v>450</v>
      </c>
      <c r="N70" s="28">
        <v>61.095555555555556</v>
      </c>
      <c r="O70" s="26" t="s">
        <v>247</v>
      </c>
      <c r="P70" s="26">
        <f t="shared" si="28"/>
        <v>416</v>
      </c>
      <c r="Q70" s="26">
        <f t="shared" si="29"/>
        <v>0</v>
      </c>
      <c r="R70" s="26">
        <f t="shared" si="30"/>
        <v>33</v>
      </c>
      <c r="S70" s="26">
        <f t="shared" si="31"/>
        <v>1</v>
      </c>
      <c r="T70" s="26">
        <f t="shared" si="32"/>
        <v>450</v>
      </c>
      <c r="U70" s="27">
        <f t="shared" si="33"/>
        <v>0.9244444444444444</v>
      </c>
      <c r="V70" s="27">
        <f t="shared" si="34"/>
        <v>0</v>
      </c>
      <c r="W70" s="27">
        <f t="shared" si="35"/>
        <v>7.3333333333333334E-2</v>
      </c>
      <c r="X70" s="27">
        <f t="shared" si="36"/>
        <v>2.2222222222222222E-3</v>
      </c>
      <c r="Y70" s="28">
        <f t="shared" si="37"/>
        <v>61.095555555555556</v>
      </c>
    </row>
    <row r="71" spans="1:25" x14ac:dyDescent="0.25">
      <c r="A71" s="26" t="s">
        <v>275</v>
      </c>
      <c r="B71" s="26" t="s">
        <v>276</v>
      </c>
      <c r="C71" s="26" t="s">
        <v>171</v>
      </c>
      <c r="D71" s="26">
        <v>3</v>
      </c>
      <c r="E71" s="26"/>
      <c r="F71" s="26"/>
      <c r="G71" s="26"/>
      <c r="H71" s="26"/>
      <c r="I71" s="26">
        <v>75</v>
      </c>
      <c r="J71" s="26"/>
      <c r="K71" s="26">
        <v>647</v>
      </c>
      <c r="L71" s="26"/>
      <c r="M71" s="26">
        <v>722</v>
      </c>
      <c r="N71" s="28">
        <v>42.803324099722992</v>
      </c>
      <c r="O71" s="26" t="s">
        <v>247</v>
      </c>
      <c r="P71" s="26">
        <f t="shared" si="28"/>
        <v>647</v>
      </c>
      <c r="Q71" s="26">
        <f t="shared" si="29"/>
        <v>0</v>
      </c>
      <c r="R71" s="26">
        <f t="shared" si="30"/>
        <v>75</v>
      </c>
      <c r="S71" s="26">
        <f t="shared" si="31"/>
        <v>0</v>
      </c>
      <c r="T71" s="26">
        <f t="shared" si="32"/>
        <v>722</v>
      </c>
      <c r="U71" s="27">
        <f t="shared" si="33"/>
        <v>0.89612188365650969</v>
      </c>
      <c r="V71" s="27">
        <f t="shared" si="34"/>
        <v>0</v>
      </c>
      <c r="W71" s="27">
        <f t="shared" si="35"/>
        <v>0.1038781163434903</v>
      </c>
      <c r="X71" s="27">
        <f t="shared" si="36"/>
        <v>0</v>
      </c>
      <c r="Y71" s="28">
        <f t="shared" si="37"/>
        <v>42.803324099722992</v>
      </c>
    </row>
    <row r="72" spans="1:25" x14ac:dyDescent="0.25">
      <c r="A72" s="26" t="s">
        <v>275</v>
      </c>
      <c r="B72" s="26" t="s">
        <v>276</v>
      </c>
      <c r="C72" s="26" t="s">
        <v>171</v>
      </c>
      <c r="D72" s="26">
        <v>4</v>
      </c>
      <c r="E72" s="26"/>
      <c r="F72" s="26"/>
      <c r="G72" s="26"/>
      <c r="H72" s="26"/>
      <c r="I72" s="26">
        <v>32</v>
      </c>
      <c r="J72" s="26"/>
      <c r="K72" s="26">
        <v>691</v>
      </c>
      <c r="L72" s="26"/>
      <c r="M72" s="26">
        <v>723</v>
      </c>
      <c r="N72" s="28">
        <v>34.957123098201933</v>
      </c>
      <c r="O72" s="26" t="s">
        <v>247</v>
      </c>
      <c r="P72" s="26">
        <f t="shared" si="28"/>
        <v>691</v>
      </c>
      <c r="Q72" s="26">
        <f t="shared" si="29"/>
        <v>0</v>
      </c>
      <c r="R72" s="26">
        <f t="shared" si="30"/>
        <v>32</v>
      </c>
      <c r="S72" s="26">
        <f t="shared" si="31"/>
        <v>0</v>
      </c>
      <c r="T72" s="26">
        <f t="shared" si="32"/>
        <v>723</v>
      </c>
      <c r="U72" s="27">
        <f t="shared" si="33"/>
        <v>0.95573997233748276</v>
      </c>
      <c r="V72" s="27">
        <f t="shared" si="34"/>
        <v>0</v>
      </c>
      <c r="W72" s="27">
        <f t="shared" si="35"/>
        <v>4.4260027662517291E-2</v>
      </c>
      <c r="X72" s="27">
        <f t="shared" si="36"/>
        <v>0</v>
      </c>
      <c r="Y72" s="28">
        <f t="shared" si="37"/>
        <v>34.957123098201933</v>
      </c>
    </row>
    <row r="73" spans="1:25" x14ac:dyDescent="0.25">
      <c r="A73" s="26" t="s">
        <v>275</v>
      </c>
      <c r="B73" s="26" t="s">
        <v>276</v>
      </c>
      <c r="C73" s="26" t="s">
        <v>171</v>
      </c>
      <c r="D73" s="26">
        <v>5</v>
      </c>
      <c r="E73" s="26"/>
      <c r="F73" s="26"/>
      <c r="G73" s="26"/>
      <c r="H73" s="26"/>
      <c r="I73" s="26">
        <v>78</v>
      </c>
      <c r="J73" s="26"/>
      <c r="K73" s="26">
        <v>645</v>
      </c>
      <c r="L73" s="26"/>
      <c r="M73" s="26">
        <v>723</v>
      </c>
      <c r="N73" s="28">
        <v>25.242047026279391</v>
      </c>
      <c r="O73" s="26" t="s">
        <v>247</v>
      </c>
      <c r="P73" s="26">
        <f t="shared" si="28"/>
        <v>645</v>
      </c>
      <c r="Q73" s="26">
        <f t="shared" si="29"/>
        <v>0</v>
      </c>
      <c r="R73" s="26">
        <f t="shared" si="30"/>
        <v>78</v>
      </c>
      <c r="S73" s="26">
        <f t="shared" si="31"/>
        <v>0</v>
      </c>
      <c r="T73" s="26">
        <f t="shared" si="32"/>
        <v>723</v>
      </c>
      <c r="U73" s="27">
        <f t="shared" si="33"/>
        <v>0.89211618257261416</v>
      </c>
      <c r="V73" s="27">
        <f t="shared" si="34"/>
        <v>0</v>
      </c>
      <c r="W73" s="27">
        <f t="shared" si="35"/>
        <v>0.1078838174273859</v>
      </c>
      <c r="X73" s="27">
        <f t="shared" si="36"/>
        <v>0</v>
      </c>
      <c r="Y73" s="28">
        <f t="shared" si="37"/>
        <v>25.242047026279391</v>
      </c>
    </row>
    <row r="74" spans="1:25" x14ac:dyDescent="0.25">
      <c r="A74" s="26" t="s">
        <v>277</v>
      </c>
      <c r="B74" s="26" t="s">
        <v>278</v>
      </c>
      <c r="C74" s="26" t="s">
        <v>173</v>
      </c>
      <c r="D74" s="26">
        <v>1</v>
      </c>
      <c r="E74" s="26"/>
      <c r="F74" s="26"/>
      <c r="G74" s="26"/>
      <c r="H74" s="26">
        <v>5</v>
      </c>
      <c r="I74" s="26">
        <v>22</v>
      </c>
      <c r="J74" s="26"/>
      <c r="K74" s="26">
        <v>423</v>
      </c>
      <c r="L74" s="26"/>
      <c r="M74" s="26">
        <v>450</v>
      </c>
      <c r="N74" s="28">
        <v>63.211111111111109</v>
      </c>
      <c r="O74" s="26" t="s">
        <v>247</v>
      </c>
      <c r="P74" s="26">
        <f>K74</f>
        <v>423</v>
      </c>
      <c r="Q74" s="26">
        <f t="shared" ref="Q74:R77" si="38">H74</f>
        <v>5</v>
      </c>
      <c r="R74" s="26">
        <f t="shared" si="38"/>
        <v>22</v>
      </c>
      <c r="S74" s="26">
        <f>M74-SUM(P74:R74)</f>
        <v>0</v>
      </c>
      <c r="T74" s="26">
        <f>SUM(P74:S74)</f>
        <v>450</v>
      </c>
      <c r="U74" s="27">
        <f>P74/M74</f>
        <v>0.94</v>
      </c>
      <c r="V74" s="27">
        <f>Q74/M74</f>
        <v>1.1111111111111112E-2</v>
      </c>
      <c r="W74" s="27">
        <f>R74/M74</f>
        <v>4.8888888888888891E-2</v>
      </c>
      <c r="X74" s="27">
        <f>S74/M74</f>
        <v>0</v>
      </c>
      <c r="Y74" s="28">
        <f>N74</f>
        <v>63.211111111111109</v>
      </c>
    </row>
    <row r="75" spans="1:25" x14ac:dyDescent="0.25">
      <c r="A75" s="26" t="s">
        <v>277</v>
      </c>
      <c r="B75" s="26" t="s">
        <v>278</v>
      </c>
      <c r="C75" s="26" t="s">
        <v>173</v>
      </c>
      <c r="D75" s="26">
        <v>2</v>
      </c>
      <c r="E75" s="26">
        <v>1</v>
      </c>
      <c r="F75" s="26"/>
      <c r="G75" s="26">
        <v>1</v>
      </c>
      <c r="H75" s="26"/>
      <c r="I75" s="26">
        <v>25</v>
      </c>
      <c r="J75" s="26"/>
      <c r="K75" s="26">
        <v>527</v>
      </c>
      <c r="L75" s="26"/>
      <c r="M75" s="26">
        <v>554</v>
      </c>
      <c r="N75" s="28">
        <v>46.102888086642601</v>
      </c>
      <c r="O75" s="26" t="s">
        <v>247</v>
      </c>
      <c r="P75" s="26">
        <f>K75</f>
        <v>527</v>
      </c>
      <c r="Q75" s="26">
        <f t="shared" si="38"/>
        <v>0</v>
      </c>
      <c r="R75" s="26">
        <f t="shared" si="38"/>
        <v>25</v>
      </c>
      <c r="S75" s="26">
        <f>M75-SUM(P75:R75)</f>
        <v>2</v>
      </c>
      <c r="T75" s="26">
        <f>SUM(P75:S75)</f>
        <v>554</v>
      </c>
      <c r="U75" s="27">
        <f>P75/M75</f>
        <v>0.95126353790613716</v>
      </c>
      <c r="V75" s="27">
        <f>Q75/M75</f>
        <v>0</v>
      </c>
      <c r="W75" s="27">
        <f>R75/M75</f>
        <v>4.5126353790613721E-2</v>
      </c>
      <c r="X75" s="27">
        <f>S75/M75</f>
        <v>3.6101083032490976E-3</v>
      </c>
      <c r="Y75" s="28">
        <f>N75</f>
        <v>46.102888086642601</v>
      </c>
    </row>
    <row r="76" spans="1:25" x14ac:dyDescent="0.25">
      <c r="A76" s="26" t="s">
        <v>277</v>
      </c>
      <c r="B76" s="26" t="s">
        <v>278</v>
      </c>
      <c r="C76" s="26" t="s">
        <v>173</v>
      </c>
      <c r="D76" s="26">
        <v>3</v>
      </c>
      <c r="E76" s="26"/>
      <c r="F76" s="26"/>
      <c r="G76" s="26"/>
      <c r="H76" s="26"/>
      <c r="I76" s="26">
        <v>25</v>
      </c>
      <c r="J76" s="26"/>
      <c r="K76" s="26">
        <v>529</v>
      </c>
      <c r="L76" s="26"/>
      <c r="M76" s="26">
        <v>554</v>
      </c>
      <c r="N76" s="28">
        <v>34.288808664259925</v>
      </c>
      <c r="O76" s="26" t="s">
        <v>247</v>
      </c>
      <c r="P76" s="26">
        <f>K76</f>
        <v>529</v>
      </c>
      <c r="Q76" s="26">
        <f t="shared" si="38"/>
        <v>0</v>
      </c>
      <c r="R76" s="26">
        <f t="shared" si="38"/>
        <v>25</v>
      </c>
      <c r="S76" s="26">
        <f>M76-SUM(P76:R76)</f>
        <v>0</v>
      </c>
      <c r="T76" s="26">
        <f>SUM(P76:S76)</f>
        <v>554</v>
      </c>
      <c r="U76" s="27">
        <f>P76/M76</f>
        <v>0.95487364620938631</v>
      </c>
      <c r="V76" s="27">
        <f>Q76/M76</f>
        <v>0</v>
      </c>
      <c r="W76" s="27">
        <f>R76/M76</f>
        <v>4.5126353790613721E-2</v>
      </c>
      <c r="X76" s="27">
        <f>S76/M76</f>
        <v>0</v>
      </c>
      <c r="Y76" s="28">
        <f>N76</f>
        <v>34.288808664259925</v>
      </c>
    </row>
    <row r="77" spans="1:25" x14ac:dyDescent="0.25">
      <c r="A77" s="26" t="s">
        <v>277</v>
      </c>
      <c r="B77" s="26" t="s">
        <v>278</v>
      </c>
      <c r="C77" s="26" t="s">
        <v>173</v>
      </c>
      <c r="D77" s="26">
        <v>4</v>
      </c>
      <c r="E77" s="26"/>
      <c r="F77" s="26"/>
      <c r="G77" s="26"/>
      <c r="H77" s="26"/>
      <c r="I77" s="26">
        <v>27</v>
      </c>
      <c r="J77" s="26"/>
      <c r="K77" s="26">
        <v>528</v>
      </c>
      <c r="L77" s="26"/>
      <c r="M77" s="26">
        <v>555</v>
      </c>
      <c r="N77" s="28">
        <v>25.781981981981982</v>
      </c>
      <c r="O77" s="26" t="s">
        <v>247</v>
      </c>
      <c r="P77" s="26">
        <f>K77</f>
        <v>528</v>
      </c>
      <c r="Q77" s="26">
        <f t="shared" si="38"/>
        <v>0</v>
      </c>
      <c r="R77" s="26">
        <f t="shared" si="38"/>
        <v>27</v>
      </c>
      <c r="S77" s="26">
        <f>M77-SUM(P77:R77)</f>
        <v>0</v>
      </c>
      <c r="T77" s="26">
        <f>SUM(P77:S77)</f>
        <v>555</v>
      </c>
      <c r="U77" s="27">
        <f>P77/M77</f>
        <v>0.9513513513513514</v>
      </c>
      <c r="V77" s="27">
        <f>Q77/M77</f>
        <v>0</v>
      </c>
      <c r="W77" s="27">
        <f>R77/M77</f>
        <v>4.8648648648648651E-2</v>
      </c>
      <c r="X77" s="27">
        <f>S77/M77</f>
        <v>0</v>
      </c>
      <c r="Y77" s="28">
        <f>N77</f>
        <v>25.781981981981982</v>
      </c>
    </row>
    <row r="78" spans="1:25" x14ac:dyDescent="0.25">
      <c r="A78" s="26" t="s">
        <v>277</v>
      </c>
      <c r="B78" s="26" t="s">
        <v>278</v>
      </c>
      <c r="C78" s="26" t="s">
        <v>174</v>
      </c>
      <c r="D78" s="26">
        <v>1</v>
      </c>
      <c r="E78" s="26"/>
      <c r="F78" s="26"/>
      <c r="G78" s="26"/>
      <c r="H78" s="26"/>
      <c r="I78" s="26">
        <v>3</v>
      </c>
      <c r="J78" s="26"/>
      <c r="K78" s="26">
        <v>447</v>
      </c>
      <c r="L78" s="26"/>
      <c r="M78" s="26">
        <v>450</v>
      </c>
      <c r="N78" s="28">
        <v>61.111111111111114</v>
      </c>
      <c r="O78" s="26" t="s">
        <v>247</v>
      </c>
      <c r="P78" s="26">
        <f t="shared" si="28"/>
        <v>447</v>
      </c>
      <c r="Q78" s="26">
        <f t="shared" si="29"/>
        <v>0</v>
      </c>
      <c r="R78" s="26">
        <f t="shared" si="30"/>
        <v>3</v>
      </c>
      <c r="S78" s="26">
        <f t="shared" si="31"/>
        <v>0</v>
      </c>
      <c r="T78" s="26">
        <f t="shared" si="32"/>
        <v>450</v>
      </c>
      <c r="U78" s="27">
        <f t="shared" si="33"/>
        <v>0.99333333333333329</v>
      </c>
      <c r="V78" s="27">
        <f t="shared" si="34"/>
        <v>0</v>
      </c>
      <c r="W78" s="27">
        <f t="shared" si="35"/>
        <v>6.6666666666666671E-3</v>
      </c>
      <c r="X78" s="27">
        <f t="shared" si="36"/>
        <v>0</v>
      </c>
      <c r="Y78" s="28">
        <f t="shared" si="37"/>
        <v>61.111111111111114</v>
      </c>
    </row>
    <row r="79" spans="1:25" x14ac:dyDescent="0.25">
      <c r="A79" s="26" t="s">
        <v>277</v>
      </c>
      <c r="B79" s="26" t="s">
        <v>278</v>
      </c>
      <c r="C79" s="26" t="s">
        <v>174</v>
      </c>
      <c r="D79" s="26">
        <v>2</v>
      </c>
      <c r="E79" s="26"/>
      <c r="F79" s="26"/>
      <c r="G79" s="26"/>
      <c r="H79" s="26"/>
      <c r="I79" s="26"/>
      <c r="J79" s="26"/>
      <c r="K79" s="26">
        <v>495</v>
      </c>
      <c r="L79" s="26"/>
      <c r="M79" s="26">
        <v>495</v>
      </c>
      <c r="N79" s="28">
        <v>37.886868686868688</v>
      </c>
      <c r="O79" s="26" t="s">
        <v>247</v>
      </c>
      <c r="P79" s="26">
        <f t="shared" si="28"/>
        <v>495</v>
      </c>
      <c r="Q79" s="26">
        <f t="shared" si="29"/>
        <v>0</v>
      </c>
      <c r="R79" s="26">
        <f t="shared" si="30"/>
        <v>0</v>
      </c>
      <c r="S79" s="26">
        <f t="shared" si="31"/>
        <v>0</v>
      </c>
      <c r="T79" s="26">
        <f t="shared" si="32"/>
        <v>495</v>
      </c>
      <c r="U79" s="27">
        <f t="shared" si="33"/>
        <v>1</v>
      </c>
      <c r="V79" s="27">
        <f t="shared" si="34"/>
        <v>0</v>
      </c>
      <c r="W79" s="27">
        <f t="shared" si="35"/>
        <v>0</v>
      </c>
      <c r="X79" s="27">
        <f t="shared" si="36"/>
        <v>0</v>
      </c>
      <c r="Y79" s="28">
        <f t="shared" si="37"/>
        <v>37.886868686868688</v>
      </c>
    </row>
    <row r="80" spans="1:25" x14ac:dyDescent="0.25">
      <c r="A80" s="26" t="s">
        <v>277</v>
      </c>
      <c r="B80" s="26" t="s">
        <v>278</v>
      </c>
      <c r="C80" s="26" t="s">
        <v>174</v>
      </c>
      <c r="D80" s="26">
        <v>3</v>
      </c>
      <c r="E80" s="26"/>
      <c r="F80" s="26"/>
      <c r="G80" s="26"/>
      <c r="H80" s="26"/>
      <c r="I80" s="26"/>
      <c r="J80" s="26">
        <v>1</v>
      </c>
      <c r="K80" s="26">
        <v>494</v>
      </c>
      <c r="L80" s="26"/>
      <c r="M80" s="26">
        <v>495</v>
      </c>
      <c r="N80" s="28">
        <v>27.476767676767675</v>
      </c>
      <c r="O80" s="26" t="s">
        <v>247</v>
      </c>
      <c r="P80" s="26">
        <f t="shared" si="28"/>
        <v>494</v>
      </c>
      <c r="Q80" s="26">
        <f t="shared" si="29"/>
        <v>0</v>
      </c>
      <c r="R80" s="26">
        <f t="shared" si="30"/>
        <v>0</v>
      </c>
      <c r="S80" s="26">
        <f t="shared" si="31"/>
        <v>1</v>
      </c>
      <c r="T80" s="26">
        <f t="shared" si="32"/>
        <v>495</v>
      </c>
      <c r="U80" s="27">
        <f t="shared" si="33"/>
        <v>0.99797979797979797</v>
      </c>
      <c r="V80" s="27">
        <f t="shared" si="34"/>
        <v>0</v>
      </c>
      <c r="W80" s="27">
        <f t="shared" si="35"/>
        <v>0</v>
      </c>
      <c r="X80" s="27">
        <f t="shared" si="36"/>
        <v>2.0202020202020202E-3</v>
      </c>
      <c r="Y80" s="28">
        <f t="shared" si="37"/>
        <v>27.476767676767675</v>
      </c>
    </row>
    <row r="81" spans="1:25" x14ac:dyDescent="0.25">
      <c r="A81" s="26" t="s">
        <v>279</v>
      </c>
      <c r="B81" s="26" t="s">
        <v>280</v>
      </c>
      <c r="C81" s="26" t="s">
        <v>176</v>
      </c>
      <c r="D81" s="26">
        <v>1</v>
      </c>
      <c r="E81" s="26"/>
      <c r="F81" s="26"/>
      <c r="G81" s="26"/>
      <c r="H81" s="26">
        <v>2</v>
      </c>
      <c r="I81" s="26">
        <v>29</v>
      </c>
      <c r="J81" s="26">
        <v>1</v>
      </c>
      <c r="K81" s="26">
        <v>418</v>
      </c>
      <c r="L81" s="26"/>
      <c r="M81" s="26">
        <v>450</v>
      </c>
      <c r="N81" s="28">
        <v>67.928888888888892</v>
      </c>
      <c r="O81" s="26" t="s">
        <v>247</v>
      </c>
      <c r="P81" s="26">
        <f t="shared" si="28"/>
        <v>418</v>
      </c>
      <c r="Q81" s="26">
        <f t="shared" si="29"/>
        <v>2</v>
      </c>
      <c r="R81" s="26">
        <f t="shared" si="30"/>
        <v>29</v>
      </c>
      <c r="S81" s="26">
        <f t="shared" si="31"/>
        <v>1</v>
      </c>
      <c r="T81" s="26">
        <f t="shared" si="32"/>
        <v>450</v>
      </c>
      <c r="U81" s="27">
        <f t="shared" si="33"/>
        <v>0.92888888888888888</v>
      </c>
      <c r="V81" s="27">
        <f t="shared" si="34"/>
        <v>4.4444444444444444E-3</v>
      </c>
      <c r="W81" s="27">
        <f t="shared" si="35"/>
        <v>6.4444444444444443E-2</v>
      </c>
      <c r="X81" s="27">
        <f t="shared" si="36"/>
        <v>2.2222222222222222E-3</v>
      </c>
      <c r="Y81" s="28">
        <f t="shared" si="37"/>
        <v>67.928888888888892</v>
      </c>
    </row>
    <row r="82" spans="1:25" x14ac:dyDescent="0.25">
      <c r="A82" s="26" t="s">
        <v>279</v>
      </c>
      <c r="B82" s="26" t="s">
        <v>280</v>
      </c>
      <c r="C82" s="26" t="s">
        <v>176</v>
      </c>
      <c r="D82" s="26">
        <v>2</v>
      </c>
      <c r="E82" s="26"/>
      <c r="F82" s="26"/>
      <c r="G82" s="26"/>
      <c r="H82" s="26">
        <v>2</v>
      </c>
      <c r="I82" s="26">
        <v>36</v>
      </c>
      <c r="J82" s="26"/>
      <c r="K82" s="26">
        <v>412</v>
      </c>
      <c r="L82" s="26"/>
      <c r="M82" s="26">
        <v>450</v>
      </c>
      <c r="N82" s="28">
        <v>54.28</v>
      </c>
      <c r="O82" s="26" t="s">
        <v>247</v>
      </c>
      <c r="P82" s="26">
        <f t="shared" si="28"/>
        <v>412</v>
      </c>
      <c r="Q82" s="26">
        <f t="shared" si="29"/>
        <v>2</v>
      </c>
      <c r="R82" s="26">
        <f t="shared" si="30"/>
        <v>36</v>
      </c>
      <c r="S82" s="26">
        <f t="shared" si="31"/>
        <v>0</v>
      </c>
      <c r="T82" s="26">
        <f t="shared" si="32"/>
        <v>450</v>
      </c>
      <c r="U82" s="27">
        <f t="shared" si="33"/>
        <v>0.91555555555555557</v>
      </c>
      <c r="V82" s="27">
        <f t="shared" si="34"/>
        <v>4.4444444444444444E-3</v>
      </c>
      <c r="W82" s="27">
        <f t="shared" si="35"/>
        <v>0.08</v>
      </c>
      <c r="X82" s="27">
        <f t="shared" si="36"/>
        <v>0</v>
      </c>
      <c r="Y82" s="28">
        <f t="shared" si="37"/>
        <v>54.28</v>
      </c>
    </row>
    <row r="83" spans="1:25" x14ac:dyDescent="0.25">
      <c r="A83" s="26" t="s">
        <v>279</v>
      </c>
      <c r="B83" s="26" t="s">
        <v>280</v>
      </c>
      <c r="C83" s="26" t="s">
        <v>176</v>
      </c>
      <c r="D83" s="26">
        <v>3</v>
      </c>
      <c r="E83" s="26"/>
      <c r="F83" s="26"/>
      <c r="G83" s="26">
        <v>1</v>
      </c>
      <c r="H83" s="26"/>
      <c r="I83" s="26">
        <v>12</v>
      </c>
      <c r="J83" s="26"/>
      <c r="K83" s="26">
        <v>490</v>
      </c>
      <c r="L83" s="26"/>
      <c r="M83" s="26">
        <v>503</v>
      </c>
      <c r="N83" s="28">
        <v>40.538767395626245</v>
      </c>
      <c r="O83" s="26" t="s">
        <v>247</v>
      </c>
      <c r="P83" s="26">
        <f t="shared" si="28"/>
        <v>490</v>
      </c>
      <c r="Q83" s="26">
        <f t="shared" si="29"/>
        <v>0</v>
      </c>
      <c r="R83" s="26">
        <f t="shared" si="30"/>
        <v>12</v>
      </c>
      <c r="S83" s="26">
        <f t="shared" si="31"/>
        <v>1</v>
      </c>
      <c r="T83" s="26">
        <f t="shared" si="32"/>
        <v>503</v>
      </c>
      <c r="U83" s="27">
        <f t="shared" si="33"/>
        <v>0.97415506958250497</v>
      </c>
      <c r="V83" s="27">
        <f t="shared" si="34"/>
        <v>0</v>
      </c>
      <c r="W83" s="27">
        <f t="shared" si="35"/>
        <v>2.3856858846918488E-2</v>
      </c>
      <c r="X83" s="27">
        <f t="shared" si="36"/>
        <v>1.9880715705765406E-3</v>
      </c>
      <c r="Y83" s="28">
        <f t="shared" si="37"/>
        <v>40.538767395626245</v>
      </c>
    </row>
    <row r="84" spans="1:25" x14ac:dyDescent="0.25">
      <c r="A84" s="26" t="s">
        <v>279</v>
      </c>
      <c r="B84" s="26" t="s">
        <v>280</v>
      </c>
      <c r="C84" s="26" t="s">
        <v>176</v>
      </c>
      <c r="D84" s="26">
        <v>4</v>
      </c>
      <c r="E84" s="26"/>
      <c r="F84" s="26"/>
      <c r="G84" s="26">
        <v>1</v>
      </c>
      <c r="H84" s="26"/>
      <c r="I84" s="26">
        <v>12</v>
      </c>
      <c r="J84" s="26"/>
      <c r="K84" s="26">
        <v>490</v>
      </c>
      <c r="L84" s="26"/>
      <c r="M84" s="26">
        <v>503</v>
      </c>
      <c r="N84" s="28">
        <v>34.856858846918492</v>
      </c>
      <c r="O84" s="26" t="s">
        <v>247</v>
      </c>
      <c r="P84" s="26">
        <f t="shared" si="28"/>
        <v>490</v>
      </c>
      <c r="Q84" s="26">
        <f t="shared" si="29"/>
        <v>0</v>
      </c>
      <c r="R84" s="26">
        <f t="shared" si="30"/>
        <v>12</v>
      </c>
      <c r="S84" s="26">
        <f t="shared" si="31"/>
        <v>1</v>
      </c>
      <c r="T84" s="26">
        <f t="shared" si="32"/>
        <v>503</v>
      </c>
      <c r="U84" s="27">
        <f t="shared" si="33"/>
        <v>0.97415506958250497</v>
      </c>
      <c r="V84" s="27">
        <f t="shared" si="34"/>
        <v>0</v>
      </c>
      <c r="W84" s="27">
        <f t="shared" si="35"/>
        <v>2.3856858846918488E-2</v>
      </c>
      <c r="X84" s="27">
        <f t="shared" si="36"/>
        <v>1.9880715705765406E-3</v>
      </c>
      <c r="Y84" s="28">
        <f t="shared" si="37"/>
        <v>34.856858846918492</v>
      </c>
    </row>
    <row r="85" spans="1:25" x14ac:dyDescent="0.25">
      <c r="A85" s="26" t="s">
        <v>279</v>
      </c>
      <c r="B85" s="26" t="s">
        <v>280</v>
      </c>
      <c r="C85" s="26" t="s">
        <v>176</v>
      </c>
      <c r="D85" s="26">
        <v>5</v>
      </c>
      <c r="E85" s="26"/>
      <c r="F85" s="26"/>
      <c r="G85" s="26"/>
      <c r="H85" s="26">
        <v>1</v>
      </c>
      <c r="I85" s="26">
        <v>28</v>
      </c>
      <c r="J85" s="26"/>
      <c r="K85" s="26">
        <v>475</v>
      </c>
      <c r="L85" s="26"/>
      <c r="M85" s="26">
        <v>504</v>
      </c>
      <c r="N85" s="28">
        <v>25.178571428571427</v>
      </c>
      <c r="O85" s="26" t="s">
        <v>247</v>
      </c>
      <c r="P85" s="26">
        <f t="shared" si="28"/>
        <v>475</v>
      </c>
      <c r="Q85" s="26">
        <f t="shared" si="29"/>
        <v>1</v>
      </c>
      <c r="R85" s="26">
        <f t="shared" si="30"/>
        <v>28</v>
      </c>
      <c r="S85" s="26">
        <f t="shared" si="31"/>
        <v>0</v>
      </c>
      <c r="T85" s="26">
        <f t="shared" si="32"/>
        <v>504</v>
      </c>
      <c r="U85" s="27">
        <f t="shared" si="33"/>
        <v>0.94246031746031744</v>
      </c>
      <c r="V85" s="27">
        <f t="shared" si="34"/>
        <v>1.984126984126984E-3</v>
      </c>
      <c r="W85" s="27">
        <f t="shared" si="35"/>
        <v>5.5555555555555552E-2</v>
      </c>
      <c r="X85" s="27">
        <f t="shared" si="36"/>
        <v>0</v>
      </c>
      <c r="Y85" s="28">
        <f t="shared" si="37"/>
        <v>25.178571428571427</v>
      </c>
    </row>
    <row r="86" spans="1:25" x14ac:dyDescent="0.25">
      <c r="A86" s="26" t="s">
        <v>281</v>
      </c>
      <c r="B86" s="26" t="s">
        <v>282</v>
      </c>
      <c r="C86" s="26" t="s">
        <v>178</v>
      </c>
      <c r="D86" s="26">
        <v>1</v>
      </c>
      <c r="E86" s="26"/>
      <c r="F86" s="26"/>
      <c r="G86" s="26"/>
      <c r="H86" s="26">
        <v>21</v>
      </c>
      <c r="I86" s="26">
        <v>23</v>
      </c>
      <c r="J86" s="26"/>
      <c r="K86" s="26">
        <v>406</v>
      </c>
      <c r="L86" s="26"/>
      <c r="M86" s="26">
        <v>450</v>
      </c>
      <c r="N86" s="28">
        <v>68.542222222222222</v>
      </c>
      <c r="O86" s="26" t="s">
        <v>247</v>
      </c>
      <c r="P86" s="26">
        <f t="shared" si="28"/>
        <v>406</v>
      </c>
      <c r="Q86" s="26">
        <f t="shared" si="29"/>
        <v>21</v>
      </c>
      <c r="R86" s="26">
        <f t="shared" si="30"/>
        <v>23</v>
      </c>
      <c r="S86" s="26">
        <f t="shared" si="31"/>
        <v>0</v>
      </c>
      <c r="T86" s="26">
        <f t="shared" si="32"/>
        <v>450</v>
      </c>
      <c r="U86" s="27">
        <f t="shared" si="33"/>
        <v>0.90222222222222226</v>
      </c>
      <c r="V86" s="27">
        <f t="shared" si="34"/>
        <v>4.6666666666666669E-2</v>
      </c>
      <c r="W86" s="27">
        <f t="shared" si="35"/>
        <v>5.1111111111111114E-2</v>
      </c>
      <c r="X86" s="27">
        <f t="shared" si="36"/>
        <v>0</v>
      </c>
      <c r="Y86" s="28">
        <f t="shared" si="37"/>
        <v>68.542222222222222</v>
      </c>
    </row>
    <row r="87" spans="1:25" x14ac:dyDescent="0.25">
      <c r="A87" s="26" t="s">
        <v>281</v>
      </c>
      <c r="B87" s="26" t="s">
        <v>282</v>
      </c>
      <c r="C87" s="26" t="s">
        <v>178</v>
      </c>
      <c r="D87" s="26">
        <v>2</v>
      </c>
      <c r="E87" s="26"/>
      <c r="F87" s="26">
        <v>1</v>
      </c>
      <c r="G87" s="26">
        <v>1</v>
      </c>
      <c r="H87" s="26">
        <v>13</v>
      </c>
      <c r="I87" s="26">
        <v>40</v>
      </c>
      <c r="J87" s="26"/>
      <c r="K87" s="26">
        <v>395</v>
      </c>
      <c r="L87" s="26"/>
      <c r="M87" s="26">
        <v>450</v>
      </c>
      <c r="N87" s="28">
        <v>56.853333333333332</v>
      </c>
      <c r="O87" s="26" t="s">
        <v>247</v>
      </c>
      <c r="P87" s="26">
        <f t="shared" si="28"/>
        <v>395</v>
      </c>
      <c r="Q87" s="26">
        <f t="shared" si="29"/>
        <v>13</v>
      </c>
      <c r="R87" s="26">
        <f t="shared" si="30"/>
        <v>40</v>
      </c>
      <c r="S87" s="26">
        <f t="shared" si="31"/>
        <v>2</v>
      </c>
      <c r="T87" s="26">
        <f t="shared" si="32"/>
        <v>450</v>
      </c>
      <c r="U87" s="27">
        <f t="shared" si="33"/>
        <v>0.87777777777777777</v>
      </c>
      <c r="V87" s="27">
        <f t="shared" si="34"/>
        <v>2.8888888888888888E-2</v>
      </c>
      <c r="W87" s="27">
        <f t="shared" si="35"/>
        <v>8.8888888888888892E-2</v>
      </c>
      <c r="X87" s="27">
        <f t="shared" si="36"/>
        <v>4.4444444444444444E-3</v>
      </c>
      <c r="Y87" s="28">
        <f t="shared" si="37"/>
        <v>56.853333333333332</v>
      </c>
    </row>
    <row r="88" spans="1:25" x14ac:dyDescent="0.25">
      <c r="A88" s="26" t="s">
        <v>281</v>
      </c>
      <c r="B88" s="26" t="s">
        <v>282</v>
      </c>
      <c r="C88" s="26" t="s">
        <v>178</v>
      </c>
      <c r="D88" s="26">
        <v>3</v>
      </c>
      <c r="E88" s="26"/>
      <c r="F88" s="26"/>
      <c r="G88" s="26"/>
      <c r="H88" s="26">
        <v>14</v>
      </c>
      <c r="I88" s="26">
        <v>20</v>
      </c>
      <c r="J88" s="26"/>
      <c r="K88" s="26">
        <v>536</v>
      </c>
      <c r="L88" s="26"/>
      <c r="M88" s="26">
        <v>570</v>
      </c>
      <c r="N88" s="28">
        <v>41.815789473684212</v>
      </c>
      <c r="O88" s="26" t="s">
        <v>247</v>
      </c>
      <c r="P88" s="26">
        <f t="shared" si="28"/>
        <v>536</v>
      </c>
      <c r="Q88" s="26">
        <f t="shared" si="29"/>
        <v>14</v>
      </c>
      <c r="R88" s="26">
        <f t="shared" si="30"/>
        <v>20</v>
      </c>
      <c r="S88" s="26">
        <f t="shared" si="31"/>
        <v>0</v>
      </c>
      <c r="T88" s="26">
        <f t="shared" si="32"/>
        <v>570</v>
      </c>
      <c r="U88" s="27">
        <f t="shared" si="33"/>
        <v>0.94035087719298249</v>
      </c>
      <c r="V88" s="27">
        <f t="shared" si="34"/>
        <v>2.456140350877193E-2</v>
      </c>
      <c r="W88" s="27">
        <f t="shared" si="35"/>
        <v>3.5087719298245612E-2</v>
      </c>
      <c r="X88" s="27">
        <f t="shared" si="36"/>
        <v>0</v>
      </c>
      <c r="Y88" s="28">
        <f t="shared" si="37"/>
        <v>41.815789473684212</v>
      </c>
    </row>
    <row r="89" spans="1:25" x14ac:dyDescent="0.25">
      <c r="A89" s="26" t="s">
        <v>281</v>
      </c>
      <c r="B89" s="26" t="s">
        <v>282</v>
      </c>
      <c r="C89" s="26" t="s">
        <v>178</v>
      </c>
      <c r="D89" s="26">
        <v>4</v>
      </c>
      <c r="E89" s="26"/>
      <c r="F89" s="26">
        <v>1</v>
      </c>
      <c r="G89" s="26"/>
      <c r="H89" s="26">
        <v>12</v>
      </c>
      <c r="I89" s="26">
        <v>7</v>
      </c>
      <c r="J89" s="26"/>
      <c r="K89" s="26">
        <v>550</v>
      </c>
      <c r="L89" s="26"/>
      <c r="M89" s="26">
        <v>570</v>
      </c>
      <c r="N89" s="28">
        <v>35.184210526315788</v>
      </c>
      <c r="O89" s="26" t="s">
        <v>247</v>
      </c>
      <c r="P89" s="26">
        <f t="shared" si="28"/>
        <v>550</v>
      </c>
      <c r="Q89" s="26">
        <f t="shared" si="29"/>
        <v>12</v>
      </c>
      <c r="R89" s="26">
        <f t="shared" si="30"/>
        <v>7</v>
      </c>
      <c r="S89" s="26">
        <f t="shared" si="31"/>
        <v>1</v>
      </c>
      <c r="T89" s="26">
        <f t="shared" si="32"/>
        <v>570</v>
      </c>
      <c r="U89" s="27">
        <f t="shared" si="33"/>
        <v>0.96491228070175439</v>
      </c>
      <c r="V89" s="27">
        <f t="shared" si="34"/>
        <v>2.1052631578947368E-2</v>
      </c>
      <c r="W89" s="27">
        <f t="shared" si="35"/>
        <v>1.2280701754385965E-2</v>
      </c>
      <c r="X89" s="27">
        <f t="shared" si="36"/>
        <v>1.7543859649122807E-3</v>
      </c>
      <c r="Y89" s="28">
        <f t="shared" si="37"/>
        <v>35.184210526315788</v>
      </c>
    </row>
    <row r="90" spans="1:25" x14ac:dyDescent="0.25">
      <c r="A90" s="26" t="s">
        <v>281</v>
      </c>
      <c r="B90" s="26" t="s">
        <v>282</v>
      </c>
      <c r="C90" s="26" t="s">
        <v>178</v>
      </c>
      <c r="D90" s="26">
        <v>5</v>
      </c>
      <c r="E90" s="26"/>
      <c r="F90" s="26"/>
      <c r="G90" s="26"/>
      <c r="H90" s="26">
        <v>12</v>
      </c>
      <c r="I90" s="26">
        <v>31</v>
      </c>
      <c r="J90" s="26"/>
      <c r="K90" s="26">
        <v>527</v>
      </c>
      <c r="L90" s="26"/>
      <c r="M90" s="26">
        <v>570</v>
      </c>
      <c r="N90" s="28">
        <v>25.266666666666666</v>
      </c>
      <c r="O90" s="26" t="s">
        <v>247</v>
      </c>
      <c r="P90" s="26">
        <f t="shared" si="28"/>
        <v>527</v>
      </c>
      <c r="Q90" s="26">
        <f t="shared" si="29"/>
        <v>12</v>
      </c>
      <c r="R90" s="26">
        <f t="shared" si="30"/>
        <v>31</v>
      </c>
      <c r="S90" s="26">
        <f t="shared" si="31"/>
        <v>0</v>
      </c>
      <c r="T90" s="26">
        <f t="shared" si="32"/>
        <v>570</v>
      </c>
      <c r="U90" s="27">
        <f t="shared" si="33"/>
        <v>0.92456140350877192</v>
      </c>
      <c r="V90" s="27">
        <f t="shared" si="34"/>
        <v>2.1052631578947368E-2</v>
      </c>
      <c r="W90" s="27">
        <f t="shared" si="35"/>
        <v>5.4385964912280704E-2</v>
      </c>
      <c r="X90" s="27">
        <f t="shared" si="36"/>
        <v>0</v>
      </c>
      <c r="Y90" s="28">
        <f t="shared" si="37"/>
        <v>25.266666666666666</v>
      </c>
    </row>
    <row r="91" spans="1:25" x14ac:dyDescent="0.25">
      <c r="A91" s="26" t="s">
        <v>283</v>
      </c>
      <c r="B91" s="26" t="s">
        <v>284</v>
      </c>
      <c r="C91" s="26" t="s">
        <v>180</v>
      </c>
      <c r="D91" s="26">
        <v>1</v>
      </c>
      <c r="E91" s="26"/>
      <c r="F91" s="26">
        <v>1</v>
      </c>
      <c r="G91" s="26">
        <v>1</v>
      </c>
      <c r="H91" s="26">
        <v>50</v>
      </c>
      <c r="I91" s="26">
        <v>44</v>
      </c>
      <c r="J91" s="26">
        <v>1</v>
      </c>
      <c r="K91" s="26">
        <v>353</v>
      </c>
      <c r="L91" s="26"/>
      <c r="M91" s="26">
        <v>450</v>
      </c>
      <c r="N91" s="28">
        <v>68.888888888888886</v>
      </c>
      <c r="O91" s="26" t="s">
        <v>247</v>
      </c>
      <c r="P91" s="26">
        <f t="shared" si="28"/>
        <v>353</v>
      </c>
      <c r="Q91" s="26">
        <f t="shared" si="29"/>
        <v>50</v>
      </c>
      <c r="R91" s="26">
        <f t="shared" si="30"/>
        <v>44</v>
      </c>
      <c r="S91" s="26">
        <f t="shared" si="31"/>
        <v>3</v>
      </c>
      <c r="T91" s="26">
        <f t="shared" si="32"/>
        <v>450</v>
      </c>
      <c r="U91" s="27">
        <f t="shared" si="33"/>
        <v>0.7844444444444445</v>
      </c>
      <c r="V91" s="27">
        <f t="shared" si="34"/>
        <v>0.1111111111111111</v>
      </c>
      <c r="W91" s="27">
        <f t="shared" si="35"/>
        <v>9.7777777777777783E-2</v>
      </c>
      <c r="X91" s="27">
        <f t="shared" si="36"/>
        <v>6.6666666666666671E-3</v>
      </c>
      <c r="Y91" s="28">
        <f t="shared" si="37"/>
        <v>68.888888888888886</v>
      </c>
    </row>
    <row r="92" spans="1:25" x14ac:dyDescent="0.25">
      <c r="A92" s="26" t="s">
        <v>283</v>
      </c>
      <c r="B92" s="26" t="s">
        <v>284</v>
      </c>
      <c r="C92" s="26" t="s">
        <v>180</v>
      </c>
      <c r="D92" s="26">
        <v>2</v>
      </c>
      <c r="E92" s="26"/>
      <c r="F92" s="26"/>
      <c r="G92" s="26"/>
      <c r="H92" s="26">
        <v>24</v>
      </c>
      <c r="I92" s="26">
        <v>51</v>
      </c>
      <c r="J92" s="26">
        <v>1</v>
      </c>
      <c r="K92" s="26">
        <v>374</v>
      </c>
      <c r="L92" s="26"/>
      <c r="M92" s="26">
        <v>450</v>
      </c>
      <c r="N92" s="28">
        <v>54.726666666666667</v>
      </c>
      <c r="O92" s="26" t="s">
        <v>247</v>
      </c>
      <c r="P92" s="26">
        <f t="shared" si="28"/>
        <v>374</v>
      </c>
      <c r="Q92" s="26">
        <f t="shared" si="29"/>
        <v>24</v>
      </c>
      <c r="R92" s="26">
        <f t="shared" si="30"/>
        <v>51</v>
      </c>
      <c r="S92" s="26">
        <f t="shared" si="31"/>
        <v>1</v>
      </c>
      <c r="T92" s="26">
        <f t="shared" si="32"/>
        <v>450</v>
      </c>
      <c r="U92" s="27">
        <f t="shared" si="33"/>
        <v>0.83111111111111113</v>
      </c>
      <c r="V92" s="27">
        <f t="shared" si="34"/>
        <v>5.3333333333333337E-2</v>
      </c>
      <c r="W92" s="27">
        <f t="shared" si="35"/>
        <v>0.11333333333333333</v>
      </c>
      <c r="X92" s="27">
        <f t="shared" si="36"/>
        <v>2.2222222222222222E-3</v>
      </c>
      <c r="Y92" s="28">
        <f t="shared" si="37"/>
        <v>54.726666666666667</v>
      </c>
    </row>
    <row r="93" spans="1:25" x14ac:dyDescent="0.25">
      <c r="A93" s="26" t="s">
        <v>283</v>
      </c>
      <c r="B93" s="26" t="s">
        <v>284</v>
      </c>
      <c r="C93" s="26" t="s">
        <v>180</v>
      </c>
      <c r="D93" s="26">
        <v>3</v>
      </c>
      <c r="E93" s="26"/>
      <c r="F93" s="26">
        <v>2</v>
      </c>
      <c r="G93" s="26"/>
      <c r="H93" s="26">
        <v>36</v>
      </c>
      <c r="I93" s="26">
        <v>27</v>
      </c>
      <c r="J93" s="26"/>
      <c r="K93" s="26">
        <v>441</v>
      </c>
      <c r="L93" s="26"/>
      <c r="M93" s="26">
        <v>506</v>
      </c>
      <c r="N93" s="28">
        <v>41.262845849802375</v>
      </c>
      <c r="O93" s="26" t="s">
        <v>247</v>
      </c>
      <c r="P93" s="26">
        <f t="shared" si="28"/>
        <v>441</v>
      </c>
      <c r="Q93" s="26">
        <f t="shared" si="29"/>
        <v>36</v>
      </c>
      <c r="R93" s="26">
        <f t="shared" si="30"/>
        <v>27</v>
      </c>
      <c r="S93" s="26">
        <f t="shared" si="31"/>
        <v>2</v>
      </c>
      <c r="T93" s="26">
        <f t="shared" si="32"/>
        <v>506</v>
      </c>
      <c r="U93" s="27">
        <f t="shared" si="33"/>
        <v>0.87154150197628455</v>
      </c>
      <c r="V93" s="27">
        <f t="shared" si="34"/>
        <v>7.1146245059288543E-2</v>
      </c>
      <c r="W93" s="27">
        <f t="shared" si="35"/>
        <v>5.33596837944664E-2</v>
      </c>
      <c r="X93" s="27">
        <f t="shared" si="36"/>
        <v>3.952569169960474E-3</v>
      </c>
      <c r="Y93" s="28">
        <f t="shared" si="37"/>
        <v>41.262845849802375</v>
      </c>
    </row>
    <row r="94" spans="1:25" x14ac:dyDescent="0.25">
      <c r="A94" s="26" t="s">
        <v>283</v>
      </c>
      <c r="B94" s="26" t="s">
        <v>284</v>
      </c>
      <c r="C94" s="26" t="s">
        <v>180</v>
      </c>
      <c r="D94" s="26">
        <v>4</v>
      </c>
      <c r="E94" s="26"/>
      <c r="F94" s="26"/>
      <c r="G94" s="26"/>
      <c r="H94" s="26">
        <v>17</v>
      </c>
      <c r="I94" s="26">
        <v>22</v>
      </c>
      <c r="J94" s="26"/>
      <c r="K94" s="26">
        <v>467</v>
      </c>
      <c r="L94" s="26"/>
      <c r="M94" s="26">
        <v>506</v>
      </c>
      <c r="N94" s="28">
        <v>34.968379446640313</v>
      </c>
      <c r="O94" s="26" t="s">
        <v>247</v>
      </c>
      <c r="P94" s="26">
        <f t="shared" si="28"/>
        <v>467</v>
      </c>
      <c r="Q94" s="26">
        <f t="shared" si="29"/>
        <v>17</v>
      </c>
      <c r="R94" s="26">
        <f t="shared" si="30"/>
        <v>22</v>
      </c>
      <c r="S94" s="26">
        <f t="shared" si="31"/>
        <v>0</v>
      </c>
      <c r="T94" s="26">
        <f t="shared" si="32"/>
        <v>506</v>
      </c>
      <c r="U94" s="27">
        <f t="shared" si="33"/>
        <v>0.92292490118577075</v>
      </c>
      <c r="V94" s="27">
        <f t="shared" si="34"/>
        <v>3.3596837944664032E-2</v>
      </c>
      <c r="W94" s="27">
        <f t="shared" si="35"/>
        <v>4.3478260869565216E-2</v>
      </c>
      <c r="X94" s="27">
        <f t="shared" si="36"/>
        <v>0</v>
      </c>
      <c r="Y94" s="28">
        <f t="shared" si="37"/>
        <v>34.968379446640313</v>
      </c>
    </row>
    <row r="95" spans="1:25" x14ac:dyDescent="0.25">
      <c r="A95" s="26" t="s">
        <v>283</v>
      </c>
      <c r="B95" s="26" t="s">
        <v>284</v>
      </c>
      <c r="C95" s="26" t="s">
        <v>180</v>
      </c>
      <c r="D95" s="26">
        <v>5</v>
      </c>
      <c r="E95" s="26"/>
      <c r="F95" s="26"/>
      <c r="G95" s="26"/>
      <c r="H95" s="26">
        <v>12</v>
      </c>
      <c r="I95" s="26">
        <v>30</v>
      </c>
      <c r="J95" s="26"/>
      <c r="K95" s="26">
        <v>465</v>
      </c>
      <c r="L95" s="26"/>
      <c r="M95" s="26">
        <v>507</v>
      </c>
      <c r="N95" s="28">
        <v>25.285996055226825</v>
      </c>
      <c r="O95" s="26" t="s">
        <v>247</v>
      </c>
      <c r="P95" s="26">
        <f t="shared" si="28"/>
        <v>465</v>
      </c>
      <c r="Q95" s="26">
        <f t="shared" si="29"/>
        <v>12</v>
      </c>
      <c r="R95" s="26">
        <f t="shared" si="30"/>
        <v>30</v>
      </c>
      <c r="S95" s="26">
        <f t="shared" si="31"/>
        <v>0</v>
      </c>
      <c r="T95" s="26">
        <f t="shared" si="32"/>
        <v>507</v>
      </c>
      <c r="U95" s="27">
        <f t="shared" si="33"/>
        <v>0.91715976331360949</v>
      </c>
      <c r="V95" s="27">
        <f t="shared" si="34"/>
        <v>2.3668639053254437E-2</v>
      </c>
      <c r="W95" s="27">
        <f t="shared" si="35"/>
        <v>5.9171597633136092E-2</v>
      </c>
      <c r="X95" s="27">
        <f t="shared" si="36"/>
        <v>0</v>
      </c>
      <c r="Y95" s="28">
        <f t="shared" si="37"/>
        <v>25.285996055226825</v>
      </c>
    </row>
    <row r="96" spans="1:25" x14ac:dyDescent="0.25">
      <c r="A96" s="26" t="s">
        <v>285</v>
      </c>
      <c r="B96" s="26" t="s">
        <v>286</v>
      </c>
      <c r="C96" s="26" t="s">
        <v>182</v>
      </c>
      <c r="D96" s="26">
        <v>1</v>
      </c>
      <c r="E96" s="26"/>
      <c r="F96" s="26">
        <v>1</v>
      </c>
      <c r="G96" s="26"/>
      <c r="H96" s="26">
        <v>42</v>
      </c>
      <c r="I96" s="26">
        <v>42</v>
      </c>
      <c r="J96" s="26">
        <v>1</v>
      </c>
      <c r="K96" s="26">
        <v>364</v>
      </c>
      <c r="L96" s="26"/>
      <c r="M96" s="26">
        <v>450</v>
      </c>
      <c r="N96" s="28">
        <v>68.49111111111111</v>
      </c>
      <c r="O96" s="26" t="s">
        <v>247</v>
      </c>
      <c r="P96" s="26">
        <f t="shared" si="28"/>
        <v>364</v>
      </c>
      <c r="Q96" s="26">
        <f t="shared" si="29"/>
        <v>42</v>
      </c>
      <c r="R96" s="26">
        <f t="shared" si="30"/>
        <v>42</v>
      </c>
      <c r="S96" s="26">
        <f t="shared" si="31"/>
        <v>2</v>
      </c>
      <c r="T96" s="26">
        <f t="shared" si="32"/>
        <v>450</v>
      </c>
      <c r="U96" s="27">
        <f t="shared" si="33"/>
        <v>0.80888888888888888</v>
      </c>
      <c r="V96" s="27">
        <f t="shared" si="34"/>
        <v>9.3333333333333338E-2</v>
      </c>
      <c r="W96" s="27">
        <f t="shared" si="35"/>
        <v>9.3333333333333338E-2</v>
      </c>
      <c r="X96" s="27">
        <f t="shared" si="36"/>
        <v>4.4444444444444444E-3</v>
      </c>
      <c r="Y96" s="28">
        <f t="shared" si="37"/>
        <v>68.49111111111111</v>
      </c>
    </row>
    <row r="97" spans="1:25" x14ac:dyDescent="0.25">
      <c r="A97" s="26" t="s">
        <v>285</v>
      </c>
      <c r="B97" s="26" t="s">
        <v>286</v>
      </c>
      <c r="C97" s="26" t="s">
        <v>182</v>
      </c>
      <c r="D97" s="26">
        <v>2</v>
      </c>
      <c r="E97" s="26"/>
      <c r="F97" s="26"/>
      <c r="G97" s="26"/>
      <c r="H97" s="26">
        <v>37</v>
      </c>
      <c r="I97" s="26">
        <v>46</v>
      </c>
      <c r="J97" s="26"/>
      <c r="K97" s="26">
        <v>367</v>
      </c>
      <c r="L97" s="26"/>
      <c r="M97" s="26">
        <v>450</v>
      </c>
      <c r="N97" s="28">
        <v>55.835555555555558</v>
      </c>
      <c r="O97" s="26" t="s">
        <v>247</v>
      </c>
      <c r="P97" s="26">
        <f t="shared" si="28"/>
        <v>367</v>
      </c>
      <c r="Q97" s="26">
        <f t="shared" si="29"/>
        <v>37</v>
      </c>
      <c r="R97" s="26">
        <f t="shared" si="30"/>
        <v>46</v>
      </c>
      <c r="S97" s="26">
        <f t="shared" si="31"/>
        <v>0</v>
      </c>
      <c r="T97" s="26">
        <f t="shared" si="32"/>
        <v>450</v>
      </c>
      <c r="U97" s="27">
        <f t="shared" si="33"/>
        <v>0.81555555555555559</v>
      </c>
      <c r="V97" s="27">
        <f t="shared" si="34"/>
        <v>8.2222222222222224E-2</v>
      </c>
      <c r="W97" s="27">
        <f t="shared" si="35"/>
        <v>0.10222222222222223</v>
      </c>
      <c r="X97" s="27">
        <f t="shared" si="36"/>
        <v>0</v>
      </c>
      <c r="Y97" s="28">
        <f t="shared" si="37"/>
        <v>55.835555555555558</v>
      </c>
    </row>
    <row r="98" spans="1:25" x14ac:dyDescent="0.25">
      <c r="A98" s="26" t="s">
        <v>285</v>
      </c>
      <c r="B98" s="26" t="s">
        <v>286</v>
      </c>
      <c r="C98" s="26" t="s">
        <v>182</v>
      </c>
      <c r="D98" s="26">
        <v>3</v>
      </c>
      <c r="E98" s="26"/>
      <c r="F98" s="26"/>
      <c r="G98" s="26">
        <v>1</v>
      </c>
      <c r="H98" s="26">
        <v>30</v>
      </c>
      <c r="I98" s="26">
        <v>35</v>
      </c>
      <c r="J98" s="26"/>
      <c r="K98" s="26">
        <v>671</v>
      </c>
      <c r="L98" s="26"/>
      <c r="M98" s="26">
        <v>737</v>
      </c>
      <c r="N98" s="28">
        <v>41.207598371777479</v>
      </c>
      <c r="O98" s="26" t="s">
        <v>247</v>
      </c>
      <c r="P98" s="26">
        <f t="shared" si="28"/>
        <v>671</v>
      </c>
      <c r="Q98" s="26">
        <f t="shared" si="29"/>
        <v>30</v>
      </c>
      <c r="R98" s="26">
        <f t="shared" si="30"/>
        <v>35</v>
      </c>
      <c r="S98" s="26">
        <f t="shared" si="31"/>
        <v>1</v>
      </c>
      <c r="T98" s="26">
        <f t="shared" si="32"/>
        <v>737</v>
      </c>
      <c r="U98" s="27">
        <f t="shared" si="33"/>
        <v>0.91044776119402981</v>
      </c>
      <c r="V98" s="27">
        <f t="shared" si="34"/>
        <v>4.0705563093622797E-2</v>
      </c>
      <c r="W98" s="27">
        <f t="shared" si="35"/>
        <v>4.7489823609226593E-2</v>
      </c>
      <c r="X98" s="27">
        <f t="shared" si="36"/>
        <v>1.3568521031207597E-3</v>
      </c>
      <c r="Y98" s="28">
        <f t="shared" si="37"/>
        <v>41.207598371777479</v>
      </c>
    </row>
    <row r="99" spans="1:25" x14ac:dyDescent="0.25">
      <c r="A99" s="26" t="s">
        <v>285</v>
      </c>
      <c r="B99" s="26" t="s">
        <v>286</v>
      </c>
      <c r="C99" s="26" t="s">
        <v>182</v>
      </c>
      <c r="D99" s="26">
        <v>4</v>
      </c>
      <c r="E99" s="26">
        <v>2</v>
      </c>
      <c r="F99" s="26"/>
      <c r="G99" s="26"/>
      <c r="H99" s="26">
        <v>34</v>
      </c>
      <c r="I99" s="26">
        <v>25</v>
      </c>
      <c r="J99" s="26"/>
      <c r="K99" s="26">
        <v>676</v>
      </c>
      <c r="L99" s="26"/>
      <c r="M99" s="26">
        <v>737</v>
      </c>
      <c r="N99" s="28">
        <v>27.845318860244234</v>
      </c>
      <c r="O99" s="26" t="s">
        <v>247</v>
      </c>
      <c r="P99" s="26">
        <f t="shared" si="28"/>
        <v>676</v>
      </c>
      <c r="Q99" s="26">
        <f t="shared" si="29"/>
        <v>34</v>
      </c>
      <c r="R99" s="26">
        <f t="shared" si="30"/>
        <v>25</v>
      </c>
      <c r="S99" s="26">
        <f t="shared" si="31"/>
        <v>2</v>
      </c>
      <c r="T99" s="26">
        <f t="shared" si="32"/>
        <v>737</v>
      </c>
      <c r="U99" s="27">
        <f t="shared" si="33"/>
        <v>0.91723202170963369</v>
      </c>
      <c r="V99" s="27">
        <f t="shared" si="34"/>
        <v>4.6132971506105833E-2</v>
      </c>
      <c r="W99" s="27">
        <f t="shared" si="35"/>
        <v>3.3921302578018994E-2</v>
      </c>
      <c r="X99" s="27">
        <f t="shared" si="36"/>
        <v>2.7137042062415195E-3</v>
      </c>
      <c r="Y99" s="28">
        <f t="shared" si="37"/>
        <v>27.845318860244234</v>
      </c>
    </row>
    <row r="100" spans="1:25" x14ac:dyDescent="0.25">
      <c r="A100" s="26" t="s">
        <v>287</v>
      </c>
      <c r="B100" s="26" t="s">
        <v>288</v>
      </c>
      <c r="C100" s="26" t="s">
        <v>184</v>
      </c>
      <c r="D100" s="26">
        <v>1</v>
      </c>
      <c r="E100" s="26"/>
      <c r="F100" s="26"/>
      <c r="G100" s="26"/>
      <c r="H100" s="26">
        <v>70</v>
      </c>
      <c r="I100" s="26">
        <v>280</v>
      </c>
      <c r="J100" s="26"/>
      <c r="K100" s="26">
        <v>78</v>
      </c>
      <c r="L100" s="26"/>
      <c r="M100" s="26">
        <v>428</v>
      </c>
      <c r="N100" s="28">
        <v>55.532710280373834</v>
      </c>
      <c r="O100" s="26" t="s">
        <v>247</v>
      </c>
      <c r="P100" s="26">
        <f t="shared" si="28"/>
        <v>78</v>
      </c>
      <c r="Q100" s="26">
        <f t="shared" si="29"/>
        <v>70</v>
      </c>
      <c r="R100" s="26">
        <f t="shared" si="30"/>
        <v>280</v>
      </c>
      <c r="S100" s="26">
        <f t="shared" si="31"/>
        <v>0</v>
      </c>
      <c r="T100" s="26">
        <f t="shared" si="32"/>
        <v>428</v>
      </c>
      <c r="U100" s="27">
        <f t="shared" si="33"/>
        <v>0.1822429906542056</v>
      </c>
      <c r="V100" s="27">
        <f t="shared" si="34"/>
        <v>0.16355140186915887</v>
      </c>
      <c r="W100" s="27">
        <f t="shared" si="35"/>
        <v>0.65420560747663548</v>
      </c>
      <c r="X100" s="27">
        <f t="shared" si="36"/>
        <v>0</v>
      </c>
      <c r="Y100" s="28">
        <f t="shared" si="37"/>
        <v>55.532710280373834</v>
      </c>
    </row>
    <row r="101" spans="1:25" x14ac:dyDescent="0.25">
      <c r="A101" s="26" t="s">
        <v>289</v>
      </c>
      <c r="B101" s="26" t="s">
        <v>290</v>
      </c>
      <c r="C101" s="26" t="s">
        <v>186</v>
      </c>
      <c r="D101" s="26">
        <v>1</v>
      </c>
      <c r="E101" s="26"/>
      <c r="F101" s="26"/>
      <c r="G101" s="26">
        <v>1</v>
      </c>
      <c r="H101" s="26">
        <v>75</v>
      </c>
      <c r="I101" s="26">
        <v>284</v>
      </c>
      <c r="J101" s="26">
        <v>1</v>
      </c>
      <c r="K101" s="26">
        <v>76</v>
      </c>
      <c r="L101" s="26">
        <v>13</v>
      </c>
      <c r="M101" s="26">
        <v>450</v>
      </c>
      <c r="N101" s="28">
        <v>63.791111111111114</v>
      </c>
      <c r="O101" s="26" t="s">
        <v>247</v>
      </c>
      <c r="P101" s="26">
        <f t="shared" si="28"/>
        <v>76</v>
      </c>
      <c r="Q101" s="26">
        <f t="shared" si="29"/>
        <v>75</v>
      </c>
      <c r="R101" s="26">
        <f t="shared" si="30"/>
        <v>284</v>
      </c>
      <c r="S101" s="26">
        <f t="shared" si="31"/>
        <v>15</v>
      </c>
      <c r="T101" s="26">
        <f t="shared" si="32"/>
        <v>450</v>
      </c>
      <c r="U101" s="27">
        <f t="shared" si="33"/>
        <v>0.16888888888888889</v>
      </c>
      <c r="V101" s="27">
        <f t="shared" si="34"/>
        <v>0.16666666666666666</v>
      </c>
      <c r="W101" s="27">
        <f t="shared" si="35"/>
        <v>0.63111111111111107</v>
      </c>
      <c r="X101" s="27">
        <f t="shared" si="36"/>
        <v>3.3333333333333333E-2</v>
      </c>
      <c r="Y101" s="28">
        <f t="shared" si="37"/>
        <v>63.791111111111114</v>
      </c>
    </row>
    <row r="102" spans="1:25" x14ac:dyDescent="0.25">
      <c r="A102" s="26" t="s">
        <v>289</v>
      </c>
      <c r="B102" s="26" t="s">
        <v>290</v>
      </c>
      <c r="C102" s="26" t="s">
        <v>186</v>
      </c>
      <c r="D102" s="26">
        <v>2</v>
      </c>
      <c r="E102" s="26"/>
      <c r="F102" s="26"/>
      <c r="G102" s="26"/>
      <c r="H102" s="26">
        <v>43</v>
      </c>
      <c r="I102" s="26">
        <v>223</v>
      </c>
      <c r="J102" s="26"/>
      <c r="K102" s="26">
        <v>161</v>
      </c>
      <c r="L102" s="26">
        <v>23</v>
      </c>
      <c r="M102" s="26">
        <v>450</v>
      </c>
      <c r="N102" s="28">
        <v>59.233333333333334</v>
      </c>
      <c r="O102" s="26" t="s">
        <v>247</v>
      </c>
      <c r="P102" s="26">
        <f t="shared" si="28"/>
        <v>161</v>
      </c>
      <c r="Q102" s="26">
        <f t="shared" si="29"/>
        <v>43</v>
      </c>
      <c r="R102" s="26">
        <f t="shared" si="30"/>
        <v>223</v>
      </c>
      <c r="S102" s="26">
        <f t="shared" si="31"/>
        <v>23</v>
      </c>
      <c r="T102" s="26">
        <f t="shared" si="32"/>
        <v>450</v>
      </c>
      <c r="U102" s="27">
        <f t="shared" si="33"/>
        <v>0.35777777777777775</v>
      </c>
      <c r="V102" s="27">
        <f t="shared" si="34"/>
        <v>9.555555555555556E-2</v>
      </c>
      <c r="W102" s="27">
        <f t="shared" si="35"/>
        <v>0.49555555555555558</v>
      </c>
      <c r="X102" s="27">
        <f t="shared" si="36"/>
        <v>5.1111111111111114E-2</v>
      </c>
      <c r="Y102" s="28">
        <f t="shared" si="37"/>
        <v>59.233333333333334</v>
      </c>
    </row>
    <row r="103" spans="1:25" x14ac:dyDescent="0.25">
      <c r="A103" s="26" t="s">
        <v>289</v>
      </c>
      <c r="B103" s="26" t="s">
        <v>290</v>
      </c>
      <c r="C103" s="26" t="s">
        <v>186</v>
      </c>
      <c r="D103" s="26">
        <v>3</v>
      </c>
      <c r="E103" s="26">
        <v>2</v>
      </c>
      <c r="F103" s="26"/>
      <c r="G103" s="26">
        <v>1</v>
      </c>
      <c r="H103" s="26">
        <v>77</v>
      </c>
      <c r="I103" s="26">
        <v>347</v>
      </c>
      <c r="J103" s="26">
        <v>2</v>
      </c>
      <c r="K103" s="26">
        <v>173</v>
      </c>
      <c r="L103" s="26">
        <v>61</v>
      </c>
      <c r="M103" s="26">
        <v>663</v>
      </c>
      <c r="N103" s="28">
        <v>48.782805429864254</v>
      </c>
      <c r="O103" s="26" t="s">
        <v>247</v>
      </c>
      <c r="P103" s="26">
        <f t="shared" si="28"/>
        <v>173</v>
      </c>
      <c r="Q103" s="26">
        <f t="shared" si="29"/>
        <v>77</v>
      </c>
      <c r="R103" s="26">
        <f t="shared" si="30"/>
        <v>347</v>
      </c>
      <c r="S103" s="26">
        <f t="shared" si="31"/>
        <v>66</v>
      </c>
      <c r="T103" s="26">
        <f t="shared" si="32"/>
        <v>663</v>
      </c>
      <c r="U103" s="27">
        <f t="shared" si="33"/>
        <v>0.26093514328808448</v>
      </c>
      <c r="V103" s="27">
        <f t="shared" si="34"/>
        <v>0.11613876319758673</v>
      </c>
      <c r="W103" s="27">
        <f t="shared" si="35"/>
        <v>0.52337858220211164</v>
      </c>
      <c r="X103" s="27">
        <f t="shared" si="36"/>
        <v>9.9547511312217188E-2</v>
      </c>
      <c r="Y103" s="28">
        <f t="shared" si="37"/>
        <v>48.782805429864254</v>
      </c>
    </row>
    <row r="104" spans="1:25" x14ac:dyDescent="0.25">
      <c r="A104" s="26" t="s">
        <v>289</v>
      </c>
      <c r="B104" s="26" t="s">
        <v>290</v>
      </c>
      <c r="C104" s="26" t="s">
        <v>186</v>
      </c>
      <c r="D104" s="26">
        <v>4</v>
      </c>
      <c r="E104" s="26">
        <v>2</v>
      </c>
      <c r="F104" s="26"/>
      <c r="G104" s="26"/>
      <c r="H104" s="26">
        <v>88</v>
      </c>
      <c r="I104" s="26">
        <v>374</v>
      </c>
      <c r="J104" s="26">
        <v>1</v>
      </c>
      <c r="K104" s="26">
        <v>146</v>
      </c>
      <c r="L104" s="26">
        <v>53</v>
      </c>
      <c r="M104" s="26">
        <v>664</v>
      </c>
      <c r="N104" s="28">
        <v>38.436746987951807</v>
      </c>
      <c r="O104" s="26" t="s">
        <v>247</v>
      </c>
      <c r="P104" s="26">
        <f t="shared" si="28"/>
        <v>146</v>
      </c>
      <c r="Q104" s="26">
        <f t="shared" si="29"/>
        <v>88</v>
      </c>
      <c r="R104" s="26">
        <f t="shared" si="30"/>
        <v>374</v>
      </c>
      <c r="S104" s="26">
        <f t="shared" si="31"/>
        <v>56</v>
      </c>
      <c r="T104" s="26">
        <f t="shared" si="32"/>
        <v>664</v>
      </c>
      <c r="U104" s="27">
        <f t="shared" si="33"/>
        <v>0.21987951807228914</v>
      </c>
      <c r="V104" s="27">
        <f t="shared" si="34"/>
        <v>0.13253012048192772</v>
      </c>
      <c r="W104" s="27">
        <f t="shared" si="35"/>
        <v>0.56325301204819278</v>
      </c>
      <c r="X104" s="27">
        <f t="shared" si="36"/>
        <v>8.4337349397590355E-2</v>
      </c>
      <c r="Y104" s="28">
        <f t="shared" si="37"/>
        <v>38.436746987951807</v>
      </c>
    </row>
    <row r="105" spans="1:25" x14ac:dyDescent="0.25">
      <c r="A105" s="26" t="s">
        <v>289</v>
      </c>
      <c r="B105" s="26" t="s">
        <v>290</v>
      </c>
      <c r="C105" s="26" t="s">
        <v>186</v>
      </c>
      <c r="D105" s="26">
        <v>5</v>
      </c>
      <c r="E105" s="26">
        <v>18</v>
      </c>
      <c r="F105" s="26"/>
      <c r="G105" s="26">
        <v>1</v>
      </c>
      <c r="H105" s="26">
        <v>86</v>
      </c>
      <c r="I105" s="26">
        <v>260</v>
      </c>
      <c r="J105" s="26"/>
      <c r="K105" s="26">
        <v>286</v>
      </c>
      <c r="L105" s="26">
        <v>13</v>
      </c>
      <c r="M105" s="26">
        <v>664</v>
      </c>
      <c r="N105" s="28">
        <v>31.409638554216869</v>
      </c>
      <c r="O105" s="26" t="s">
        <v>247</v>
      </c>
      <c r="P105" s="26">
        <f t="shared" si="28"/>
        <v>286</v>
      </c>
      <c r="Q105" s="26">
        <f t="shared" si="29"/>
        <v>86</v>
      </c>
      <c r="R105" s="26">
        <f t="shared" si="30"/>
        <v>260</v>
      </c>
      <c r="S105" s="26">
        <f t="shared" si="31"/>
        <v>32</v>
      </c>
      <c r="T105" s="26">
        <f t="shared" si="32"/>
        <v>664</v>
      </c>
      <c r="U105" s="27">
        <f t="shared" si="33"/>
        <v>0.43072289156626509</v>
      </c>
      <c r="V105" s="27">
        <f t="shared" si="34"/>
        <v>0.12951807228915663</v>
      </c>
      <c r="W105" s="27">
        <f t="shared" si="35"/>
        <v>0.39156626506024095</v>
      </c>
      <c r="X105" s="27">
        <f t="shared" si="36"/>
        <v>4.8192771084337352E-2</v>
      </c>
      <c r="Y105" s="28">
        <f t="shared" si="37"/>
        <v>31.409638554216869</v>
      </c>
    </row>
    <row r="106" spans="1:25" x14ac:dyDescent="0.25">
      <c r="A106" s="26" t="s">
        <v>289</v>
      </c>
      <c r="B106" s="26" t="s">
        <v>290</v>
      </c>
      <c r="C106" s="26" t="s">
        <v>186</v>
      </c>
      <c r="D106" s="26">
        <v>6</v>
      </c>
      <c r="E106" s="26">
        <v>1</v>
      </c>
      <c r="F106" s="26"/>
      <c r="G106" s="26"/>
      <c r="H106" s="26">
        <v>63</v>
      </c>
      <c r="I106" s="26">
        <v>252</v>
      </c>
      <c r="J106" s="26"/>
      <c r="K106" s="26">
        <v>343</v>
      </c>
      <c r="L106" s="26">
        <v>5</v>
      </c>
      <c r="M106" s="26">
        <v>664</v>
      </c>
      <c r="N106" s="28">
        <v>25.765060240963855</v>
      </c>
      <c r="O106" s="26" t="s">
        <v>247</v>
      </c>
      <c r="P106" s="26">
        <f t="shared" si="28"/>
        <v>343</v>
      </c>
      <c r="Q106" s="26">
        <f t="shared" si="29"/>
        <v>63</v>
      </c>
      <c r="R106" s="26">
        <f t="shared" si="30"/>
        <v>252</v>
      </c>
      <c r="S106" s="26">
        <f t="shared" si="31"/>
        <v>6</v>
      </c>
      <c r="T106" s="26">
        <f t="shared" si="32"/>
        <v>664</v>
      </c>
      <c r="U106" s="27">
        <f t="shared" si="33"/>
        <v>0.51656626506024095</v>
      </c>
      <c r="V106" s="27">
        <f t="shared" si="34"/>
        <v>9.4879518072289157E-2</v>
      </c>
      <c r="W106" s="27">
        <f t="shared" si="35"/>
        <v>0.37951807228915663</v>
      </c>
      <c r="X106" s="27">
        <f t="shared" si="36"/>
        <v>9.0361445783132526E-3</v>
      </c>
      <c r="Y106" s="28">
        <f t="shared" si="37"/>
        <v>25.765060240963855</v>
      </c>
    </row>
    <row r="107" spans="1:25" x14ac:dyDescent="0.25">
      <c r="A107" s="26" t="s">
        <v>289</v>
      </c>
      <c r="B107" s="26" t="s">
        <v>290</v>
      </c>
      <c r="C107" s="26" t="s">
        <v>186</v>
      </c>
      <c r="D107" s="26">
        <v>7</v>
      </c>
      <c r="E107" s="26"/>
      <c r="F107" s="26"/>
      <c r="G107" s="26"/>
      <c r="H107" s="26">
        <v>74</v>
      </c>
      <c r="I107" s="26">
        <v>244</v>
      </c>
      <c r="J107" s="26"/>
      <c r="K107" s="26">
        <v>346</v>
      </c>
      <c r="L107" s="26"/>
      <c r="M107" s="26">
        <v>664</v>
      </c>
      <c r="N107" s="28">
        <v>20.537650602409638</v>
      </c>
      <c r="O107" s="26" t="s">
        <v>247</v>
      </c>
      <c r="P107" s="26">
        <f t="shared" si="28"/>
        <v>346</v>
      </c>
      <c r="Q107" s="26">
        <f t="shared" si="29"/>
        <v>74</v>
      </c>
      <c r="R107" s="26">
        <f t="shared" si="30"/>
        <v>244</v>
      </c>
      <c r="S107" s="26">
        <f t="shared" si="31"/>
        <v>0</v>
      </c>
      <c r="T107" s="26">
        <f t="shared" si="32"/>
        <v>664</v>
      </c>
      <c r="U107" s="27">
        <f t="shared" si="33"/>
        <v>0.52108433734939763</v>
      </c>
      <c r="V107" s="27">
        <f t="shared" si="34"/>
        <v>0.11144578313253012</v>
      </c>
      <c r="W107" s="27">
        <f t="shared" si="35"/>
        <v>0.36746987951807231</v>
      </c>
      <c r="X107" s="27">
        <f t="shared" si="36"/>
        <v>0</v>
      </c>
      <c r="Y107" s="28">
        <f t="shared" si="37"/>
        <v>20.537650602409638</v>
      </c>
    </row>
    <row r="108" spans="1:25" x14ac:dyDescent="0.25">
      <c r="A108" s="26" t="s">
        <v>291</v>
      </c>
      <c r="B108" s="26" t="s">
        <v>292</v>
      </c>
      <c r="C108" s="26" t="s">
        <v>188</v>
      </c>
      <c r="D108" s="26">
        <v>1</v>
      </c>
      <c r="E108" s="26">
        <v>1</v>
      </c>
      <c r="F108" s="26"/>
      <c r="G108" s="26">
        <v>1</v>
      </c>
      <c r="H108" s="26">
        <v>18</v>
      </c>
      <c r="I108" s="26">
        <v>6</v>
      </c>
      <c r="J108" s="26">
        <v>1</v>
      </c>
      <c r="K108" s="26">
        <v>389</v>
      </c>
      <c r="L108" s="26">
        <v>34</v>
      </c>
      <c r="M108" s="26">
        <v>450</v>
      </c>
      <c r="N108" s="28">
        <v>60.873333333333335</v>
      </c>
      <c r="O108" s="26" t="s">
        <v>247</v>
      </c>
      <c r="P108" s="26">
        <f t="shared" si="28"/>
        <v>389</v>
      </c>
      <c r="Q108" s="26">
        <f t="shared" si="29"/>
        <v>18</v>
      </c>
      <c r="R108" s="26">
        <f t="shared" si="30"/>
        <v>6</v>
      </c>
      <c r="S108" s="26">
        <f t="shared" si="31"/>
        <v>37</v>
      </c>
      <c r="T108" s="26">
        <f t="shared" si="32"/>
        <v>450</v>
      </c>
      <c r="U108" s="27">
        <f t="shared" si="33"/>
        <v>0.86444444444444446</v>
      </c>
      <c r="V108" s="27">
        <f t="shared" si="34"/>
        <v>0.04</v>
      </c>
      <c r="W108" s="27">
        <f t="shared" si="35"/>
        <v>1.3333333333333334E-2</v>
      </c>
      <c r="X108" s="27">
        <f t="shared" si="36"/>
        <v>8.2222222222222224E-2</v>
      </c>
      <c r="Y108" s="28">
        <f t="shared" si="37"/>
        <v>60.873333333333335</v>
      </c>
    </row>
    <row r="109" spans="1:25" x14ac:dyDescent="0.25">
      <c r="A109" s="26" t="s">
        <v>291</v>
      </c>
      <c r="B109" s="26" t="s">
        <v>292</v>
      </c>
      <c r="C109" s="26" t="s">
        <v>188</v>
      </c>
      <c r="D109" s="26">
        <v>2</v>
      </c>
      <c r="E109" s="26"/>
      <c r="F109" s="26"/>
      <c r="G109" s="26"/>
      <c r="H109" s="26"/>
      <c r="I109" s="26">
        <v>5</v>
      </c>
      <c r="J109" s="26"/>
      <c r="K109" s="26">
        <v>623</v>
      </c>
      <c r="L109" s="26">
        <v>4</v>
      </c>
      <c r="M109" s="26">
        <v>632</v>
      </c>
      <c r="N109" s="28">
        <v>33.367088607594937</v>
      </c>
      <c r="O109" s="26" t="s">
        <v>247</v>
      </c>
      <c r="P109" s="26">
        <f t="shared" si="28"/>
        <v>623</v>
      </c>
      <c r="Q109" s="26">
        <f t="shared" si="29"/>
        <v>0</v>
      </c>
      <c r="R109" s="26">
        <f t="shared" si="30"/>
        <v>5</v>
      </c>
      <c r="S109" s="26">
        <f t="shared" si="31"/>
        <v>4</v>
      </c>
      <c r="T109" s="26">
        <f t="shared" si="32"/>
        <v>632</v>
      </c>
      <c r="U109" s="27">
        <f t="shared" si="33"/>
        <v>0.98575949367088611</v>
      </c>
      <c r="V109" s="27">
        <f t="shared" si="34"/>
        <v>0</v>
      </c>
      <c r="W109" s="27">
        <f t="shared" si="35"/>
        <v>7.9113924050632917E-3</v>
      </c>
      <c r="X109" s="27">
        <f t="shared" si="36"/>
        <v>6.3291139240506328E-3</v>
      </c>
      <c r="Y109" s="28">
        <f t="shared" si="37"/>
        <v>33.367088607594937</v>
      </c>
    </row>
    <row r="110" spans="1:25" x14ac:dyDescent="0.25">
      <c r="A110" s="26" t="s">
        <v>293</v>
      </c>
      <c r="B110" s="26" t="s">
        <v>294</v>
      </c>
      <c r="C110" s="26" t="s">
        <v>190</v>
      </c>
      <c r="D110" s="26">
        <v>1</v>
      </c>
      <c r="E110" s="26"/>
      <c r="F110" s="26"/>
      <c r="G110" s="26"/>
      <c r="H110" s="26">
        <v>67</v>
      </c>
      <c r="I110" s="26">
        <v>347</v>
      </c>
      <c r="J110" s="26"/>
      <c r="K110" s="26">
        <v>31</v>
      </c>
      <c r="L110" s="26">
        <v>5</v>
      </c>
      <c r="M110" s="26">
        <v>450</v>
      </c>
      <c r="N110" s="28">
        <v>60.297777777777775</v>
      </c>
      <c r="O110" s="26" t="s">
        <v>247</v>
      </c>
      <c r="P110" s="26">
        <f t="shared" si="28"/>
        <v>31</v>
      </c>
      <c r="Q110" s="26">
        <f t="shared" si="29"/>
        <v>67</v>
      </c>
      <c r="R110" s="26">
        <f t="shared" si="30"/>
        <v>347</v>
      </c>
      <c r="S110" s="26">
        <f t="shared" si="31"/>
        <v>5</v>
      </c>
      <c r="T110" s="26">
        <f t="shared" si="32"/>
        <v>450</v>
      </c>
      <c r="U110" s="27">
        <f t="shared" si="33"/>
        <v>6.8888888888888888E-2</v>
      </c>
      <c r="V110" s="27">
        <f t="shared" si="34"/>
        <v>0.14888888888888888</v>
      </c>
      <c r="W110" s="27">
        <f t="shared" si="35"/>
        <v>0.77111111111111108</v>
      </c>
      <c r="X110" s="27">
        <f t="shared" si="36"/>
        <v>1.1111111111111112E-2</v>
      </c>
      <c r="Y110" s="28">
        <f t="shared" si="37"/>
        <v>60.297777777777775</v>
      </c>
    </row>
    <row r="111" spans="1:25" x14ac:dyDescent="0.25">
      <c r="A111" s="26" t="s">
        <v>293</v>
      </c>
      <c r="B111" s="26" t="s">
        <v>294</v>
      </c>
      <c r="C111" s="26" t="s">
        <v>190</v>
      </c>
      <c r="D111" s="26">
        <v>2</v>
      </c>
      <c r="E111" s="26">
        <v>1</v>
      </c>
      <c r="F111" s="26"/>
      <c r="G111" s="26"/>
      <c r="H111" s="26">
        <v>43</v>
      </c>
      <c r="I111" s="26">
        <v>447</v>
      </c>
      <c r="J111" s="26"/>
      <c r="K111" s="26">
        <v>115</v>
      </c>
      <c r="L111" s="26">
        <v>11</v>
      </c>
      <c r="M111" s="26">
        <v>617</v>
      </c>
      <c r="N111" s="28">
        <v>33.361426256077799</v>
      </c>
      <c r="O111" s="26" t="s">
        <v>247</v>
      </c>
      <c r="P111" s="26">
        <f t="shared" si="28"/>
        <v>115</v>
      </c>
      <c r="Q111" s="26">
        <f t="shared" si="29"/>
        <v>43</v>
      </c>
      <c r="R111" s="26">
        <f t="shared" si="30"/>
        <v>447</v>
      </c>
      <c r="S111" s="26">
        <f t="shared" si="31"/>
        <v>12</v>
      </c>
      <c r="T111" s="26">
        <f t="shared" si="32"/>
        <v>617</v>
      </c>
      <c r="U111" s="27">
        <f t="shared" si="33"/>
        <v>0.18638573743922204</v>
      </c>
      <c r="V111" s="27">
        <f t="shared" si="34"/>
        <v>6.9692058346839544E-2</v>
      </c>
      <c r="W111" s="27">
        <f t="shared" si="35"/>
        <v>0.72447325769854132</v>
      </c>
      <c r="X111" s="27">
        <f t="shared" si="36"/>
        <v>1.9448946515397084E-2</v>
      </c>
      <c r="Y111" s="28">
        <f t="shared" si="37"/>
        <v>33.361426256077799</v>
      </c>
    </row>
    <row r="112" spans="1:25" x14ac:dyDescent="0.25">
      <c r="A112" s="26" t="s">
        <v>295</v>
      </c>
      <c r="B112" s="26" t="s">
        <v>296</v>
      </c>
      <c r="C112" s="26" t="s">
        <v>192</v>
      </c>
      <c r="D112" s="26">
        <v>1</v>
      </c>
      <c r="E112" s="26"/>
      <c r="F112" s="26"/>
      <c r="G112" s="26"/>
      <c r="H112" s="26">
        <v>25</v>
      </c>
      <c r="I112" s="26">
        <v>226</v>
      </c>
      <c r="J112" s="26"/>
      <c r="K112" s="26">
        <v>59</v>
      </c>
      <c r="L112" s="26">
        <v>140</v>
      </c>
      <c r="M112" s="26">
        <v>450</v>
      </c>
      <c r="N112" s="28">
        <v>54.66</v>
      </c>
      <c r="O112" s="26" t="s">
        <v>247</v>
      </c>
      <c r="P112" s="26">
        <f t="shared" si="28"/>
        <v>59</v>
      </c>
      <c r="Q112" s="26">
        <f t="shared" si="29"/>
        <v>25</v>
      </c>
      <c r="R112" s="26">
        <f t="shared" si="30"/>
        <v>226</v>
      </c>
      <c r="S112" s="26">
        <f t="shared" si="31"/>
        <v>140</v>
      </c>
      <c r="T112" s="26">
        <f t="shared" si="32"/>
        <v>450</v>
      </c>
      <c r="U112" s="27">
        <f t="shared" si="33"/>
        <v>0.13111111111111112</v>
      </c>
      <c r="V112" s="27">
        <f t="shared" si="34"/>
        <v>5.5555555555555552E-2</v>
      </c>
      <c r="W112" s="27">
        <f t="shared" si="35"/>
        <v>0.50222222222222224</v>
      </c>
      <c r="X112" s="27">
        <f t="shared" si="36"/>
        <v>0.31111111111111112</v>
      </c>
      <c r="Y112" s="28">
        <f t="shared" si="37"/>
        <v>54.66</v>
      </c>
    </row>
    <row r="113" spans="1:25" x14ac:dyDescent="0.25">
      <c r="A113" s="26" t="s">
        <v>295</v>
      </c>
      <c r="B113" s="26" t="s">
        <v>296</v>
      </c>
      <c r="C113" s="26" t="s">
        <v>192</v>
      </c>
      <c r="D113" s="26">
        <v>2</v>
      </c>
      <c r="E113" s="26">
        <v>21</v>
      </c>
      <c r="F113" s="26"/>
      <c r="G113" s="26"/>
      <c r="H113" s="26">
        <v>16</v>
      </c>
      <c r="I113" s="26">
        <v>138</v>
      </c>
      <c r="J113" s="26"/>
      <c r="K113" s="26">
        <v>98</v>
      </c>
      <c r="L113" s="26">
        <v>59</v>
      </c>
      <c r="M113" s="26">
        <v>332</v>
      </c>
      <c r="N113" s="28">
        <v>28.409638554216869</v>
      </c>
      <c r="O113" s="26" t="s">
        <v>247</v>
      </c>
      <c r="P113" s="26">
        <f t="shared" si="28"/>
        <v>98</v>
      </c>
      <c r="Q113" s="26">
        <f t="shared" si="29"/>
        <v>16</v>
      </c>
      <c r="R113" s="26">
        <f t="shared" si="30"/>
        <v>138</v>
      </c>
      <c r="S113" s="26">
        <f t="shared" si="31"/>
        <v>80</v>
      </c>
      <c r="T113" s="26">
        <f t="shared" si="32"/>
        <v>332</v>
      </c>
      <c r="U113" s="27">
        <f t="shared" si="33"/>
        <v>0.29518072289156627</v>
      </c>
      <c r="V113" s="27">
        <f t="shared" si="34"/>
        <v>4.8192771084337352E-2</v>
      </c>
      <c r="W113" s="27">
        <f t="shared" si="35"/>
        <v>0.41566265060240964</v>
      </c>
      <c r="X113" s="27">
        <f t="shared" si="36"/>
        <v>0.24096385542168675</v>
      </c>
      <c r="Y113" s="28">
        <f t="shared" si="37"/>
        <v>28.409638554216869</v>
      </c>
    </row>
    <row r="114" spans="1:25" x14ac:dyDescent="0.25">
      <c r="A114" s="26" t="s">
        <v>297</v>
      </c>
      <c r="B114" s="26" t="s">
        <v>298</v>
      </c>
      <c r="C114" s="26" t="s">
        <v>194</v>
      </c>
      <c r="D114" s="26">
        <v>1</v>
      </c>
      <c r="E114" s="26"/>
      <c r="F114" s="26"/>
      <c r="G114" s="26"/>
      <c r="H114" s="26">
        <v>9</v>
      </c>
      <c r="I114" s="26">
        <v>286</v>
      </c>
      <c r="J114" s="26"/>
      <c r="K114" s="26">
        <v>44</v>
      </c>
      <c r="L114" s="26"/>
      <c r="M114" s="26">
        <v>339</v>
      </c>
      <c r="N114" s="28">
        <v>48.26548672566372</v>
      </c>
      <c r="O114" s="26" t="s">
        <v>247</v>
      </c>
      <c r="P114" s="26">
        <f t="shared" si="28"/>
        <v>44</v>
      </c>
      <c r="Q114" s="26">
        <f t="shared" si="29"/>
        <v>9</v>
      </c>
      <c r="R114" s="26">
        <f t="shared" si="30"/>
        <v>286</v>
      </c>
      <c r="S114" s="26">
        <f t="shared" si="31"/>
        <v>0</v>
      </c>
      <c r="T114" s="26">
        <f t="shared" si="32"/>
        <v>339</v>
      </c>
      <c r="U114" s="27">
        <f t="shared" si="33"/>
        <v>0.12979351032448377</v>
      </c>
      <c r="V114" s="27">
        <f t="shared" si="34"/>
        <v>2.6548672566371681E-2</v>
      </c>
      <c r="W114" s="27">
        <f t="shared" si="35"/>
        <v>0.84365781710914456</v>
      </c>
      <c r="X114" s="27">
        <f t="shared" si="36"/>
        <v>0</v>
      </c>
      <c r="Y114" s="28">
        <f t="shared" si="37"/>
        <v>48.26548672566372</v>
      </c>
    </row>
    <row r="115" spans="1:25" x14ac:dyDescent="0.25">
      <c r="A115" s="26" t="s">
        <v>299</v>
      </c>
      <c r="B115" s="26" t="s">
        <v>300</v>
      </c>
      <c r="C115" s="26" t="s">
        <v>196</v>
      </c>
      <c r="D115" s="26">
        <v>1</v>
      </c>
      <c r="E115" s="26"/>
      <c r="F115" s="26">
        <v>1</v>
      </c>
      <c r="G115" s="26"/>
      <c r="H115" s="26">
        <v>27</v>
      </c>
      <c r="I115" s="26">
        <v>279</v>
      </c>
      <c r="J115" s="26"/>
      <c r="K115" s="26">
        <v>61</v>
      </c>
      <c r="L115" s="26"/>
      <c r="M115" s="26">
        <v>368</v>
      </c>
      <c r="N115" s="28">
        <v>40.709239130434781</v>
      </c>
      <c r="O115" s="26" t="s">
        <v>247</v>
      </c>
      <c r="P115" s="26">
        <f t="shared" si="28"/>
        <v>61</v>
      </c>
      <c r="Q115" s="26">
        <f t="shared" si="29"/>
        <v>27</v>
      </c>
      <c r="R115" s="26">
        <f t="shared" si="30"/>
        <v>279</v>
      </c>
      <c r="S115" s="26">
        <f t="shared" si="31"/>
        <v>1</v>
      </c>
      <c r="T115" s="26">
        <f t="shared" si="32"/>
        <v>368</v>
      </c>
      <c r="U115" s="27">
        <f t="shared" si="33"/>
        <v>0.16576086956521738</v>
      </c>
      <c r="V115" s="27">
        <f t="shared" si="34"/>
        <v>7.3369565217391311E-2</v>
      </c>
      <c r="W115" s="27">
        <f t="shared" si="35"/>
        <v>0.75815217391304346</v>
      </c>
      <c r="X115" s="27">
        <f t="shared" si="36"/>
        <v>2.717391304347826E-3</v>
      </c>
      <c r="Y115" s="28">
        <f t="shared" si="37"/>
        <v>40.709239130434781</v>
      </c>
    </row>
    <row r="116" spans="1:25" x14ac:dyDescent="0.25">
      <c r="A116" s="26" t="s">
        <v>301</v>
      </c>
      <c r="B116" s="26" t="s">
        <v>302</v>
      </c>
      <c r="C116" s="26" t="s">
        <v>198</v>
      </c>
      <c r="D116" s="26">
        <v>1</v>
      </c>
      <c r="E116" s="26">
        <v>1</v>
      </c>
      <c r="F116" s="26"/>
      <c r="G116" s="26"/>
      <c r="H116" s="26">
        <v>205</v>
      </c>
      <c r="I116" s="26">
        <v>147</v>
      </c>
      <c r="J116" s="26">
        <v>1</v>
      </c>
      <c r="K116" s="26">
        <v>96</v>
      </c>
      <c r="L116" s="26"/>
      <c r="M116" s="26">
        <v>450</v>
      </c>
      <c r="N116" s="28">
        <v>67.673333333333332</v>
      </c>
      <c r="O116" s="26" t="s">
        <v>247</v>
      </c>
      <c r="P116" s="26">
        <f t="shared" si="28"/>
        <v>96</v>
      </c>
      <c r="Q116" s="26">
        <f t="shared" si="29"/>
        <v>205</v>
      </c>
      <c r="R116" s="26">
        <f t="shared" si="30"/>
        <v>147</v>
      </c>
      <c r="S116" s="26">
        <f t="shared" si="31"/>
        <v>2</v>
      </c>
      <c r="T116" s="26">
        <f t="shared" si="32"/>
        <v>450</v>
      </c>
      <c r="U116" s="27">
        <f t="shared" si="33"/>
        <v>0.21333333333333335</v>
      </c>
      <c r="V116" s="27">
        <f t="shared" si="34"/>
        <v>0.45555555555555555</v>
      </c>
      <c r="W116" s="27">
        <f t="shared" si="35"/>
        <v>0.32666666666666666</v>
      </c>
      <c r="X116" s="27">
        <f t="shared" si="36"/>
        <v>4.4444444444444444E-3</v>
      </c>
      <c r="Y116" s="28">
        <f t="shared" si="37"/>
        <v>67.673333333333332</v>
      </c>
    </row>
    <row r="117" spans="1:25" x14ac:dyDescent="0.25">
      <c r="A117" s="26" t="s">
        <v>301</v>
      </c>
      <c r="B117" s="26" t="s">
        <v>302</v>
      </c>
      <c r="C117" s="26" t="s">
        <v>198</v>
      </c>
      <c r="D117" s="26">
        <v>2</v>
      </c>
      <c r="E117" s="26"/>
      <c r="F117" s="26"/>
      <c r="G117" s="26"/>
      <c r="H117" s="26">
        <v>81</v>
      </c>
      <c r="I117" s="26">
        <v>164</v>
      </c>
      <c r="J117" s="26">
        <v>1</v>
      </c>
      <c r="K117" s="26">
        <v>204</v>
      </c>
      <c r="L117" s="26"/>
      <c r="M117" s="26">
        <v>450</v>
      </c>
      <c r="N117" s="28">
        <v>59.22</v>
      </c>
      <c r="O117" s="26" t="s">
        <v>247</v>
      </c>
      <c r="P117" s="26">
        <f t="shared" si="28"/>
        <v>204</v>
      </c>
      <c r="Q117" s="26">
        <f t="shared" si="29"/>
        <v>81</v>
      </c>
      <c r="R117" s="26">
        <f t="shared" si="30"/>
        <v>164</v>
      </c>
      <c r="S117" s="26">
        <f t="shared" si="31"/>
        <v>1</v>
      </c>
      <c r="T117" s="26">
        <f t="shared" si="32"/>
        <v>450</v>
      </c>
      <c r="U117" s="27">
        <f t="shared" si="33"/>
        <v>0.45333333333333331</v>
      </c>
      <c r="V117" s="27">
        <f t="shared" si="34"/>
        <v>0.18</v>
      </c>
      <c r="W117" s="27">
        <f t="shared" si="35"/>
        <v>0.36444444444444446</v>
      </c>
      <c r="X117" s="27">
        <f t="shared" si="36"/>
        <v>2.2222222222222222E-3</v>
      </c>
      <c r="Y117" s="28">
        <f t="shared" si="37"/>
        <v>59.22</v>
      </c>
    </row>
    <row r="118" spans="1:25" x14ac:dyDescent="0.25">
      <c r="A118" s="26" t="s">
        <v>301</v>
      </c>
      <c r="B118" s="26" t="s">
        <v>302</v>
      </c>
      <c r="C118" s="26" t="s">
        <v>198</v>
      </c>
      <c r="D118" s="26">
        <v>3</v>
      </c>
      <c r="E118" s="26">
        <v>1</v>
      </c>
      <c r="F118" s="26"/>
      <c r="G118" s="26"/>
      <c r="H118" s="26">
        <v>198</v>
      </c>
      <c r="I118" s="26">
        <v>252</v>
      </c>
      <c r="J118" s="26">
        <v>1</v>
      </c>
      <c r="K118" s="26">
        <v>273</v>
      </c>
      <c r="L118" s="26">
        <v>2</v>
      </c>
      <c r="M118" s="26">
        <v>727</v>
      </c>
      <c r="N118" s="28">
        <v>46.854195323246216</v>
      </c>
      <c r="O118" s="26" t="s">
        <v>247</v>
      </c>
      <c r="P118" s="26">
        <f t="shared" si="28"/>
        <v>273</v>
      </c>
      <c r="Q118" s="26">
        <f t="shared" si="29"/>
        <v>198</v>
      </c>
      <c r="R118" s="26">
        <f t="shared" si="30"/>
        <v>252</v>
      </c>
      <c r="S118" s="26">
        <f t="shared" si="31"/>
        <v>4</v>
      </c>
      <c r="T118" s="26">
        <f t="shared" si="32"/>
        <v>727</v>
      </c>
      <c r="U118" s="27">
        <f t="shared" si="33"/>
        <v>0.37551581843191195</v>
      </c>
      <c r="V118" s="27">
        <f t="shared" si="34"/>
        <v>0.27235213204951858</v>
      </c>
      <c r="W118" s="27">
        <f t="shared" si="35"/>
        <v>0.34662998624484181</v>
      </c>
      <c r="X118" s="27">
        <f t="shared" si="36"/>
        <v>5.5020632737276479E-3</v>
      </c>
      <c r="Y118" s="28">
        <f t="shared" si="37"/>
        <v>46.854195323246216</v>
      </c>
    </row>
    <row r="119" spans="1:25" x14ac:dyDescent="0.25">
      <c r="A119" s="26" t="s">
        <v>301</v>
      </c>
      <c r="B119" s="26" t="s">
        <v>302</v>
      </c>
      <c r="C119" s="26" t="s">
        <v>198</v>
      </c>
      <c r="D119" s="26">
        <v>4</v>
      </c>
      <c r="E119" s="26">
        <v>6</v>
      </c>
      <c r="F119" s="26"/>
      <c r="G119" s="26"/>
      <c r="H119" s="26">
        <v>107</v>
      </c>
      <c r="I119" s="26">
        <v>309</v>
      </c>
      <c r="J119" s="26"/>
      <c r="K119" s="26">
        <v>303</v>
      </c>
      <c r="L119" s="26">
        <v>2</v>
      </c>
      <c r="M119" s="26">
        <v>727</v>
      </c>
      <c r="N119" s="28">
        <v>33.456671251719392</v>
      </c>
      <c r="O119" s="26" t="s">
        <v>247</v>
      </c>
      <c r="P119" s="26">
        <f t="shared" si="28"/>
        <v>303</v>
      </c>
      <c r="Q119" s="26">
        <f t="shared" si="29"/>
        <v>107</v>
      </c>
      <c r="R119" s="26">
        <f t="shared" si="30"/>
        <v>309</v>
      </c>
      <c r="S119" s="26">
        <f t="shared" si="31"/>
        <v>8</v>
      </c>
      <c r="T119" s="26">
        <f t="shared" si="32"/>
        <v>727</v>
      </c>
      <c r="U119" s="27">
        <f t="shared" si="33"/>
        <v>0.41678129298486932</v>
      </c>
      <c r="V119" s="27">
        <f t="shared" si="34"/>
        <v>0.14718019257221457</v>
      </c>
      <c r="W119" s="27">
        <f t="shared" si="35"/>
        <v>0.42503438789546077</v>
      </c>
      <c r="X119" s="27">
        <f t="shared" si="36"/>
        <v>1.1004126547455296E-2</v>
      </c>
      <c r="Y119" s="28">
        <f t="shared" si="37"/>
        <v>33.456671251719392</v>
      </c>
    </row>
    <row r="120" spans="1:25" x14ac:dyDescent="0.25">
      <c r="A120" s="26" t="s">
        <v>301</v>
      </c>
      <c r="B120" s="26" t="s">
        <v>302</v>
      </c>
      <c r="C120" s="26" t="s">
        <v>198</v>
      </c>
      <c r="D120" s="26">
        <v>5</v>
      </c>
      <c r="E120" s="26">
        <v>1</v>
      </c>
      <c r="F120" s="26"/>
      <c r="G120" s="26">
        <v>1</v>
      </c>
      <c r="H120" s="26">
        <v>74</v>
      </c>
      <c r="I120" s="26">
        <v>229</v>
      </c>
      <c r="J120" s="26">
        <v>2</v>
      </c>
      <c r="K120" s="26">
        <v>420</v>
      </c>
      <c r="L120" s="26"/>
      <c r="M120" s="26">
        <v>727</v>
      </c>
      <c r="N120" s="28">
        <v>23.583218707015131</v>
      </c>
      <c r="O120" s="26" t="s">
        <v>247</v>
      </c>
      <c r="P120" s="26">
        <f t="shared" si="28"/>
        <v>420</v>
      </c>
      <c r="Q120" s="26">
        <f t="shared" si="29"/>
        <v>74</v>
      </c>
      <c r="R120" s="26">
        <f t="shared" si="30"/>
        <v>229</v>
      </c>
      <c r="S120" s="26">
        <f t="shared" si="31"/>
        <v>4</v>
      </c>
      <c r="T120" s="26">
        <f t="shared" si="32"/>
        <v>727</v>
      </c>
      <c r="U120" s="27">
        <f t="shared" si="33"/>
        <v>0.57771664374140308</v>
      </c>
      <c r="V120" s="27">
        <f t="shared" si="34"/>
        <v>0.10178817056396149</v>
      </c>
      <c r="W120" s="27">
        <f t="shared" si="35"/>
        <v>0.31499312242090782</v>
      </c>
      <c r="X120" s="27">
        <f t="shared" si="36"/>
        <v>5.5020632737276479E-3</v>
      </c>
      <c r="Y120" s="28">
        <f t="shared" si="37"/>
        <v>23.583218707015131</v>
      </c>
    </row>
    <row r="121" spans="1:25" x14ac:dyDescent="0.25">
      <c r="A121" s="26" t="s">
        <v>303</v>
      </c>
      <c r="B121" s="26" t="s">
        <v>304</v>
      </c>
      <c r="C121" s="26" t="s">
        <v>200</v>
      </c>
      <c r="D121" s="26">
        <v>1</v>
      </c>
      <c r="E121" s="26"/>
      <c r="F121" s="26"/>
      <c r="G121" s="26"/>
      <c r="H121" s="26">
        <v>48</v>
      </c>
      <c r="I121" s="26">
        <v>41</v>
      </c>
      <c r="J121" s="26"/>
      <c r="K121" s="26">
        <v>361</v>
      </c>
      <c r="L121" s="26"/>
      <c r="M121" s="26">
        <v>450</v>
      </c>
      <c r="N121" s="28">
        <v>68.697777777777773</v>
      </c>
      <c r="O121" s="26" t="s">
        <v>247</v>
      </c>
      <c r="P121" s="26">
        <f t="shared" si="28"/>
        <v>361</v>
      </c>
      <c r="Q121" s="26">
        <f t="shared" si="29"/>
        <v>48</v>
      </c>
      <c r="R121" s="26">
        <f t="shared" si="30"/>
        <v>41</v>
      </c>
      <c r="S121" s="26">
        <f t="shared" si="31"/>
        <v>0</v>
      </c>
      <c r="T121" s="26">
        <f t="shared" si="32"/>
        <v>450</v>
      </c>
      <c r="U121" s="27">
        <f t="shared" si="33"/>
        <v>0.80222222222222217</v>
      </c>
      <c r="V121" s="27">
        <f t="shared" si="34"/>
        <v>0.10666666666666667</v>
      </c>
      <c r="W121" s="27">
        <f t="shared" si="35"/>
        <v>9.1111111111111115E-2</v>
      </c>
      <c r="X121" s="27">
        <f t="shared" si="36"/>
        <v>0</v>
      </c>
      <c r="Y121" s="28">
        <f t="shared" si="37"/>
        <v>68.697777777777773</v>
      </c>
    </row>
    <row r="122" spans="1:25" x14ac:dyDescent="0.25">
      <c r="A122" s="26" t="s">
        <v>303</v>
      </c>
      <c r="B122" s="26" t="s">
        <v>304</v>
      </c>
      <c r="C122" s="26" t="s">
        <v>200</v>
      </c>
      <c r="D122" s="26">
        <v>2</v>
      </c>
      <c r="E122" s="26"/>
      <c r="F122" s="26"/>
      <c r="G122" s="26">
        <v>1</v>
      </c>
      <c r="H122" s="26">
        <v>27</v>
      </c>
      <c r="I122" s="26">
        <v>46</v>
      </c>
      <c r="J122" s="26">
        <v>1</v>
      </c>
      <c r="K122" s="26">
        <v>375</v>
      </c>
      <c r="L122" s="26"/>
      <c r="M122" s="26">
        <v>450</v>
      </c>
      <c r="N122" s="28">
        <v>58.595555555555556</v>
      </c>
      <c r="O122" s="26" t="s">
        <v>247</v>
      </c>
      <c r="P122" s="26">
        <f t="shared" si="28"/>
        <v>375</v>
      </c>
      <c r="Q122" s="26">
        <f t="shared" si="29"/>
        <v>27</v>
      </c>
      <c r="R122" s="26">
        <f t="shared" si="30"/>
        <v>46</v>
      </c>
      <c r="S122" s="26">
        <f t="shared" si="31"/>
        <v>2</v>
      </c>
      <c r="T122" s="26">
        <f t="shared" si="32"/>
        <v>450</v>
      </c>
      <c r="U122" s="27">
        <f t="shared" si="33"/>
        <v>0.83333333333333337</v>
      </c>
      <c r="V122" s="27">
        <f t="shared" si="34"/>
        <v>0.06</v>
      </c>
      <c r="W122" s="27">
        <f t="shared" si="35"/>
        <v>0.10222222222222223</v>
      </c>
      <c r="X122" s="27">
        <f t="shared" si="36"/>
        <v>4.4444444444444444E-3</v>
      </c>
      <c r="Y122" s="28">
        <f t="shared" si="37"/>
        <v>58.595555555555556</v>
      </c>
    </row>
    <row r="123" spans="1:25" x14ac:dyDescent="0.25">
      <c r="A123" s="26" t="s">
        <v>303</v>
      </c>
      <c r="B123" s="26" t="s">
        <v>304</v>
      </c>
      <c r="C123" s="26" t="s">
        <v>200</v>
      </c>
      <c r="D123" s="26">
        <v>3</v>
      </c>
      <c r="E123" s="26"/>
      <c r="F123" s="26"/>
      <c r="G123" s="26"/>
      <c r="H123" s="26">
        <v>20</v>
      </c>
      <c r="I123" s="26">
        <v>43</v>
      </c>
      <c r="J123" s="26">
        <v>1</v>
      </c>
      <c r="K123" s="26">
        <v>528</v>
      </c>
      <c r="L123" s="26"/>
      <c r="M123" s="26">
        <v>592</v>
      </c>
      <c r="N123" s="28">
        <v>43.994932432432435</v>
      </c>
      <c r="O123" s="26" t="s">
        <v>247</v>
      </c>
      <c r="P123" s="26">
        <f t="shared" si="28"/>
        <v>528</v>
      </c>
      <c r="Q123" s="26">
        <f t="shared" si="29"/>
        <v>20</v>
      </c>
      <c r="R123" s="26">
        <f t="shared" si="30"/>
        <v>43</v>
      </c>
      <c r="S123" s="26">
        <f t="shared" si="31"/>
        <v>1</v>
      </c>
      <c r="T123" s="26">
        <f t="shared" si="32"/>
        <v>592</v>
      </c>
      <c r="U123" s="27">
        <f t="shared" si="33"/>
        <v>0.89189189189189189</v>
      </c>
      <c r="V123" s="27">
        <f t="shared" si="34"/>
        <v>3.3783783783783786E-2</v>
      </c>
      <c r="W123" s="27">
        <f t="shared" si="35"/>
        <v>7.2635135135135129E-2</v>
      </c>
      <c r="X123" s="27">
        <f t="shared" si="36"/>
        <v>1.6891891891891893E-3</v>
      </c>
      <c r="Y123" s="28">
        <f t="shared" si="37"/>
        <v>43.994932432432435</v>
      </c>
    </row>
    <row r="124" spans="1:25" x14ac:dyDescent="0.25">
      <c r="A124" s="26" t="s">
        <v>303</v>
      </c>
      <c r="B124" s="26" t="s">
        <v>304</v>
      </c>
      <c r="C124" s="26" t="s">
        <v>200</v>
      </c>
      <c r="D124" s="26">
        <v>4</v>
      </c>
      <c r="E124" s="26"/>
      <c r="F124" s="26"/>
      <c r="G124" s="26">
        <v>1</v>
      </c>
      <c r="H124" s="26">
        <v>13</v>
      </c>
      <c r="I124" s="26">
        <v>10</v>
      </c>
      <c r="J124" s="26">
        <v>1</v>
      </c>
      <c r="K124" s="26">
        <v>567</v>
      </c>
      <c r="L124" s="26"/>
      <c r="M124" s="26">
        <v>592</v>
      </c>
      <c r="N124" s="28">
        <v>36.545608108108105</v>
      </c>
      <c r="O124" s="26" t="s">
        <v>247</v>
      </c>
      <c r="P124" s="26">
        <f t="shared" si="28"/>
        <v>567</v>
      </c>
      <c r="Q124" s="26">
        <f t="shared" si="29"/>
        <v>13</v>
      </c>
      <c r="R124" s="26">
        <f t="shared" si="30"/>
        <v>10</v>
      </c>
      <c r="S124" s="26">
        <f t="shared" si="31"/>
        <v>2</v>
      </c>
      <c r="T124" s="26">
        <f t="shared" si="32"/>
        <v>592</v>
      </c>
      <c r="U124" s="27">
        <f t="shared" si="33"/>
        <v>0.95777027027027029</v>
      </c>
      <c r="V124" s="27">
        <f t="shared" si="34"/>
        <v>2.1959459459459461E-2</v>
      </c>
      <c r="W124" s="27">
        <f t="shared" si="35"/>
        <v>1.6891891891891893E-2</v>
      </c>
      <c r="X124" s="27">
        <f t="shared" si="36"/>
        <v>3.3783783783783786E-3</v>
      </c>
      <c r="Y124" s="28">
        <f t="shared" si="37"/>
        <v>36.545608108108105</v>
      </c>
    </row>
    <row r="125" spans="1:25" x14ac:dyDescent="0.25">
      <c r="A125" s="26" t="s">
        <v>303</v>
      </c>
      <c r="B125" s="26" t="s">
        <v>304</v>
      </c>
      <c r="C125" s="26" t="s">
        <v>200</v>
      </c>
      <c r="D125" s="26">
        <v>5</v>
      </c>
      <c r="E125" s="26"/>
      <c r="F125" s="26"/>
      <c r="G125" s="26"/>
      <c r="H125" s="26">
        <v>10</v>
      </c>
      <c r="I125" s="26">
        <v>29</v>
      </c>
      <c r="J125" s="26"/>
      <c r="K125" s="26">
        <v>554</v>
      </c>
      <c r="L125" s="26"/>
      <c r="M125" s="26">
        <v>593</v>
      </c>
      <c r="N125" s="28">
        <v>25.310286677908937</v>
      </c>
      <c r="O125" s="26" t="s">
        <v>247</v>
      </c>
      <c r="P125" s="26">
        <f t="shared" si="28"/>
        <v>554</v>
      </c>
      <c r="Q125" s="26">
        <f t="shared" si="29"/>
        <v>10</v>
      </c>
      <c r="R125" s="26">
        <f t="shared" si="30"/>
        <v>29</v>
      </c>
      <c r="S125" s="26">
        <f t="shared" si="31"/>
        <v>0</v>
      </c>
      <c r="T125" s="26">
        <f t="shared" si="32"/>
        <v>593</v>
      </c>
      <c r="U125" s="27">
        <f t="shared" si="33"/>
        <v>0.93423271500843175</v>
      </c>
      <c r="V125" s="27">
        <f t="shared" si="34"/>
        <v>1.6863406408094434E-2</v>
      </c>
      <c r="W125" s="27">
        <f t="shared" si="35"/>
        <v>4.8903878583473864E-2</v>
      </c>
      <c r="X125" s="27">
        <f t="shared" si="36"/>
        <v>0</v>
      </c>
      <c r="Y125" s="28">
        <f t="shared" si="37"/>
        <v>25.310286677908937</v>
      </c>
    </row>
    <row r="126" spans="1:25" x14ac:dyDescent="0.25">
      <c r="A126" s="26" t="s">
        <v>305</v>
      </c>
      <c r="B126" s="26" t="s">
        <v>306</v>
      </c>
      <c r="C126" s="26" t="s">
        <v>202</v>
      </c>
      <c r="D126" s="26">
        <v>1</v>
      </c>
      <c r="E126" s="26"/>
      <c r="F126" s="26"/>
      <c r="G126" s="26"/>
      <c r="H126" s="26">
        <v>11</v>
      </c>
      <c r="I126" s="26">
        <v>47</v>
      </c>
      <c r="J126" s="26">
        <v>1</v>
      </c>
      <c r="K126" s="26">
        <v>391</v>
      </c>
      <c r="L126" s="26"/>
      <c r="M126" s="26">
        <v>450</v>
      </c>
      <c r="N126" s="28">
        <v>70.102222222222224</v>
      </c>
      <c r="O126" s="26" t="s">
        <v>247</v>
      </c>
      <c r="P126" s="26">
        <f t="shared" ref="P126:P174" si="39">K126</f>
        <v>391</v>
      </c>
      <c r="Q126" s="26">
        <f t="shared" ref="Q126:Q174" si="40">H126</f>
        <v>11</v>
      </c>
      <c r="R126" s="26">
        <f t="shared" ref="R126:R174" si="41">I126</f>
        <v>47</v>
      </c>
      <c r="S126" s="26">
        <f t="shared" ref="S126:S174" si="42">M126-SUM(P126:R126)</f>
        <v>1</v>
      </c>
      <c r="T126" s="26">
        <f t="shared" ref="T126:T174" si="43">SUM(P126:S126)</f>
        <v>450</v>
      </c>
      <c r="U126" s="27">
        <f t="shared" ref="U126:U174" si="44">P126/M126</f>
        <v>0.86888888888888893</v>
      </c>
      <c r="V126" s="27">
        <f t="shared" ref="V126:V174" si="45">Q126/M126</f>
        <v>2.4444444444444446E-2</v>
      </c>
      <c r="W126" s="27">
        <f t="shared" ref="W126:W174" si="46">R126/M126</f>
        <v>0.10444444444444445</v>
      </c>
      <c r="X126" s="27">
        <f t="shared" ref="X126:X174" si="47">S126/M126</f>
        <v>2.2222222222222222E-3</v>
      </c>
      <c r="Y126" s="28">
        <f t="shared" ref="Y126:Y174" si="48">N126</f>
        <v>70.102222222222224</v>
      </c>
    </row>
    <row r="127" spans="1:25" x14ac:dyDescent="0.25">
      <c r="A127" s="26" t="s">
        <v>305</v>
      </c>
      <c r="B127" s="26" t="s">
        <v>306</v>
      </c>
      <c r="C127" s="26" t="s">
        <v>202</v>
      </c>
      <c r="D127" s="26">
        <v>2</v>
      </c>
      <c r="E127" s="26">
        <v>1</v>
      </c>
      <c r="F127" s="26"/>
      <c r="G127" s="26"/>
      <c r="H127" s="26">
        <v>11</v>
      </c>
      <c r="I127" s="26">
        <v>51</v>
      </c>
      <c r="J127" s="26">
        <v>1</v>
      </c>
      <c r="K127" s="26">
        <v>527</v>
      </c>
      <c r="L127" s="26"/>
      <c r="M127" s="26">
        <v>591</v>
      </c>
      <c r="N127" s="28">
        <v>50.197969543147209</v>
      </c>
      <c r="O127" s="26" t="s">
        <v>247</v>
      </c>
      <c r="P127" s="26">
        <f t="shared" si="39"/>
        <v>527</v>
      </c>
      <c r="Q127" s="26">
        <f t="shared" si="40"/>
        <v>11</v>
      </c>
      <c r="R127" s="26">
        <f t="shared" si="41"/>
        <v>51</v>
      </c>
      <c r="S127" s="26">
        <f t="shared" si="42"/>
        <v>2</v>
      </c>
      <c r="T127" s="26">
        <f t="shared" si="43"/>
        <v>591</v>
      </c>
      <c r="U127" s="27">
        <f t="shared" si="44"/>
        <v>0.89170896785109988</v>
      </c>
      <c r="V127" s="27">
        <f t="shared" si="45"/>
        <v>1.8612521150592216E-2</v>
      </c>
      <c r="W127" s="27">
        <f t="shared" si="46"/>
        <v>8.6294416243654817E-2</v>
      </c>
      <c r="X127" s="27">
        <f t="shared" si="47"/>
        <v>3.3840947546531302E-3</v>
      </c>
      <c r="Y127" s="28">
        <f t="shared" si="48"/>
        <v>50.197969543147209</v>
      </c>
    </row>
    <row r="128" spans="1:25" x14ac:dyDescent="0.25">
      <c r="A128" s="26" t="s">
        <v>305</v>
      </c>
      <c r="B128" s="26" t="s">
        <v>306</v>
      </c>
      <c r="C128" s="26" t="s">
        <v>202</v>
      </c>
      <c r="D128" s="26">
        <v>3</v>
      </c>
      <c r="E128" s="26"/>
      <c r="F128" s="26"/>
      <c r="G128" s="26"/>
      <c r="H128" s="26">
        <v>7</v>
      </c>
      <c r="I128" s="26">
        <v>39</v>
      </c>
      <c r="J128" s="26">
        <v>1</v>
      </c>
      <c r="K128" s="26">
        <v>544</v>
      </c>
      <c r="L128" s="26"/>
      <c r="M128" s="26">
        <v>591</v>
      </c>
      <c r="N128" s="28">
        <v>39.780033840947546</v>
      </c>
      <c r="O128" s="26" t="s">
        <v>247</v>
      </c>
      <c r="P128" s="26">
        <f t="shared" si="39"/>
        <v>544</v>
      </c>
      <c r="Q128" s="26">
        <f t="shared" si="40"/>
        <v>7</v>
      </c>
      <c r="R128" s="26">
        <f t="shared" si="41"/>
        <v>39</v>
      </c>
      <c r="S128" s="26">
        <f t="shared" si="42"/>
        <v>1</v>
      </c>
      <c r="T128" s="26">
        <f t="shared" si="43"/>
        <v>591</v>
      </c>
      <c r="U128" s="27">
        <f t="shared" si="44"/>
        <v>0.92047377326565138</v>
      </c>
      <c r="V128" s="27">
        <f t="shared" si="45"/>
        <v>1.1844331641285956E-2</v>
      </c>
      <c r="W128" s="27">
        <f t="shared" si="46"/>
        <v>6.5989847715736044E-2</v>
      </c>
      <c r="X128" s="27">
        <f t="shared" si="47"/>
        <v>1.6920473773265651E-3</v>
      </c>
      <c r="Y128" s="28">
        <f t="shared" si="48"/>
        <v>39.780033840947546</v>
      </c>
    </row>
    <row r="129" spans="1:25" x14ac:dyDescent="0.25">
      <c r="A129" s="26" t="s">
        <v>305</v>
      </c>
      <c r="B129" s="26" t="s">
        <v>306</v>
      </c>
      <c r="C129" s="26" t="s">
        <v>202</v>
      </c>
      <c r="D129" s="26">
        <v>4</v>
      </c>
      <c r="E129" s="26"/>
      <c r="F129" s="26"/>
      <c r="G129" s="26"/>
      <c r="H129" s="26">
        <v>12</v>
      </c>
      <c r="I129" s="26">
        <v>42</v>
      </c>
      <c r="J129" s="26"/>
      <c r="K129" s="26">
        <v>538</v>
      </c>
      <c r="L129" s="26"/>
      <c r="M129" s="26">
        <v>592</v>
      </c>
      <c r="N129" s="28">
        <v>26.089527027027028</v>
      </c>
      <c r="O129" s="26" t="s">
        <v>247</v>
      </c>
      <c r="P129" s="26">
        <f t="shared" si="39"/>
        <v>538</v>
      </c>
      <c r="Q129" s="26">
        <f t="shared" si="40"/>
        <v>12</v>
      </c>
      <c r="R129" s="26">
        <f t="shared" si="41"/>
        <v>42</v>
      </c>
      <c r="S129" s="26">
        <f t="shared" si="42"/>
        <v>0</v>
      </c>
      <c r="T129" s="26">
        <f t="shared" si="43"/>
        <v>592</v>
      </c>
      <c r="U129" s="27">
        <f t="shared" si="44"/>
        <v>0.90878378378378377</v>
      </c>
      <c r="V129" s="27">
        <f t="shared" si="45"/>
        <v>2.0270270270270271E-2</v>
      </c>
      <c r="W129" s="27">
        <f t="shared" si="46"/>
        <v>7.0945945945945943E-2</v>
      </c>
      <c r="X129" s="27">
        <f t="shared" si="47"/>
        <v>0</v>
      </c>
      <c r="Y129" s="28">
        <f t="shared" si="48"/>
        <v>26.089527027027028</v>
      </c>
    </row>
    <row r="130" spans="1:25" x14ac:dyDescent="0.25">
      <c r="A130" s="26" t="s">
        <v>307</v>
      </c>
      <c r="B130" s="26" t="s">
        <v>308</v>
      </c>
      <c r="C130" s="26" t="s">
        <v>204</v>
      </c>
      <c r="D130" s="26">
        <v>1</v>
      </c>
      <c r="E130" s="26"/>
      <c r="F130" s="26"/>
      <c r="G130" s="26">
        <v>1</v>
      </c>
      <c r="H130" s="26">
        <v>1</v>
      </c>
      <c r="I130" s="26">
        <v>2</v>
      </c>
      <c r="J130" s="26"/>
      <c r="K130" s="26">
        <v>508</v>
      </c>
      <c r="L130" s="26"/>
      <c r="M130" s="26">
        <v>512</v>
      </c>
      <c r="N130" s="28">
        <v>44.04296875</v>
      </c>
      <c r="O130" s="26" t="s">
        <v>247</v>
      </c>
      <c r="P130" s="26">
        <f t="shared" si="39"/>
        <v>508</v>
      </c>
      <c r="Q130" s="26">
        <f t="shared" si="40"/>
        <v>1</v>
      </c>
      <c r="R130" s="26">
        <f t="shared" si="41"/>
        <v>2</v>
      </c>
      <c r="S130" s="26">
        <f t="shared" si="42"/>
        <v>1</v>
      </c>
      <c r="T130" s="26">
        <f t="shared" si="43"/>
        <v>512</v>
      </c>
      <c r="U130" s="27">
        <f t="shared" si="44"/>
        <v>0.9921875</v>
      </c>
      <c r="V130" s="27">
        <f t="shared" si="45"/>
        <v>1.953125E-3</v>
      </c>
      <c r="W130" s="27">
        <f t="shared" si="46"/>
        <v>3.90625E-3</v>
      </c>
      <c r="X130" s="27">
        <f t="shared" si="47"/>
        <v>1.953125E-3</v>
      </c>
      <c r="Y130" s="28">
        <f t="shared" si="48"/>
        <v>44.04296875</v>
      </c>
    </row>
    <row r="131" spans="1:25" x14ac:dyDescent="0.25">
      <c r="A131" s="26" t="s">
        <v>309</v>
      </c>
      <c r="B131" s="26" t="s">
        <v>310</v>
      </c>
      <c r="C131" s="26" t="s">
        <v>206</v>
      </c>
      <c r="D131" s="26">
        <v>1</v>
      </c>
      <c r="E131" s="26"/>
      <c r="F131" s="26"/>
      <c r="G131" s="26"/>
      <c r="H131" s="26">
        <v>119</v>
      </c>
      <c r="I131" s="26">
        <v>9</v>
      </c>
      <c r="J131" s="26">
        <v>1</v>
      </c>
      <c r="K131" s="26">
        <v>321</v>
      </c>
      <c r="L131" s="26"/>
      <c r="M131" s="26">
        <v>450</v>
      </c>
      <c r="N131" s="28">
        <v>66.471111111111114</v>
      </c>
      <c r="O131" s="26" t="s">
        <v>247</v>
      </c>
      <c r="P131" s="26">
        <f t="shared" si="39"/>
        <v>321</v>
      </c>
      <c r="Q131" s="26">
        <f t="shared" si="40"/>
        <v>119</v>
      </c>
      <c r="R131" s="26">
        <f t="shared" si="41"/>
        <v>9</v>
      </c>
      <c r="S131" s="26">
        <f t="shared" si="42"/>
        <v>1</v>
      </c>
      <c r="T131" s="26">
        <f t="shared" si="43"/>
        <v>450</v>
      </c>
      <c r="U131" s="27">
        <f t="shared" si="44"/>
        <v>0.71333333333333337</v>
      </c>
      <c r="V131" s="27">
        <f t="shared" si="45"/>
        <v>0.26444444444444443</v>
      </c>
      <c r="W131" s="27">
        <f t="shared" si="46"/>
        <v>0.02</v>
      </c>
      <c r="X131" s="27">
        <f t="shared" si="47"/>
        <v>2.2222222222222222E-3</v>
      </c>
      <c r="Y131" s="28">
        <f t="shared" si="48"/>
        <v>66.471111111111114</v>
      </c>
    </row>
    <row r="132" spans="1:25" x14ac:dyDescent="0.25">
      <c r="A132" s="26" t="s">
        <v>309</v>
      </c>
      <c r="B132" s="26" t="s">
        <v>310</v>
      </c>
      <c r="C132" s="26" t="s">
        <v>206</v>
      </c>
      <c r="D132" s="26">
        <v>2</v>
      </c>
      <c r="E132" s="26"/>
      <c r="F132" s="26">
        <v>1</v>
      </c>
      <c r="G132" s="26">
        <v>1</v>
      </c>
      <c r="H132" s="26">
        <v>64</v>
      </c>
      <c r="I132" s="26">
        <v>4</v>
      </c>
      <c r="J132" s="26">
        <v>3</v>
      </c>
      <c r="K132" s="26">
        <v>597</v>
      </c>
      <c r="L132" s="26"/>
      <c r="M132" s="26">
        <v>670</v>
      </c>
      <c r="N132" s="28">
        <v>47.686567164179102</v>
      </c>
      <c r="O132" s="26" t="s">
        <v>247</v>
      </c>
      <c r="P132" s="26">
        <f t="shared" si="39"/>
        <v>597</v>
      </c>
      <c r="Q132" s="26">
        <f t="shared" si="40"/>
        <v>64</v>
      </c>
      <c r="R132" s="26">
        <f t="shared" si="41"/>
        <v>4</v>
      </c>
      <c r="S132" s="26">
        <f t="shared" si="42"/>
        <v>5</v>
      </c>
      <c r="T132" s="26">
        <f t="shared" si="43"/>
        <v>670</v>
      </c>
      <c r="U132" s="27">
        <f t="shared" si="44"/>
        <v>0.89104477611940303</v>
      </c>
      <c r="V132" s="27">
        <f t="shared" si="45"/>
        <v>9.5522388059701493E-2</v>
      </c>
      <c r="W132" s="27">
        <f t="shared" si="46"/>
        <v>5.9701492537313433E-3</v>
      </c>
      <c r="X132" s="27">
        <f t="shared" si="47"/>
        <v>7.462686567164179E-3</v>
      </c>
      <c r="Y132" s="28">
        <f t="shared" si="48"/>
        <v>47.686567164179102</v>
      </c>
    </row>
    <row r="133" spans="1:25" x14ac:dyDescent="0.25">
      <c r="A133" s="26" t="s">
        <v>309</v>
      </c>
      <c r="B133" s="26" t="s">
        <v>310</v>
      </c>
      <c r="C133" s="26" t="s">
        <v>206</v>
      </c>
      <c r="D133" s="26">
        <v>3</v>
      </c>
      <c r="E133" s="26"/>
      <c r="F133" s="26"/>
      <c r="G133" s="26"/>
      <c r="H133" s="26">
        <v>39</v>
      </c>
      <c r="I133" s="26">
        <v>4</v>
      </c>
      <c r="J133" s="26">
        <v>1</v>
      </c>
      <c r="K133" s="26">
        <v>626</v>
      </c>
      <c r="L133" s="26"/>
      <c r="M133" s="26">
        <v>670</v>
      </c>
      <c r="N133" s="28">
        <v>33.007462686567166</v>
      </c>
      <c r="O133" s="26" t="s">
        <v>247</v>
      </c>
      <c r="P133" s="26">
        <f t="shared" si="39"/>
        <v>626</v>
      </c>
      <c r="Q133" s="26">
        <f t="shared" si="40"/>
        <v>39</v>
      </c>
      <c r="R133" s="26">
        <f t="shared" si="41"/>
        <v>4</v>
      </c>
      <c r="S133" s="26">
        <f t="shared" si="42"/>
        <v>1</v>
      </c>
      <c r="T133" s="26">
        <f t="shared" si="43"/>
        <v>670</v>
      </c>
      <c r="U133" s="27">
        <f t="shared" si="44"/>
        <v>0.93432835820895521</v>
      </c>
      <c r="V133" s="27">
        <f t="shared" si="45"/>
        <v>5.8208955223880594E-2</v>
      </c>
      <c r="W133" s="27">
        <f t="shared" si="46"/>
        <v>5.9701492537313433E-3</v>
      </c>
      <c r="X133" s="27">
        <f t="shared" si="47"/>
        <v>1.4925373134328358E-3</v>
      </c>
      <c r="Y133" s="28">
        <f t="shared" si="48"/>
        <v>33.007462686567166</v>
      </c>
    </row>
    <row r="134" spans="1:25" x14ac:dyDescent="0.25">
      <c r="A134" s="26" t="s">
        <v>309</v>
      </c>
      <c r="B134" s="26" t="s">
        <v>310</v>
      </c>
      <c r="C134" s="26" t="s">
        <v>206</v>
      </c>
      <c r="D134" s="26">
        <v>4</v>
      </c>
      <c r="E134" s="26"/>
      <c r="F134" s="26"/>
      <c r="G134" s="26"/>
      <c r="H134" s="26">
        <v>15</v>
      </c>
      <c r="I134" s="26">
        <v>1</v>
      </c>
      <c r="J134" s="26"/>
      <c r="K134" s="26">
        <v>655</v>
      </c>
      <c r="L134" s="26"/>
      <c r="M134" s="26">
        <v>671</v>
      </c>
      <c r="N134" s="28">
        <v>22.733233979135619</v>
      </c>
      <c r="O134" s="26" t="s">
        <v>247</v>
      </c>
      <c r="P134" s="26">
        <f t="shared" si="39"/>
        <v>655</v>
      </c>
      <c r="Q134" s="26">
        <f t="shared" si="40"/>
        <v>15</v>
      </c>
      <c r="R134" s="26">
        <f t="shared" si="41"/>
        <v>1</v>
      </c>
      <c r="S134" s="26">
        <f t="shared" si="42"/>
        <v>0</v>
      </c>
      <c r="T134" s="26">
        <f t="shared" si="43"/>
        <v>671</v>
      </c>
      <c r="U134" s="27">
        <f t="shared" si="44"/>
        <v>0.97615499254843519</v>
      </c>
      <c r="V134" s="27">
        <f t="shared" si="45"/>
        <v>2.2354694485842028E-2</v>
      </c>
      <c r="W134" s="27">
        <f t="shared" si="46"/>
        <v>1.4903129657228018E-3</v>
      </c>
      <c r="X134" s="27">
        <f t="shared" si="47"/>
        <v>0</v>
      </c>
      <c r="Y134" s="28">
        <f t="shared" si="48"/>
        <v>22.733233979135619</v>
      </c>
    </row>
    <row r="135" spans="1:25" x14ac:dyDescent="0.25">
      <c r="A135" s="26" t="s">
        <v>311</v>
      </c>
      <c r="B135" s="26" t="s">
        <v>312</v>
      </c>
      <c r="C135" s="26" t="s">
        <v>208</v>
      </c>
      <c r="D135" s="26">
        <v>1</v>
      </c>
      <c r="E135" s="26"/>
      <c r="F135" s="26"/>
      <c r="G135" s="26"/>
      <c r="H135" s="26">
        <v>2</v>
      </c>
      <c r="I135" s="26"/>
      <c r="J135" s="26">
        <v>1</v>
      </c>
      <c r="K135" s="26">
        <v>616</v>
      </c>
      <c r="L135" s="26"/>
      <c r="M135" s="26">
        <v>619</v>
      </c>
      <c r="N135" s="28">
        <v>49.44103392568659</v>
      </c>
      <c r="O135" s="26" t="s">
        <v>247</v>
      </c>
      <c r="P135" s="26">
        <f t="shared" si="39"/>
        <v>616</v>
      </c>
      <c r="Q135" s="26">
        <f t="shared" si="40"/>
        <v>2</v>
      </c>
      <c r="R135" s="26">
        <f t="shared" si="41"/>
        <v>0</v>
      </c>
      <c r="S135" s="26">
        <f t="shared" si="42"/>
        <v>1</v>
      </c>
      <c r="T135" s="26">
        <f t="shared" si="43"/>
        <v>619</v>
      </c>
      <c r="U135" s="27">
        <f t="shared" si="44"/>
        <v>0.99515347334410342</v>
      </c>
      <c r="V135" s="27">
        <f t="shared" si="45"/>
        <v>3.2310177705977385E-3</v>
      </c>
      <c r="W135" s="27">
        <f t="shared" si="46"/>
        <v>0</v>
      </c>
      <c r="X135" s="27">
        <f t="shared" si="47"/>
        <v>1.6155088852988692E-3</v>
      </c>
      <c r="Y135" s="28">
        <f t="shared" si="48"/>
        <v>49.44103392568659</v>
      </c>
    </row>
    <row r="136" spans="1:25" x14ac:dyDescent="0.25">
      <c r="A136" s="26" t="s">
        <v>313</v>
      </c>
      <c r="B136" s="26" t="s">
        <v>314</v>
      </c>
      <c r="C136" s="26" t="s">
        <v>210</v>
      </c>
      <c r="D136" s="26">
        <v>1</v>
      </c>
      <c r="E136" s="26"/>
      <c r="F136" s="26"/>
      <c r="G136" s="26"/>
      <c r="H136" s="26">
        <v>2</v>
      </c>
      <c r="I136" s="26"/>
      <c r="J136" s="26">
        <v>1</v>
      </c>
      <c r="K136" s="26">
        <v>447</v>
      </c>
      <c r="L136" s="26"/>
      <c r="M136" s="26">
        <v>450</v>
      </c>
      <c r="N136" s="28">
        <v>66.993333333333339</v>
      </c>
      <c r="O136" s="26" t="s">
        <v>247</v>
      </c>
      <c r="P136" s="26">
        <f t="shared" si="39"/>
        <v>447</v>
      </c>
      <c r="Q136" s="26">
        <f t="shared" si="40"/>
        <v>2</v>
      </c>
      <c r="R136" s="26">
        <f t="shared" si="41"/>
        <v>0</v>
      </c>
      <c r="S136" s="26">
        <f t="shared" si="42"/>
        <v>1</v>
      </c>
      <c r="T136" s="26">
        <f t="shared" si="43"/>
        <v>450</v>
      </c>
      <c r="U136" s="27">
        <f t="shared" si="44"/>
        <v>0.99333333333333329</v>
      </c>
      <c r="V136" s="27">
        <f t="shared" si="45"/>
        <v>4.4444444444444444E-3</v>
      </c>
      <c r="W136" s="27">
        <f t="shared" si="46"/>
        <v>0</v>
      </c>
      <c r="X136" s="27">
        <f t="shared" si="47"/>
        <v>2.2222222222222222E-3</v>
      </c>
      <c r="Y136" s="28">
        <f t="shared" si="48"/>
        <v>66.993333333333339</v>
      </c>
    </row>
    <row r="137" spans="1:25" x14ac:dyDescent="0.25">
      <c r="A137" s="26" t="s">
        <v>313</v>
      </c>
      <c r="B137" s="26" t="s">
        <v>314</v>
      </c>
      <c r="C137" s="26" t="s">
        <v>210</v>
      </c>
      <c r="D137" s="26">
        <v>2</v>
      </c>
      <c r="E137" s="26"/>
      <c r="F137" s="26"/>
      <c r="G137" s="26"/>
      <c r="H137" s="26">
        <v>1</v>
      </c>
      <c r="I137" s="26"/>
      <c r="J137" s="26"/>
      <c r="K137" s="26">
        <v>502</v>
      </c>
      <c r="L137" s="26"/>
      <c r="M137" s="26">
        <v>503</v>
      </c>
      <c r="N137" s="28">
        <v>51.079522862823062</v>
      </c>
      <c r="O137" s="26" t="s">
        <v>247</v>
      </c>
      <c r="P137" s="26">
        <f t="shared" si="39"/>
        <v>502</v>
      </c>
      <c r="Q137" s="26">
        <f t="shared" si="40"/>
        <v>1</v>
      </c>
      <c r="R137" s="26">
        <f t="shared" si="41"/>
        <v>0</v>
      </c>
      <c r="S137" s="26">
        <f t="shared" si="42"/>
        <v>0</v>
      </c>
      <c r="T137" s="26">
        <f t="shared" si="43"/>
        <v>503</v>
      </c>
      <c r="U137" s="27">
        <f t="shared" si="44"/>
        <v>0.99801192842942343</v>
      </c>
      <c r="V137" s="27">
        <f t="shared" si="45"/>
        <v>1.9880715705765406E-3</v>
      </c>
      <c r="W137" s="27">
        <f t="shared" si="46"/>
        <v>0</v>
      </c>
      <c r="X137" s="27">
        <f t="shared" si="47"/>
        <v>0</v>
      </c>
      <c r="Y137" s="28">
        <f t="shared" si="48"/>
        <v>51.079522862823062</v>
      </c>
    </row>
    <row r="138" spans="1:25" x14ac:dyDescent="0.25">
      <c r="A138" s="26" t="s">
        <v>313</v>
      </c>
      <c r="B138" s="26" t="s">
        <v>314</v>
      </c>
      <c r="C138" s="26" t="s">
        <v>210</v>
      </c>
      <c r="D138" s="26">
        <v>3</v>
      </c>
      <c r="E138" s="26"/>
      <c r="F138" s="26">
        <v>1</v>
      </c>
      <c r="G138" s="26"/>
      <c r="H138" s="26"/>
      <c r="I138" s="26">
        <v>1</v>
      </c>
      <c r="J138" s="26"/>
      <c r="K138" s="26">
        <v>501</v>
      </c>
      <c r="L138" s="26"/>
      <c r="M138" s="26">
        <v>503</v>
      </c>
      <c r="N138" s="28">
        <v>36.455268389662031</v>
      </c>
      <c r="O138" s="26" t="s">
        <v>247</v>
      </c>
      <c r="P138" s="26">
        <f t="shared" si="39"/>
        <v>501</v>
      </c>
      <c r="Q138" s="26">
        <f t="shared" si="40"/>
        <v>0</v>
      </c>
      <c r="R138" s="26">
        <f t="shared" si="41"/>
        <v>1</v>
      </c>
      <c r="S138" s="26">
        <f t="shared" si="42"/>
        <v>1</v>
      </c>
      <c r="T138" s="26">
        <f t="shared" si="43"/>
        <v>503</v>
      </c>
      <c r="U138" s="27">
        <f t="shared" si="44"/>
        <v>0.99602385685884687</v>
      </c>
      <c r="V138" s="27">
        <f t="shared" si="45"/>
        <v>0</v>
      </c>
      <c r="W138" s="27">
        <f t="shared" si="46"/>
        <v>1.9880715705765406E-3</v>
      </c>
      <c r="X138" s="27">
        <f t="shared" si="47"/>
        <v>1.9880715705765406E-3</v>
      </c>
      <c r="Y138" s="28">
        <f t="shared" si="48"/>
        <v>36.455268389662031</v>
      </c>
    </row>
    <row r="139" spans="1:25" x14ac:dyDescent="0.25">
      <c r="A139" s="26" t="s">
        <v>313</v>
      </c>
      <c r="B139" s="26" t="s">
        <v>314</v>
      </c>
      <c r="C139" s="26" t="s">
        <v>210</v>
      </c>
      <c r="D139" s="26">
        <v>4</v>
      </c>
      <c r="E139" s="26"/>
      <c r="F139" s="26"/>
      <c r="G139" s="26"/>
      <c r="H139" s="26">
        <v>2</v>
      </c>
      <c r="I139" s="26">
        <v>2</v>
      </c>
      <c r="J139" s="26"/>
      <c r="K139" s="26">
        <v>499</v>
      </c>
      <c r="L139" s="26"/>
      <c r="M139" s="26">
        <v>503</v>
      </c>
      <c r="N139" s="28">
        <v>23.737574552683895</v>
      </c>
      <c r="O139" s="26" t="s">
        <v>247</v>
      </c>
      <c r="P139" s="26">
        <f t="shared" si="39"/>
        <v>499</v>
      </c>
      <c r="Q139" s="26">
        <f t="shared" si="40"/>
        <v>2</v>
      </c>
      <c r="R139" s="26">
        <f t="shared" si="41"/>
        <v>2</v>
      </c>
      <c r="S139" s="26">
        <f t="shared" si="42"/>
        <v>0</v>
      </c>
      <c r="T139" s="26">
        <f t="shared" si="43"/>
        <v>503</v>
      </c>
      <c r="U139" s="27">
        <f t="shared" si="44"/>
        <v>0.99204771371769385</v>
      </c>
      <c r="V139" s="27">
        <f t="shared" si="45"/>
        <v>3.9761431411530811E-3</v>
      </c>
      <c r="W139" s="27">
        <f t="shared" si="46"/>
        <v>3.9761431411530811E-3</v>
      </c>
      <c r="X139" s="27">
        <f t="shared" si="47"/>
        <v>0</v>
      </c>
      <c r="Y139" s="28">
        <f t="shared" si="48"/>
        <v>23.737574552683895</v>
      </c>
    </row>
    <row r="140" spans="1:25" x14ac:dyDescent="0.25">
      <c r="A140" s="26" t="s">
        <v>315</v>
      </c>
      <c r="B140" s="26" t="s">
        <v>316</v>
      </c>
      <c r="C140" s="26" t="s">
        <v>212</v>
      </c>
      <c r="D140" s="26">
        <v>1</v>
      </c>
      <c r="E140" s="26"/>
      <c r="F140" s="26"/>
      <c r="G140" s="26"/>
      <c r="H140" s="26">
        <v>2</v>
      </c>
      <c r="I140" s="26"/>
      <c r="J140" s="26"/>
      <c r="K140" s="26">
        <v>220</v>
      </c>
      <c r="L140" s="26"/>
      <c r="M140" s="26">
        <v>222</v>
      </c>
      <c r="N140" s="28">
        <v>53.022522522522522</v>
      </c>
      <c r="O140" s="26" t="s">
        <v>247</v>
      </c>
      <c r="P140" s="26">
        <f t="shared" si="39"/>
        <v>220</v>
      </c>
      <c r="Q140" s="26">
        <f t="shared" si="40"/>
        <v>2</v>
      </c>
      <c r="R140" s="26">
        <f t="shared" si="41"/>
        <v>0</v>
      </c>
      <c r="S140" s="26">
        <f t="shared" si="42"/>
        <v>0</v>
      </c>
      <c r="T140" s="26">
        <f t="shared" si="43"/>
        <v>222</v>
      </c>
      <c r="U140" s="27">
        <f t="shared" si="44"/>
        <v>0.99099099099099097</v>
      </c>
      <c r="V140" s="27">
        <f t="shared" si="45"/>
        <v>9.0090090090090089E-3</v>
      </c>
      <c r="W140" s="27">
        <f t="shared" si="46"/>
        <v>0</v>
      </c>
      <c r="X140" s="27">
        <f t="shared" si="47"/>
        <v>0</v>
      </c>
      <c r="Y140" s="28">
        <f t="shared" si="48"/>
        <v>53.022522522522522</v>
      </c>
    </row>
    <row r="141" spans="1:25" x14ac:dyDescent="0.25">
      <c r="A141" s="26" t="s">
        <v>317</v>
      </c>
      <c r="B141" s="26" t="s">
        <v>318</v>
      </c>
      <c r="C141" s="26" t="s">
        <v>214</v>
      </c>
      <c r="D141" s="26">
        <v>1</v>
      </c>
      <c r="E141" s="26"/>
      <c r="F141" s="26"/>
      <c r="G141" s="26"/>
      <c r="H141" s="26">
        <v>278</v>
      </c>
      <c r="I141" s="26">
        <v>66</v>
      </c>
      <c r="J141" s="26">
        <v>1</v>
      </c>
      <c r="K141" s="26">
        <v>105</v>
      </c>
      <c r="L141" s="26"/>
      <c r="M141" s="26">
        <v>450</v>
      </c>
      <c r="N141" s="28">
        <v>67.033333333333331</v>
      </c>
      <c r="O141" s="26" t="s">
        <v>247</v>
      </c>
      <c r="P141" s="26">
        <f t="shared" si="39"/>
        <v>105</v>
      </c>
      <c r="Q141" s="26">
        <f t="shared" si="40"/>
        <v>278</v>
      </c>
      <c r="R141" s="26">
        <f t="shared" si="41"/>
        <v>66</v>
      </c>
      <c r="S141" s="26">
        <f t="shared" si="42"/>
        <v>1</v>
      </c>
      <c r="T141" s="26">
        <f t="shared" si="43"/>
        <v>450</v>
      </c>
      <c r="U141" s="27">
        <f t="shared" si="44"/>
        <v>0.23333333333333334</v>
      </c>
      <c r="V141" s="27">
        <f t="shared" si="45"/>
        <v>0.61777777777777776</v>
      </c>
      <c r="W141" s="27">
        <f t="shared" si="46"/>
        <v>0.14666666666666667</v>
      </c>
      <c r="X141" s="27">
        <f t="shared" si="47"/>
        <v>2.2222222222222222E-3</v>
      </c>
      <c r="Y141" s="28">
        <f t="shared" si="48"/>
        <v>67.033333333333331</v>
      </c>
    </row>
    <row r="142" spans="1:25" x14ac:dyDescent="0.25">
      <c r="A142" s="26" t="s">
        <v>317</v>
      </c>
      <c r="B142" s="26" t="s">
        <v>318</v>
      </c>
      <c r="C142" s="26" t="s">
        <v>214</v>
      </c>
      <c r="D142" s="26">
        <v>2</v>
      </c>
      <c r="E142" s="26"/>
      <c r="F142" s="26">
        <v>1</v>
      </c>
      <c r="G142" s="26"/>
      <c r="H142" s="26">
        <v>254</v>
      </c>
      <c r="I142" s="26">
        <v>55</v>
      </c>
      <c r="J142" s="26">
        <v>4</v>
      </c>
      <c r="K142" s="26">
        <v>136</v>
      </c>
      <c r="L142" s="26"/>
      <c r="M142" s="26">
        <v>450</v>
      </c>
      <c r="N142" s="28">
        <v>56.68888888888889</v>
      </c>
      <c r="O142" s="26" t="s">
        <v>247</v>
      </c>
      <c r="P142" s="26">
        <f t="shared" si="39"/>
        <v>136</v>
      </c>
      <c r="Q142" s="26">
        <f t="shared" si="40"/>
        <v>254</v>
      </c>
      <c r="R142" s="26">
        <f t="shared" si="41"/>
        <v>55</v>
      </c>
      <c r="S142" s="26">
        <f t="shared" si="42"/>
        <v>5</v>
      </c>
      <c r="T142" s="26">
        <f t="shared" si="43"/>
        <v>450</v>
      </c>
      <c r="U142" s="27">
        <f t="shared" si="44"/>
        <v>0.30222222222222223</v>
      </c>
      <c r="V142" s="27">
        <f t="shared" si="45"/>
        <v>0.56444444444444442</v>
      </c>
      <c r="W142" s="27">
        <f t="shared" si="46"/>
        <v>0.12222222222222222</v>
      </c>
      <c r="X142" s="27">
        <f t="shared" si="47"/>
        <v>1.1111111111111112E-2</v>
      </c>
      <c r="Y142" s="28">
        <f t="shared" si="48"/>
        <v>56.68888888888889</v>
      </c>
    </row>
    <row r="143" spans="1:25" x14ac:dyDescent="0.25">
      <c r="A143" s="26" t="s">
        <v>317</v>
      </c>
      <c r="B143" s="26" t="s">
        <v>318</v>
      </c>
      <c r="C143" s="26" t="s">
        <v>214</v>
      </c>
      <c r="D143" s="26">
        <v>3</v>
      </c>
      <c r="E143" s="26"/>
      <c r="F143" s="26"/>
      <c r="G143" s="26">
        <v>1</v>
      </c>
      <c r="H143" s="26">
        <v>409</v>
      </c>
      <c r="I143" s="26">
        <v>114</v>
      </c>
      <c r="J143" s="26"/>
      <c r="K143" s="26">
        <v>203</v>
      </c>
      <c r="L143" s="26"/>
      <c r="M143" s="26">
        <v>727</v>
      </c>
      <c r="N143" s="28">
        <v>45.818431911966989</v>
      </c>
      <c r="O143" s="26" t="s">
        <v>247</v>
      </c>
      <c r="P143" s="26">
        <f t="shared" si="39"/>
        <v>203</v>
      </c>
      <c r="Q143" s="26">
        <f t="shared" si="40"/>
        <v>409</v>
      </c>
      <c r="R143" s="26">
        <f t="shared" si="41"/>
        <v>114</v>
      </c>
      <c r="S143" s="26">
        <f t="shared" si="42"/>
        <v>1</v>
      </c>
      <c r="T143" s="26">
        <f t="shared" si="43"/>
        <v>727</v>
      </c>
      <c r="U143" s="27">
        <f t="shared" si="44"/>
        <v>0.27922971114167811</v>
      </c>
      <c r="V143" s="27">
        <f t="shared" si="45"/>
        <v>0.56258596973865205</v>
      </c>
      <c r="W143" s="27">
        <f t="shared" si="46"/>
        <v>0.15680880330123798</v>
      </c>
      <c r="X143" s="27">
        <f t="shared" si="47"/>
        <v>1.375515818431912E-3</v>
      </c>
      <c r="Y143" s="28">
        <f t="shared" si="48"/>
        <v>45.818431911966989</v>
      </c>
    </row>
    <row r="144" spans="1:25" x14ac:dyDescent="0.25">
      <c r="A144" s="26" t="s">
        <v>317</v>
      </c>
      <c r="B144" s="26" t="s">
        <v>318</v>
      </c>
      <c r="C144" s="26" t="s">
        <v>214</v>
      </c>
      <c r="D144" s="26">
        <v>4</v>
      </c>
      <c r="E144" s="26"/>
      <c r="F144" s="26"/>
      <c r="G144" s="26"/>
      <c r="H144" s="26">
        <v>402</v>
      </c>
      <c r="I144" s="26">
        <v>123</v>
      </c>
      <c r="J144" s="26"/>
      <c r="K144" s="26">
        <v>201</v>
      </c>
      <c r="L144" s="26">
        <v>1</v>
      </c>
      <c r="M144" s="26">
        <v>727</v>
      </c>
      <c r="N144" s="28">
        <v>36.580467675378266</v>
      </c>
      <c r="O144" s="26" t="s">
        <v>247</v>
      </c>
      <c r="P144" s="26">
        <f t="shared" si="39"/>
        <v>201</v>
      </c>
      <c r="Q144" s="26">
        <f t="shared" si="40"/>
        <v>402</v>
      </c>
      <c r="R144" s="26">
        <f t="shared" si="41"/>
        <v>123</v>
      </c>
      <c r="S144" s="26">
        <f t="shared" si="42"/>
        <v>1</v>
      </c>
      <c r="T144" s="26">
        <f t="shared" si="43"/>
        <v>727</v>
      </c>
      <c r="U144" s="27">
        <f t="shared" si="44"/>
        <v>0.27647867950481431</v>
      </c>
      <c r="V144" s="27">
        <f t="shared" si="45"/>
        <v>0.55295735900962861</v>
      </c>
      <c r="W144" s="27">
        <f t="shared" si="46"/>
        <v>0.16918844566712518</v>
      </c>
      <c r="X144" s="27">
        <f t="shared" si="47"/>
        <v>1.375515818431912E-3</v>
      </c>
      <c r="Y144" s="28">
        <f t="shared" si="48"/>
        <v>36.580467675378266</v>
      </c>
    </row>
    <row r="145" spans="1:25" x14ac:dyDescent="0.25">
      <c r="A145" s="26" t="s">
        <v>317</v>
      </c>
      <c r="B145" s="26" t="s">
        <v>318</v>
      </c>
      <c r="C145" s="26" t="s">
        <v>214</v>
      </c>
      <c r="D145" s="26">
        <v>5</v>
      </c>
      <c r="E145" s="26"/>
      <c r="F145" s="26"/>
      <c r="G145" s="26"/>
      <c r="H145" s="26">
        <v>376</v>
      </c>
      <c r="I145" s="26">
        <v>129</v>
      </c>
      <c r="J145" s="26">
        <v>1</v>
      </c>
      <c r="K145" s="26">
        <v>222</v>
      </c>
      <c r="L145" s="26"/>
      <c r="M145" s="26">
        <v>728</v>
      </c>
      <c r="N145" s="28">
        <v>29.258241758241759</v>
      </c>
      <c r="O145" s="26" t="s">
        <v>247</v>
      </c>
      <c r="P145" s="26">
        <f t="shared" si="39"/>
        <v>222</v>
      </c>
      <c r="Q145" s="26">
        <f t="shared" si="40"/>
        <v>376</v>
      </c>
      <c r="R145" s="26">
        <f t="shared" si="41"/>
        <v>129</v>
      </c>
      <c r="S145" s="26">
        <f t="shared" si="42"/>
        <v>1</v>
      </c>
      <c r="T145" s="26">
        <f t="shared" si="43"/>
        <v>728</v>
      </c>
      <c r="U145" s="27">
        <f t="shared" si="44"/>
        <v>0.30494505494505497</v>
      </c>
      <c r="V145" s="27">
        <f t="shared" si="45"/>
        <v>0.51648351648351654</v>
      </c>
      <c r="W145" s="27">
        <f t="shared" si="46"/>
        <v>0.17719780219780221</v>
      </c>
      <c r="X145" s="27">
        <f t="shared" si="47"/>
        <v>1.3736263736263737E-3</v>
      </c>
      <c r="Y145" s="28">
        <f t="shared" si="48"/>
        <v>29.258241758241759</v>
      </c>
    </row>
    <row r="146" spans="1:25" x14ac:dyDescent="0.25">
      <c r="A146" s="26" t="s">
        <v>317</v>
      </c>
      <c r="B146" s="26" t="s">
        <v>318</v>
      </c>
      <c r="C146" s="26" t="s">
        <v>214</v>
      </c>
      <c r="D146" s="26">
        <v>6</v>
      </c>
      <c r="E146" s="26"/>
      <c r="F146" s="26"/>
      <c r="G146" s="26"/>
      <c r="H146" s="26">
        <v>342</v>
      </c>
      <c r="I146" s="26">
        <v>100</v>
      </c>
      <c r="J146" s="26"/>
      <c r="K146" s="26">
        <v>286</v>
      </c>
      <c r="L146" s="26"/>
      <c r="M146" s="26">
        <v>728</v>
      </c>
      <c r="N146" s="28">
        <v>21.807692307692307</v>
      </c>
      <c r="O146" s="26" t="s">
        <v>247</v>
      </c>
      <c r="P146" s="26">
        <f t="shared" si="39"/>
        <v>286</v>
      </c>
      <c r="Q146" s="26">
        <f t="shared" si="40"/>
        <v>342</v>
      </c>
      <c r="R146" s="26">
        <f t="shared" si="41"/>
        <v>100</v>
      </c>
      <c r="S146" s="26">
        <f t="shared" si="42"/>
        <v>0</v>
      </c>
      <c r="T146" s="26">
        <f t="shared" si="43"/>
        <v>728</v>
      </c>
      <c r="U146" s="27">
        <f t="shared" si="44"/>
        <v>0.39285714285714285</v>
      </c>
      <c r="V146" s="27">
        <f t="shared" si="45"/>
        <v>0.46978021978021978</v>
      </c>
      <c r="W146" s="27">
        <f t="shared" si="46"/>
        <v>0.13736263736263737</v>
      </c>
      <c r="X146" s="27">
        <f t="shared" si="47"/>
        <v>0</v>
      </c>
      <c r="Y146" s="28">
        <f t="shared" si="48"/>
        <v>21.807692307692307</v>
      </c>
    </row>
    <row r="147" spans="1:25" x14ac:dyDescent="0.25">
      <c r="A147" s="26" t="s">
        <v>319</v>
      </c>
      <c r="B147" s="26" t="s">
        <v>320</v>
      </c>
      <c r="C147" s="26" t="s">
        <v>216</v>
      </c>
      <c r="D147" s="26">
        <v>1</v>
      </c>
      <c r="E147" s="26"/>
      <c r="F147" s="26"/>
      <c r="G147" s="26"/>
      <c r="H147" s="26">
        <v>393</v>
      </c>
      <c r="I147" s="26">
        <v>46</v>
      </c>
      <c r="J147" s="26">
        <v>2</v>
      </c>
      <c r="K147" s="26">
        <v>9</v>
      </c>
      <c r="L147" s="26"/>
      <c r="M147" s="26">
        <v>450</v>
      </c>
      <c r="N147" s="28">
        <v>70.635555555555555</v>
      </c>
      <c r="O147" s="26" t="s">
        <v>247</v>
      </c>
      <c r="P147" s="26">
        <f t="shared" si="39"/>
        <v>9</v>
      </c>
      <c r="Q147" s="26">
        <f t="shared" si="40"/>
        <v>393</v>
      </c>
      <c r="R147" s="26">
        <f t="shared" si="41"/>
        <v>46</v>
      </c>
      <c r="S147" s="26">
        <f t="shared" si="42"/>
        <v>2</v>
      </c>
      <c r="T147" s="26">
        <f t="shared" si="43"/>
        <v>450</v>
      </c>
      <c r="U147" s="27">
        <f t="shared" si="44"/>
        <v>0.02</v>
      </c>
      <c r="V147" s="27">
        <f t="shared" si="45"/>
        <v>0.87333333333333329</v>
      </c>
      <c r="W147" s="27">
        <f t="shared" si="46"/>
        <v>0.10222222222222223</v>
      </c>
      <c r="X147" s="27">
        <f t="shared" si="47"/>
        <v>4.4444444444444444E-3</v>
      </c>
      <c r="Y147" s="28">
        <f t="shared" si="48"/>
        <v>70.635555555555555</v>
      </c>
    </row>
    <row r="148" spans="1:25" x14ac:dyDescent="0.25">
      <c r="A148" s="26" t="s">
        <v>319</v>
      </c>
      <c r="B148" s="26" t="s">
        <v>320</v>
      </c>
      <c r="C148" s="26" t="s">
        <v>216</v>
      </c>
      <c r="D148" s="26">
        <v>2</v>
      </c>
      <c r="E148" s="26"/>
      <c r="F148" s="26"/>
      <c r="G148" s="26"/>
      <c r="H148" s="26">
        <v>404</v>
      </c>
      <c r="I148" s="26">
        <v>32</v>
      </c>
      <c r="J148" s="26"/>
      <c r="K148" s="26">
        <v>14</v>
      </c>
      <c r="L148" s="26"/>
      <c r="M148" s="26">
        <v>450</v>
      </c>
      <c r="N148" s="28">
        <v>63.888888888888886</v>
      </c>
      <c r="O148" s="26" t="s">
        <v>247</v>
      </c>
      <c r="P148" s="26">
        <f t="shared" si="39"/>
        <v>14</v>
      </c>
      <c r="Q148" s="26">
        <f t="shared" si="40"/>
        <v>404</v>
      </c>
      <c r="R148" s="26">
        <f t="shared" si="41"/>
        <v>32</v>
      </c>
      <c r="S148" s="26">
        <f t="shared" si="42"/>
        <v>0</v>
      </c>
      <c r="T148" s="26">
        <f t="shared" si="43"/>
        <v>450</v>
      </c>
      <c r="U148" s="27">
        <f t="shared" si="44"/>
        <v>3.111111111111111E-2</v>
      </c>
      <c r="V148" s="27">
        <f t="shared" si="45"/>
        <v>0.89777777777777779</v>
      </c>
      <c r="W148" s="27">
        <f t="shared" si="46"/>
        <v>7.1111111111111111E-2</v>
      </c>
      <c r="X148" s="27">
        <f t="shared" si="47"/>
        <v>0</v>
      </c>
      <c r="Y148" s="28">
        <f t="shared" si="48"/>
        <v>63.888888888888886</v>
      </c>
    </row>
    <row r="149" spans="1:25" x14ac:dyDescent="0.25">
      <c r="A149" s="26" t="s">
        <v>319</v>
      </c>
      <c r="B149" s="26" t="s">
        <v>320</v>
      </c>
      <c r="C149" s="26" t="s">
        <v>216</v>
      </c>
      <c r="D149" s="26">
        <v>3</v>
      </c>
      <c r="E149" s="26"/>
      <c r="F149" s="26"/>
      <c r="G149" s="26"/>
      <c r="H149" s="26">
        <v>580</v>
      </c>
      <c r="I149" s="26">
        <v>70</v>
      </c>
      <c r="J149" s="26">
        <v>2</v>
      </c>
      <c r="K149" s="26">
        <v>30</v>
      </c>
      <c r="L149" s="26">
        <v>1</v>
      </c>
      <c r="M149" s="26">
        <v>683</v>
      </c>
      <c r="N149" s="28">
        <v>54.282576866764273</v>
      </c>
      <c r="O149" s="26" t="s">
        <v>247</v>
      </c>
      <c r="P149" s="26">
        <f t="shared" si="39"/>
        <v>30</v>
      </c>
      <c r="Q149" s="26">
        <f t="shared" si="40"/>
        <v>580</v>
      </c>
      <c r="R149" s="26">
        <f t="shared" si="41"/>
        <v>70</v>
      </c>
      <c r="S149" s="26">
        <f t="shared" si="42"/>
        <v>3</v>
      </c>
      <c r="T149" s="26">
        <f t="shared" si="43"/>
        <v>683</v>
      </c>
      <c r="U149" s="27">
        <f t="shared" si="44"/>
        <v>4.3923865300146414E-2</v>
      </c>
      <c r="V149" s="27">
        <f t="shared" si="45"/>
        <v>0.84919472913616401</v>
      </c>
      <c r="W149" s="27">
        <f t="shared" si="46"/>
        <v>0.10248901903367497</v>
      </c>
      <c r="X149" s="27">
        <f t="shared" si="47"/>
        <v>4.3923865300146414E-3</v>
      </c>
      <c r="Y149" s="28">
        <f t="shared" si="48"/>
        <v>54.282576866764273</v>
      </c>
    </row>
    <row r="150" spans="1:25" x14ac:dyDescent="0.25">
      <c r="A150" s="26" t="s">
        <v>319</v>
      </c>
      <c r="B150" s="26" t="s">
        <v>320</v>
      </c>
      <c r="C150" s="26" t="s">
        <v>216</v>
      </c>
      <c r="D150" s="26">
        <v>4</v>
      </c>
      <c r="E150" s="26"/>
      <c r="F150" s="26">
        <v>1</v>
      </c>
      <c r="G150" s="26"/>
      <c r="H150" s="26">
        <v>540</v>
      </c>
      <c r="I150" s="26">
        <v>105</v>
      </c>
      <c r="J150" s="26"/>
      <c r="K150" s="26">
        <v>37</v>
      </c>
      <c r="L150" s="26"/>
      <c r="M150" s="26">
        <v>683</v>
      </c>
      <c r="N150" s="28">
        <v>44.216691068814058</v>
      </c>
      <c r="O150" s="26" t="s">
        <v>247</v>
      </c>
      <c r="P150" s="26">
        <f t="shared" si="39"/>
        <v>37</v>
      </c>
      <c r="Q150" s="26">
        <f t="shared" si="40"/>
        <v>540</v>
      </c>
      <c r="R150" s="26">
        <f t="shared" si="41"/>
        <v>105</v>
      </c>
      <c r="S150" s="26">
        <f t="shared" si="42"/>
        <v>1</v>
      </c>
      <c r="T150" s="26">
        <f t="shared" si="43"/>
        <v>683</v>
      </c>
      <c r="U150" s="27">
        <f t="shared" si="44"/>
        <v>5.4172767203513911E-2</v>
      </c>
      <c r="V150" s="27">
        <f t="shared" si="45"/>
        <v>0.79062957540263545</v>
      </c>
      <c r="W150" s="27">
        <f t="shared" si="46"/>
        <v>0.15373352855051245</v>
      </c>
      <c r="X150" s="27">
        <f t="shared" si="47"/>
        <v>1.4641288433382138E-3</v>
      </c>
      <c r="Y150" s="28">
        <f t="shared" si="48"/>
        <v>44.216691068814058</v>
      </c>
    </row>
    <row r="151" spans="1:25" x14ac:dyDescent="0.25">
      <c r="A151" s="26" t="s">
        <v>319</v>
      </c>
      <c r="B151" s="26" t="s">
        <v>320</v>
      </c>
      <c r="C151" s="26" t="s">
        <v>216</v>
      </c>
      <c r="D151" s="26">
        <v>5</v>
      </c>
      <c r="E151" s="26"/>
      <c r="F151" s="26"/>
      <c r="G151" s="26"/>
      <c r="H151" s="26">
        <v>518</v>
      </c>
      <c r="I151" s="26">
        <v>114</v>
      </c>
      <c r="J151" s="26">
        <v>2</v>
      </c>
      <c r="K151" s="26">
        <v>48</v>
      </c>
      <c r="L151" s="26">
        <v>1</v>
      </c>
      <c r="M151" s="26">
        <v>683</v>
      </c>
      <c r="N151" s="28">
        <v>36.064421669106885</v>
      </c>
      <c r="O151" s="26" t="s">
        <v>247</v>
      </c>
      <c r="P151" s="26">
        <f t="shared" si="39"/>
        <v>48</v>
      </c>
      <c r="Q151" s="26">
        <f t="shared" si="40"/>
        <v>518</v>
      </c>
      <c r="R151" s="26">
        <f t="shared" si="41"/>
        <v>114</v>
      </c>
      <c r="S151" s="26">
        <f t="shared" si="42"/>
        <v>3</v>
      </c>
      <c r="T151" s="26">
        <f t="shared" si="43"/>
        <v>683</v>
      </c>
      <c r="U151" s="27">
        <f t="shared" si="44"/>
        <v>7.0278184480234263E-2</v>
      </c>
      <c r="V151" s="27">
        <f t="shared" si="45"/>
        <v>0.75841874084919469</v>
      </c>
      <c r="W151" s="27">
        <f t="shared" si="46"/>
        <v>0.16691068814055637</v>
      </c>
      <c r="X151" s="27">
        <f t="shared" si="47"/>
        <v>4.3923865300146414E-3</v>
      </c>
      <c r="Y151" s="28">
        <f t="shared" si="48"/>
        <v>36.064421669106885</v>
      </c>
    </row>
    <row r="152" spans="1:25" x14ac:dyDescent="0.25">
      <c r="A152" s="26" t="s">
        <v>319</v>
      </c>
      <c r="B152" s="26" t="s">
        <v>320</v>
      </c>
      <c r="C152" s="26" t="s">
        <v>216</v>
      </c>
      <c r="D152" s="26">
        <v>6</v>
      </c>
      <c r="E152" s="26"/>
      <c r="F152" s="26"/>
      <c r="G152" s="26">
        <v>1</v>
      </c>
      <c r="H152" s="26">
        <v>511</v>
      </c>
      <c r="I152" s="26">
        <v>120</v>
      </c>
      <c r="J152" s="26"/>
      <c r="K152" s="26">
        <v>51</v>
      </c>
      <c r="L152" s="26"/>
      <c r="M152" s="26">
        <v>683</v>
      </c>
      <c r="N152" s="28">
        <v>29.144948755490482</v>
      </c>
      <c r="O152" s="26" t="s">
        <v>247</v>
      </c>
      <c r="P152" s="26">
        <f t="shared" si="39"/>
        <v>51</v>
      </c>
      <c r="Q152" s="26">
        <f t="shared" si="40"/>
        <v>511</v>
      </c>
      <c r="R152" s="26">
        <f t="shared" si="41"/>
        <v>120</v>
      </c>
      <c r="S152" s="26">
        <f t="shared" si="42"/>
        <v>1</v>
      </c>
      <c r="T152" s="26">
        <f t="shared" si="43"/>
        <v>683</v>
      </c>
      <c r="U152" s="27">
        <f t="shared" si="44"/>
        <v>7.4670571010248904E-2</v>
      </c>
      <c r="V152" s="27">
        <f t="shared" si="45"/>
        <v>0.74816983894582723</v>
      </c>
      <c r="W152" s="27">
        <f t="shared" si="46"/>
        <v>0.17569546120058566</v>
      </c>
      <c r="X152" s="27">
        <f t="shared" si="47"/>
        <v>1.4641288433382138E-3</v>
      </c>
      <c r="Y152" s="28">
        <f t="shared" si="48"/>
        <v>29.144948755490482</v>
      </c>
    </row>
    <row r="153" spans="1:25" x14ac:dyDescent="0.25">
      <c r="A153" s="26" t="s">
        <v>319</v>
      </c>
      <c r="B153" s="26" t="s">
        <v>320</v>
      </c>
      <c r="C153" s="26" t="s">
        <v>216</v>
      </c>
      <c r="D153" s="26">
        <v>7</v>
      </c>
      <c r="E153" s="26"/>
      <c r="F153" s="26"/>
      <c r="G153" s="26"/>
      <c r="H153" s="26">
        <v>437</v>
      </c>
      <c r="I153" s="26">
        <v>167</v>
      </c>
      <c r="J153" s="26"/>
      <c r="K153" s="26">
        <v>80</v>
      </c>
      <c r="L153" s="26"/>
      <c r="M153" s="26">
        <v>684</v>
      </c>
      <c r="N153" s="28">
        <v>21.969298245614034</v>
      </c>
      <c r="O153" s="26" t="s">
        <v>247</v>
      </c>
      <c r="P153" s="26">
        <f t="shared" si="39"/>
        <v>80</v>
      </c>
      <c r="Q153" s="26">
        <f t="shared" si="40"/>
        <v>437</v>
      </c>
      <c r="R153" s="26">
        <f t="shared" si="41"/>
        <v>167</v>
      </c>
      <c r="S153" s="26">
        <f t="shared" si="42"/>
        <v>0</v>
      </c>
      <c r="T153" s="26">
        <f t="shared" si="43"/>
        <v>684</v>
      </c>
      <c r="U153" s="27">
        <f t="shared" si="44"/>
        <v>0.11695906432748537</v>
      </c>
      <c r="V153" s="27">
        <f t="shared" si="45"/>
        <v>0.63888888888888884</v>
      </c>
      <c r="W153" s="27">
        <f t="shared" si="46"/>
        <v>0.24415204678362573</v>
      </c>
      <c r="X153" s="27">
        <f t="shared" si="47"/>
        <v>0</v>
      </c>
      <c r="Y153" s="28">
        <f t="shared" si="48"/>
        <v>21.969298245614034</v>
      </c>
    </row>
    <row r="154" spans="1:25" x14ac:dyDescent="0.25">
      <c r="A154" s="26" t="s">
        <v>321</v>
      </c>
      <c r="B154" s="26" t="s">
        <v>322</v>
      </c>
      <c r="C154" s="26" t="s">
        <v>218</v>
      </c>
      <c r="D154" s="26">
        <v>1</v>
      </c>
      <c r="E154" s="26"/>
      <c r="F154" s="26"/>
      <c r="G154" s="26"/>
      <c r="H154" s="26">
        <v>405</v>
      </c>
      <c r="I154" s="26">
        <v>33</v>
      </c>
      <c r="J154" s="26">
        <v>1</v>
      </c>
      <c r="K154" s="26">
        <v>11</v>
      </c>
      <c r="L154" s="26"/>
      <c r="M154" s="26">
        <v>450</v>
      </c>
      <c r="N154" s="28">
        <v>78.540000000000006</v>
      </c>
      <c r="O154" s="26" t="s">
        <v>247</v>
      </c>
      <c r="P154" s="26">
        <f t="shared" si="39"/>
        <v>11</v>
      </c>
      <c r="Q154" s="26">
        <f t="shared" si="40"/>
        <v>405</v>
      </c>
      <c r="R154" s="26">
        <f t="shared" si="41"/>
        <v>33</v>
      </c>
      <c r="S154" s="26">
        <f t="shared" si="42"/>
        <v>1</v>
      </c>
      <c r="T154" s="26">
        <f t="shared" si="43"/>
        <v>450</v>
      </c>
      <c r="U154" s="27">
        <f t="shared" si="44"/>
        <v>2.4444444444444446E-2</v>
      </c>
      <c r="V154" s="27">
        <f t="shared" si="45"/>
        <v>0.9</v>
      </c>
      <c r="W154" s="27">
        <f t="shared" si="46"/>
        <v>7.3333333333333334E-2</v>
      </c>
      <c r="X154" s="27">
        <f t="shared" si="47"/>
        <v>2.2222222222222222E-3</v>
      </c>
      <c r="Y154" s="28">
        <f t="shared" si="48"/>
        <v>78.540000000000006</v>
      </c>
    </row>
    <row r="155" spans="1:25" x14ac:dyDescent="0.25">
      <c r="A155" s="26" t="s">
        <v>321</v>
      </c>
      <c r="B155" s="26" t="s">
        <v>322</v>
      </c>
      <c r="C155" s="26" t="s">
        <v>218</v>
      </c>
      <c r="D155" s="26">
        <v>2</v>
      </c>
      <c r="E155" s="26"/>
      <c r="F155" s="26">
        <v>1</v>
      </c>
      <c r="G155" s="26"/>
      <c r="H155" s="26">
        <v>384</v>
      </c>
      <c r="I155" s="26">
        <v>26</v>
      </c>
      <c r="J155" s="26">
        <v>7</v>
      </c>
      <c r="K155" s="26">
        <v>32</v>
      </c>
      <c r="L155" s="26"/>
      <c r="M155" s="26">
        <v>450</v>
      </c>
      <c r="N155" s="28">
        <v>67.884444444444441</v>
      </c>
      <c r="O155" s="26" t="s">
        <v>247</v>
      </c>
      <c r="P155" s="26">
        <f t="shared" si="39"/>
        <v>32</v>
      </c>
      <c r="Q155" s="26">
        <f t="shared" si="40"/>
        <v>384</v>
      </c>
      <c r="R155" s="26">
        <f t="shared" si="41"/>
        <v>26</v>
      </c>
      <c r="S155" s="26">
        <f t="shared" si="42"/>
        <v>8</v>
      </c>
      <c r="T155" s="26">
        <f t="shared" si="43"/>
        <v>450</v>
      </c>
      <c r="U155" s="27">
        <f t="shared" si="44"/>
        <v>7.1111111111111111E-2</v>
      </c>
      <c r="V155" s="27">
        <f t="shared" si="45"/>
        <v>0.85333333333333339</v>
      </c>
      <c r="W155" s="27">
        <f t="shared" si="46"/>
        <v>5.7777777777777775E-2</v>
      </c>
      <c r="X155" s="27">
        <f t="shared" si="47"/>
        <v>1.7777777777777778E-2</v>
      </c>
      <c r="Y155" s="28">
        <f t="shared" si="48"/>
        <v>67.884444444444441</v>
      </c>
    </row>
    <row r="156" spans="1:25" x14ac:dyDescent="0.25">
      <c r="A156" s="26" t="s">
        <v>321</v>
      </c>
      <c r="B156" s="26" t="s">
        <v>322</v>
      </c>
      <c r="C156" s="26" t="s">
        <v>218</v>
      </c>
      <c r="D156" s="26">
        <v>3</v>
      </c>
      <c r="E156" s="26"/>
      <c r="F156" s="26">
        <v>1</v>
      </c>
      <c r="G156" s="26"/>
      <c r="H156" s="26">
        <v>371</v>
      </c>
      <c r="I156" s="26">
        <v>34</v>
      </c>
      <c r="J156" s="26">
        <v>2</v>
      </c>
      <c r="K156" s="26">
        <v>42</v>
      </c>
      <c r="L156" s="26"/>
      <c r="M156" s="26">
        <v>450</v>
      </c>
      <c r="N156" s="28">
        <v>59.415555555555557</v>
      </c>
      <c r="O156" s="26" t="s">
        <v>247</v>
      </c>
      <c r="P156" s="26">
        <f t="shared" si="39"/>
        <v>42</v>
      </c>
      <c r="Q156" s="26">
        <f t="shared" si="40"/>
        <v>371</v>
      </c>
      <c r="R156" s="26">
        <f t="shared" si="41"/>
        <v>34</v>
      </c>
      <c r="S156" s="26">
        <f t="shared" si="42"/>
        <v>3</v>
      </c>
      <c r="T156" s="26">
        <f t="shared" si="43"/>
        <v>450</v>
      </c>
      <c r="U156" s="27">
        <f t="shared" si="44"/>
        <v>9.3333333333333338E-2</v>
      </c>
      <c r="V156" s="27">
        <f t="shared" si="45"/>
        <v>0.82444444444444442</v>
      </c>
      <c r="W156" s="27">
        <f t="shared" si="46"/>
        <v>7.5555555555555556E-2</v>
      </c>
      <c r="X156" s="27">
        <f t="shared" si="47"/>
        <v>6.6666666666666671E-3</v>
      </c>
      <c r="Y156" s="28">
        <f t="shared" si="48"/>
        <v>59.415555555555557</v>
      </c>
    </row>
    <row r="157" spans="1:25" x14ac:dyDescent="0.25">
      <c r="A157" s="26" t="s">
        <v>321</v>
      </c>
      <c r="B157" s="26" t="s">
        <v>322</v>
      </c>
      <c r="C157" s="26" t="s">
        <v>218</v>
      </c>
      <c r="D157" s="26">
        <v>4</v>
      </c>
      <c r="E157" s="26"/>
      <c r="F157" s="26">
        <v>1</v>
      </c>
      <c r="G157" s="26">
        <v>1</v>
      </c>
      <c r="H157" s="26">
        <v>480</v>
      </c>
      <c r="I157" s="26">
        <v>35</v>
      </c>
      <c r="J157" s="26">
        <v>1</v>
      </c>
      <c r="K157" s="26">
        <v>47</v>
      </c>
      <c r="L157" s="26"/>
      <c r="M157" s="26">
        <v>565</v>
      </c>
      <c r="N157" s="28">
        <v>46.007079646017701</v>
      </c>
      <c r="O157" s="26" t="s">
        <v>247</v>
      </c>
      <c r="P157" s="26">
        <f t="shared" si="39"/>
        <v>47</v>
      </c>
      <c r="Q157" s="26">
        <f t="shared" si="40"/>
        <v>480</v>
      </c>
      <c r="R157" s="26">
        <f t="shared" si="41"/>
        <v>35</v>
      </c>
      <c r="S157" s="26">
        <f t="shared" si="42"/>
        <v>3</v>
      </c>
      <c r="T157" s="26">
        <f t="shared" si="43"/>
        <v>565</v>
      </c>
      <c r="U157" s="27">
        <f t="shared" si="44"/>
        <v>8.3185840707964601E-2</v>
      </c>
      <c r="V157" s="27">
        <f t="shared" si="45"/>
        <v>0.84955752212389379</v>
      </c>
      <c r="W157" s="27">
        <f t="shared" si="46"/>
        <v>6.1946902654867256E-2</v>
      </c>
      <c r="X157" s="27">
        <f t="shared" si="47"/>
        <v>5.3097345132743362E-3</v>
      </c>
      <c r="Y157" s="28">
        <f t="shared" si="48"/>
        <v>46.007079646017701</v>
      </c>
    </row>
    <row r="158" spans="1:25" x14ac:dyDescent="0.25">
      <c r="A158" s="26" t="s">
        <v>321</v>
      </c>
      <c r="B158" s="26" t="s">
        <v>322</v>
      </c>
      <c r="C158" s="26" t="s">
        <v>218</v>
      </c>
      <c r="D158" s="26">
        <v>5</v>
      </c>
      <c r="E158" s="26"/>
      <c r="F158" s="26"/>
      <c r="G158" s="26"/>
      <c r="H158" s="26">
        <v>434</v>
      </c>
      <c r="I158" s="26">
        <v>44</v>
      </c>
      <c r="J158" s="26">
        <v>1</v>
      </c>
      <c r="K158" s="26">
        <v>86</v>
      </c>
      <c r="L158" s="26">
        <v>1</v>
      </c>
      <c r="M158" s="26">
        <v>566</v>
      </c>
      <c r="N158" s="28">
        <v>29.056537102473499</v>
      </c>
      <c r="O158" s="26" t="s">
        <v>247</v>
      </c>
      <c r="P158" s="26">
        <f t="shared" si="39"/>
        <v>86</v>
      </c>
      <c r="Q158" s="26">
        <f t="shared" si="40"/>
        <v>434</v>
      </c>
      <c r="R158" s="26">
        <f t="shared" si="41"/>
        <v>44</v>
      </c>
      <c r="S158" s="26">
        <f t="shared" si="42"/>
        <v>2</v>
      </c>
      <c r="T158" s="26">
        <f t="shared" si="43"/>
        <v>566</v>
      </c>
      <c r="U158" s="27">
        <f t="shared" si="44"/>
        <v>0.1519434628975265</v>
      </c>
      <c r="V158" s="27">
        <f t="shared" si="45"/>
        <v>0.7667844522968198</v>
      </c>
      <c r="W158" s="27">
        <f t="shared" si="46"/>
        <v>7.7738515901060068E-2</v>
      </c>
      <c r="X158" s="27">
        <f t="shared" si="47"/>
        <v>3.5335689045936395E-3</v>
      </c>
      <c r="Y158" s="28">
        <f t="shared" si="48"/>
        <v>29.056537102473499</v>
      </c>
    </row>
    <row r="159" spans="1:25" x14ac:dyDescent="0.25">
      <c r="A159" s="26" t="s">
        <v>323</v>
      </c>
      <c r="B159" s="26" t="s">
        <v>324</v>
      </c>
      <c r="C159" s="26" t="s">
        <v>220</v>
      </c>
      <c r="D159" s="26">
        <v>1</v>
      </c>
      <c r="E159" s="26"/>
      <c r="F159" s="26"/>
      <c r="G159" s="26"/>
      <c r="H159" s="26">
        <v>431</v>
      </c>
      <c r="I159" s="26">
        <v>14</v>
      </c>
      <c r="J159" s="26"/>
      <c r="K159" s="26">
        <v>5</v>
      </c>
      <c r="L159" s="26"/>
      <c r="M159" s="26">
        <v>450</v>
      </c>
      <c r="N159" s="28">
        <v>73.16</v>
      </c>
      <c r="O159" s="26" t="s">
        <v>247</v>
      </c>
      <c r="P159" s="26">
        <f t="shared" si="39"/>
        <v>5</v>
      </c>
      <c r="Q159" s="26">
        <f t="shared" si="40"/>
        <v>431</v>
      </c>
      <c r="R159" s="26">
        <f t="shared" si="41"/>
        <v>14</v>
      </c>
      <c r="S159" s="26">
        <f t="shared" si="42"/>
        <v>0</v>
      </c>
      <c r="T159" s="26">
        <f t="shared" si="43"/>
        <v>450</v>
      </c>
      <c r="U159" s="27">
        <f t="shared" si="44"/>
        <v>1.1111111111111112E-2</v>
      </c>
      <c r="V159" s="27">
        <f t="shared" si="45"/>
        <v>0.95777777777777773</v>
      </c>
      <c r="W159" s="27">
        <f t="shared" si="46"/>
        <v>3.111111111111111E-2</v>
      </c>
      <c r="X159" s="27">
        <f t="shared" si="47"/>
        <v>0</v>
      </c>
      <c r="Y159" s="28">
        <f t="shared" si="48"/>
        <v>73.16</v>
      </c>
    </row>
    <row r="160" spans="1:25" x14ac:dyDescent="0.25">
      <c r="A160" s="26" t="s">
        <v>323</v>
      </c>
      <c r="B160" s="26" t="s">
        <v>324</v>
      </c>
      <c r="C160" s="26" t="s">
        <v>220</v>
      </c>
      <c r="D160" s="26">
        <v>2</v>
      </c>
      <c r="E160" s="26"/>
      <c r="F160" s="26"/>
      <c r="G160" s="26"/>
      <c r="H160" s="26">
        <v>431</v>
      </c>
      <c r="I160" s="26">
        <v>16</v>
      </c>
      <c r="J160" s="26">
        <v>1</v>
      </c>
      <c r="K160" s="26">
        <v>2</v>
      </c>
      <c r="L160" s="26"/>
      <c r="M160" s="26">
        <v>450</v>
      </c>
      <c r="N160" s="28">
        <v>63.102222222222224</v>
      </c>
      <c r="O160" s="26" t="s">
        <v>247</v>
      </c>
      <c r="P160" s="26">
        <f t="shared" si="39"/>
        <v>2</v>
      </c>
      <c r="Q160" s="26">
        <f t="shared" si="40"/>
        <v>431</v>
      </c>
      <c r="R160" s="26">
        <f t="shared" si="41"/>
        <v>16</v>
      </c>
      <c r="S160" s="26">
        <f t="shared" si="42"/>
        <v>1</v>
      </c>
      <c r="T160" s="26">
        <f t="shared" si="43"/>
        <v>450</v>
      </c>
      <c r="U160" s="27">
        <f t="shared" si="44"/>
        <v>4.4444444444444444E-3</v>
      </c>
      <c r="V160" s="27">
        <f t="shared" si="45"/>
        <v>0.95777777777777773</v>
      </c>
      <c r="W160" s="27">
        <f t="shared" si="46"/>
        <v>3.5555555555555556E-2</v>
      </c>
      <c r="X160" s="27">
        <f t="shared" si="47"/>
        <v>2.2222222222222222E-3</v>
      </c>
      <c r="Y160" s="28">
        <f t="shared" si="48"/>
        <v>63.102222222222224</v>
      </c>
    </row>
    <row r="161" spans="1:25" x14ac:dyDescent="0.25">
      <c r="A161" s="26" t="s">
        <v>323</v>
      </c>
      <c r="B161" s="26" t="s">
        <v>324</v>
      </c>
      <c r="C161" s="26" t="s">
        <v>220</v>
      </c>
      <c r="D161" s="26">
        <v>3</v>
      </c>
      <c r="E161" s="26"/>
      <c r="F161" s="26">
        <v>1</v>
      </c>
      <c r="G161" s="26"/>
      <c r="H161" s="26">
        <v>490</v>
      </c>
      <c r="I161" s="26">
        <v>12</v>
      </c>
      <c r="J161" s="26">
        <v>1</v>
      </c>
      <c r="K161" s="26">
        <v>6</v>
      </c>
      <c r="L161" s="26"/>
      <c r="M161" s="26">
        <v>510</v>
      </c>
      <c r="N161" s="28">
        <v>52.639215686274511</v>
      </c>
      <c r="O161" s="26" t="s">
        <v>247</v>
      </c>
      <c r="P161" s="26">
        <f t="shared" si="39"/>
        <v>6</v>
      </c>
      <c r="Q161" s="26">
        <f t="shared" si="40"/>
        <v>490</v>
      </c>
      <c r="R161" s="26">
        <f t="shared" si="41"/>
        <v>12</v>
      </c>
      <c r="S161" s="26">
        <f t="shared" si="42"/>
        <v>2</v>
      </c>
      <c r="T161" s="26">
        <f t="shared" si="43"/>
        <v>510</v>
      </c>
      <c r="U161" s="27">
        <f t="shared" si="44"/>
        <v>1.1764705882352941E-2</v>
      </c>
      <c r="V161" s="27">
        <f t="shared" si="45"/>
        <v>0.96078431372549022</v>
      </c>
      <c r="W161" s="27">
        <f t="shared" si="46"/>
        <v>2.3529411764705882E-2</v>
      </c>
      <c r="X161" s="27">
        <f t="shared" si="47"/>
        <v>3.9215686274509803E-3</v>
      </c>
      <c r="Y161" s="28">
        <f t="shared" si="48"/>
        <v>52.639215686274511</v>
      </c>
    </row>
    <row r="162" spans="1:25" x14ac:dyDescent="0.25">
      <c r="A162" s="26" t="s">
        <v>323</v>
      </c>
      <c r="B162" s="26" t="s">
        <v>324</v>
      </c>
      <c r="C162" s="26" t="s">
        <v>220</v>
      </c>
      <c r="D162" s="26">
        <v>4</v>
      </c>
      <c r="E162" s="26"/>
      <c r="F162" s="26"/>
      <c r="G162" s="26"/>
      <c r="H162" s="26">
        <v>449</v>
      </c>
      <c r="I162" s="26">
        <v>36</v>
      </c>
      <c r="J162" s="26"/>
      <c r="K162" s="26">
        <v>26</v>
      </c>
      <c r="L162" s="26"/>
      <c r="M162" s="26">
        <v>511</v>
      </c>
      <c r="N162" s="28">
        <v>40.665362035225051</v>
      </c>
      <c r="O162" s="26" t="s">
        <v>247</v>
      </c>
      <c r="P162" s="26">
        <f t="shared" si="39"/>
        <v>26</v>
      </c>
      <c r="Q162" s="26">
        <f t="shared" si="40"/>
        <v>449</v>
      </c>
      <c r="R162" s="26">
        <f t="shared" si="41"/>
        <v>36</v>
      </c>
      <c r="S162" s="26">
        <f t="shared" si="42"/>
        <v>0</v>
      </c>
      <c r="T162" s="26">
        <f t="shared" si="43"/>
        <v>511</v>
      </c>
      <c r="U162" s="27">
        <f t="shared" si="44"/>
        <v>5.0880626223091974E-2</v>
      </c>
      <c r="V162" s="27">
        <f t="shared" si="45"/>
        <v>0.87866927592954991</v>
      </c>
      <c r="W162" s="27">
        <f t="shared" si="46"/>
        <v>7.0450097847358117E-2</v>
      </c>
      <c r="X162" s="27">
        <f t="shared" si="47"/>
        <v>0</v>
      </c>
      <c r="Y162" s="28">
        <f t="shared" si="48"/>
        <v>40.665362035225051</v>
      </c>
    </row>
    <row r="163" spans="1:25" x14ac:dyDescent="0.25">
      <c r="A163" s="26" t="s">
        <v>323</v>
      </c>
      <c r="B163" s="26" t="s">
        <v>324</v>
      </c>
      <c r="C163" s="26" t="s">
        <v>220</v>
      </c>
      <c r="D163" s="26">
        <v>5</v>
      </c>
      <c r="E163" s="26"/>
      <c r="F163" s="26"/>
      <c r="G163" s="26"/>
      <c r="H163" s="26">
        <v>417</v>
      </c>
      <c r="I163" s="26">
        <v>46</v>
      </c>
      <c r="J163" s="26"/>
      <c r="K163" s="26">
        <v>48</v>
      </c>
      <c r="L163" s="26"/>
      <c r="M163" s="26">
        <v>511</v>
      </c>
      <c r="N163" s="28">
        <v>25.700587084148729</v>
      </c>
      <c r="O163" s="26" t="s">
        <v>247</v>
      </c>
      <c r="P163" s="26">
        <f t="shared" si="39"/>
        <v>48</v>
      </c>
      <c r="Q163" s="26">
        <f t="shared" si="40"/>
        <v>417</v>
      </c>
      <c r="R163" s="26">
        <f t="shared" si="41"/>
        <v>46</v>
      </c>
      <c r="S163" s="26">
        <f t="shared" si="42"/>
        <v>0</v>
      </c>
      <c r="T163" s="26">
        <f t="shared" si="43"/>
        <v>511</v>
      </c>
      <c r="U163" s="27">
        <f t="shared" si="44"/>
        <v>9.393346379647749E-2</v>
      </c>
      <c r="V163" s="27">
        <f t="shared" si="45"/>
        <v>0.81604696673189825</v>
      </c>
      <c r="W163" s="27">
        <f t="shared" si="46"/>
        <v>9.0019569471624261E-2</v>
      </c>
      <c r="X163" s="27">
        <f t="shared" si="47"/>
        <v>0</v>
      </c>
      <c r="Y163" s="28">
        <f t="shared" si="48"/>
        <v>25.700587084148729</v>
      </c>
    </row>
    <row r="164" spans="1:25" x14ac:dyDescent="0.25">
      <c r="A164" s="26" t="s">
        <v>325</v>
      </c>
      <c r="B164" s="26" t="s">
        <v>326</v>
      </c>
      <c r="C164" s="26" t="s">
        <v>222</v>
      </c>
      <c r="D164" s="26">
        <v>1</v>
      </c>
      <c r="E164" s="26"/>
      <c r="F164" s="26"/>
      <c r="G164" s="26"/>
      <c r="H164" s="26">
        <v>335</v>
      </c>
      <c r="I164" s="26">
        <v>71</v>
      </c>
      <c r="J164" s="26"/>
      <c r="K164" s="26">
        <v>44</v>
      </c>
      <c r="L164" s="26"/>
      <c r="M164" s="26">
        <v>450</v>
      </c>
      <c r="N164" s="28">
        <v>68.871111111111105</v>
      </c>
      <c r="O164" s="26" t="s">
        <v>247</v>
      </c>
      <c r="P164" s="26">
        <f t="shared" si="39"/>
        <v>44</v>
      </c>
      <c r="Q164" s="26">
        <f t="shared" si="40"/>
        <v>335</v>
      </c>
      <c r="R164" s="26">
        <f t="shared" si="41"/>
        <v>71</v>
      </c>
      <c r="S164" s="26">
        <f t="shared" si="42"/>
        <v>0</v>
      </c>
      <c r="T164" s="26">
        <f t="shared" si="43"/>
        <v>450</v>
      </c>
      <c r="U164" s="27">
        <f t="shared" si="44"/>
        <v>9.7777777777777783E-2</v>
      </c>
      <c r="V164" s="27">
        <f t="shared" si="45"/>
        <v>0.74444444444444446</v>
      </c>
      <c r="W164" s="27">
        <f t="shared" si="46"/>
        <v>0.15777777777777777</v>
      </c>
      <c r="X164" s="27">
        <f t="shared" si="47"/>
        <v>0</v>
      </c>
      <c r="Y164" s="28">
        <f t="shared" si="48"/>
        <v>68.871111111111105</v>
      </c>
    </row>
    <row r="165" spans="1:25" x14ac:dyDescent="0.25">
      <c r="A165" s="26" t="s">
        <v>325</v>
      </c>
      <c r="B165" s="26" t="s">
        <v>326</v>
      </c>
      <c r="C165" s="26" t="s">
        <v>222</v>
      </c>
      <c r="D165" s="26">
        <v>2</v>
      </c>
      <c r="E165" s="26"/>
      <c r="F165" s="26"/>
      <c r="G165" s="26"/>
      <c r="H165" s="26">
        <v>528</v>
      </c>
      <c r="I165" s="26">
        <v>150</v>
      </c>
      <c r="J165" s="26">
        <v>1</v>
      </c>
      <c r="K165" s="26">
        <v>68</v>
      </c>
      <c r="L165" s="26"/>
      <c r="M165" s="26">
        <v>747</v>
      </c>
      <c r="N165" s="28">
        <v>57.528781793842036</v>
      </c>
      <c r="O165" s="26" t="s">
        <v>247</v>
      </c>
      <c r="P165" s="26">
        <f t="shared" si="39"/>
        <v>68</v>
      </c>
      <c r="Q165" s="26">
        <f t="shared" si="40"/>
        <v>528</v>
      </c>
      <c r="R165" s="26">
        <f t="shared" si="41"/>
        <v>150</v>
      </c>
      <c r="S165" s="26">
        <f t="shared" si="42"/>
        <v>1</v>
      </c>
      <c r="T165" s="26">
        <f t="shared" si="43"/>
        <v>747</v>
      </c>
      <c r="U165" s="27">
        <f t="shared" si="44"/>
        <v>9.1030789825970543E-2</v>
      </c>
      <c r="V165" s="27">
        <f t="shared" si="45"/>
        <v>0.70682730923694781</v>
      </c>
      <c r="W165" s="27">
        <f t="shared" si="46"/>
        <v>0.20080321285140562</v>
      </c>
      <c r="X165" s="27">
        <f t="shared" si="47"/>
        <v>1.3386880856760374E-3</v>
      </c>
      <c r="Y165" s="28">
        <f t="shared" si="48"/>
        <v>57.528781793842036</v>
      </c>
    </row>
    <row r="166" spans="1:25" x14ac:dyDescent="0.25">
      <c r="A166" s="26" t="s">
        <v>325</v>
      </c>
      <c r="B166" s="26" t="s">
        <v>326</v>
      </c>
      <c r="C166" s="26" t="s">
        <v>222</v>
      </c>
      <c r="D166" s="26">
        <v>3</v>
      </c>
      <c r="E166" s="26"/>
      <c r="F166" s="26"/>
      <c r="G166" s="26"/>
      <c r="H166" s="26">
        <v>508</v>
      </c>
      <c r="I166" s="26">
        <v>174</v>
      </c>
      <c r="J166" s="26"/>
      <c r="K166" s="26">
        <v>65</v>
      </c>
      <c r="L166" s="26"/>
      <c r="M166" s="26">
        <v>747</v>
      </c>
      <c r="N166" s="28">
        <v>44.372155287817939</v>
      </c>
      <c r="O166" s="26" t="s">
        <v>247</v>
      </c>
      <c r="P166" s="26">
        <f t="shared" si="39"/>
        <v>65</v>
      </c>
      <c r="Q166" s="26">
        <f t="shared" si="40"/>
        <v>508</v>
      </c>
      <c r="R166" s="26">
        <f t="shared" si="41"/>
        <v>174</v>
      </c>
      <c r="S166" s="26">
        <f t="shared" si="42"/>
        <v>0</v>
      </c>
      <c r="T166" s="26">
        <f t="shared" si="43"/>
        <v>747</v>
      </c>
      <c r="U166" s="27">
        <f t="shared" si="44"/>
        <v>8.7014725568942436E-2</v>
      </c>
      <c r="V166" s="27">
        <f t="shared" si="45"/>
        <v>0.68005354752342706</v>
      </c>
      <c r="W166" s="27">
        <f t="shared" si="46"/>
        <v>0.23293172690763053</v>
      </c>
      <c r="X166" s="27">
        <f t="shared" si="47"/>
        <v>0</v>
      </c>
      <c r="Y166" s="28">
        <f t="shared" si="48"/>
        <v>44.372155287817939</v>
      </c>
    </row>
    <row r="167" spans="1:25" x14ac:dyDescent="0.25">
      <c r="A167" s="26" t="s">
        <v>325</v>
      </c>
      <c r="B167" s="26" t="s">
        <v>326</v>
      </c>
      <c r="C167" s="26" t="s">
        <v>222</v>
      </c>
      <c r="D167" s="26">
        <v>4</v>
      </c>
      <c r="E167" s="26"/>
      <c r="F167" s="26">
        <v>2</v>
      </c>
      <c r="G167" s="26"/>
      <c r="H167" s="26">
        <v>470</v>
      </c>
      <c r="I167" s="26">
        <v>185</v>
      </c>
      <c r="J167" s="26"/>
      <c r="K167" s="26">
        <v>90</v>
      </c>
      <c r="L167" s="26"/>
      <c r="M167" s="26">
        <v>747</v>
      </c>
      <c r="N167" s="28">
        <v>35.455153949129851</v>
      </c>
      <c r="O167" s="26" t="s">
        <v>247</v>
      </c>
      <c r="P167" s="26">
        <f t="shared" si="39"/>
        <v>90</v>
      </c>
      <c r="Q167" s="26">
        <f t="shared" si="40"/>
        <v>470</v>
      </c>
      <c r="R167" s="26">
        <f t="shared" si="41"/>
        <v>185</v>
      </c>
      <c r="S167" s="26">
        <f t="shared" si="42"/>
        <v>2</v>
      </c>
      <c r="T167" s="26">
        <f t="shared" si="43"/>
        <v>747</v>
      </c>
      <c r="U167" s="27">
        <f t="shared" si="44"/>
        <v>0.12048192771084337</v>
      </c>
      <c r="V167" s="27">
        <f t="shared" si="45"/>
        <v>0.62918340026773767</v>
      </c>
      <c r="W167" s="27">
        <f t="shared" si="46"/>
        <v>0.24765729585006693</v>
      </c>
      <c r="X167" s="27">
        <f t="shared" si="47"/>
        <v>2.6773761713520749E-3</v>
      </c>
      <c r="Y167" s="28">
        <f t="shared" si="48"/>
        <v>35.455153949129851</v>
      </c>
    </row>
    <row r="168" spans="1:25" x14ac:dyDescent="0.25">
      <c r="A168" s="26" t="s">
        <v>325</v>
      </c>
      <c r="B168" s="26" t="s">
        <v>326</v>
      </c>
      <c r="C168" s="26" t="s">
        <v>222</v>
      </c>
      <c r="D168" s="26">
        <v>5</v>
      </c>
      <c r="E168" s="26"/>
      <c r="F168" s="26"/>
      <c r="G168" s="26"/>
      <c r="H168" s="26">
        <v>443</v>
      </c>
      <c r="I168" s="26">
        <v>214</v>
      </c>
      <c r="J168" s="26">
        <v>1</v>
      </c>
      <c r="K168" s="26">
        <v>89</v>
      </c>
      <c r="L168" s="26"/>
      <c r="M168" s="26">
        <v>747</v>
      </c>
      <c r="N168" s="28">
        <v>28.349397590361445</v>
      </c>
      <c r="O168" s="26" t="s">
        <v>247</v>
      </c>
      <c r="P168" s="26">
        <f t="shared" si="39"/>
        <v>89</v>
      </c>
      <c r="Q168" s="26">
        <f t="shared" si="40"/>
        <v>443</v>
      </c>
      <c r="R168" s="26">
        <f t="shared" si="41"/>
        <v>214</v>
      </c>
      <c r="S168" s="26">
        <f t="shared" si="42"/>
        <v>1</v>
      </c>
      <c r="T168" s="26">
        <f t="shared" si="43"/>
        <v>747</v>
      </c>
      <c r="U168" s="27">
        <f t="shared" si="44"/>
        <v>0.11914323962516733</v>
      </c>
      <c r="V168" s="27">
        <f t="shared" si="45"/>
        <v>0.59303882195448465</v>
      </c>
      <c r="W168" s="27">
        <f t="shared" si="46"/>
        <v>0.28647925033467203</v>
      </c>
      <c r="X168" s="27">
        <f t="shared" si="47"/>
        <v>1.3386880856760374E-3</v>
      </c>
      <c r="Y168" s="28">
        <f t="shared" si="48"/>
        <v>28.349397590361445</v>
      </c>
    </row>
    <row r="169" spans="1:25" x14ac:dyDescent="0.25">
      <c r="A169" s="26" t="s">
        <v>325</v>
      </c>
      <c r="B169" s="26" t="s">
        <v>326</v>
      </c>
      <c r="C169" s="26" t="s">
        <v>222</v>
      </c>
      <c r="D169" s="26">
        <v>6</v>
      </c>
      <c r="E169" s="26"/>
      <c r="F169" s="26"/>
      <c r="G169" s="26"/>
      <c r="H169" s="26">
        <v>447</v>
      </c>
      <c r="I169" s="26">
        <v>208</v>
      </c>
      <c r="J169" s="26">
        <v>1</v>
      </c>
      <c r="K169" s="26">
        <v>91</v>
      </c>
      <c r="L169" s="26"/>
      <c r="M169" s="26">
        <v>747</v>
      </c>
      <c r="N169" s="28">
        <v>21.680053547523428</v>
      </c>
      <c r="O169" s="26" t="s">
        <v>247</v>
      </c>
      <c r="P169" s="26">
        <f t="shared" si="39"/>
        <v>91</v>
      </c>
      <c r="Q169" s="26">
        <f t="shared" si="40"/>
        <v>447</v>
      </c>
      <c r="R169" s="26">
        <f t="shared" si="41"/>
        <v>208</v>
      </c>
      <c r="S169" s="26">
        <f t="shared" si="42"/>
        <v>1</v>
      </c>
      <c r="T169" s="26">
        <f t="shared" si="43"/>
        <v>747</v>
      </c>
      <c r="U169" s="27">
        <f t="shared" si="44"/>
        <v>0.12182061579651941</v>
      </c>
      <c r="V169" s="27">
        <f t="shared" si="45"/>
        <v>0.59839357429718876</v>
      </c>
      <c r="W169" s="27">
        <f t="shared" si="46"/>
        <v>0.27844712182061582</v>
      </c>
      <c r="X169" s="27">
        <f t="shared" si="47"/>
        <v>1.3386880856760374E-3</v>
      </c>
      <c r="Y169" s="28">
        <f t="shared" si="48"/>
        <v>21.680053547523428</v>
      </c>
    </row>
    <row r="170" spans="1:25" x14ac:dyDescent="0.25">
      <c r="A170" s="26" t="s">
        <v>325</v>
      </c>
      <c r="B170" s="26" t="s">
        <v>326</v>
      </c>
      <c r="C170" s="26" t="s">
        <v>223</v>
      </c>
      <c r="D170" s="26">
        <v>1</v>
      </c>
      <c r="E170" s="26"/>
      <c r="F170" s="26"/>
      <c r="G170" s="26"/>
      <c r="H170" s="26">
        <v>439</v>
      </c>
      <c r="I170" s="26">
        <v>9</v>
      </c>
      <c r="J170" s="26"/>
      <c r="K170" s="26">
        <v>2</v>
      </c>
      <c r="L170" s="26"/>
      <c r="M170" s="26">
        <v>450</v>
      </c>
      <c r="N170" s="28">
        <v>74.582222222222228</v>
      </c>
      <c r="O170" s="26" t="s">
        <v>247</v>
      </c>
      <c r="P170" s="26">
        <f t="shared" si="39"/>
        <v>2</v>
      </c>
      <c r="Q170" s="26">
        <f t="shared" si="40"/>
        <v>439</v>
      </c>
      <c r="R170" s="26">
        <f t="shared" si="41"/>
        <v>9</v>
      </c>
      <c r="S170" s="26">
        <f t="shared" si="42"/>
        <v>0</v>
      </c>
      <c r="T170" s="26">
        <f t="shared" si="43"/>
        <v>450</v>
      </c>
      <c r="U170" s="27">
        <f t="shared" si="44"/>
        <v>4.4444444444444444E-3</v>
      </c>
      <c r="V170" s="27">
        <f t="shared" si="45"/>
        <v>0.97555555555555551</v>
      </c>
      <c r="W170" s="27">
        <f t="shared" si="46"/>
        <v>0.02</v>
      </c>
      <c r="X170" s="27">
        <f t="shared" si="47"/>
        <v>0</v>
      </c>
      <c r="Y170" s="28">
        <f t="shared" si="48"/>
        <v>74.582222222222228</v>
      </c>
    </row>
    <row r="171" spans="1:25" x14ac:dyDescent="0.25">
      <c r="A171" s="26" t="s">
        <v>325</v>
      </c>
      <c r="B171" s="26" t="s">
        <v>326</v>
      </c>
      <c r="C171" s="26" t="s">
        <v>223</v>
      </c>
      <c r="D171" s="26">
        <v>2</v>
      </c>
      <c r="E171" s="26"/>
      <c r="F171" s="26"/>
      <c r="G171" s="26"/>
      <c r="H171" s="26">
        <v>438</v>
      </c>
      <c r="I171" s="26">
        <v>7</v>
      </c>
      <c r="J171" s="26">
        <v>1</v>
      </c>
      <c r="K171" s="26">
        <v>4</v>
      </c>
      <c r="L171" s="26"/>
      <c r="M171" s="26">
        <v>450</v>
      </c>
      <c r="N171" s="28">
        <v>65.062222222222218</v>
      </c>
      <c r="O171" s="26" t="s">
        <v>247</v>
      </c>
      <c r="P171" s="26">
        <f t="shared" si="39"/>
        <v>4</v>
      </c>
      <c r="Q171" s="26">
        <f t="shared" si="40"/>
        <v>438</v>
      </c>
      <c r="R171" s="26">
        <f t="shared" si="41"/>
        <v>7</v>
      </c>
      <c r="S171" s="26">
        <f t="shared" si="42"/>
        <v>1</v>
      </c>
      <c r="T171" s="26">
        <f t="shared" si="43"/>
        <v>450</v>
      </c>
      <c r="U171" s="27">
        <f t="shared" si="44"/>
        <v>8.8888888888888889E-3</v>
      </c>
      <c r="V171" s="27">
        <f t="shared" si="45"/>
        <v>0.97333333333333338</v>
      </c>
      <c r="W171" s="27">
        <f t="shared" si="46"/>
        <v>1.5555555555555555E-2</v>
      </c>
      <c r="X171" s="27">
        <f t="shared" si="47"/>
        <v>2.2222222222222222E-3</v>
      </c>
      <c r="Y171" s="28">
        <f t="shared" si="48"/>
        <v>65.062222222222218</v>
      </c>
    </row>
    <row r="172" spans="1:25" x14ac:dyDescent="0.25">
      <c r="A172" s="26" t="s">
        <v>325</v>
      </c>
      <c r="B172" s="26" t="s">
        <v>326</v>
      </c>
      <c r="C172" s="26" t="s">
        <v>223</v>
      </c>
      <c r="D172" s="26">
        <v>3</v>
      </c>
      <c r="E172" s="26"/>
      <c r="F172" s="26"/>
      <c r="G172" s="26">
        <v>1</v>
      </c>
      <c r="H172" s="26">
        <v>556</v>
      </c>
      <c r="I172" s="26">
        <v>17</v>
      </c>
      <c r="J172" s="26"/>
      <c r="K172" s="26">
        <v>10</v>
      </c>
      <c r="L172" s="26"/>
      <c r="M172" s="26">
        <v>584</v>
      </c>
      <c r="N172" s="28">
        <v>54.539383561643838</v>
      </c>
      <c r="O172" s="26" t="s">
        <v>247</v>
      </c>
      <c r="P172" s="26">
        <f t="shared" si="39"/>
        <v>10</v>
      </c>
      <c r="Q172" s="26">
        <f t="shared" si="40"/>
        <v>556</v>
      </c>
      <c r="R172" s="26">
        <f t="shared" si="41"/>
        <v>17</v>
      </c>
      <c r="S172" s="26">
        <f t="shared" si="42"/>
        <v>1</v>
      </c>
      <c r="T172" s="26">
        <f t="shared" si="43"/>
        <v>584</v>
      </c>
      <c r="U172" s="27">
        <f t="shared" si="44"/>
        <v>1.7123287671232876E-2</v>
      </c>
      <c r="V172" s="27">
        <f t="shared" si="45"/>
        <v>0.95205479452054798</v>
      </c>
      <c r="W172" s="27">
        <f t="shared" si="46"/>
        <v>2.9109589041095889E-2</v>
      </c>
      <c r="X172" s="27">
        <f t="shared" si="47"/>
        <v>1.7123287671232876E-3</v>
      </c>
      <c r="Y172" s="28">
        <f t="shared" si="48"/>
        <v>54.539383561643838</v>
      </c>
    </row>
    <row r="173" spans="1:25" x14ac:dyDescent="0.25">
      <c r="A173" s="26" t="s">
        <v>325</v>
      </c>
      <c r="B173" s="26" t="s">
        <v>326</v>
      </c>
      <c r="C173" s="26" t="s">
        <v>223</v>
      </c>
      <c r="D173" s="26">
        <v>4</v>
      </c>
      <c r="E173" s="26"/>
      <c r="F173" s="26"/>
      <c r="G173" s="26"/>
      <c r="H173" s="26">
        <v>555</v>
      </c>
      <c r="I173" s="26">
        <v>20</v>
      </c>
      <c r="J173" s="26"/>
      <c r="K173" s="26">
        <v>8</v>
      </c>
      <c r="L173" s="26">
        <v>1</v>
      </c>
      <c r="M173" s="26">
        <v>584</v>
      </c>
      <c r="N173" s="28">
        <v>41.979452054794521</v>
      </c>
      <c r="O173" s="26" t="s">
        <v>247</v>
      </c>
      <c r="P173" s="26">
        <f t="shared" si="39"/>
        <v>8</v>
      </c>
      <c r="Q173" s="26">
        <f t="shared" si="40"/>
        <v>555</v>
      </c>
      <c r="R173" s="26">
        <f t="shared" si="41"/>
        <v>20</v>
      </c>
      <c r="S173" s="26">
        <f t="shared" si="42"/>
        <v>1</v>
      </c>
      <c r="T173" s="26">
        <f t="shared" si="43"/>
        <v>584</v>
      </c>
      <c r="U173" s="27">
        <f t="shared" si="44"/>
        <v>1.3698630136986301E-2</v>
      </c>
      <c r="V173" s="27">
        <f t="shared" si="45"/>
        <v>0.95034246575342463</v>
      </c>
      <c r="W173" s="27">
        <f t="shared" si="46"/>
        <v>3.4246575342465752E-2</v>
      </c>
      <c r="X173" s="27">
        <f t="shared" si="47"/>
        <v>1.7123287671232876E-3</v>
      </c>
      <c r="Y173" s="28">
        <f t="shared" si="48"/>
        <v>41.979452054794521</v>
      </c>
    </row>
    <row r="174" spans="1:25" x14ac:dyDescent="0.25">
      <c r="A174" s="26" t="s">
        <v>325</v>
      </c>
      <c r="B174" s="26" t="s">
        <v>326</v>
      </c>
      <c r="C174" s="26" t="s">
        <v>223</v>
      </c>
      <c r="D174" s="26">
        <v>5</v>
      </c>
      <c r="E174" s="26"/>
      <c r="F174" s="26"/>
      <c r="G174" s="26"/>
      <c r="H174" s="26">
        <v>506</v>
      </c>
      <c r="I174" s="26">
        <v>46</v>
      </c>
      <c r="J174" s="26"/>
      <c r="K174" s="26">
        <v>33</v>
      </c>
      <c r="L174" s="26"/>
      <c r="M174" s="26">
        <v>585</v>
      </c>
      <c r="N174" s="28">
        <v>27.51794871794872</v>
      </c>
      <c r="O174" s="26" t="s">
        <v>247</v>
      </c>
      <c r="P174" s="26">
        <f t="shared" si="39"/>
        <v>33</v>
      </c>
      <c r="Q174" s="26">
        <f t="shared" si="40"/>
        <v>506</v>
      </c>
      <c r="R174" s="26">
        <f t="shared" si="41"/>
        <v>46</v>
      </c>
      <c r="S174" s="26">
        <f t="shared" si="42"/>
        <v>0</v>
      </c>
      <c r="T174" s="26">
        <f t="shared" si="43"/>
        <v>585</v>
      </c>
      <c r="U174" s="27">
        <f t="shared" si="44"/>
        <v>5.6410256410256411E-2</v>
      </c>
      <c r="V174" s="27">
        <f t="shared" si="45"/>
        <v>0.86495726495726499</v>
      </c>
      <c r="W174" s="27">
        <f t="shared" si="46"/>
        <v>7.8632478632478631E-2</v>
      </c>
      <c r="X174" s="27">
        <f t="shared" si="47"/>
        <v>0</v>
      </c>
      <c r="Y174" s="28">
        <f t="shared" si="48"/>
        <v>27.51794871794872</v>
      </c>
    </row>
    <row r="175" spans="1:25" x14ac:dyDescent="0.25">
      <c r="A175" s="24"/>
      <c r="B175" s="24"/>
      <c r="C175" s="24"/>
      <c r="D175" s="24"/>
      <c r="E175" s="24">
        <v>64</v>
      </c>
      <c r="F175" s="24">
        <v>32</v>
      </c>
      <c r="G175" s="24">
        <v>34</v>
      </c>
      <c r="H175" s="24">
        <v>21028</v>
      </c>
      <c r="I175" s="24">
        <v>11926</v>
      </c>
      <c r="J175" s="24">
        <v>95</v>
      </c>
      <c r="K175" s="24">
        <v>62160</v>
      </c>
      <c r="L175" s="24">
        <v>474</v>
      </c>
      <c r="M175" s="24">
        <v>95813</v>
      </c>
      <c r="N175" s="30">
        <v>44.752555766894524</v>
      </c>
      <c r="O175" s="24"/>
      <c r="P175" s="26">
        <v>62160</v>
      </c>
      <c r="Q175" s="26">
        <v>21028</v>
      </c>
      <c r="R175" s="26">
        <v>11926</v>
      </c>
      <c r="S175" s="26">
        <v>699</v>
      </c>
      <c r="T175" s="26">
        <v>95813</v>
      </c>
      <c r="U175" s="27">
        <v>0.64876373769738971</v>
      </c>
      <c r="V175" s="27">
        <v>0.21946917432916202</v>
      </c>
      <c r="W175" s="27">
        <v>0.12447162702347281</v>
      </c>
      <c r="X175" s="27">
        <v>7.2954609499754734E-3</v>
      </c>
      <c r="Y175" s="28">
        <v>44.752555766894524</v>
      </c>
    </row>
    <row r="177" spans="1:25" x14ac:dyDescent="0.25">
      <c r="A177" s="26" t="s">
        <v>250</v>
      </c>
      <c r="B177" s="26" t="s">
        <v>251</v>
      </c>
      <c r="C177" s="26" t="s">
        <v>252</v>
      </c>
      <c r="D177" s="26"/>
      <c r="E177" s="26"/>
      <c r="F177" s="26"/>
      <c r="G177" s="26"/>
      <c r="H177" s="26"/>
      <c r="I177" s="26"/>
      <c r="J177" s="26"/>
      <c r="K177" s="26">
        <v>2</v>
      </c>
      <c r="L177" s="26"/>
      <c r="M177" s="26">
        <v>2</v>
      </c>
      <c r="N177" s="28">
        <v>40</v>
      </c>
      <c r="O177" s="26" t="s">
        <v>247</v>
      </c>
      <c r="P177" s="26">
        <f>K177</f>
        <v>2</v>
      </c>
      <c r="Q177" s="26">
        <f t="shared" ref="Q177:R180" si="49">H177</f>
        <v>0</v>
      </c>
      <c r="R177" s="26">
        <f t="shared" si="49"/>
        <v>0</v>
      </c>
      <c r="S177" s="26">
        <f>M177-SUM(P177:R177)</f>
        <v>0</v>
      </c>
      <c r="T177" s="26">
        <f>SUM(P177:S177)</f>
        <v>2</v>
      </c>
      <c r="U177" s="27">
        <f>P177/M177</f>
        <v>1</v>
      </c>
      <c r="V177" s="27">
        <f>Q177/M177</f>
        <v>0</v>
      </c>
      <c r="W177" s="27">
        <f>R177/M177</f>
        <v>0</v>
      </c>
      <c r="X177" s="27">
        <f>S177/M177</f>
        <v>0</v>
      </c>
      <c r="Y177" s="28">
        <f>N177</f>
        <v>40</v>
      </c>
    </row>
    <row r="178" spans="1:25" x14ac:dyDescent="0.25">
      <c r="A178" s="26" t="s">
        <v>279</v>
      </c>
      <c r="B178" s="26" t="s">
        <v>280</v>
      </c>
      <c r="C178" s="26" t="s">
        <v>252</v>
      </c>
      <c r="D178" s="26"/>
      <c r="E178" s="26"/>
      <c r="F178" s="26"/>
      <c r="G178" s="26"/>
      <c r="H178" s="26"/>
      <c r="I178" s="26"/>
      <c r="J178" s="26"/>
      <c r="K178" s="26">
        <v>1</v>
      </c>
      <c r="L178" s="26"/>
      <c r="M178" s="26">
        <v>1</v>
      </c>
      <c r="N178" s="28">
        <v>41</v>
      </c>
      <c r="O178" s="26" t="s">
        <v>247</v>
      </c>
      <c r="P178" s="26">
        <f>K178</f>
        <v>1</v>
      </c>
      <c r="Q178" s="26">
        <f t="shared" si="49"/>
        <v>0</v>
      </c>
      <c r="R178" s="26">
        <f t="shared" si="49"/>
        <v>0</v>
      </c>
      <c r="S178" s="26">
        <f>M178-SUM(P178:R178)</f>
        <v>0</v>
      </c>
      <c r="T178" s="26">
        <f>SUM(P178:S178)</f>
        <v>1</v>
      </c>
      <c r="U178" s="27">
        <f>P178/M178</f>
        <v>1</v>
      </c>
      <c r="V178" s="27">
        <f>Q178/M178</f>
        <v>0</v>
      </c>
      <c r="W178" s="27">
        <f>R178/M178</f>
        <v>0</v>
      </c>
      <c r="X178" s="27">
        <f>S178/M178</f>
        <v>0</v>
      </c>
      <c r="Y178" s="28">
        <f>N178</f>
        <v>41</v>
      </c>
    </row>
    <row r="179" spans="1:25" x14ac:dyDescent="0.25">
      <c r="A179" s="26" t="s">
        <v>305</v>
      </c>
      <c r="B179" s="26" t="s">
        <v>306</v>
      </c>
      <c r="C179" s="26" t="s">
        <v>252</v>
      </c>
      <c r="D179" s="26"/>
      <c r="E179" s="26"/>
      <c r="F179" s="26"/>
      <c r="G179" s="26"/>
      <c r="H179" s="26"/>
      <c r="I179" s="26"/>
      <c r="J179" s="26"/>
      <c r="K179" s="26">
        <v>1</v>
      </c>
      <c r="L179" s="26"/>
      <c r="M179" s="26">
        <v>1</v>
      </c>
      <c r="N179" s="28">
        <v>38</v>
      </c>
      <c r="O179" s="26" t="s">
        <v>247</v>
      </c>
      <c r="P179" s="26">
        <f>K179</f>
        <v>1</v>
      </c>
      <c r="Q179" s="26">
        <f t="shared" si="49"/>
        <v>0</v>
      </c>
      <c r="R179" s="26">
        <f t="shared" si="49"/>
        <v>0</v>
      </c>
      <c r="S179" s="26">
        <f>M179-SUM(P179:R179)</f>
        <v>0</v>
      </c>
      <c r="T179" s="26">
        <f>SUM(P179:S179)</f>
        <v>1</v>
      </c>
      <c r="U179" s="27">
        <f>P179/M179</f>
        <v>1</v>
      </c>
      <c r="V179" s="27">
        <f>Q179/M179</f>
        <v>0</v>
      </c>
      <c r="W179" s="27">
        <f>R179/M179</f>
        <v>0</v>
      </c>
      <c r="X179" s="27">
        <f>S179/M179</f>
        <v>0</v>
      </c>
      <c r="Y179" s="28">
        <f>N179</f>
        <v>38</v>
      </c>
    </row>
    <row r="180" spans="1:25" x14ac:dyDescent="0.25">
      <c r="A180" s="24"/>
      <c r="B180" s="24"/>
      <c r="C180" s="32" t="s">
        <v>337</v>
      </c>
      <c r="D180" s="24"/>
      <c r="E180" s="24">
        <f>SUM(E177:E179)</f>
        <v>0</v>
      </c>
      <c r="F180" s="24">
        <f t="shared" ref="F180:M180" si="50">SUM(F177:F179)</f>
        <v>0</v>
      </c>
      <c r="G180" s="24">
        <f t="shared" si="50"/>
        <v>0</v>
      </c>
      <c r="H180" s="24">
        <f t="shared" si="50"/>
        <v>0</v>
      </c>
      <c r="I180" s="24">
        <f t="shared" si="50"/>
        <v>0</v>
      </c>
      <c r="J180" s="24">
        <f t="shared" si="50"/>
        <v>0</v>
      </c>
      <c r="K180" s="24">
        <f t="shared" si="50"/>
        <v>4</v>
      </c>
      <c r="L180" s="24">
        <f t="shared" si="50"/>
        <v>0</v>
      </c>
      <c r="M180" s="24">
        <f t="shared" si="50"/>
        <v>4</v>
      </c>
      <c r="N180" s="30">
        <f>AVERAGE(N177:N179)</f>
        <v>39.666666666666664</v>
      </c>
      <c r="O180" s="24"/>
      <c r="P180" s="26">
        <f>K180</f>
        <v>4</v>
      </c>
      <c r="Q180" s="26">
        <f t="shared" si="49"/>
        <v>0</v>
      </c>
      <c r="R180" s="26">
        <f t="shared" si="49"/>
        <v>0</v>
      </c>
      <c r="S180" s="26">
        <f>M180-SUM(P180:R180)</f>
        <v>0</v>
      </c>
      <c r="T180" s="26">
        <f>SUM(P180:S180)</f>
        <v>4</v>
      </c>
      <c r="U180" s="27">
        <f>P180/M180</f>
        <v>1</v>
      </c>
      <c r="V180" s="27">
        <f>Q180/M180</f>
        <v>0</v>
      </c>
      <c r="W180" s="27">
        <f>R180/M180</f>
        <v>0</v>
      </c>
      <c r="X180" s="27">
        <f>S180/M180</f>
        <v>0</v>
      </c>
      <c r="Y180" s="28">
        <f>N180</f>
        <v>39.666666666666664</v>
      </c>
    </row>
    <row r="182" spans="1:25" x14ac:dyDescent="0.25">
      <c r="A182" s="26" t="s">
        <v>263</v>
      </c>
      <c r="B182" s="26" t="s">
        <v>264</v>
      </c>
      <c r="C182" s="26" t="s">
        <v>128</v>
      </c>
      <c r="D182" s="26">
        <v>1</v>
      </c>
      <c r="E182" s="26"/>
      <c r="F182" s="26"/>
      <c r="G182" s="26"/>
      <c r="H182" s="26"/>
      <c r="I182" s="26"/>
      <c r="J182" s="26"/>
      <c r="K182" s="26">
        <v>11</v>
      </c>
      <c r="L182" s="26"/>
      <c r="M182" s="26">
        <v>11</v>
      </c>
      <c r="N182" s="28">
        <v>35.363636363636367</v>
      </c>
      <c r="O182" s="26" t="s">
        <v>247</v>
      </c>
      <c r="P182" s="26">
        <f t="shared" ref="P182:P188" si="51">K182</f>
        <v>11</v>
      </c>
      <c r="Q182" s="26">
        <f t="shared" ref="Q182:R188" si="52">H182</f>
        <v>0</v>
      </c>
      <c r="R182" s="26">
        <f t="shared" si="52"/>
        <v>0</v>
      </c>
      <c r="S182" s="26">
        <f t="shared" ref="S182:S188" si="53">M182-SUM(P182:R182)</f>
        <v>0</v>
      </c>
      <c r="T182" s="26">
        <f t="shared" ref="T182:T188" si="54">SUM(P182:S182)</f>
        <v>11</v>
      </c>
      <c r="U182" s="27">
        <f t="shared" ref="U182:U188" si="55">P182/M182</f>
        <v>1</v>
      </c>
      <c r="V182" s="27">
        <f t="shared" ref="V182:V188" si="56">Q182/M182</f>
        <v>0</v>
      </c>
      <c r="W182" s="27">
        <f t="shared" ref="W182:W188" si="57">R182/M182</f>
        <v>0</v>
      </c>
      <c r="X182" s="27">
        <f t="shared" ref="X182:X188" si="58">S182/M182</f>
        <v>0</v>
      </c>
      <c r="Y182" s="28">
        <f t="shared" ref="Y182:Y188" si="59">N182</f>
        <v>35.363636363636367</v>
      </c>
    </row>
    <row r="183" spans="1:25" x14ac:dyDescent="0.25">
      <c r="A183" s="26" t="s">
        <v>267</v>
      </c>
      <c r="B183" s="26" t="s">
        <v>268</v>
      </c>
      <c r="C183" s="26" t="s">
        <v>128</v>
      </c>
      <c r="D183" s="26">
        <v>1</v>
      </c>
      <c r="E183" s="26">
        <v>3</v>
      </c>
      <c r="F183" s="26">
        <v>2</v>
      </c>
      <c r="G183" s="26">
        <v>3</v>
      </c>
      <c r="H183" s="26">
        <v>2</v>
      </c>
      <c r="I183" s="26">
        <v>8</v>
      </c>
      <c r="J183" s="26">
        <v>1</v>
      </c>
      <c r="K183" s="26">
        <v>259</v>
      </c>
      <c r="L183" s="26"/>
      <c r="M183" s="26">
        <v>278</v>
      </c>
      <c r="N183" s="28">
        <v>36.485611510791365</v>
      </c>
      <c r="O183" s="26" t="s">
        <v>247</v>
      </c>
      <c r="P183" s="26">
        <f t="shared" si="51"/>
        <v>259</v>
      </c>
      <c r="Q183" s="26">
        <f t="shared" si="52"/>
        <v>2</v>
      </c>
      <c r="R183" s="26">
        <f t="shared" si="52"/>
        <v>8</v>
      </c>
      <c r="S183" s="26">
        <f t="shared" si="53"/>
        <v>9</v>
      </c>
      <c r="T183" s="26">
        <f t="shared" si="54"/>
        <v>278</v>
      </c>
      <c r="U183" s="27">
        <f t="shared" si="55"/>
        <v>0.93165467625899279</v>
      </c>
      <c r="V183" s="27">
        <f t="shared" si="56"/>
        <v>7.1942446043165471E-3</v>
      </c>
      <c r="W183" s="27">
        <f t="shared" si="57"/>
        <v>2.8776978417266189E-2</v>
      </c>
      <c r="X183" s="27">
        <f t="shared" si="58"/>
        <v>3.237410071942446E-2</v>
      </c>
      <c r="Y183" s="28">
        <f t="shared" si="59"/>
        <v>36.485611510791365</v>
      </c>
    </row>
    <row r="184" spans="1:25" x14ac:dyDescent="0.25">
      <c r="A184" s="24"/>
      <c r="B184" s="24"/>
      <c r="C184" s="24" t="str">
        <f>C183</f>
        <v>RUANG  A DEWAN SERBAGUNA IPD JEMPOL (DUN SERTING)</v>
      </c>
      <c r="D184" s="24">
        <f>D183</f>
        <v>1</v>
      </c>
      <c r="E184" s="24">
        <f>SUM(E182:E183)</f>
        <v>3</v>
      </c>
      <c r="F184" s="24">
        <f t="shared" ref="F184:M184" si="60">SUM(F182:F183)</f>
        <v>2</v>
      </c>
      <c r="G184" s="24">
        <f t="shared" si="60"/>
        <v>3</v>
      </c>
      <c r="H184" s="24">
        <f t="shared" si="60"/>
        <v>2</v>
      </c>
      <c r="I184" s="24">
        <f t="shared" si="60"/>
        <v>8</v>
      </c>
      <c r="J184" s="24">
        <f t="shared" si="60"/>
        <v>1</v>
      </c>
      <c r="K184" s="24">
        <f t="shared" si="60"/>
        <v>270</v>
      </c>
      <c r="L184" s="24">
        <f t="shared" si="60"/>
        <v>0</v>
      </c>
      <c r="M184" s="24">
        <f t="shared" si="60"/>
        <v>289</v>
      </c>
      <c r="N184" s="30">
        <f>AVERAGE(N182:N183)</f>
        <v>35.924623937213866</v>
      </c>
      <c r="O184" s="24"/>
      <c r="P184" s="26">
        <f t="shared" si="51"/>
        <v>270</v>
      </c>
      <c r="Q184" s="26">
        <f t="shared" si="52"/>
        <v>2</v>
      </c>
      <c r="R184" s="26">
        <f t="shared" si="52"/>
        <v>8</v>
      </c>
      <c r="S184" s="26">
        <f t="shared" si="53"/>
        <v>9</v>
      </c>
      <c r="T184" s="26">
        <f t="shared" si="54"/>
        <v>289</v>
      </c>
      <c r="U184" s="27">
        <f t="shared" si="55"/>
        <v>0.93425605536332179</v>
      </c>
      <c r="V184" s="27">
        <f t="shared" si="56"/>
        <v>6.920415224913495E-3</v>
      </c>
      <c r="W184" s="27">
        <f t="shared" si="57"/>
        <v>2.768166089965398E-2</v>
      </c>
      <c r="X184" s="27">
        <f t="shared" si="58"/>
        <v>3.1141868512110725E-2</v>
      </c>
      <c r="Y184" s="28">
        <f t="shared" si="59"/>
        <v>35.924623937213866</v>
      </c>
    </row>
    <row r="185" spans="1:25" x14ac:dyDescent="0.25">
      <c r="A185" s="26" t="s">
        <v>301</v>
      </c>
      <c r="B185" s="26" t="s">
        <v>302</v>
      </c>
      <c r="C185" s="26" t="s">
        <v>130</v>
      </c>
      <c r="D185" s="26">
        <v>1</v>
      </c>
      <c r="E185" s="26">
        <v>1</v>
      </c>
      <c r="F185" s="26"/>
      <c r="G185" s="26"/>
      <c r="H185" s="26"/>
      <c r="I185" s="26"/>
      <c r="J185" s="26"/>
      <c r="K185" s="26">
        <v>15</v>
      </c>
      <c r="L185" s="26"/>
      <c r="M185" s="26">
        <v>16</v>
      </c>
      <c r="N185" s="28">
        <v>34.4375</v>
      </c>
      <c r="O185" s="26" t="s">
        <v>247</v>
      </c>
      <c r="P185" s="26">
        <f t="shared" si="51"/>
        <v>15</v>
      </c>
      <c r="Q185" s="26">
        <f t="shared" si="52"/>
        <v>0</v>
      </c>
      <c r="R185" s="26">
        <f t="shared" si="52"/>
        <v>0</v>
      </c>
      <c r="S185" s="26">
        <f t="shared" si="53"/>
        <v>1</v>
      </c>
      <c r="T185" s="26">
        <f t="shared" si="54"/>
        <v>16</v>
      </c>
      <c r="U185" s="27">
        <f t="shared" si="55"/>
        <v>0.9375</v>
      </c>
      <c r="V185" s="27">
        <f t="shared" si="56"/>
        <v>0</v>
      </c>
      <c r="W185" s="27">
        <f t="shared" si="57"/>
        <v>0</v>
      </c>
      <c r="X185" s="27">
        <f t="shared" si="58"/>
        <v>6.25E-2</v>
      </c>
      <c r="Y185" s="28">
        <f t="shared" si="59"/>
        <v>34.4375</v>
      </c>
    </row>
    <row r="186" spans="1:25" x14ac:dyDescent="0.25">
      <c r="A186" s="26" t="s">
        <v>309</v>
      </c>
      <c r="B186" s="26" t="s">
        <v>310</v>
      </c>
      <c r="C186" s="26" t="s">
        <v>132</v>
      </c>
      <c r="D186" s="26">
        <v>1</v>
      </c>
      <c r="E186" s="26"/>
      <c r="F186" s="26"/>
      <c r="G186" s="26"/>
      <c r="H186" s="26"/>
      <c r="I186" s="26">
        <v>1</v>
      </c>
      <c r="J186" s="26"/>
      <c r="K186" s="26">
        <v>13</v>
      </c>
      <c r="L186" s="26"/>
      <c r="M186" s="26">
        <v>14</v>
      </c>
      <c r="N186" s="28">
        <v>37.428571428571431</v>
      </c>
      <c r="O186" s="26" t="s">
        <v>247</v>
      </c>
      <c r="P186" s="26">
        <f t="shared" si="51"/>
        <v>13</v>
      </c>
      <c r="Q186" s="26">
        <f t="shared" si="52"/>
        <v>0</v>
      </c>
      <c r="R186" s="26">
        <f t="shared" si="52"/>
        <v>1</v>
      </c>
      <c r="S186" s="26">
        <f t="shared" si="53"/>
        <v>0</v>
      </c>
      <c r="T186" s="26">
        <f t="shared" si="54"/>
        <v>14</v>
      </c>
      <c r="U186" s="27">
        <f t="shared" si="55"/>
        <v>0.9285714285714286</v>
      </c>
      <c r="V186" s="27">
        <f t="shared" si="56"/>
        <v>0</v>
      </c>
      <c r="W186" s="27">
        <f t="shared" si="57"/>
        <v>7.1428571428571425E-2</v>
      </c>
      <c r="X186" s="27">
        <f t="shared" si="58"/>
        <v>0</v>
      </c>
      <c r="Y186" s="28">
        <f t="shared" si="59"/>
        <v>37.428571428571431</v>
      </c>
    </row>
    <row r="187" spans="1:25" x14ac:dyDescent="0.25">
      <c r="A187" s="26" t="s">
        <v>321</v>
      </c>
      <c r="B187" s="26" t="s">
        <v>322</v>
      </c>
      <c r="C187" s="26" t="s">
        <v>132</v>
      </c>
      <c r="D187" s="26">
        <v>1</v>
      </c>
      <c r="E187" s="26"/>
      <c r="F187" s="26">
        <v>6</v>
      </c>
      <c r="G187" s="26">
        <v>2</v>
      </c>
      <c r="H187" s="26"/>
      <c r="I187" s="26">
        <v>3</v>
      </c>
      <c r="J187" s="26"/>
      <c r="K187" s="26">
        <v>60</v>
      </c>
      <c r="L187" s="26"/>
      <c r="M187" s="26">
        <v>71</v>
      </c>
      <c r="N187" s="28">
        <v>36.91549295774648</v>
      </c>
      <c r="O187" s="26" t="s">
        <v>247</v>
      </c>
      <c r="P187" s="26">
        <f t="shared" si="51"/>
        <v>60</v>
      </c>
      <c r="Q187" s="26">
        <f t="shared" si="52"/>
        <v>0</v>
      </c>
      <c r="R187" s="26">
        <f t="shared" si="52"/>
        <v>3</v>
      </c>
      <c r="S187" s="26">
        <f t="shared" si="53"/>
        <v>8</v>
      </c>
      <c r="T187" s="26">
        <f t="shared" si="54"/>
        <v>71</v>
      </c>
      <c r="U187" s="27">
        <f t="shared" si="55"/>
        <v>0.84507042253521125</v>
      </c>
      <c r="V187" s="27">
        <f t="shared" si="56"/>
        <v>0</v>
      </c>
      <c r="W187" s="27">
        <f t="shared" si="57"/>
        <v>4.2253521126760563E-2</v>
      </c>
      <c r="X187" s="27">
        <f t="shared" si="58"/>
        <v>0.11267605633802817</v>
      </c>
      <c r="Y187" s="28">
        <f t="shared" si="59"/>
        <v>36.91549295774648</v>
      </c>
    </row>
    <row r="188" spans="1:25" x14ac:dyDescent="0.25">
      <c r="A188" s="24"/>
      <c r="B188" s="24"/>
      <c r="C188" s="24" t="str">
        <f>C187</f>
        <v>RUANG C DEWAN SERBAGUNA IPD JEMPOL (DUN BAHAU)</v>
      </c>
      <c r="D188" s="24">
        <f>D187</f>
        <v>1</v>
      </c>
      <c r="E188" s="24">
        <f>SUM(E186:E187)</f>
        <v>0</v>
      </c>
      <c r="F188" s="24">
        <f t="shared" ref="F188" si="61">SUM(F186:F187)</f>
        <v>6</v>
      </c>
      <c r="G188" s="24">
        <f t="shared" ref="G188" si="62">SUM(G186:G187)</f>
        <v>2</v>
      </c>
      <c r="H188" s="24">
        <f t="shared" ref="H188" si="63">SUM(H186:H187)</f>
        <v>0</v>
      </c>
      <c r="I188" s="24">
        <f t="shared" ref="I188" si="64">SUM(I186:I187)</f>
        <v>4</v>
      </c>
      <c r="J188" s="24">
        <f t="shared" ref="J188" si="65">SUM(J186:J187)</f>
        <v>0</v>
      </c>
      <c r="K188" s="24">
        <f t="shared" ref="K188" si="66">SUM(K186:K187)</f>
        <v>73</v>
      </c>
      <c r="L188" s="24">
        <f t="shared" ref="L188" si="67">SUM(L186:L187)</f>
        <v>0</v>
      </c>
      <c r="M188" s="24">
        <f t="shared" ref="M188" si="68">SUM(M186:M187)</f>
        <v>85</v>
      </c>
      <c r="N188" s="30">
        <f>AVERAGE(N186:N187)</f>
        <v>37.172032193158955</v>
      </c>
      <c r="O188" s="24"/>
      <c r="P188" s="26">
        <f t="shared" si="51"/>
        <v>73</v>
      </c>
      <c r="Q188" s="26">
        <f t="shared" si="52"/>
        <v>0</v>
      </c>
      <c r="R188" s="26">
        <f t="shared" si="52"/>
        <v>4</v>
      </c>
      <c r="S188" s="26">
        <f t="shared" si="53"/>
        <v>8</v>
      </c>
      <c r="T188" s="26">
        <f t="shared" si="54"/>
        <v>85</v>
      </c>
      <c r="U188" s="27">
        <f t="shared" si="55"/>
        <v>0.85882352941176465</v>
      </c>
      <c r="V188" s="27">
        <f t="shared" si="56"/>
        <v>0</v>
      </c>
      <c r="W188" s="27">
        <f t="shared" si="57"/>
        <v>4.7058823529411764E-2</v>
      </c>
      <c r="X188" s="27">
        <f t="shared" si="58"/>
        <v>9.4117647058823528E-2</v>
      </c>
      <c r="Y188" s="28">
        <f t="shared" si="59"/>
        <v>37.172032193158955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workbookViewId="0">
      <selection activeCell="A2" sqref="A2:L20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7" width="15.109375" customWidth="1"/>
    <col min="8" max="8" width="15.33203125" customWidth="1"/>
    <col min="9" max="9" width="15.109375" customWidth="1"/>
    <col min="10" max="10" width="12.6640625" customWidth="1"/>
    <col min="11" max="11" width="12.88671875" customWidth="1"/>
    <col min="12" max="12" width="12.6640625" customWidth="1"/>
  </cols>
  <sheetData>
    <row r="1" spans="1:12" ht="34.799999999999997" customHeight="1" x14ac:dyDescent="0.25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</row>
    <row r="2" spans="1:12" ht="18" customHeight="1" x14ac:dyDescent="0.25">
      <c r="A2" s="79" t="s">
        <v>1</v>
      </c>
      <c r="B2" s="82" t="s">
        <v>2</v>
      </c>
      <c r="C2" s="82" t="s">
        <v>3</v>
      </c>
      <c r="D2" s="85" t="s">
        <v>4</v>
      </c>
      <c r="E2" s="88" t="s">
        <v>5</v>
      </c>
      <c r="F2" s="91" t="s">
        <v>6</v>
      </c>
      <c r="G2" s="92"/>
      <c r="H2" s="92"/>
      <c r="I2" s="92"/>
      <c r="J2" s="93"/>
      <c r="K2" s="94" t="s">
        <v>7</v>
      </c>
      <c r="L2" s="97" t="s">
        <v>8</v>
      </c>
    </row>
    <row r="3" spans="1:12" ht="29.7" customHeight="1" x14ac:dyDescent="0.25">
      <c r="A3" s="80"/>
      <c r="B3" s="83"/>
      <c r="C3" s="83"/>
      <c r="D3" s="86"/>
      <c r="E3" s="89"/>
      <c r="F3" s="1" t="s">
        <v>9</v>
      </c>
      <c r="G3" s="2" t="s">
        <v>10</v>
      </c>
      <c r="H3" s="1" t="s">
        <v>11</v>
      </c>
      <c r="I3" s="1" t="s">
        <v>12</v>
      </c>
      <c r="J3" s="100" t="s">
        <v>13</v>
      </c>
      <c r="K3" s="95"/>
      <c r="L3" s="98"/>
    </row>
    <row r="4" spans="1:12" ht="28.5" customHeight="1" x14ac:dyDescent="0.25">
      <c r="A4" s="81"/>
      <c r="B4" s="84"/>
      <c r="C4" s="84"/>
      <c r="D4" s="87"/>
      <c r="E4" s="90"/>
      <c r="F4" s="3" t="s">
        <v>119</v>
      </c>
      <c r="G4" s="3" t="s">
        <v>120</v>
      </c>
      <c r="H4" s="3" t="s">
        <v>121</v>
      </c>
      <c r="I4" s="3" t="s">
        <v>122</v>
      </c>
      <c r="J4" s="101"/>
      <c r="K4" s="96"/>
      <c r="L4" s="99"/>
    </row>
    <row r="5" spans="1:12" ht="19.2" customHeight="1" x14ac:dyDescent="0.25">
      <c r="A5" s="4">
        <v>1</v>
      </c>
      <c r="B5" s="64" t="s">
        <v>14</v>
      </c>
      <c r="C5" s="65"/>
      <c r="D5" s="3"/>
      <c r="E5" s="6">
        <v>1743</v>
      </c>
      <c r="F5" s="7">
        <v>396</v>
      </c>
      <c r="G5" s="7">
        <v>30</v>
      </c>
      <c r="H5" s="7">
        <v>758</v>
      </c>
      <c r="I5" s="7">
        <v>306</v>
      </c>
      <c r="J5" s="8">
        <v>1490</v>
      </c>
      <c r="K5" s="7">
        <v>80</v>
      </c>
      <c r="L5" s="9">
        <v>173</v>
      </c>
    </row>
    <row r="6" spans="1:12" ht="18.75" customHeight="1" x14ac:dyDescent="0.25">
      <c r="A6" s="66" t="s">
        <v>15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8"/>
    </row>
    <row r="7" spans="1:12" ht="32.700000000000003" customHeight="1" x14ac:dyDescent="0.25">
      <c r="A7" s="10">
        <v>2</v>
      </c>
      <c r="B7" s="11" t="s">
        <v>16</v>
      </c>
      <c r="C7" s="5" t="s">
        <v>17</v>
      </c>
      <c r="D7" s="12">
        <v>1</v>
      </c>
      <c r="E7" s="7">
        <v>261</v>
      </c>
      <c r="F7" s="7">
        <v>88</v>
      </c>
      <c r="G7" s="7">
        <v>0</v>
      </c>
      <c r="H7" s="7">
        <v>165</v>
      </c>
      <c r="I7" s="7">
        <v>6</v>
      </c>
      <c r="J7" s="9">
        <v>259</v>
      </c>
      <c r="K7" s="7">
        <v>2</v>
      </c>
      <c r="L7" s="9">
        <v>0</v>
      </c>
    </row>
    <row r="8" spans="1:12" ht="32.700000000000003" customHeight="1" x14ac:dyDescent="0.25">
      <c r="A8" s="10">
        <v>3</v>
      </c>
      <c r="B8" s="11" t="s">
        <v>18</v>
      </c>
      <c r="C8" s="5" t="s">
        <v>19</v>
      </c>
      <c r="D8" s="12">
        <v>1</v>
      </c>
      <c r="E8" s="7">
        <v>15</v>
      </c>
      <c r="F8" s="7">
        <v>5</v>
      </c>
      <c r="G8" s="7">
        <v>0</v>
      </c>
      <c r="H8" s="7">
        <v>10</v>
      </c>
      <c r="I8" s="7">
        <v>0</v>
      </c>
      <c r="J8" s="9">
        <v>15</v>
      </c>
      <c r="K8" s="7">
        <v>0</v>
      </c>
      <c r="L8" s="9">
        <v>0</v>
      </c>
    </row>
    <row r="9" spans="1:12" ht="32.700000000000003" customHeight="1" x14ac:dyDescent="0.25">
      <c r="A9" s="10">
        <v>4</v>
      </c>
      <c r="B9" s="11" t="s">
        <v>20</v>
      </c>
      <c r="C9" s="5" t="s">
        <v>21</v>
      </c>
      <c r="D9" s="12">
        <v>1</v>
      </c>
      <c r="E9" s="7">
        <v>79</v>
      </c>
      <c r="F9" s="7">
        <v>26</v>
      </c>
      <c r="G9" s="7">
        <v>0</v>
      </c>
      <c r="H9" s="7">
        <v>49</v>
      </c>
      <c r="I9" s="7">
        <v>4</v>
      </c>
      <c r="J9" s="9">
        <v>79</v>
      </c>
      <c r="K9" s="7">
        <v>0</v>
      </c>
      <c r="L9" s="9">
        <v>0</v>
      </c>
    </row>
    <row r="10" spans="1:12" ht="19.05" customHeight="1" x14ac:dyDescent="0.25">
      <c r="A10" s="69" t="s">
        <v>22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1"/>
    </row>
    <row r="11" spans="1:12" ht="17.25" customHeight="1" x14ac:dyDescent="0.25">
      <c r="A11" s="49">
        <v>5</v>
      </c>
      <c r="B11" s="72" t="s">
        <v>23</v>
      </c>
      <c r="C11" s="74" t="s">
        <v>24</v>
      </c>
      <c r="D11" s="12">
        <v>1</v>
      </c>
      <c r="E11" s="7">
        <v>353</v>
      </c>
      <c r="F11" s="7">
        <v>59</v>
      </c>
      <c r="G11" s="7">
        <v>12</v>
      </c>
      <c r="H11" s="7">
        <v>222</v>
      </c>
      <c r="I11" s="7">
        <v>55</v>
      </c>
      <c r="J11" s="9">
        <v>348</v>
      </c>
      <c r="K11" s="7">
        <v>5</v>
      </c>
      <c r="L11" s="9">
        <v>0</v>
      </c>
    </row>
    <row r="12" spans="1:12" ht="17.25" customHeight="1" x14ac:dyDescent="0.25">
      <c r="A12" s="51"/>
      <c r="B12" s="73"/>
      <c r="C12" s="75"/>
      <c r="D12" s="12">
        <v>2</v>
      </c>
      <c r="E12" s="7">
        <v>542</v>
      </c>
      <c r="F12" s="7">
        <v>203</v>
      </c>
      <c r="G12" s="7">
        <v>19</v>
      </c>
      <c r="H12" s="7">
        <v>262</v>
      </c>
      <c r="I12" s="7">
        <v>57</v>
      </c>
      <c r="J12" s="9">
        <v>541</v>
      </c>
      <c r="K12" s="7">
        <v>1</v>
      </c>
      <c r="L12" s="9">
        <v>0</v>
      </c>
    </row>
    <row r="13" spans="1:12" ht="17.25" customHeight="1" x14ac:dyDescent="0.25">
      <c r="A13" s="49">
        <v>6</v>
      </c>
      <c r="B13" s="52" t="s">
        <v>25</v>
      </c>
      <c r="C13" s="55" t="s">
        <v>26</v>
      </c>
      <c r="D13" s="12">
        <v>1</v>
      </c>
      <c r="E13" s="7">
        <v>367</v>
      </c>
      <c r="F13" s="7">
        <v>67</v>
      </c>
      <c r="G13" s="7">
        <v>2</v>
      </c>
      <c r="H13" s="7">
        <v>249</v>
      </c>
      <c r="I13" s="7">
        <v>46</v>
      </c>
      <c r="J13" s="9">
        <v>364</v>
      </c>
      <c r="K13" s="7">
        <v>3</v>
      </c>
      <c r="L13" s="9">
        <v>0</v>
      </c>
    </row>
    <row r="14" spans="1:12" ht="17.25" customHeight="1" x14ac:dyDescent="0.25">
      <c r="A14" s="50"/>
      <c r="B14" s="53"/>
      <c r="C14" s="56"/>
      <c r="D14" s="12">
        <v>2</v>
      </c>
      <c r="E14" s="7">
        <v>423</v>
      </c>
      <c r="F14" s="7">
        <v>150</v>
      </c>
      <c r="G14" s="7">
        <v>8</v>
      </c>
      <c r="H14" s="7">
        <v>200</v>
      </c>
      <c r="I14" s="7">
        <v>61</v>
      </c>
      <c r="J14" s="9">
        <v>419</v>
      </c>
      <c r="K14" s="7">
        <v>4</v>
      </c>
      <c r="L14" s="9">
        <v>0</v>
      </c>
    </row>
    <row r="15" spans="1:12" ht="17.25" customHeight="1" x14ac:dyDescent="0.25">
      <c r="A15" s="51"/>
      <c r="B15" s="54"/>
      <c r="C15" s="57"/>
      <c r="D15" s="12">
        <v>3</v>
      </c>
      <c r="E15" s="7">
        <v>449</v>
      </c>
      <c r="F15" s="7">
        <v>173</v>
      </c>
      <c r="G15" s="7">
        <v>3</v>
      </c>
      <c r="H15" s="7">
        <v>203</v>
      </c>
      <c r="I15" s="7">
        <v>68</v>
      </c>
      <c r="J15" s="9">
        <v>447</v>
      </c>
      <c r="K15" s="7">
        <v>2</v>
      </c>
      <c r="L15" s="9">
        <v>0</v>
      </c>
    </row>
    <row r="16" spans="1:12" ht="17.25" customHeight="1" x14ac:dyDescent="0.25">
      <c r="A16" s="49">
        <v>7</v>
      </c>
      <c r="B16" s="58" t="s">
        <v>27</v>
      </c>
      <c r="C16" s="61" t="s">
        <v>28</v>
      </c>
      <c r="D16" s="12">
        <v>1</v>
      </c>
      <c r="E16" s="7">
        <v>318</v>
      </c>
      <c r="F16" s="7">
        <v>67</v>
      </c>
      <c r="G16" s="7">
        <v>7</v>
      </c>
      <c r="H16" s="7">
        <v>195</v>
      </c>
      <c r="I16" s="7">
        <v>46</v>
      </c>
      <c r="J16" s="9">
        <v>315</v>
      </c>
      <c r="K16" s="7">
        <v>3</v>
      </c>
      <c r="L16" s="9">
        <v>0</v>
      </c>
    </row>
    <row r="17" spans="1:12" ht="17.25" customHeight="1" x14ac:dyDescent="0.25">
      <c r="A17" s="50"/>
      <c r="B17" s="59"/>
      <c r="C17" s="62"/>
      <c r="D17" s="12">
        <v>2</v>
      </c>
      <c r="E17" s="7">
        <v>374</v>
      </c>
      <c r="F17" s="7">
        <v>103</v>
      </c>
      <c r="G17" s="7">
        <v>2</v>
      </c>
      <c r="H17" s="7">
        <v>208</v>
      </c>
      <c r="I17" s="7">
        <v>58</v>
      </c>
      <c r="J17" s="9">
        <v>371</v>
      </c>
      <c r="K17" s="7">
        <v>3</v>
      </c>
      <c r="L17" s="9">
        <v>0</v>
      </c>
    </row>
    <row r="18" spans="1:12" ht="17.25" customHeight="1" x14ac:dyDescent="0.25">
      <c r="A18" s="50"/>
      <c r="B18" s="59"/>
      <c r="C18" s="62"/>
      <c r="D18" s="12">
        <v>3</v>
      </c>
      <c r="E18" s="7">
        <v>473</v>
      </c>
      <c r="F18" s="7">
        <v>157</v>
      </c>
      <c r="G18" s="7">
        <v>17</v>
      </c>
      <c r="H18" s="7">
        <v>191</v>
      </c>
      <c r="I18" s="7">
        <v>106</v>
      </c>
      <c r="J18" s="9">
        <v>471</v>
      </c>
      <c r="K18" s="7">
        <v>2</v>
      </c>
      <c r="L18" s="9">
        <v>0</v>
      </c>
    </row>
    <row r="19" spans="1:12" ht="17.25" customHeight="1" x14ac:dyDescent="0.25">
      <c r="A19" s="50"/>
      <c r="B19" s="59"/>
      <c r="C19" s="62"/>
      <c r="D19" s="12">
        <v>4</v>
      </c>
      <c r="E19" s="7">
        <v>461</v>
      </c>
      <c r="F19" s="7">
        <v>185</v>
      </c>
      <c r="G19" s="7">
        <v>7</v>
      </c>
      <c r="H19" s="7">
        <v>160</v>
      </c>
      <c r="I19" s="7">
        <v>108</v>
      </c>
      <c r="J19" s="9">
        <v>460</v>
      </c>
      <c r="K19" s="7">
        <v>1</v>
      </c>
      <c r="L19" s="9">
        <v>0</v>
      </c>
    </row>
    <row r="20" spans="1:12" ht="17.25" customHeight="1" x14ac:dyDescent="0.25">
      <c r="A20" s="51"/>
      <c r="B20" s="60"/>
      <c r="C20" s="63"/>
      <c r="D20" s="12">
        <v>5</v>
      </c>
      <c r="E20" s="7">
        <v>515</v>
      </c>
      <c r="F20" s="7">
        <v>192</v>
      </c>
      <c r="G20" s="7">
        <v>3</v>
      </c>
      <c r="H20" s="7">
        <v>180</v>
      </c>
      <c r="I20" s="7">
        <v>137</v>
      </c>
      <c r="J20" s="9">
        <v>512</v>
      </c>
      <c r="K20" s="7">
        <v>3</v>
      </c>
      <c r="L20" s="9">
        <v>0</v>
      </c>
    </row>
    <row r="21" spans="1:12" ht="30" customHeight="1" x14ac:dyDescent="0.25"/>
    <row r="22" spans="1:12" ht="19.05" customHeight="1" x14ac:dyDescent="0.25"/>
    <row r="23" spans="1:12" ht="97.95" customHeight="1" x14ac:dyDescent="0.25"/>
    <row r="24" spans="1:12" ht="97.95" customHeight="1" x14ac:dyDescent="0.25"/>
    <row r="25" spans="1:12" ht="163.05000000000001" customHeight="1" x14ac:dyDescent="0.25"/>
    <row r="26" spans="1:12" ht="163.05000000000001" customHeight="1" x14ac:dyDescent="0.25"/>
  </sheetData>
  <mergeCells count="22"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  <mergeCell ref="B5:C5"/>
    <mergeCell ref="A6:L6"/>
    <mergeCell ref="A10:L10"/>
    <mergeCell ref="A11:A12"/>
    <mergeCell ref="B11:B12"/>
    <mergeCell ref="C11:C12"/>
    <mergeCell ref="A13:A15"/>
    <mergeCell ref="B13:B15"/>
    <mergeCell ref="C13:C15"/>
    <mergeCell ref="A16:A20"/>
    <mergeCell ref="B16:B20"/>
    <mergeCell ref="C16:C2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opLeftCell="A5" workbookViewId="0">
      <selection activeCell="A5" sqref="A5:L22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7" width="15.109375" customWidth="1"/>
    <col min="8" max="8" width="15.33203125" customWidth="1"/>
    <col min="9" max="9" width="15.109375" customWidth="1"/>
    <col min="10" max="10" width="12.88671875" customWidth="1"/>
    <col min="11" max="11" width="12.6640625" customWidth="1"/>
    <col min="12" max="12" width="12.88671875" customWidth="1"/>
  </cols>
  <sheetData>
    <row r="1" spans="1:12" ht="34.799999999999997" customHeight="1" x14ac:dyDescent="0.25">
      <c r="A1" s="76" t="s">
        <v>29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</row>
    <row r="2" spans="1:12" ht="18" customHeight="1" x14ac:dyDescent="0.25">
      <c r="A2" s="79" t="s">
        <v>1</v>
      </c>
      <c r="B2" s="82" t="s">
        <v>2</v>
      </c>
      <c r="C2" s="82" t="s">
        <v>3</v>
      </c>
      <c r="D2" s="85" t="s">
        <v>4</v>
      </c>
      <c r="E2" s="88" t="s">
        <v>5</v>
      </c>
      <c r="F2" s="91" t="s">
        <v>6</v>
      </c>
      <c r="G2" s="92"/>
      <c r="H2" s="92"/>
      <c r="I2" s="92"/>
      <c r="J2" s="93"/>
      <c r="K2" s="94" t="s">
        <v>7</v>
      </c>
      <c r="L2" s="97" t="s">
        <v>8</v>
      </c>
    </row>
    <row r="3" spans="1:12" ht="29.7" customHeight="1" x14ac:dyDescent="0.25">
      <c r="A3" s="80"/>
      <c r="B3" s="83"/>
      <c r="C3" s="83"/>
      <c r="D3" s="86"/>
      <c r="E3" s="89"/>
      <c r="F3" s="1" t="s">
        <v>9</v>
      </c>
      <c r="G3" s="2" t="s">
        <v>10</v>
      </c>
      <c r="H3" s="1" t="s">
        <v>11</v>
      </c>
      <c r="I3" s="1" t="s">
        <v>12</v>
      </c>
      <c r="J3" s="100" t="s">
        <v>13</v>
      </c>
      <c r="K3" s="95"/>
      <c r="L3" s="98"/>
    </row>
    <row r="4" spans="1:12" ht="28.2" customHeight="1" x14ac:dyDescent="0.25">
      <c r="A4" s="81"/>
      <c r="B4" s="84"/>
      <c r="C4" s="84"/>
      <c r="D4" s="87"/>
      <c r="E4" s="90"/>
      <c r="F4" s="3"/>
      <c r="G4" s="3"/>
      <c r="H4" s="3"/>
      <c r="I4" s="3"/>
      <c r="J4" s="101"/>
      <c r="K4" s="96"/>
      <c r="L4" s="99"/>
    </row>
    <row r="5" spans="1:12" ht="23.7" customHeight="1" x14ac:dyDescent="0.25">
      <c r="A5" s="4">
        <v>8</v>
      </c>
      <c r="B5" s="13" t="s">
        <v>30</v>
      </c>
      <c r="C5" s="13" t="s">
        <v>31</v>
      </c>
      <c r="D5" s="12">
        <v>1</v>
      </c>
      <c r="E5" s="7">
        <v>123</v>
      </c>
      <c r="F5" s="7">
        <v>9</v>
      </c>
      <c r="G5" s="7">
        <v>0</v>
      </c>
      <c r="H5" s="7">
        <v>12</v>
      </c>
      <c r="I5" s="7">
        <v>99</v>
      </c>
      <c r="J5" s="17">
        <v>120</v>
      </c>
      <c r="K5" s="7">
        <v>3</v>
      </c>
      <c r="L5" s="18">
        <v>0</v>
      </c>
    </row>
    <row r="6" spans="1:12" ht="17.25" customHeight="1" x14ac:dyDescent="0.25">
      <c r="A6" s="49">
        <v>9</v>
      </c>
      <c r="B6" s="61" t="s">
        <v>32</v>
      </c>
      <c r="C6" s="102" t="s">
        <v>33</v>
      </c>
      <c r="D6" s="12">
        <v>1</v>
      </c>
      <c r="E6" s="7">
        <v>330</v>
      </c>
      <c r="F6" s="7">
        <v>12</v>
      </c>
      <c r="G6" s="7">
        <v>7</v>
      </c>
      <c r="H6" s="7">
        <v>85</v>
      </c>
      <c r="I6" s="7">
        <v>216</v>
      </c>
      <c r="J6" s="17">
        <v>320</v>
      </c>
      <c r="K6" s="7">
        <v>10</v>
      </c>
      <c r="L6" s="18">
        <v>0</v>
      </c>
    </row>
    <row r="7" spans="1:12" ht="17.25" customHeight="1" x14ac:dyDescent="0.25">
      <c r="A7" s="50"/>
      <c r="B7" s="62"/>
      <c r="C7" s="103"/>
      <c r="D7" s="12">
        <v>2</v>
      </c>
      <c r="E7" s="7">
        <v>345</v>
      </c>
      <c r="F7" s="7">
        <v>10</v>
      </c>
      <c r="G7" s="7">
        <v>5</v>
      </c>
      <c r="H7" s="7">
        <v>71</v>
      </c>
      <c r="I7" s="7">
        <v>252</v>
      </c>
      <c r="J7" s="17">
        <v>338</v>
      </c>
      <c r="K7" s="7">
        <v>7</v>
      </c>
      <c r="L7" s="18">
        <v>0</v>
      </c>
    </row>
    <row r="8" spans="1:12" ht="17.25" customHeight="1" x14ac:dyDescent="0.25">
      <c r="A8" s="50"/>
      <c r="B8" s="62"/>
      <c r="C8" s="103"/>
      <c r="D8" s="12">
        <v>3</v>
      </c>
      <c r="E8" s="7">
        <v>437</v>
      </c>
      <c r="F8" s="7">
        <v>38</v>
      </c>
      <c r="G8" s="7">
        <v>1</v>
      </c>
      <c r="H8" s="7">
        <v>57</v>
      </c>
      <c r="I8" s="7">
        <v>335</v>
      </c>
      <c r="J8" s="17">
        <v>431</v>
      </c>
      <c r="K8" s="7">
        <v>6</v>
      </c>
      <c r="L8" s="18">
        <v>0</v>
      </c>
    </row>
    <row r="9" spans="1:12" ht="17.25" customHeight="1" x14ac:dyDescent="0.25">
      <c r="A9" s="50"/>
      <c r="B9" s="62"/>
      <c r="C9" s="103"/>
      <c r="D9" s="12">
        <v>4</v>
      </c>
      <c r="E9" s="7">
        <v>388</v>
      </c>
      <c r="F9" s="7">
        <v>32</v>
      </c>
      <c r="G9" s="7">
        <v>1</v>
      </c>
      <c r="H9" s="7">
        <v>42</v>
      </c>
      <c r="I9" s="7">
        <v>311</v>
      </c>
      <c r="J9" s="17">
        <v>386</v>
      </c>
      <c r="K9" s="7">
        <v>2</v>
      </c>
      <c r="L9" s="18">
        <v>0</v>
      </c>
    </row>
    <row r="10" spans="1:12" ht="17.25" customHeight="1" x14ac:dyDescent="0.25">
      <c r="A10" s="50"/>
      <c r="B10" s="62"/>
      <c r="C10" s="103"/>
      <c r="D10" s="12">
        <v>5</v>
      </c>
      <c r="E10" s="7">
        <v>399</v>
      </c>
      <c r="F10" s="7">
        <v>31</v>
      </c>
      <c r="G10" s="7">
        <v>1</v>
      </c>
      <c r="H10" s="7">
        <v>55</v>
      </c>
      <c r="I10" s="7">
        <v>308</v>
      </c>
      <c r="J10" s="17">
        <v>395</v>
      </c>
      <c r="K10" s="7">
        <v>4</v>
      </c>
      <c r="L10" s="18">
        <v>0</v>
      </c>
    </row>
    <row r="11" spans="1:12" ht="17.25" customHeight="1" x14ac:dyDescent="0.25">
      <c r="A11" s="51"/>
      <c r="B11" s="63"/>
      <c r="C11" s="104"/>
      <c r="D11" s="12">
        <v>6</v>
      </c>
      <c r="E11" s="7">
        <v>452</v>
      </c>
      <c r="F11" s="7">
        <v>48</v>
      </c>
      <c r="G11" s="7">
        <v>1</v>
      </c>
      <c r="H11" s="7">
        <v>51</v>
      </c>
      <c r="I11" s="7">
        <v>347</v>
      </c>
      <c r="J11" s="17">
        <v>447</v>
      </c>
      <c r="K11" s="7">
        <v>5</v>
      </c>
      <c r="L11" s="18">
        <v>0</v>
      </c>
    </row>
    <row r="12" spans="1:12" ht="17.25" customHeight="1" x14ac:dyDescent="0.25">
      <c r="A12" s="105">
        <v>10</v>
      </c>
      <c r="B12" s="108" t="s">
        <v>34</v>
      </c>
      <c r="C12" s="55" t="s">
        <v>35</v>
      </c>
      <c r="D12" s="12">
        <v>1</v>
      </c>
      <c r="E12" s="7">
        <v>380</v>
      </c>
      <c r="F12" s="7">
        <v>50</v>
      </c>
      <c r="G12" s="7">
        <v>3</v>
      </c>
      <c r="H12" s="7">
        <v>287</v>
      </c>
      <c r="I12" s="7">
        <v>35</v>
      </c>
      <c r="J12" s="17">
        <v>375</v>
      </c>
      <c r="K12" s="7">
        <v>4</v>
      </c>
      <c r="L12" s="18">
        <v>1</v>
      </c>
    </row>
    <row r="13" spans="1:12" ht="17.25" customHeight="1" x14ac:dyDescent="0.25">
      <c r="A13" s="106"/>
      <c r="B13" s="109"/>
      <c r="C13" s="56"/>
      <c r="D13" s="12">
        <v>2</v>
      </c>
      <c r="E13" s="7">
        <v>511</v>
      </c>
      <c r="F13" s="7">
        <v>147</v>
      </c>
      <c r="G13" s="7">
        <v>7</v>
      </c>
      <c r="H13" s="7">
        <v>326</v>
      </c>
      <c r="I13" s="7">
        <v>27</v>
      </c>
      <c r="J13" s="17">
        <v>507</v>
      </c>
      <c r="K13" s="7">
        <v>4</v>
      </c>
      <c r="L13" s="18">
        <v>0</v>
      </c>
    </row>
    <row r="14" spans="1:12" ht="17.25" customHeight="1" x14ac:dyDescent="0.25">
      <c r="A14" s="106"/>
      <c r="B14" s="109"/>
      <c r="C14" s="56"/>
      <c r="D14" s="12">
        <v>3</v>
      </c>
      <c r="E14" s="7">
        <v>525</v>
      </c>
      <c r="F14" s="7">
        <v>208</v>
      </c>
      <c r="G14" s="7">
        <v>8</v>
      </c>
      <c r="H14" s="7">
        <v>273</v>
      </c>
      <c r="I14" s="7">
        <v>35</v>
      </c>
      <c r="J14" s="17">
        <v>524</v>
      </c>
      <c r="K14" s="7">
        <v>1</v>
      </c>
      <c r="L14" s="18">
        <v>0</v>
      </c>
    </row>
    <row r="15" spans="1:12" ht="17.25" customHeight="1" x14ac:dyDescent="0.25">
      <c r="A15" s="106"/>
      <c r="B15" s="109"/>
      <c r="C15" s="57"/>
      <c r="D15" s="12">
        <v>4</v>
      </c>
      <c r="E15" s="7">
        <v>499</v>
      </c>
      <c r="F15" s="7">
        <v>176</v>
      </c>
      <c r="G15" s="7">
        <v>3</v>
      </c>
      <c r="H15" s="7">
        <v>271</v>
      </c>
      <c r="I15" s="7">
        <v>49</v>
      </c>
      <c r="J15" s="17">
        <v>499</v>
      </c>
      <c r="K15" s="7">
        <v>0</v>
      </c>
      <c r="L15" s="18">
        <v>0</v>
      </c>
    </row>
    <row r="16" spans="1:12" ht="17.25" customHeight="1" x14ac:dyDescent="0.25">
      <c r="A16" s="106"/>
      <c r="B16" s="109"/>
      <c r="C16" s="61" t="s">
        <v>36</v>
      </c>
      <c r="D16" s="12">
        <v>1</v>
      </c>
      <c r="E16" s="7">
        <v>388</v>
      </c>
      <c r="F16" s="7">
        <v>62</v>
      </c>
      <c r="G16" s="7">
        <v>7</v>
      </c>
      <c r="H16" s="7">
        <v>267</v>
      </c>
      <c r="I16" s="7">
        <v>46</v>
      </c>
      <c r="J16" s="17">
        <v>382</v>
      </c>
      <c r="K16" s="7">
        <v>6</v>
      </c>
      <c r="L16" s="18">
        <v>0</v>
      </c>
    </row>
    <row r="17" spans="1:12" ht="17.25" customHeight="1" x14ac:dyDescent="0.25">
      <c r="A17" s="106"/>
      <c r="B17" s="109"/>
      <c r="C17" s="62"/>
      <c r="D17" s="12">
        <v>2</v>
      </c>
      <c r="E17" s="7">
        <v>425</v>
      </c>
      <c r="F17" s="7">
        <v>142</v>
      </c>
      <c r="G17" s="7">
        <v>7</v>
      </c>
      <c r="H17" s="7">
        <v>227</v>
      </c>
      <c r="I17" s="7">
        <v>44</v>
      </c>
      <c r="J17" s="17">
        <v>420</v>
      </c>
      <c r="K17" s="7">
        <v>5</v>
      </c>
      <c r="L17" s="18">
        <v>0</v>
      </c>
    </row>
    <row r="18" spans="1:12" ht="17.25" customHeight="1" x14ac:dyDescent="0.25">
      <c r="A18" s="106"/>
      <c r="B18" s="109"/>
      <c r="C18" s="62"/>
      <c r="D18" s="12">
        <v>3</v>
      </c>
      <c r="E18" s="7">
        <v>432</v>
      </c>
      <c r="F18" s="7">
        <v>163</v>
      </c>
      <c r="G18" s="7">
        <v>3</v>
      </c>
      <c r="H18" s="7">
        <v>210</v>
      </c>
      <c r="I18" s="7">
        <v>52</v>
      </c>
      <c r="J18" s="17">
        <v>428</v>
      </c>
      <c r="K18" s="7">
        <v>4</v>
      </c>
      <c r="L18" s="18">
        <v>0</v>
      </c>
    </row>
    <row r="19" spans="1:12" ht="17.25" customHeight="1" x14ac:dyDescent="0.25">
      <c r="A19" s="106"/>
      <c r="B19" s="109"/>
      <c r="C19" s="63"/>
      <c r="D19" s="12">
        <v>4</v>
      </c>
      <c r="E19" s="7">
        <v>403</v>
      </c>
      <c r="F19" s="7">
        <v>157</v>
      </c>
      <c r="G19" s="7">
        <v>5</v>
      </c>
      <c r="H19" s="7">
        <v>190</v>
      </c>
      <c r="I19" s="7">
        <v>48</v>
      </c>
      <c r="J19" s="17">
        <v>400</v>
      </c>
      <c r="K19" s="7">
        <v>3</v>
      </c>
      <c r="L19" s="18">
        <v>0</v>
      </c>
    </row>
    <row r="20" spans="1:12" ht="17.25" customHeight="1" x14ac:dyDescent="0.25">
      <c r="A20" s="106"/>
      <c r="B20" s="109"/>
      <c r="C20" s="61" t="s">
        <v>37</v>
      </c>
      <c r="D20" s="12">
        <v>1</v>
      </c>
      <c r="E20" s="7">
        <v>399</v>
      </c>
      <c r="F20" s="7">
        <v>57</v>
      </c>
      <c r="G20" s="7">
        <v>2</v>
      </c>
      <c r="H20" s="7">
        <v>301</v>
      </c>
      <c r="I20" s="7">
        <v>30</v>
      </c>
      <c r="J20" s="17">
        <v>390</v>
      </c>
      <c r="K20" s="7">
        <v>9</v>
      </c>
      <c r="L20" s="18">
        <v>0</v>
      </c>
    </row>
    <row r="21" spans="1:12" ht="17.25" customHeight="1" x14ac:dyDescent="0.25">
      <c r="A21" s="106"/>
      <c r="B21" s="109"/>
      <c r="C21" s="62"/>
      <c r="D21" s="12">
        <v>2</v>
      </c>
      <c r="E21" s="7">
        <v>408</v>
      </c>
      <c r="F21" s="7">
        <v>167</v>
      </c>
      <c r="G21" s="7">
        <v>7</v>
      </c>
      <c r="H21" s="7">
        <v>204</v>
      </c>
      <c r="I21" s="7">
        <v>27</v>
      </c>
      <c r="J21" s="17">
        <v>405</v>
      </c>
      <c r="K21" s="7">
        <v>3</v>
      </c>
      <c r="L21" s="18">
        <v>0</v>
      </c>
    </row>
    <row r="22" spans="1:12" ht="17.25" customHeight="1" x14ac:dyDescent="0.25">
      <c r="A22" s="107"/>
      <c r="B22" s="110"/>
      <c r="C22" s="63"/>
      <c r="D22" s="12">
        <v>3</v>
      </c>
      <c r="E22" s="7">
        <v>405</v>
      </c>
      <c r="F22" s="7">
        <v>152</v>
      </c>
      <c r="G22" s="7">
        <v>1</v>
      </c>
      <c r="H22" s="7">
        <v>216</v>
      </c>
      <c r="I22" s="7">
        <v>33</v>
      </c>
      <c r="J22" s="17">
        <v>402</v>
      </c>
      <c r="K22" s="7">
        <v>3</v>
      </c>
      <c r="L22" s="18">
        <v>0</v>
      </c>
    </row>
    <row r="23" spans="1:12" ht="30" customHeight="1" x14ac:dyDescent="0.25"/>
    <row r="24" spans="1:12" ht="301.05" customHeight="1" x14ac:dyDescent="0.25"/>
    <row r="25" spans="1:12" ht="301.05" customHeight="1" x14ac:dyDescent="0.25"/>
  </sheetData>
  <mergeCells count="18"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  <mergeCell ref="A6:A11"/>
    <mergeCell ref="B6:B11"/>
    <mergeCell ref="C6:C11"/>
    <mergeCell ref="A12:A22"/>
    <mergeCell ref="B12:B22"/>
    <mergeCell ref="C12:C15"/>
    <mergeCell ref="C16:C19"/>
    <mergeCell ref="C20:C2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topLeftCell="A5" workbookViewId="0">
      <selection activeCell="A5" sqref="A5:L21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7" width="15.109375" customWidth="1"/>
    <col min="8" max="8" width="15.33203125" customWidth="1"/>
    <col min="9" max="9" width="15.109375" customWidth="1"/>
    <col min="10" max="10" width="12.88671875" customWidth="1"/>
    <col min="11" max="11" width="12.6640625" customWidth="1"/>
    <col min="12" max="12" width="12.88671875" customWidth="1"/>
  </cols>
  <sheetData>
    <row r="1" spans="1:12" ht="34.799999999999997" customHeight="1" x14ac:dyDescent="0.25">
      <c r="A1" s="76" t="s">
        <v>38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</row>
    <row r="2" spans="1:12" ht="18" customHeight="1" x14ac:dyDescent="0.25">
      <c r="A2" s="79" t="s">
        <v>1</v>
      </c>
      <c r="B2" s="82" t="s">
        <v>2</v>
      </c>
      <c r="C2" s="82" t="s">
        <v>3</v>
      </c>
      <c r="D2" s="85" t="s">
        <v>4</v>
      </c>
      <c r="E2" s="88" t="s">
        <v>5</v>
      </c>
      <c r="F2" s="91" t="s">
        <v>6</v>
      </c>
      <c r="G2" s="92"/>
      <c r="H2" s="92"/>
      <c r="I2" s="92"/>
      <c r="J2" s="93"/>
      <c r="K2" s="94" t="s">
        <v>7</v>
      </c>
      <c r="L2" s="97" t="s">
        <v>8</v>
      </c>
    </row>
    <row r="3" spans="1:12" ht="29.7" customHeight="1" x14ac:dyDescent="0.25">
      <c r="A3" s="80"/>
      <c r="B3" s="83"/>
      <c r="C3" s="83"/>
      <c r="D3" s="86"/>
      <c r="E3" s="89"/>
      <c r="F3" s="1" t="s">
        <v>9</v>
      </c>
      <c r="G3" s="2" t="s">
        <v>10</v>
      </c>
      <c r="H3" s="1" t="s">
        <v>11</v>
      </c>
      <c r="I3" s="1" t="s">
        <v>12</v>
      </c>
      <c r="J3" s="100" t="s">
        <v>13</v>
      </c>
      <c r="K3" s="95"/>
      <c r="L3" s="98"/>
    </row>
    <row r="4" spans="1:12" ht="28.2" customHeight="1" x14ac:dyDescent="0.25">
      <c r="A4" s="81"/>
      <c r="B4" s="84"/>
      <c r="C4" s="84"/>
      <c r="D4" s="87"/>
      <c r="E4" s="90"/>
      <c r="F4" s="3"/>
      <c r="G4" s="3"/>
      <c r="H4" s="3"/>
      <c r="I4" s="3"/>
      <c r="J4" s="101"/>
      <c r="K4" s="96"/>
      <c r="L4" s="99"/>
    </row>
    <row r="5" spans="1:12" ht="17.25" customHeight="1" x14ac:dyDescent="0.25">
      <c r="A5" s="49">
        <v>11</v>
      </c>
      <c r="B5" s="102" t="s">
        <v>39</v>
      </c>
      <c r="C5" s="108" t="s">
        <v>40</v>
      </c>
      <c r="D5" s="12">
        <v>1</v>
      </c>
      <c r="E5" s="7">
        <v>386</v>
      </c>
      <c r="F5" s="7">
        <v>58</v>
      </c>
      <c r="G5" s="7">
        <v>7</v>
      </c>
      <c r="H5" s="7">
        <v>235</v>
      </c>
      <c r="I5" s="7">
        <v>83</v>
      </c>
      <c r="J5" s="17">
        <v>383</v>
      </c>
      <c r="K5" s="7">
        <v>3</v>
      </c>
      <c r="L5" s="18">
        <v>0</v>
      </c>
    </row>
    <row r="6" spans="1:12" ht="17.25" customHeight="1" x14ac:dyDescent="0.25">
      <c r="A6" s="50"/>
      <c r="B6" s="103"/>
      <c r="C6" s="109"/>
      <c r="D6" s="12">
        <v>2</v>
      </c>
      <c r="E6" s="7">
        <v>582</v>
      </c>
      <c r="F6" s="7">
        <v>123</v>
      </c>
      <c r="G6" s="7">
        <v>3</v>
      </c>
      <c r="H6" s="7">
        <v>323</v>
      </c>
      <c r="I6" s="7">
        <v>131</v>
      </c>
      <c r="J6" s="17">
        <v>580</v>
      </c>
      <c r="K6" s="7">
        <v>2</v>
      </c>
      <c r="L6" s="18">
        <v>0</v>
      </c>
    </row>
    <row r="7" spans="1:12" ht="17.25" customHeight="1" x14ac:dyDescent="0.25">
      <c r="A7" s="50"/>
      <c r="B7" s="103"/>
      <c r="C7" s="109"/>
      <c r="D7" s="12">
        <v>3</v>
      </c>
      <c r="E7" s="7">
        <v>535</v>
      </c>
      <c r="F7" s="7">
        <v>173</v>
      </c>
      <c r="G7" s="7">
        <v>4</v>
      </c>
      <c r="H7" s="7">
        <v>270</v>
      </c>
      <c r="I7" s="7">
        <v>87</v>
      </c>
      <c r="J7" s="17">
        <v>534</v>
      </c>
      <c r="K7" s="7">
        <v>1</v>
      </c>
      <c r="L7" s="18">
        <v>0</v>
      </c>
    </row>
    <row r="8" spans="1:12" ht="17.25" customHeight="1" x14ac:dyDescent="0.25">
      <c r="A8" s="50"/>
      <c r="B8" s="103"/>
      <c r="C8" s="110"/>
      <c r="D8" s="12">
        <v>4</v>
      </c>
      <c r="E8" s="7">
        <v>583</v>
      </c>
      <c r="F8" s="7">
        <v>190</v>
      </c>
      <c r="G8" s="7">
        <v>3</v>
      </c>
      <c r="H8" s="7">
        <v>311</v>
      </c>
      <c r="I8" s="7">
        <v>73</v>
      </c>
      <c r="J8" s="17">
        <v>577</v>
      </c>
      <c r="K8" s="7">
        <v>6</v>
      </c>
      <c r="L8" s="18">
        <v>0</v>
      </c>
    </row>
    <row r="9" spans="1:12" ht="17.25" customHeight="1" x14ac:dyDescent="0.25">
      <c r="A9" s="50"/>
      <c r="B9" s="103"/>
      <c r="C9" s="108" t="s">
        <v>41</v>
      </c>
      <c r="D9" s="12">
        <v>1</v>
      </c>
      <c r="E9" s="7">
        <v>368</v>
      </c>
      <c r="F9" s="7">
        <v>57</v>
      </c>
      <c r="G9" s="7">
        <v>8</v>
      </c>
      <c r="H9" s="7">
        <v>259</v>
      </c>
      <c r="I9" s="7">
        <v>35</v>
      </c>
      <c r="J9" s="17">
        <v>359</v>
      </c>
      <c r="K9" s="7">
        <v>9</v>
      </c>
      <c r="L9" s="18">
        <v>0</v>
      </c>
    </row>
    <row r="10" spans="1:12" ht="17.25" customHeight="1" x14ac:dyDescent="0.25">
      <c r="A10" s="50"/>
      <c r="B10" s="103"/>
      <c r="C10" s="109"/>
      <c r="D10" s="12">
        <v>2</v>
      </c>
      <c r="E10" s="7">
        <v>396</v>
      </c>
      <c r="F10" s="7">
        <v>42</v>
      </c>
      <c r="G10" s="7">
        <v>4</v>
      </c>
      <c r="H10" s="7">
        <v>309</v>
      </c>
      <c r="I10" s="7">
        <v>40</v>
      </c>
      <c r="J10" s="17">
        <v>395</v>
      </c>
      <c r="K10" s="7">
        <v>1</v>
      </c>
      <c r="L10" s="18">
        <v>0</v>
      </c>
    </row>
    <row r="11" spans="1:12" ht="17.25" customHeight="1" x14ac:dyDescent="0.25">
      <c r="A11" s="50"/>
      <c r="B11" s="103"/>
      <c r="C11" s="109"/>
      <c r="D11" s="12">
        <v>3</v>
      </c>
      <c r="E11" s="7">
        <v>357</v>
      </c>
      <c r="F11" s="7">
        <v>68</v>
      </c>
      <c r="G11" s="7">
        <v>5</v>
      </c>
      <c r="H11" s="7">
        <v>258</v>
      </c>
      <c r="I11" s="7">
        <v>21</v>
      </c>
      <c r="J11" s="17">
        <v>352</v>
      </c>
      <c r="K11" s="7">
        <v>5</v>
      </c>
      <c r="L11" s="18">
        <v>0</v>
      </c>
    </row>
    <row r="12" spans="1:12" ht="17.25" customHeight="1" x14ac:dyDescent="0.25">
      <c r="A12" s="50"/>
      <c r="B12" s="103"/>
      <c r="C12" s="109"/>
      <c r="D12" s="12">
        <v>4</v>
      </c>
      <c r="E12" s="7">
        <v>458</v>
      </c>
      <c r="F12" s="7">
        <v>145</v>
      </c>
      <c r="G12" s="7">
        <v>3</v>
      </c>
      <c r="H12" s="7">
        <v>252</v>
      </c>
      <c r="I12" s="7">
        <v>56</v>
      </c>
      <c r="J12" s="17">
        <v>456</v>
      </c>
      <c r="K12" s="7">
        <v>2</v>
      </c>
      <c r="L12" s="18">
        <v>0</v>
      </c>
    </row>
    <row r="13" spans="1:12" ht="17.25" customHeight="1" x14ac:dyDescent="0.25">
      <c r="A13" s="50"/>
      <c r="B13" s="103"/>
      <c r="C13" s="109"/>
      <c r="D13" s="12">
        <v>5</v>
      </c>
      <c r="E13" s="7">
        <v>452</v>
      </c>
      <c r="F13" s="7">
        <v>134</v>
      </c>
      <c r="G13" s="7">
        <v>6</v>
      </c>
      <c r="H13" s="7">
        <v>277</v>
      </c>
      <c r="I13" s="7">
        <v>29</v>
      </c>
      <c r="J13" s="17">
        <v>446</v>
      </c>
      <c r="K13" s="7">
        <v>6</v>
      </c>
      <c r="L13" s="18">
        <v>0</v>
      </c>
    </row>
    <row r="14" spans="1:12" ht="17.25" customHeight="1" x14ac:dyDescent="0.25">
      <c r="A14" s="50"/>
      <c r="B14" s="103"/>
      <c r="C14" s="109"/>
      <c r="D14" s="12">
        <v>6</v>
      </c>
      <c r="E14" s="7">
        <v>482</v>
      </c>
      <c r="F14" s="7">
        <v>153</v>
      </c>
      <c r="G14" s="7">
        <v>2</v>
      </c>
      <c r="H14" s="7">
        <v>285</v>
      </c>
      <c r="I14" s="7">
        <v>41</v>
      </c>
      <c r="J14" s="17">
        <v>481</v>
      </c>
      <c r="K14" s="7">
        <v>1</v>
      </c>
      <c r="L14" s="18">
        <v>0</v>
      </c>
    </row>
    <row r="15" spans="1:12" ht="17.25" customHeight="1" x14ac:dyDescent="0.25">
      <c r="A15" s="51"/>
      <c r="B15" s="104"/>
      <c r="C15" s="110"/>
      <c r="D15" s="12">
        <v>7</v>
      </c>
      <c r="E15" s="7">
        <v>519</v>
      </c>
      <c r="F15" s="7">
        <v>168</v>
      </c>
      <c r="G15" s="7">
        <v>1</v>
      </c>
      <c r="H15" s="7">
        <v>308</v>
      </c>
      <c r="I15" s="7">
        <v>40</v>
      </c>
      <c r="J15" s="17">
        <v>517</v>
      </c>
      <c r="K15" s="7">
        <v>2</v>
      </c>
      <c r="L15" s="18">
        <v>0</v>
      </c>
    </row>
    <row r="16" spans="1:12" ht="17.25" customHeight="1" x14ac:dyDescent="0.25">
      <c r="A16" s="105">
        <v>12</v>
      </c>
      <c r="B16" s="52" t="s">
        <v>42</v>
      </c>
      <c r="C16" s="55" t="s">
        <v>43</v>
      </c>
      <c r="D16" s="12">
        <v>1</v>
      </c>
      <c r="E16" s="7">
        <v>243</v>
      </c>
      <c r="F16" s="7">
        <v>16</v>
      </c>
      <c r="G16" s="7">
        <v>1</v>
      </c>
      <c r="H16" s="7">
        <v>33</v>
      </c>
      <c r="I16" s="7">
        <v>191</v>
      </c>
      <c r="J16" s="17">
        <v>241</v>
      </c>
      <c r="K16" s="7">
        <v>2</v>
      </c>
      <c r="L16" s="18">
        <v>0</v>
      </c>
    </row>
    <row r="17" spans="1:12" ht="17.25" customHeight="1" x14ac:dyDescent="0.25">
      <c r="A17" s="107"/>
      <c r="B17" s="54"/>
      <c r="C17" s="57"/>
      <c r="D17" s="12">
        <v>2</v>
      </c>
      <c r="E17" s="7">
        <v>266</v>
      </c>
      <c r="F17" s="7">
        <v>14</v>
      </c>
      <c r="G17" s="7">
        <v>0</v>
      </c>
      <c r="H17" s="7">
        <v>48</v>
      </c>
      <c r="I17" s="7">
        <v>201</v>
      </c>
      <c r="J17" s="17">
        <v>263</v>
      </c>
      <c r="K17" s="7">
        <v>3</v>
      </c>
      <c r="L17" s="18">
        <v>0</v>
      </c>
    </row>
    <row r="18" spans="1:12" ht="17.25" customHeight="1" x14ac:dyDescent="0.25">
      <c r="A18" s="105">
        <v>13</v>
      </c>
      <c r="B18" s="52" t="s">
        <v>44</v>
      </c>
      <c r="C18" s="55" t="s">
        <v>45</v>
      </c>
      <c r="D18" s="12">
        <v>1</v>
      </c>
      <c r="E18" s="7">
        <v>269</v>
      </c>
      <c r="F18" s="7">
        <v>18</v>
      </c>
      <c r="G18" s="7">
        <v>4</v>
      </c>
      <c r="H18" s="7">
        <v>72</v>
      </c>
      <c r="I18" s="7">
        <v>162</v>
      </c>
      <c r="J18" s="17">
        <v>256</v>
      </c>
      <c r="K18" s="7">
        <v>13</v>
      </c>
      <c r="L18" s="18">
        <v>0</v>
      </c>
    </row>
    <row r="19" spans="1:12" ht="17.25" customHeight="1" x14ac:dyDescent="0.25">
      <c r="A19" s="106"/>
      <c r="B19" s="53"/>
      <c r="C19" s="56"/>
      <c r="D19" s="12">
        <v>2</v>
      </c>
      <c r="E19" s="7">
        <v>337</v>
      </c>
      <c r="F19" s="7">
        <v>15</v>
      </c>
      <c r="G19" s="7">
        <v>2</v>
      </c>
      <c r="H19" s="7">
        <v>59</v>
      </c>
      <c r="I19" s="7">
        <v>250</v>
      </c>
      <c r="J19" s="17">
        <v>326</v>
      </c>
      <c r="K19" s="7">
        <v>11</v>
      </c>
      <c r="L19" s="18">
        <v>0</v>
      </c>
    </row>
    <row r="20" spans="1:12" ht="17.25" customHeight="1" x14ac:dyDescent="0.25">
      <c r="A20" s="107"/>
      <c r="B20" s="54"/>
      <c r="C20" s="57"/>
      <c r="D20" s="12">
        <v>3</v>
      </c>
      <c r="E20" s="7">
        <v>296</v>
      </c>
      <c r="F20" s="7">
        <v>9</v>
      </c>
      <c r="G20" s="7">
        <v>7</v>
      </c>
      <c r="H20" s="7">
        <v>46</v>
      </c>
      <c r="I20" s="7">
        <v>234</v>
      </c>
      <c r="J20" s="17">
        <v>296</v>
      </c>
      <c r="K20" s="7">
        <v>0</v>
      </c>
      <c r="L20" s="18">
        <v>0</v>
      </c>
    </row>
    <row r="21" spans="1:12" ht="32.549999999999997" customHeight="1" x14ac:dyDescent="0.25">
      <c r="A21" s="19">
        <v>14</v>
      </c>
      <c r="B21" s="5" t="s">
        <v>46</v>
      </c>
      <c r="C21" s="5" t="s">
        <v>47</v>
      </c>
      <c r="D21" s="12">
        <v>1</v>
      </c>
      <c r="E21" s="7">
        <v>97</v>
      </c>
      <c r="F21" s="7">
        <v>5</v>
      </c>
      <c r="G21" s="7">
        <v>1</v>
      </c>
      <c r="H21" s="7">
        <v>31</v>
      </c>
      <c r="I21" s="7">
        <v>57</v>
      </c>
      <c r="J21" s="17">
        <v>94</v>
      </c>
      <c r="K21" s="7">
        <v>3</v>
      </c>
      <c r="L21" s="18">
        <v>0</v>
      </c>
    </row>
    <row r="22" spans="1:12" ht="30" customHeight="1" x14ac:dyDescent="0.25"/>
    <row r="23" spans="1:12" ht="294" customHeight="1" x14ac:dyDescent="0.25"/>
    <row r="24" spans="1:12" ht="294" customHeight="1" x14ac:dyDescent="0.25"/>
  </sheetData>
  <mergeCells count="20"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  <mergeCell ref="A18:A20"/>
    <mergeCell ref="B18:B20"/>
    <mergeCell ref="C18:C20"/>
    <mergeCell ref="A5:A15"/>
    <mergeCell ref="B5:B15"/>
    <mergeCell ref="C5:C8"/>
    <mergeCell ref="C9:C15"/>
    <mergeCell ref="A16:A17"/>
    <mergeCell ref="B16:B17"/>
    <mergeCell ref="C16:C1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6"/>
  <sheetViews>
    <sheetView workbookViewId="0">
      <selection activeCell="A5" sqref="A5:L23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7" width="15.109375" customWidth="1"/>
    <col min="8" max="8" width="15.33203125" customWidth="1"/>
    <col min="9" max="9" width="15.109375" customWidth="1"/>
    <col min="10" max="10" width="12.88671875" customWidth="1"/>
    <col min="11" max="11" width="12.6640625" customWidth="1"/>
    <col min="12" max="12" width="12.88671875" customWidth="1"/>
  </cols>
  <sheetData>
    <row r="1" spans="1:12" ht="34.799999999999997" customHeight="1" x14ac:dyDescent="0.25">
      <c r="A1" s="76" t="s">
        <v>48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</row>
    <row r="2" spans="1:12" ht="18" customHeight="1" x14ac:dyDescent="0.25">
      <c r="A2" s="79" t="s">
        <v>1</v>
      </c>
      <c r="B2" s="82" t="s">
        <v>2</v>
      </c>
      <c r="C2" s="82" t="s">
        <v>3</v>
      </c>
      <c r="D2" s="85" t="s">
        <v>4</v>
      </c>
      <c r="E2" s="88" t="s">
        <v>5</v>
      </c>
      <c r="F2" s="91" t="s">
        <v>6</v>
      </c>
      <c r="G2" s="92"/>
      <c r="H2" s="92"/>
      <c r="I2" s="92"/>
      <c r="J2" s="93"/>
      <c r="K2" s="94" t="s">
        <v>7</v>
      </c>
      <c r="L2" s="97" t="s">
        <v>8</v>
      </c>
    </row>
    <row r="3" spans="1:12" ht="29.7" customHeight="1" x14ac:dyDescent="0.25">
      <c r="A3" s="80"/>
      <c r="B3" s="83"/>
      <c r="C3" s="83"/>
      <c r="D3" s="86"/>
      <c r="E3" s="89"/>
      <c r="F3" s="1" t="s">
        <v>9</v>
      </c>
      <c r="G3" s="2" t="s">
        <v>10</v>
      </c>
      <c r="H3" s="1" t="s">
        <v>11</v>
      </c>
      <c r="I3" s="1" t="s">
        <v>12</v>
      </c>
      <c r="J3" s="100" t="s">
        <v>13</v>
      </c>
      <c r="K3" s="95"/>
      <c r="L3" s="98"/>
    </row>
    <row r="4" spans="1:12" ht="28.2" customHeight="1" x14ac:dyDescent="0.25">
      <c r="A4" s="81"/>
      <c r="B4" s="84"/>
      <c r="C4" s="84"/>
      <c r="D4" s="87"/>
      <c r="E4" s="90"/>
      <c r="F4" s="3"/>
      <c r="G4" s="3"/>
      <c r="H4" s="3"/>
      <c r="I4" s="3"/>
      <c r="J4" s="101"/>
      <c r="K4" s="96"/>
      <c r="L4" s="99"/>
    </row>
    <row r="5" spans="1:12" ht="17.25" customHeight="1" x14ac:dyDescent="0.25">
      <c r="A5" s="105">
        <v>15</v>
      </c>
      <c r="B5" s="102" t="s">
        <v>49</v>
      </c>
      <c r="C5" s="55" t="s">
        <v>50</v>
      </c>
      <c r="D5" s="12">
        <v>1</v>
      </c>
      <c r="E5" s="7">
        <v>363</v>
      </c>
      <c r="F5" s="7">
        <v>69</v>
      </c>
      <c r="G5" s="20">
        <v>1</v>
      </c>
      <c r="H5" s="21">
        <v>225</v>
      </c>
      <c r="I5" s="7">
        <v>66</v>
      </c>
      <c r="J5" s="17">
        <v>361</v>
      </c>
      <c r="K5" s="7">
        <v>2</v>
      </c>
      <c r="L5" s="18">
        <v>0</v>
      </c>
    </row>
    <row r="6" spans="1:12" ht="17.25" customHeight="1" x14ac:dyDescent="0.25">
      <c r="A6" s="106"/>
      <c r="B6" s="103"/>
      <c r="C6" s="56"/>
      <c r="D6" s="12">
        <v>2</v>
      </c>
      <c r="E6" s="7">
        <v>459</v>
      </c>
      <c r="F6" s="7">
        <v>138</v>
      </c>
      <c r="G6" s="20">
        <v>6</v>
      </c>
      <c r="H6" s="21">
        <v>237</v>
      </c>
      <c r="I6" s="7">
        <v>72</v>
      </c>
      <c r="J6" s="17">
        <v>453</v>
      </c>
      <c r="K6" s="7">
        <v>6</v>
      </c>
      <c r="L6" s="18">
        <v>0</v>
      </c>
    </row>
    <row r="7" spans="1:12" ht="17.25" customHeight="1" x14ac:dyDescent="0.25">
      <c r="A7" s="106"/>
      <c r="B7" s="103"/>
      <c r="C7" s="56"/>
      <c r="D7" s="12">
        <v>3</v>
      </c>
      <c r="E7" s="7">
        <v>414</v>
      </c>
      <c r="F7" s="7">
        <v>159</v>
      </c>
      <c r="G7" s="20">
        <v>7</v>
      </c>
      <c r="H7" s="21">
        <v>182</v>
      </c>
      <c r="I7" s="7">
        <v>66</v>
      </c>
      <c r="J7" s="17">
        <v>414</v>
      </c>
      <c r="K7" s="7">
        <v>0</v>
      </c>
      <c r="L7" s="18">
        <v>0</v>
      </c>
    </row>
    <row r="8" spans="1:12" ht="17.25" customHeight="1" x14ac:dyDescent="0.25">
      <c r="A8" s="106"/>
      <c r="B8" s="103"/>
      <c r="C8" s="56"/>
      <c r="D8" s="12">
        <v>4</v>
      </c>
      <c r="E8" s="7">
        <v>440</v>
      </c>
      <c r="F8" s="7">
        <v>180</v>
      </c>
      <c r="G8" s="20">
        <v>3</v>
      </c>
      <c r="H8" s="21">
        <v>167</v>
      </c>
      <c r="I8" s="7">
        <v>87</v>
      </c>
      <c r="J8" s="17">
        <v>437</v>
      </c>
      <c r="K8" s="7">
        <v>3</v>
      </c>
      <c r="L8" s="18">
        <v>0</v>
      </c>
    </row>
    <row r="9" spans="1:12" ht="17.25" customHeight="1" x14ac:dyDescent="0.25">
      <c r="A9" s="106"/>
      <c r="B9" s="103"/>
      <c r="C9" s="57"/>
      <c r="D9" s="12">
        <v>5</v>
      </c>
      <c r="E9" s="7">
        <v>466</v>
      </c>
      <c r="F9" s="7">
        <v>204</v>
      </c>
      <c r="G9" s="20">
        <v>4</v>
      </c>
      <c r="H9" s="21">
        <v>172</v>
      </c>
      <c r="I9" s="7">
        <v>81</v>
      </c>
      <c r="J9" s="17">
        <v>461</v>
      </c>
      <c r="K9" s="7">
        <v>5</v>
      </c>
      <c r="L9" s="18">
        <v>0</v>
      </c>
    </row>
    <row r="10" spans="1:12" ht="17.25" customHeight="1" x14ac:dyDescent="0.25">
      <c r="A10" s="106"/>
      <c r="B10" s="103"/>
      <c r="C10" s="55" t="s">
        <v>51</v>
      </c>
      <c r="D10" s="12">
        <v>1</v>
      </c>
      <c r="E10" s="7">
        <v>383</v>
      </c>
      <c r="F10" s="7">
        <v>46</v>
      </c>
      <c r="G10" s="20">
        <v>2</v>
      </c>
      <c r="H10" s="21">
        <v>271</v>
      </c>
      <c r="I10" s="7">
        <v>55</v>
      </c>
      <c r="J10" s="17">
        <v>374</v>
      </c>
      <c r="K10" s="7">
        <v>9</v>
      </c>
      <c r="L10" s="18">
        <v>0</v>
      </c>
    </row>
    <row r="11" spans="1:12" ht="17.25" customHeight="1" x14ac:dyDescent="0.25">
      <c r="A11" s="106"/>
      <c r="B11" s="103"/>
      <c r="C11" s="56"/>
      <c r="D11" s="12">
        <v>2</v>
      </c>
      <c r="E11" s="7">
        <v>391</v>
      </c>
      <c r="F11" s="7">
        <v>71</v>
      </c>
      <c r="G11" s="20">
        <v>5</v>
      </c>
      <c r="H11" s="21">
        <v>249</v>
      </c>
      <c r="I11" s="7">
        <v>57</v>
      </c>
      <c r="J11" s="17">
        <v>382</v>
      </c>
      <c r="K11" s="7">
        <v>9</v>
      </c>
      <c r="L11" s="18">
        <v>0</v>
      </c>
    </row>
    <row r="12" spans="1:12" ht="17.25" customHeight="1" x14ac:dyDescent="0.25">
      <c r="A12" s="106"/>
      <c r="B12" s="103"/>
      <c r="C12" s="56"/>
      <c r="D12" s="12">
        <v>3</v>
      </c>
      <c r="E12" s="7">
        <v>575</v>
      </c>
      <c r="F12" s="7">
        <v>202</v>
      </c>
      <c r="G12" s="20">
        <v>3</v>
      </c>
      <c r="H12" s="21">
        <v>291</v>
      </c>
      <c r="I12" s="7">
        <v>72</v>
      </c>
      <c r="J12" s="17">
        <v>568</v>
      </c>
      <c r="K12" s="7">
        <v>7</v>
      </c>
      <c r="L12" s="18">
        <v>0</v>
      </c>
    </row>
    <row r="13" spans="1:12" ht="17.25" customHeight="1" x14ac:dyDescent="0.25">
      <c r="A13" s="106"/>
      <c r="B13" s="103"/>
      <c r="C13" s="56"/>
      <c r="D13" s="12">
        <v>4</v>
      </c>
      <c r="E13" s="7">
        <v>546</v>
      </c>
      <c r="F13" s="7">
        <v>226</v>
      </c>
      <c r="G13" s="20">
        <v>5</v>
      </c>
      <c r="H13" s="21">
        <v>249</v>
      </c>
      <c r="I13" s="7">
        <v>62</v>
      </c>
      <c r="J13" s="17">
        <v>542</v>
      </c>
      <c r="K13" s="7">
        <v>4</v>
      </c>
      <c r="L13" s="18">
        <v>0</v>
      </c>
    </row>
    <row r="14" spans="1:12" ht="17.25" customHeight="1" x14ac:dyDescent="0.25">
      <c r="A14" s="107"/>
      <c r="B14" s="104"/>
      <c r="C14" s="57"/>
      <c r="D14" s="12">
        <v>5</v>
      </c>
      <c r="E14" s="7">
        <v>579</v>
      </c>
      <c r="F14" s="7">
        <v>232</v>
      </c>
      <c r="G14" s="20">
        <v>5</v>
      </c>
      <c r="H14" s="21">
        <v>257</v>
      </c>
      <c r="I14" s="7">
        <v>81</v>
      </c>
      <c r="J14" s="17">
        <v>575</v>
      </c>
      <c r="K14" s="7">
        <v>4</v>
      </c>
      <c r="L14" s="18">
        <v>0</v>
      </c>
    </row>
    <row r="15" spans="1:12" ht="17.25" customHeight="1" x14ac:dyDescent="0.25">
      <c r="A15" s="105">
        <v>16</v>
      </c>
      <c r="B15" s="108" t="s">
        <v>52</v>
      </c>
      <c r="C15" s="61" t="s">
        <v>53</v>
      </c>
      <c r="D15" s="12">
        <v>1</v>
      </c>
      <c r="E15" s="7">
        <v>382</v>
      </c>
      <c r="F15" s="7">
        <v>59</v>
      </c>
      <c r="G15" s="21">
        <v>11</v>
      </c>
      <c r="H15" s="21">
        <v>266</v>
      </c>
      <c r="I15" s="7">
        <v>43</v>
      </c>
      <c r="J15" s="17">
        <v>379</v>
      </c>
      <c r="K15" s="7">
        <v>2</v>
      </c>
      <c r="L15" s="18">
        <v>1</v>
      </c>
    </row>
    <row r="16" spans="1:12" ht="17.25" customHeight="1" x14ac:dyDescent="0.25">
      <c r="A16" s="106"/>
      <c r="B16" s="109"/>
      <c r="C16" s="62"/>
      <c r="D16" s="12">
        <v>2</v>
      </c>
      <c r="E16" s="7">
        <v>401</v>
      </c>
      <c r="F16" s="7">
        <v>136</v>
      </c>
      <c r="G16" s="20">
        <v>2</v>
      </c>
      <c r="H16" s="21">
        <v>220</v>
      </c>
      <c r="I16" s="7">
        <v>40</v>
      </c>
      <c r="J16" s="17">
        <v>398</v>
      </c>
      <c r="K16" s="7">
        <v>3</v>
      </c>
      <c r="L16" s="18">
        <v>0</v>
      </c>
    </row>
    <row r="17" spans="1:12" ht="17.25" customHeight="1" x14ac:dyDescent="0.25">
      <c r="A17" s="107"/>
      <c r="B17" s="110"/>
      <c r="C17" s="63"/>
      <c r="D17" s="12">
        <v>3</v>
      </c>
      <c r="E17" s="7">
        <v>418</v>
      </c>
      <c r="F17" s="7">
        <v>150</v>
      </c>
      <c r="G17" s="20">
        <v>7</v>
      </c>
      <c r="H17" s="21">
        <v>213</v>
      </c>
      <c r="I17" s="7">
        <v>47</v>
      </c>
      <c r="J17" s="17">
        <v>417</v>
      </c>
      <c r="K17" s="7">
        <v>1</v>
      </c>
      <c r="L17" s="18">
        <v>0</v>
      </c>
    </row>
    <row r="18" spans="1:12" ht="17.25" customHeight="1" x14ac:dyDescent="0.25">
      <c r="A18" s="105">
        <v>17</v>
      </c>
      <c r="B18" s="111" t="s">
        <v>54</v>
      </c>
      <c r="C18" s="61" t="s">
        <v>55</v>
      </c>
      <c r="D18" s="12">
        <v>1</v>
      </c>
      <c r="E18" s="7">
        <v>358</v>
      </c>
      <c r="F18" s="7">
        <v>40</v>
      </c>
      <c r="G18" s="20">
        <v>3</v>
      </c>
      <c r="H18" s="21">
        <v>265</v>
      </c>
      <c r="I18" s="7">
        <v>37</v>
      </c>
      <c r="J18" s="17">
        <v>345</v>
      </c>
      <c r="K18" s="7">
        <v>12</v>
      </c>
      <c r="L18" s="18">
        <v>1</v>
      </c>
    </row>
    <row r="19" spans="1:12" ht="17.25" customHeight="1" x14ac:dyDescent="0.25">
      <c r="A19" s="106"/>
      <c r="B19" s="112"/>
      <c r="C19" s="62"/>
      <c r="D19" s="12">
        <v>2</v>
      </c>
      <c r="E19" s="7">
        <v>398</v>
      </c>
      <c r="F19" s="7">
        <v>42</v>
      </c>
      <c r="G19" s="20">
        <v>1</v>
      </c>
      <c r="H19" s="21">
        <v>325</v>
      </c>
      <c r="I19" s="7">
        <v>26</v>
      </c>
      <c r="J19" s="17">
        <v>394</v>
      </c>
      <c r="K19" s="7">
        <v>4</v>
      </c>
      <c r="L19" s="18">
        <v>0</v>
      </c>
    </row>
    <row r="20" spans="1:12" ht="17.25" customHeight="1" x14ac:dyDescent="0.25">
      <c r="A20" s="106"/>
      <c r="B20" s="112"/>
      <c r="C20" s="62"/>
      <c r="D20" s="12">
        <v>3</v>
      </c>
      <c r="E20" s="7">
        <v>507</v>
      </c>
      <c r="F20" s="7">
        <v>169</v>
      </c>
      <c r="G20" s="20">
        <v>3</v>
      </c>
      <c r="H20" s="21">
        <v>259</v>
      </c>
      <c r="I20" s="7">
        <v>74</v>
      </c>
      <c r="J20" s="17">
        <v>505</v>
      </c>
      <c r="K20" s="7">
        <v>2</v>
      </c>
      <c r="L20" s="18">
        <v>0</v>
      </c>
    </row>
    <row r="21" spans="1:12" ht="17.25" customHeight="1" x14ac:dyDescent="0.25">
      <c r="A21" s="106"/>
      <c r="B21" s="112"/>
      <c r="C21" s="62"/>
      <c r="D21" s="12">
        <v>4</v>
      </c>
      <c r="E21" s="7">
        <v>520</v>
      </c>
      <c r="F21" s="7">
        <v>230</v>
      </c>
      <c r="G21" s="20">
        <v>3</v>
      </c>
      <c r="H21" s="21">
        <v>232</v>
      </c>
      <c r="I21" s="7">
        <v>49</v>
      </c>
      <c r="J21" s="17">
        <v>514</v>
      </c>
      <c r="K21" s="7">
        <v>6</v>
      </c>
      <c r="L21" s="18">
        <v>0</v>
      </c>
    </row>
    <row r="22" spans="1:12" ht="17.25" customHeight="1" x14ac:dyDescent="0.25">
      <c r="A22" s="106"/>
      <c r="B22" s="112"/>
      <c r="C22" s="62"/>
      <c r="D22" s="12">
        <v>5</v>
      </c>
      <c r="E22" s="7">
        <v>520</v>
      </c>
      <c r="F22" s="7">
        <v>222</v>
      </c>
      <c r="G22" s="20">
        <v>0</v>
      </c>
      <c r="H22" s="21">
        <v>240</v>
      </c>
      <c r="I22" s="7">
        <v>55</v>
      </c>
      <c r="J22" s="17">
        <v>517</v>
      </c>
      <c r="K22" s="7">
        <v>3</v>
      </c>
      <c r="L22" s="18">
        <v>0</v>
      </c>
    </row>
    <row r="23" spans="1:12" ht="17.25" customHeight="1" x14ac:dyDescent="0.25">
      <c r="A23" s="107"/>
      <c r="B23" s="113"/>
      <c r="C23" s="63"/>
      <c r="D23" s="12">
        <v>6</v>
      </c>
      <c r="E23" s="7">
        <v>552</v>
      </c>
      <c r="F23" s="7">
        <v>217</v>
      </c>
      <c r="G23" s="20">
        <v>0</v>
      </c>
      <c r="H23" s="21">
        <v>262</v>
      </c>
      <c r="I23" s="7">
        <v>70</v>
      </c>
      <c r="J23" s="17">
        <v>549</v>
      </c>
      <c r="K23" s="7">
        <v>3</v>
      </c>
      <c r="L23" s="18">
        <v>0</v>
      </c>
    </row>
    <row r="24" spans="1:12" ht="30" customHeight="1" x14ac:dyDescent="0.25"/>
    <row r="25" spans="1:12" ht="310.05" customHeight="1" x14ac:dyDescent="0.25"/>
    <row r="26" spans="1:12" ht="310.05" customHeight="1" x14ac:dyDescent="0.25"/>
  </sheetData>
  <mergeCells count="20"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  <mergeCell ref="A18:A23"/>
    <mergeCell ref="B18:B23"/>
    <mergeCell ref="C18:C23"/>
    <mergeCell ref="A5:A14"/>
    <mergeCell ref="B5:B14"/>
    <mergeCell ref="C5:C9"/>
    <mergeCell ref="C10:C14"/>
    <mergeCell ref="A15:A17"/>
    <mergeCell ref="B15:B17"/>
    <mergeCell ref="C15:C1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7"/>
  <sheetViews>
    <sheetView workbookViewId="0">
      <selection activeCell="A5" sqref="A5:L24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7" width="15.109375" customWidth="1"/>
    <col min="8" max="8" width="15.33203125" customWidth="1"/>
    <col min="9" max="9" width="15.109375" customWidth="1"/>
    <col min="10" max="10" width="12.88671875" customWidth="1"/>
    <col min="11" max="11" width="12.6640625" customWidth="1"/>
    <col min="12" max="12" width="12.88671875" customWidth="1"/>
  </cols>
  <sheetData>
    <row r="1" spans="1:12" ht="34.799999999999997" customHeight="1" x14ac:dyDescent="0.25">
      <c r="A1" s="76" t="s">
        <v>56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</row>
    <row r="2" spans="1:12" ht="18" customHeight="1" x14ac:dyDescent="0.25">
      <c r="A2" s="79" t="s">
        <v>1</v>
      </c>
      <c r="B2" s="82" t="s">
        <v>2</v>
      </c>
      <c r="C2" s="82" t="s">
        <v>3</v>
      </c>
      <c r="D2" s="85" t="s">
        <v>4</v>
      </c>
      <c r="E2" s="88" t="s">
        <v>5</v>
      </c>
      <c r="F2" s="91" t="s">
        <v>6</v>
      </c>
      <c r="G2" s="92"/>
      <c r="H2" s="92"/>
      <c r="I2" s="92"/>
      <c r="J2" s="93"/>
      <c r="K2" s="94" t="s">
        <v>7</v>
      </c>
      <c r="L2" s="97" t="s">
        <v>8</v>
      </c>
    </row>
    <row r="3" spans="1:12" ht="29.7" customHeight="1" x14ac:dyDescent="0.25">
      <c r="A3" s="80"/>
      <c r="B3" s="83"/>
      <c r="C3" s="83"/>
      <c r="D3" s="86"/>
      <c r="E3" s="89"/>
      <c r="F3" s="1" t="s">
        <v>9</v>
      </c>
      <c r="G3" s="2" t="s">
        <v>10</v>
      </c>
      <c r="H3" s="1" t="s">
        <v>11</v>
      </c>
      <c r="I3" s="1" t="s">
        <v>12</v>
      </c>
      <c r="J3" s="100" t="s">
        <v>13</v>
      </c>
      <c r="K3" s="95"/>
      <c r="L3" s="98"/>
    </row>
    <row r="4" spans="1:12" ht="28.2" customHeight="1" x14ac:dyDescent="0.25">
      <c r="A4" s="81"/>
      <c r="B4" s="84"/>
      <c r="C4" s="84"/>
      <c r="D4" s="87"/>
      <c r="E4" s="90"/>
      <c r="F4" s="3"/>
      <c r="G4" s="3"/>
      <c r="H4" s="3"/>
      <c r="I4" s="3"/>
      <c r="J4" s="101"/>
      <c r="K4" s="96"/>
      <c r="L4" s="99"/>
    </row>
    <row r="5" spans="1:12" ht="17.25" customHeight="1" x14ac:dyDescent="0.25">
      <c r="A5" s="105">
        <v>18</v>
      </c>
      <c r="B5" s="61" t="s">
        <v>57</v>
      </c>
      <c r="C5" s="61" t="s">
        <v>58</v>
      </c>
      <c r="D5" s="12">
        <v>1</v>
      </c>
      <c r="E5" s="7">
        <v>400</v>
      </c>
      <c r="F5" s="7">
        <v>75</v>
      </c>
      <c r="G5" s="7">
        <v>2</v>
      </c>
      <c r="H5" s="21">
        <v>283</v>
      </c>
      <c r="I5" s="7">
        <v>30</v>
      </c>
      <c r="J5" s="17">
        <v>390</v>
      </c>
      <c r="K5" s="7">
        <v>10</v>
      </c>
      <c r="L5" s="18">
        <v>0</v>
      </c>
    </row>
    <row r="6" spans="1:12" ht="17.25" customHeight="1" x14ac:dyDescent="0.25">
      <c r="A6" s="106"/>
      <c r="B6" s="62"/>
      <c r="C6" s="62"/>
      <c r="D6" s="12">
        <v>2</v>
      </c>
      <c r="E6" s="7">
        <v>528</v>
      </c>
      <c r="F6" s="7">
        <v>206</v>
      </c>
      <c r="G6" s="7">
        <v>4</v>
      </c>
      <c r="H6" s="21">
        <v>268</v>
      </c>
      <c r="I6" s="7">
        <v>43</v>
      </c>
      <c r="J6" s="17">
        <v>521</v>
      </c>
      <c r="K6" s="7">
        <v>7</v>
      </c>
      <c r="L6" s="18">
        <v>0</v>
      </c>
    </row>
    <row r="7" spans="1:12" ht="17.25" customHeight="1" x14ac:dyDescent="0.25">
      <c r="A7" s="107"/>
      <c r="B7" s="63"/>
      <c r="C7" s="63"/>
      <c r="D7" s="12">
        <v>3</v>
      </c>
      <c r="E7" s="7">
        <v>523</v>
      </c>
      <c r="F7" s="7">
        <v>242</v>
      </c>
      <c r="G7" s="7">
        <v>1</v>
      </c>
      <c r="H7" s="21">
        <v>228</v>
      </c>
      <c r="I7" s="7">
        <v>50</v>
      </c>
      <c r="J7" s="17">
        <v>521</v>
      </c>
      <c r="K7" s="7">
        <v>2</v>
      </c>
      <c r="L7" s="18">
        <v>0</v>
      </c>
    </row>
    <row r="8" spans="1:12" ht="17.25" customHeight="1" x14ac:dyDescent="0.25">
      <c r="A8" s="105">
        <v>19</v>
      </c>
      <c r="B8" s="111" t="s">
        <v>59</v>
      </c>
      <c r="C8" s="61" t="s">
        <v>60</v>
      </c>
      <c r="D8" s="12">
        <v>1</v>
      </c>
      <c r="E8" s="7">
        <v>348</v>
      </c>
      <c r="F8" s="7">
        <v>37</v>
      </c>
      <c r="G8" s="7">
        <v>8</v>
      </c>
      <c r="H8" s="21">
        <v>263</v>
      </c>
      <c r="I8" s="7">
        <v>35</v>
      </c>
      <c r="J8" s="17">
        <v>343</v>
      </c>
      <c r="K8" s="7">
        <v>5</v>
      </c>
      <c r="L8" s="18">
        <v>0</v>
      </c>
    </row>
    <row r="9" spans="1:12" ht="17.25" customHeight="1" x14ac:dyDescent="0.25">
      <c r="A9" s="106"/>
      <c r="B9" s="112"/>
      <c r="C9" s="62"/>
      <c r="D9" s="12">
        <v>2</v>
      </c>
      <c r="E9" s="7">
        <v>389</v>
      </c>
      <c r="F9" s="7">
        <v>29</v>
      </c>
      <c r="G9" s="7">
        <v>5</v>
      </c>
      <c r="H9" s="21">
        <v>319</v>
      </c>
      <c r="I9" s="7">
        <v>32</v>
      </c>
      <c r="J9" s="17">
        <v>385</v>
      </c>
      <c r="K9" s="7">
        <v>4</v>
      </c>
      <c r="L9" s="18">
        <v>0</v>
      </c>
    </row>
    <row r="10" spans="1:12" ht="17.25" customHeight="1" x14ac:dyDescent="0.25">
      <c r="A10" s="106"/>
      <c r="B10" s="112"/>
      <c r="C10" s="62"/>
      <c r="D10" s="12">
        <v>3</v>
      </c>
      <c r="E10" s="7">
        <v>523</v>
      </c>
      <c r="F10" s="7">
        <v>167</v>
      </c>
      <c r="G10" s="7">
        <v>15</v>
      </c>
      <c r="H10" s="21">
        <v>262</v>
      </c>
      <c r="I10" s="7">
        <v>68</v>
      </c>
      <c r="J10" s="17">
        <v>512</v>
      </c>
      <c r="K10" s="7">
        <v>11</v>
      </c>
      <c r="L10" s="18">
        <v>0</v>
      </c>
    </row>
    <row r="11" spans="1:12" ht="17.25" customHeight="1" x14ac:dyDescent="0.25">
      <c r="A11" s="106"/>
      <c r="B11" s="112"/>
      <c r="C11" s="62"/>
      <c r="D11" s="12">
        <v>4</v>
      </c>
      <c r="E11" s="7">
        <v>513</v>
      </c>
      <c r="F11" s="7">
        <v>201</v>
      </c>
      <c r="G11" s="7">
        <v>9</v>
      </c>
      <c r="H11" s="21">
        <v>251</v>
      </c>
      <c r="I11" s="7">
        <v>48</v>
      </c>
      <c r="J11" s="17">
        <v>509</v>
      </c>
      <c r="K11" s="7">
        <v>4</v>
      </c>
      <c r="L11" s="18">
        <v>0</v>
      </c>
    </row>
    <row r="12" spans="1:12" ht="17.25" customHeight="1" x14ac:dyDescent="0.25">
      <c r="A12" s="107"/>
      <c r="B12" s="113"/>
      <c r="C12" s="63"/>
      <c r="D12" s="12">
        <v>5</v>
      </c>
      <c r="E12" s="7">
        <v>548</v>
      </c>
      <c r="F12" s="7">
        <v>218</v>
      </c>
      <c r="G12" s="7">
        <v>6</v>
      </c>
      <c r="H12" s="21">
        <v>237</v>
      </c>
      <c r="I12" s="7">
        <v>84</v>
      </c>
      <c r="J12" s="17">
        <v>545</v>
      </c>
      <c r="K12" s="7">
        <v>3</v>
      </c>
      <c r="L12" s="18">
        <v>0</v>
      </c>
    </row>
    <row r="13" spans="1:12" ht="17.25" customHeight="1" x14ac:dyDescent="0.25">
      <c r="A13" s="105">
        <v>20</v>
      </c>
      <c r="B13" s="108" t="s">
        <v>61</v>
      </c>
      <c r="C13" s="61" t="s">
        <v>62</v>
      </c>
      <c r="D13" s="12">
        <v>1</v>
      </c>
      <c r="E13" s="7">
        <v>387</v>
      </c>
      <c r="F13" s="7">
        <v>31</v>
      </c>
      <c r="G13" s="7">
        <v>4</v>
      </c>
      <c r="H13" s="21">
        <v>301</v>
      </c>
      <c r="I13" s="7">
        <v>44</v>
      </c>
      <c r="J13" s="17">
        <v>380</v>
      </c>
      <c r="K13" s="7">
        <v>7</v>
      </c>
      <c r="L13" s="18">
        <v>0</v>
      </c>
    </row>
    <row r="14" spans="1:12" ht="17.25" customHeight="1" x14ac:dyDescent="0.25">
      <c r="A14" s="106"/>
      <c r="B14" s="109"/>
      <c r="C14" s="62"/>
      <c r="D14" s="12">
        <v>2</v>
      </c>
      <c r="E14" s="7">
        <v>416</v>
      </c>
      <c r="F14" s="7">
        <v>96</v>
      </c>
      <c r="G14" s="7">
        <v>4</v>
      </c>
      <c r="H14" s="21">
        <v>274</v>
      </c>
      <c r="I14" s="7">
        <v>41</v>
      </c>
      <c r="J14" s="17">
        <v>415</v>
      </c>
      <c r="K14" s="7">
        <v>1</v>
      </c>
      <c r="L14" s="18">
        <v>0</v>
      </c>
    </row>
    <row r="15" spans="1:12" ht="17.25" customHeight="1" x14ac:dyDescent="0.25">
      <c r="A15" s="106"/>
      <c r="B15" s="109"/>
      <c r="C15" s="62"/>
      <c r="D15" s="12">
        <v>3</v>
      </c>
      <c r="E15" s="7">
        <v>393</v>
      </c>
      <c r="F15" s="7">
        <v>157</v>
      </c>
      <c r="G15" s="7">
        <v>3</v>
      </c>
      <c r="H15" s="21">
        <v>201</v>
      </c>
      <c r="I15" s="7">
        <v>29</v>
      </c>
      <c r="J15" s="17">
        <v>390</v>
      </c>
      <c r="K15" s="7">
        <v>3</v>
      </c>
      <c r="L15" s="18">
        <v>0</v>
      </c>
    </row>
    <row r="16" spans="1:12" ht="17.25" customHeight="1" x14ac:dyDescent="0.25">
      <c r="A16" s="106"/>
      <c r="B16" s="109"/>
      <c r="C16" s="63"/>
      <c r="D16" s="12">
        <v>4</v>
      </c>
      <c r="E16" s="7">
        <v>407</v>
      </c>
      <c r="F16" s="7">
        <v>178</v>
      </c>
      <c r="G16" s="7">
        <v>0</v>
      </c>
      <c r="H16" s="21">
        <v>184</v>
      </c>
      <c r="I16" s="7">
        <v>43</v>
      </c>
      <c r="J16" s="17">
        <v>405</v>
      </c>
      <c r="K16" s="7">
        <v>2</v>
      </c>
      <c r="L16" s="18">
        <v>0</v>
      </c>
    </row>
    <row r="17" spans="1:12" ht="17.25" customHeight="1" x14ac:dyDescent="0.25">
      <c r="A17" s="106"/>
      <c r="B17" s="109"/>
      <c r="C17" s="61" t="s">
        <v>63</v>
      </c>
      <c r="D17" s="12">
        <v>1</v>
      </c>
      <c r="E17" s="7">
        <v>399</v>
      </c>
      <c r="F17" s="7">
        <v>48</v>
      </c>
      <c r="G17" s="7">
        <v>2</v>
      </c>
      <c r="H17" s="21">
        <v>303</v>
      </c>
      <c r="I17" s="7">
        <v>37</v>
      </c>
      <c r="J17" s="17">
        <v>390</v>
      </c>
      <c r="K17" s="7">
        <v>9</v>
      </c>
      <c r="L17" s="18">
        <v>0</v>
      </c>
    </row>
    <row r="18" spans="1:12" ht="17.25" customHeight="1" x14ac:dyDescent="0.25">
      <c r="A18" s="106"/>
      <c r="B18" s="109"/>
      <c r="C18" s="62"/>
      <c r="D18" s="12">
        <v>2</v>
      </c>
      <c r="E18" s="7">
        <v>374</v>
      </c>
      <c r="F18" s="7">
        <v>134</v>
      </c>
      <c r="G18" s="7">
        <v>1</v>
      </c>
      <c r="H18" s="21">
        <v>213</v>
      </c>
      <c r="I18" s="7">
        <v>22</v>
      </c>
      <c r="J18" s="17">
        <v>370</v>
      </c>
      <c r="K18" s="7">
        <v>4</v>
      </c>
      <c r="L18" s="18">
        <v>0</v>
      </c>
    </row>
    <row r="19" spans="1:12" ht="17.25" customHeight="1" x14ac:dyDescent="0.25">
      <c r="A19" s="107"/>
      <c r="B19" s="110"/>
      <c r="C19" s="63"/>
      <c r="D19" s="12">
        <v>3</v>
      </c>
      <c r="E19" s="7">
        <v>386</v>
      </c>
      <c r="F19" s="7">
        <v>154</v>
      </c>
      <c r="G19" s="7">
        <v>1</v>
      </c>
      <c r="H19" s="21">
        <v>190</v>
      </c>
      <c r="I19" s="7">
        <v>38</v>
      </c>
      <c r="J19" s="17">
        <v>383</v>
      </c>
      <c r="K19" s="7">
        <v>3</v>
      </c>
      <c r="L19" s="18">
        <v>0</v>
      </c>
    </row>
    <row r="20" spans="1:12" ht="17.25" customHeight="1" x14ac:dyDescent="0.25">
      <c r="A20" s="105">
        <v>21</v>
      </c>
      <c r="B20" s="111" t="s">
        <v>64</v>
      </c>
      <c r="C20" s="55" t="s">
        <v>65</v>
      </c>
      <c r="D20" s="12">
        <v>1</v>
      </c>
      <c r="E20" s="7">
        <v>378</v>
      </c>
      <c r="F20" s="7">
        <v>56</v>
      </c>
      <c r="G20" s="7">
        <v>2</v>
      </c>
      <c r="H20" s="21">
        <v>273</v>
      </c>
      <c r="I20" s="7">
        <v>41</v>
      </c>
      <c r="J20" s="17">
        <v>372</v>
      </c>
      <c r="K20" s="7">
        <v>6</v>
      </c>
      <c r="L20" s="18">
        <v>0</v>
      </c>
    </row>
    <row r="21" spans="1:12" ht="17.25" customHeight="1" x14ac:dyDescent="0.25">
      <c r="A21" s="106"/>
      <c r="B21" s="112"/>
      <c r="C21" s="56"/>
      <c r="D21" s="12">
        <v>2</v>
      </c>
      <c r="E21" s="7">
        <v>353</v>
      </c>
      <c r="F21" s="7">
        <v>87</v>
      </c>
      <c r="G21" s="7">
        <v>4</v>
      </c>
      <c r="H21" s="21">
        <v>213</v>
      </c>
      <c r="I21" s="7">
        <v>46</v>
      </c>
      <c r="J21" s="17">
        <v>350</v>
      </c>
      <c r="K21" s="7">
        <v>3</v>
      </c>
      <c r="L21" s="18">
        <v>0</v>
      </c>
    </row>
    <row r="22" spans="1:12" ht="17.25" customHeight="1" x14ac:dyDescent="0.25">
      <c r="A22" s="106"/>
      <c r="B22" s="112"/>
      <c r="C22" s="56"/>
      <c r="D22" s="12">
        <v>3</v>
      </c>
      <c r="E22" s="7">
        <v>362</v>
      </c>
      <c r="F22" s="7">
        <v>137</v>
      </c>
      <c r="G22" s="7">
        <v>6</v>
      </c>
      <c r="H22" s="21">
        <v>183</v>
      </c>
      <c r="I22" s="7">
        <v>34</v>
      </c>
      <c r="J22" s="17">
        <v>360</v>
      </c>
      <c r="K22" s="7">
        <v>2</v>
      </c>
      <c r="L22" s="18">
        <v>0</v>
      </c>
    </row>
    <row r="23" spans="1:12" ht="17.25" customHeight="1" x14ac:dyDescent="0.25">
      <c r="A23" s="106"/>
      <c r="B23" s="112"/>
      <c r="C23" s="56"/>
      <c r="D23" s="12">
        <v>4</v>
      </c>
      <c r="E23" s="7">
        <v>374</v>
      </c>
      <c r="F23" s="7">
        <v>150</v>
      </c>
      <c r="G23" s="7">
        <v>1</v>
      </c>
      <c r="H23" s="21">
        <v>178</v>
      </c>
      <c r="I23" s="7">
        <v>45</v>
      </c>
      <c r="J23" s="17">
        <v>374</v>
      </c>
      <c r="K23" s="7">
        <v>0</v>
      </c>
      <c r="L23" s="18">
        <v>0</v>
      </c>
    </row>
    <row r="24" spans="1:12" ht="17.25" customHeight="1" x14ac:dyDescent="0.25">
      <c r="A24" s="107"/>
      <c r="B24" s="113"/>
      <c r="C24" s="57"/>
      <c r="D24" s="12">
        <v>5</v>
      </c>
      <c r="E24" s="7">
        <v>365</v>
      </c>
      <c r="F24" s="7">
        <v>165</v>
      </c>
      <c r="G24" s="7">
        <v>1</v>
      </c>
      <c r="H24" s="21">
        <v>144</v>
      </c>
      <c r="I24" s="7">
        <v>48</v>
      </c>
      <c r="J24" s="17">
        <v>358</v>
      </c>
      <c r="K24" s="7">
        <v>6</v>
      </c>
      <c r="L24" s="18">
        <v>1</v>
      </c>
    </row>
    <row r="25" spans="1:12" ht="30" customHeight="1" x14ac:dyDescent="0.25"/>
    <row r="26" spans="1:12" ht="325.95" customHeight="1" x14ac:dyDescent="0.25"/>
    <row r="27" spans="1:12" ht="325.95" customHeight="1" x14ac:dyDescent="0.25"/>
  </sheetData>
  <mergeCells count="23"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  <mergeCell ref="A5:A7"/>
    <mergeCell ref="B5:B7"/>
    <mergeCell ref="C5:C7"/>
    <mergeCell ref="A8:A12"/>
    <mergeCell ref="B8:B12"/>
    <mergeCell ref="C8:C12"/>
    <mergeCell ref="A13:A19"/>
    <mergeCell ref="B13:B19"/>
    <mergeCell ref="C13:C16"/>
    <mergeCell ref="C17:C19"/>
    <mergeCell ref="A20:A24"/>
    <mergeCell ref="B20:B24"/>
    <mergeCell ref="C20:C2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2"/>
  <sheetViews>
    <sheetView topLeftCell="A5" workbookViewId="0">
      <selection activeCell="A5" sqref="A5:L19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7" width="15.109375" customWidth="1"/>
    <col min="8" max="8" width="15.33203125" customWidth="1"/>
    <col min="9" max="9" width="15.109375" customWidth="1"/>
    <col min="10" max="10" width="12.88671875" customWidth="1"/>
    <col min="11" max="11" width="12.6640625" customWidth="1"/>
    <col min="12" max="12" width="12.88671875" customWidth="1"/>
  </cols>
  <sheetData>
    <row r="1" spans="1:12" ht="34.799999999999997" customHeight="1" x14ac:dyDescent="0.25">
      <c r="A1" s="76" t="s">
        <v>66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</row>
    <row r="2" spans="1:12" ht="18" customHeight="1" x14ac:dyDescent="0.25">
      <c r="A2" s="79" t="s">
        <v>1</v>
      </c>
      <c r="B2" s="82" t="s">
        <v>2</v>
      </c>
      <c r="C2" s="82" t="s">
        <v>3</v>
      </c>
      <c r="D2" s="85" t="s">
        <v>4</v>
      </c>
      <c r="E2" s="88" t="s">
        <v>5</v>
      </c>
      <c r="F2" s="91" t="s">
        <v>6</v>
      </c>
      <c r="G2" s="92"/>
      <c r="H2" s="92"/>
      <c r="I2" s="92"/>
      <c r="J2" s="93"/>
      <c r="K2" s="94" t="s">
        <v>7</v>
      </c>
      <c r="L2" s="97" t="s">
        <v>8</v>
      </c>
    </row>
    <row r="3" spans="1:12" ht="29.7" customHeight="1" x14ac:dyDescent="0.25">
      <c r="A3" s="80"/>
      <c r="B3" s="83"/>
      <c r="C3" s="83"/>
      <c r="D3" s="86"/>
      <c r="E3" s="89"/>
      <c r="F3" s="1" t="s">
        <v>9</v>
      </c>
      <c r="G3" s="2" t="s">
        <v>10</v>
      </c>
      <c r="H3" s="1" t="s">
        <v>11</v>
      </c>
      <c r="I3" s="1" t="s">
        <v>12</v>
      </c>
      <c r="J3" s="100" t="s">
        <v>13</v>
      </c>
      <c r="K3" s="95"/>
      <c r="L3" s="98"/>
    </row>
    <row r="4" spans="1:12" ht="28.2" customHeight="1" x14ac:dyDescent="0.25">
      <c r="A4" s="81"/>
      <c r="B4" s="84"/>
      <c r="C4" s="84"/>
      <c r="D4" s="87"/>
      <c r="E4" s="90"/>
      <c r="F4" s="3"/>
      <c r="G4" s="3"/>
      <c r="H4" s="3"/>
      <c r="I4" s="3"/>
      <c r="J4" s="101"/>
      <c r="K4" s="96"/>
      <c r="L4" s="99"/>
    </row>
    <row r="5" spans="1:12" ht="17.25" customHeight="1" x14ac:dyDescent="0.25">
      <c r="A5" s="105">
        <v>22</v>
      </c>
      <c r="B5" s="111" t="s">
        <v>67</v>
      </c>
      <c r="C5" s="61" t="s">
        <v>68</v>
      </c>
      <c r="D5" s="12">
        <v>1</v>
      </c>
      <c r="E5" s="7">
        <v>351</v>
      </c>
      <c r="F5" s="7">
        <v>38</v>
      </c>
      <c r="G5" s="7">
        <v>4</v>
      </c>
      <c r="H5" s="7">
        <v>253</v>
      </c>
      <c r="I5" s="7">
        <v>48</v>
      </c>
      <c r="J5" s="17">
        <v>343</v>
      </c>
      <c r="K5" s="7">
        <v>8</v>
      </c>
      <c r="L5" s="18">
        <v>0</v>
      </c>
    </row>
    <row r="6" spans="1:12" ht="17.25" customHeight="1" x14ac:dyDescent="0.25">
      <c r="A6" s="106"/>
      <c r="B6" s="112"/>
      <c r="C6" s="62"/>
      <c r="D6" s="12">
        <v>2</v>
      </c>
      <c r="E6" s="7">
        <v>364</v>
      </c>
      <c r="F6" s="7">
        <v>83</v>
      </c>
      <c r="G6" s="7">
        <v>1</v>
      </c>
      <c r="H6" s="7">
        <v>215</v>
      </c>
      <c r="I6" s="7">
        <v>56</v>
      </c>
      <c r="J6" s="17">
        <v>355</v>
      </c>
      <c r="K6" s="7">
        <v>9</v>
      </c>
      <c r="L6" s="18">
        <v>0</v>
      </c>
    </row>
    <row r="7" spans="1:12" ht="17.25" customHeight="1" x14ac:dyDescent="0.25">
      <c r="A7" s="106"/>
      <c r="B7" s="112"/>
      <c r="C7" s="62"/>
      <c r="D7" s="12">
        <v>3</v>
      </c>
      <c r="E7" s="7">
        <v>411</v>
      </c>
      <c r="F7" s="7">
        <v>171</v>
      </c>
      <c r="G7" s="7">
        <v>5</v>
      </c>
      <c r="H7" s="7">
        <v>182</v>
      </c>
      <c r="I7" s="7">
        <v>51</v>
      </c>
      <c r="J7" s="17">
        <v>409</v>
      </c>
      <c r="K7" s="7">
        <v>2</v>
      </c>
      <c r="L7" s="18">
        <v>0</v>
      </c>
    </row>
    <row r="8" spans="1:12" ht="17.25" customHeight="1" x14ac:dyDescent="0.25">
      <c r="A8" s="106"/>
      <c r="B8" s="112"/>
      <c r="C8" s="62"/>
      <c r="D8" s="12">
        <v>4</v>
      </c>
      <c r="E8" s="7">
        <v>398</v>
      </c>
      <c r="F8" s="7">
        <v>155</v>
      </c>
      <c r="G8" s="7">
        <v>4</v>
      </c>
      <c r="H8" s="7">
        <v>186</v>
      </c>
      <c r="I8" s="7">
        <v>51</v>
      </c>
      <c r="J8" s="17">
        <v>396</v>
      </c>
      <c r="K8" s="7">
        <v>2</v>
      </c>
      <c r="L8" s="18">
        <v>0</v>
      </c>
    </row>
    <row r="9" spans="1:12" ht="17.25" customHeight="1" x14ac:dyDescent="0.25">
      <c r="A9" s="107"/>
      <c r="B9" s="113"/>
      <c r="C9" s="63"/>
      <c r="D9" s="12">
        <v>5</v>
      </c>
      <c r="E9" s="7">
        <v>435</v>
      </c>
      <c r="F9" s="7">
        <v>200</v>
      </c>
      <c r="G9" s="7">
        <v>4</v>
      </c>
      <c r="H9" s="7">
        <v>164</v>
      </c>
      <c r="I9" s="7">
        <v>62</v>
      </c>
      <c r="J9" s="17">
        <v>430</v>
      </c>
      <c r="K9" s="7">
        <v>5</v>
      </c>
      <c r="L9" s="18">
        <v>0</v>
      </c>
    </row>
    <row r="10" spans="1:12" ht="17.25" customHeight="1" x14ac:dyDescent="0.25">
      <c r="A10" s="105">
        <v>23</v>
      </c>
      <c r="B10" s="111" t="s">
        <v>69</v>
      </c>
      <c r="C10" s="61" t="s">
        <v>70</v>
      </c>
      <c r="D10" s="12">
        <v>1</v>
      </c>
      <c r="E10" s="7">
        <v>362</v>
      </c>
      <c r="F10" s="7">
        <v>37</v>
      </c>
      <c r="G10" s="7">
        <v>7</v>
      </c>
      <c r="H10" s="7">
        <v>232</v>
      </c>
      <c r="I10" s="7">
        <v>82</v>
      </c>
      <c r="J10" s="17">
        <v>358</v>
      </c>
      <c r="K10" s="7">
        <v>4</v>
      </c>
      <c r="L10" s="18">
        <v>0</v>
      </c>
    </row>
    <row r="11" spans="1:12" ht="17.25" customHeight="1" x14ac:dyDescent="0.25">
      <c r="A11" s="106"/>
      <c r="B11" s="112"/>
      <c r="C11" s="62"/>
      <c r="D11" s="12">
        <v>2</v>
      </c>
      <c r="E11" s="7">
        <v>357</v>
      </c>
      <c r="F11" s="7">
        <v>80</v>
      </c>
      <c r="G11" s="7">
        <v>2</v>
      </c>
      <c r="H11" s="7">
        <v>198</v>
      </c>
      <c r="I11" s="7">
        <v>72</v>
      </c>
      <c r="J11" s="17">
        <v>352</v>
      </c>
      <c r="K11" s="7">
        <v>5</v>
      </c>
      <c r="L11" s="18">
        <v>0</v>
      </c>
    </row>
    <row r="12" spans="1:12" ht="17.25" customHeight="1" x14ac:dyDescent="0.25">
      <c r="A12" s="106"/>
      <c r="B12" s="112"/>
      <c r="C12" s="62"/>
      <c r="D12" s="12">
        <v>3</v>
      </c>
      <c r="E12" s="7">
        <v>350</v>
      </c>
      <c r="F12" s="7">
        <v>107</v>
      </c>
      <c r="G12" s="7">
        <v>5</v>
      </c>
      <c r="H12" s="7">
        <v>170</v>
      </c>
      <c r="I12" s="7">
        <v>64</v>
      </c>
      <c r="J12" s="17">
        <v>346</v>
      </c>
      <c r="K12" s="7">
        <v>4</v>
      </c>
      <c r="L12" s="18">
        <v>0</v>
      </c>
    </row>
    <row r="13" spans="1:12" ht="17.25" customHeight="1" x14ac:dyDescent="0.25">
      <c r="A13" s="106"/>
      <c r="B13" s="112"/>
      <c r="C13" s="62"/>
      <c r="D13" s="12">
        <v>4</v>
      </c>
      <c r="E13" s="7">
        <v>355</v>
      </c>
      <c r="F13" s="7">
        <v>129</v>
      </c>
      <c r="G13" s="7">
        <v>2</v>
      </c>
      <c r="H13" s="7">
        <v>169</v>
      </c>
      <c r="I13" s="7">
        <v>52</v>
      </c>
      <c r="J13" s="17">
        <v>352</v>
      </c>
      <c r="K13" s="7">
        <v>3</v>
      </c>
      <c r="L13" s="18">
        <v>0</v>
      </c>
    </row>
    <row r="14" spans="1:12" ht="17.25" customHeight="1" x14ac:dyDescent="0.25">
      <c r="A14" s="107"/>
      <c r="B14" s="113"/>
      <c r="C14" s="63"/>
      <c r="D14" s="12">
        <v>5</v>
      </c>
      <c r="E14" s="7">
        <v>364</v>
      </c>
      <c r="F14" s="7">
        <v>145</v>
      </c>
      <c r="G14" s="7">
        <v>1</v>
      </c>
      <c r="H14" s="7">
        <v>159</v>
      </c>
      <c r="I14" s="7">
        <v>58</v>
      </c>
      <c r="J14" s="17">
        <v>363</v>
      </c>
      <c r="K14" s="7">
        <v>1</v>
      </c>
      <c r="L14" s="18">
        <v>0</v>
      </c>
    </row>
    <row r="15" spans="1:12" ht="17.25" customHeight="1" x14ac:dyDescent="0.25">
      <c r="A15" s="105">
        <v>24</v>
      </c>
      <c r="B15" s="111" t="s">
        <v>71</v>
      </c>
      <c r="C15" s="61" t="s">
        <v>72</v>
      </c>
      <c r="D15" s="12">
        <v>1</v>
      </c>
      <c r="E15" s="7">
        <v>327</v>
      </c>
      <c r="F15" s="7">
        <v>40</v>
      </c>
      <c r="G15" s="7">
        <v>2</v>
      </c>
      <c r="H15" s="7">
        <v>221</v>
      </c>
      <c r="I15" s="7">
        <v>56</v>
      </c>
      <c r="J15" s="17">
        <v>319</v>
      </c>
      <c r="K15" s="7">
        <v>8</v>
      </c>
      <c r="L15" s="18">
        <v>0</v>
      </c>
    </row>
    <row r="16" spans="1:12" ht="17.25" customHeight="1" x14ac:dyDescent="0.25">
      <c r="A16" s="106"/>
      <c r="B16" s="112"/>
      <c r="C16" s="62"/>
      <c r="D16" s="12">
        <v>2</v>
      </c>
      <c r="E16" s="7">
        <v>345</v>
      </c>
      <c r="F16" s="7">
        <v>73</v>
      </c>
      <c r="G16" s="7">
        <v>2</v>
      </c>
      <c r="H16" s="7">
        <v>207</v>
      </c>
      <c r="I16" s="7">
        <v>59</v>
      </c>
      <c r="J16" s="17">
        <v>341</v>
      </c>
      <c r="K16" s="7">
        <v>4</v>
      </c>
      <c r="L16" s="18">
        <v>0</v>
      </c>
    </row>
    <row r="17" spans="1:12" ht="17.25" customHeight="1" x14ac:dyDescent="0.25">
      <c r="A17" s="106"/>
      <c r="B17" s="112"/>
      <c r="C17" s="62"/>
      <c r="D17" s="12">
        <v>3</v>
      </c>
      <c r="E17" s="7">
        <v>543</v>
      </c>
      <c r="F17" s="7">
        <v>203</v>
      </c>
      <c r="G17" s="7">
        <v>5</v>
      </c>
      <c r="H17" s="7">
        <v>256</v>
      </c>
      <c r="I17" s="7">
        <v>76</v>
      </c>
      <c r="J17" s="17">
        <v>540</v>
      </c>
      <c r="K17" s="7">
        <v>3</v>
      </c>
      <c r="L17" s="18">
        <v>0</v>
      </c>
    </row>
    <row r="18" spans="1:12" ht="17.25" customHeight="1" x14ac:dyDescent="0.25">
      <c r="A18" s="107"/>
      <c r="B18" s="113"/>
      <c r="C18" s="63"/>
      <c r="D18" s="12">
        <v>4</v>
      </c>
      <c r="E18" s="7">
        <v>554</v>
      </c>
      <c r="F18" s="7">
        <v>274</v>
      </c>
      <c r="G18" s="7">
        <v>8</v>
      </c>
      <c r="H18" s="7">
        <v>211</v>
      </c>
      <c r="I18" s="7">
        <v>58</v>
      </c>
      <c r="J18" s="17">
        <v>551</v>
      </c>
      <c r="K18" s="7">
        <v>3</v>
      </c>
      <c r="L18" s="18">
        <v>0</v>
      </c>
    </row>
    <row r="19" spans="1:12" ht="32.700000000000003" customHeight="1" x14ac:dyDescent="0.25">
      <c r="A19" s="19">
        <v>25</v>
      </c>
      <c r="B19" s="13" t="s">
        <v>73</v>
      </c>
      <c r="C19" s="5" t="s">
        <v>74</v>
      </c>
      <c r="D19" s="12">
        <v>1</v>
      </c>
      <c r="E19" s="7">
        <v>261</v>
      </c>
      <c r="F19" s="7">
        <v>10</v>
      </c>
      <c r="G19" s="7">
        <v>3</v>
      </c>
      <c r="H19" s="7">
        <v>86</v>
      </c>
      <c r="I19" s="7">
        <v>159</v>
      </c>
      <c r="J19" s="17">
        <v>258</v>
      </c>
      <c r="K19" s="7">
        <v>3</v>
      </c>
      <c r="L19" s="18">
        <v>0</v>
      </c>
    </row>
    <row r="20" spans="1:12" ht="30" customHeight="1" x14ac:dyDescent="0.25"/>
    <row r="21" spans="1:12" ht="261" customHeight="1" x14ac:dyDescent="0.25"/>
    <row r="22" spans="1:12" ht="261" customHeight="1" x14ac:dyDescent="0.25"/>
  </sheetData>
  <mergeCells count="19"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  <mergeCell ref="A15:A18"/>
    <mergeCell ref="B15:B18"/>
    <mergeCell ref="C15:C18"/>
    <mergeCell ref="A5:A9"/>
    <mergeCell ref="B5:B9"/>
    <mergeCell ref="C5:C9"/>
    <mergeCell ref="A10:A14"/>
    <mergeCell ref="B10:B14"/>
    <mergeCell ref="C10:C1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2"/>
  <sheetViews>
    <sheetView topLeftCell="A5" workbookViewId="0">
      <selection activeCell="A5" sqref="A5:L19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7" width="15.109375" customWidth="1"/>
    <col min="8" max="8" width="15.33203125" customWidth="1"/>
    <col min="9" max="9" width="15.109375" customWidth="1"/>
    <col min="10" max="10" width="12.88671875" customWidth="1"/>
    <col min="11" max="11" width="12.6640625" customWidth="1"/>
    <col min="12" max="12" width="12.88671875" customWidth="1"/>
  </cols>
  <sheetData>
    <row r="1" spans="1:12" ht="34.799999999999997" customHeight="1" x14ac:dyDescent="0.25">
      <c r="A1" s="76" t="s">
        <v>75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</row>
    <row r="2" spans="1:12" ht="18" customHeight="1" x14ac:dyDescent="0.25">
      <c r="A2" s="79" t="s">
        <v>1</v>
      </c>
      <c r="B2" s="82" t="s">
        <v>2</v>
      </c>
      <c r="C2" s="82" t="s">
        <v>3</v>
      </c>
      <c r="D2" s="85" t="s">
        <v>4</v>
      </c>
      <c r="E2" s="88" t="s">
        <v>5</v>
      </c>
      <c r="F2" s="91" t="s">
        <v>6</v>
      </c>
      <c r="G2" s="92"/>
      <c r="H2" s="92"/>
      <c r="I2" s="92"/>
      <c r="J2" s="93"/>
      <c r="K2" s="94" t="s">
        <v>7</v>
      </c>
      <c r="L2" s="97" t="s">
        <v>8</v>
      </c>
    </row>
    <row r="3" spans="1:12" ht="29.7" customHeight="1" x14ac:dyDescent="0.25">
      <c r="A3" s="80"/>
      <c r="B3" s="83"/>
      <c r="C3" s="83"/>
      <c r="D3" s="86"/>
      <c r="E3" s="89"/>
      <c r="F3" s="1" t="s">
        <v>9</v>
      </c>
      <c r="G3" s="2" t="s">
        <v>10</v>
      </c>
      <c r="H3" s="1" t="s">
        <v>11</v>
      </c>
      <c r="I3" s="1" t="s">
        <v>12</v>
      </c>
      <c r="J3" s="100" t="s">
        <v>13</v>
      </c>
      <c r="K3" s="95"/>
      <c r="L3" s="98"/>
    </row>
    <row r="4" spans="1:12" ht="28.2" customHeight="1" x14ac:dyDescent="0.25">
      <c r="A4" s="81"/>
      <c r="B4" s="84"/>
      <c r="C4" s="84"/>
      <c r="D4" s="87"/>
      <c r="E4" s="90"/>
      <c r="F4" s="3"/>
      <c r="G4" s="3"/>
      <c r="H4" s="3"/>
      <c r="I4" s="3"/>
      <c r="J4" s="101"/>
      <c r="K4" s="96"/>
      <c r="L4" s="99"/>
    </row>
    <row r="5" spans="1:12" ht="17.25" customHeight="1" x14ac:dyDescent="0.25">
      <c r="A5" s="105">
        <v>26</v>
      </c>
      <c r="B5" s="114" t="s">
        <v>76</v>
      </c>
      <c r="C5" s="102" t="s">
        <v>77</v>
      </c>
      <c r="D5" s="12">
        <v>1</v>
      </c>
      <c r="E5" s="7">
        <v>315</v>
      </c>
      <c r="F5" s="7">
        <v>20</v>
      </c>
      <c r="G5" s="7">
        <v>4</v>
      </c>
      <c r="H5" s="7">
        <v>111</v>
      </c>
      <c r="I5" s="7">
        <v>178</v>
      </c>
      <c r="J5" s="17">
        <v>313</v>
      </c>
      <c r="K5" s="7">
        <v>2</v>
      </c>
      <c r="L5" s="18">
        <v>0</v>
      </c>
    </row>
    <row r="6" spans="1:12" ht="17.25" customHeight="1" x14ac:dyDescent="0.25">
      <c r="A6" s="106"/>
      <c r="B6" s="115"/>
      <c r="C6" s="103"/>
      <c r="D6" s="12">
        <v>2</v>
      </c>
      <c r="E6" s="7">
        <v>369</v>
      </c>
      <c r="F6" s="7">
        <v>52</v>
      </c>
      <c r="G6" s="7">
        <v>4</v>
      </c>
      <c r="H6" s="7">
        <v>134</v>
      </c>
      <c r="I6" s="7">
        <v>171</v>
      </c>
      <c r="J6" s="17">
        <v>361</v>
      </c>
      <c r="K6" s="7">
        <v>8</v>
      </c>
      <c r="L6" s="18">
        <v>0</v>
      </c>
    </row>
    <row r="7" spans="1:12" ht="17.25" customHeight="1" x14ac:dyDescent="0.25">
      <c r="A7" s="106"/>
      <c r="B7" s="115"/>
      <c r="C7" s="103"/>
      <c r="D7" s="12">
        <v>3</v>
      </c>
      <c r="E7" s="7">
        <v>528</v>
      </c>
      <c r="F7" s="7">
        <v>80</v>
      </c>
      <c r="G7" s="7">
        <v>4</v>
      </c>
      <c r="H7" s="7">
        <v>170</v>
      </c>
      <c r="I7" s="7">
        <v>266</v>
      </c>
      <c r="J7" s="17">
        <v>520</v>
      </c>
      <c r="K7" s="7">
        <v>8</v>
      </c>
      <c r="L7" s="18">
        <v>0</v>
      </c>
    </row>
    <row r="8" spans="1:12" ht="17.25" customHeight="1" x14ac:dyDescent="0.25">
      <c r="A8" s="106"/>
      <c r="B8" s="115"/>
      <c r="C8" s="103"/>
      <c r="D8" s="12">
        <v>4</v>
      </c>
      <c r="E8" s="7">
        <v>486</v>
      </c>
      <c r="F8" s="7">
        <v>70</v>
      </c>
      <c r="G8" s="7">
        <v>0</v>
      </c>
      <c r="H8" s="7">
        <v>116</v>
      </c>
      <c r="I8" s="7">
        <v>293</v>
      </c>
      <c r="J8" s="17">
        <v>479</v>
      </c>
      <c r="K8" s="7">
        <v>7</v>
      </c>
      <c r="L8" s="18">
        <v>0</v>
      </c>
    </row>
    <row r="9" spans="1:12" ht="17.25" customHeight="1" x14ac:dyDescent="0.25">
      <c r="A9" s="106"/>
      <c r="B9" s="115"/>
      <c r="C9" s="103"/>
      <c r="D9" s="12">
        <v>5</v>
      </c>
      <c r="E9" s="7">
        <v>445</v>
      </c>
      <c r="F9" s="7">
        <v>80</v>
      </c>
      <c r="G9" s="7">
        <v>3</v>
      </c>
      <c r="H9" s="7">
        <v>132</v>
      </c>
      <c r="I9" s="7">
        <v>227</v>
      </c>
      <c r="J9" s="17">
        <v>442</v>
      </c>
      <c r="K9" s="7">
        <v>3</v>
      </c>
      <c r="L9" s="18">
        <v>0</v>
      </c>
    </row>
    <row r="10" spans="1:12" ht="17.25" customHeight="1" x14ac:dyDescent="0.25">
      <c r="A10" s="106"/>
      <c r="B10" s="115"/>
      <c r="C10" s="103"/>
      <c r="D10" s="12">
        <v>6</v>
      </c>
      <c r="E10" s="7">
        <v>483</v>
      </c>
      <c r="F10" s="7">
        <v>109</v>
      </c>
      <c r="G10" s="7">
        <v>0</v>
      </c>
      <c r="H10" s="7">
        <v>155</v>
      </c>
      <c r="I10" s="7">
        <v>217</v>
      </c>
      <c r="J10" s="17">
        <v>481</v>
      </c>
      <c r="K10" s="7">
        <v>2</v>
      </c>
      <c r="L10" s="18">
        <v>0</v>
      </c>
    </row>
    <row r="11" spans="1:12" ht="17.25" customHeight="1" x14ac:dyDescent="0.25">
      <c r="A11" s="107"/>
      <c r="B11" s="116"/>
      <c r="C11" s="104"/>
      <c r="D11" s="12">
        <v>7</v>
      </c>
      <c r="E11" s="7">
        <v>528</v>
      </c>
      <c r="F11" s="7">
        <v>136</v>
      </c>
      <c r="G11" s="7">
        <v>3</v>
      </c>
      <c r="H11" s="7">
        <v>119</v>
      </c>
      <c r="I11" s="7">
        <v>265</v>
      </c>
      <c r="J11" s="17">
        <v>523</v>
      </c>
      <c r="K11" s="7">
        <v>5</v>
      </c>
      <c r="L11" s="18">
        <v>0</v>
      </c>
    </row>
    <row r="12" spans="1:12" ht="17.25" customHeight="1" x14ac:dyDescent="0.25">
      <c r="A12" s="105">
        <v>27</v>
      </c>
      <c r="B12" s="55" t="s">
        <v>78</v>
      </c>
      <c r="C12" s="74" t="s">
        <v>79</v>
      </c>
      <c r="D12" s="12">
        <v>1</v>
      </c>
      <c r="E12" s="7">
        <v>385</v>
      </c>
      <c r="F12" s="7">
        <v>31</v>
      </c>
      <c r="G12" s="7">
        <v>7</v>
      </c>
      <c r="H12" s="7">
        <v>320</v>
      </c>
      <c r="I12" s="7">
        <v>18</v>
      </c>
      <c r="J12" s="17">
        <v>376</v>
      </c>
      <c r="K12" s="7">
        <v>9</v>
      </c>
      <c r="L12" s="18">
        <v>0</v>
      </c>
    </row>
    <row r="13" spans="1:12" ht="17.25" customHeight="1" x14ac:dyDescent="0.25">
      <c r="A13" s="107"/>
      <c r="B13" s="57"/>
      <c r="C13" s="75"/>
      <c r="D13" s="12">
        <v>2</v>
      </c>
      <c r="E13" s="7">
        <v>494</v>
      </c>
      <c r="F13" s="7">
        <v>159</v>
      </c>
      <c r="G13" s="7">
        <v>1</v>
      </c>
      <c r="H13" s="7">
        <v>301</v>
      </c>
      <c r="I13" s="7">
        <v>29</v>
      </c>
      <c r="J13" s="17">
        <v>490</v>
      </c>
      <c r="K13" s="7">
        <v>4</v>
      </c>
      <c r="L13" s="18">
        <v>0</v>
      </c>
    </row>
    <row r="14" spans="1:12" ht="17.25" customHeight="1" x14ac:dyDescent="0.25">
      <c r="A14" s="105">
        <v>28</v>
      </c>
      <c r="B14" s="74" t="s">
        <v>80</v>
      </c>
      <c r="C14" s="55" t="s">
        <v>81</v>
      </c>
      <c r="D14" s="12">
        <v>1</v>
      </c>
      <c r="E14" s="7">
        <v>322</v>
      </c>
      <c r="F14" s="7">
        <v>15</v>
      </c>
      <c r="G14" s="7">
        <v>3</v>
      </c>
      <c r="H14" s="7">
        <v>101</v>
      </c>
      <c r="I14" s="7">
        <v>186</v>
      </c>
      <c r="J14" s="17">
        <v>305</v>
      </c>
      <c r="K14" s="7">
        <v>17</v>
      </c>
      <c r="L14" s="18">
        <v>0</v>
      </c>
    </row>
    <row r="15" spans="1:12" ht="17.25" customHeight="1" x14ac:dyDescent="0.25">
      <c r="A15" s="107"/>
      <c r="B15" s="75"/>
      <c r="C15" s="57"/>
      <c r="D15" s="12">
        <v>2</v>
      </c>
      <c r="E15" s="7">
        <v>453</v>
      </c>
      <c r="F15" s="7">
        <v>51</v>
      </c>
      <c r="G15" s="7">
        <v>0</v>
      </c>
      <c r="H15" s="7">
        <v>108</v>
      </c>
      <c r="I15" s="7">
        <v>289</v>
      </c>
      <c r="J15" s="17">
        <v>448</v>
      </c>
      <c r="K15" s="7">
        <v>5</v>
      </c>
      <c r="L15" s="18">
        <v>0</v>
      </c>
    </row>
    <row r="16" spans="1:12" ht="17.25" customHeight="1" x14ac:dyDescent="0.25">
      <c r="A16" s="105">
        <v>29</v>
      </c>
      <c r="B16" s="55" t="s">
        <v>82</v>
      </c>
      <c r="C16" s="55" t="s">
        <v>83</v>
      </c>
      <c r="D16" s="12">
        <v>1</v>
      </c>
      <c r="E16" s="7">
        <v>321</v>
      </c>
      <c r="F16" s="7">
        <v>31</v>
      </c>
      <c r="G16" s="7">
        <v>0</v>
      </c>
      <c r="H16" s="7">
        <v>143</v>
      </c>
      <c r="I16" s="7">
        <v>140</v>
      </c>
      <c r="J16" s="17">
        <v>314</v>
      </c>
      <c r="K16" s="7">
        <v>7</v>
      </c>
      <c r="L16" s="18">
        <v>0</v>
      </c>
    </row>
    <row r="17" spans="1:12" ht="17.25" customHeight="1" x14ac:dyDescent="0.25">
      <c r="A17" s="107"/>
      <c r="B17" s="57"/>
      <c r="C17" s="57"/>
      <c r="D17" s="12">
        <v>2</v>
      </c>
      <c r="E17" s="7">
        <v>256</v>
      </c>
      <c r="F17" s="7">
        <v>47</v>
      </c>
      <c r="G17" s="7">
        <v>0</v>
      </c>
      <c r="H17" s="7">
        <v>94</v>
      </c>
      <c r="I17" s="7">
        <v>111</v>
      </c>
      <c r="J17" s="17">
        <v>252</v>
      </c>
      <c r="K17" s="7">
        <v>4</v>
      </c>
      <c r="L17" s="18">
        <v>0</v>
      </c>
    </row>
    <row r="18" spans="1:12" ht="32.700000000000003" customHeight="1" x14ac:dyDescent="0.25">
      <c r="A18" s="10">
        <v>30</v>
      </c>
      <c r="B18" s="13" t="s">
        <v>84</v>
      </c>
      <c r="C18" s="5" t="s">
        <v>85</v>
      </c>
      <c r="D18" s="12">
        <v>1</v>
      </c>
      <c r="E18" s="7">
        <v>194</v>
      </c>
      <c r="F18" s="7">
        <v>12</v>
      </c>
      <c r="G18" s="7">
        <v>0</v>
      </c>
      <c r="H18" s="7">
        <v>46</v>
      </c>
      <c r="I18" s="7">
        <v>132</v>
      </c>
      <c r="J18" s="17">
        <v>190</v>
      </c>
      <c r="K18" s="7">
        <v>4</v>
      </c>
      <c r="L18" s="18">
        <v>0</v>
      </c>
    </row>
    <row r="19" spans="1:12" ht="32.700000000000003" customHeight="1" x14ac:dyDescent="0.25">
      <c r="A19" s="10">
        <v>31</v>
      </c>
      <c r="B19" s="5" t="s">
        <v>86</v>
      </c>
      <c r="C19" s="16" t="s">
        <v>87</v>
      </c>
      <c r="D19" s="12">
        <v>1</v>
      </c>
      <c r="E19" s="7">
        <v>243</v>
      </c>
      <c r="F19" s="7">
        <v>24</v>
      </c>
      <c r="G19" s="7">
        <v>2</v>
      </c>
      <c r="H19" s="7">
        <v>88</v>
      </c>
      <c r="I19" s="7">
        <v>126</v>
      </c>
      <c r="J19" s="17">
        <v>240</v>
      </c>
      <c r="K19" s="7">
        <v>3</v>
      </c>
      <c r="L19" s="18">
        <v>0</v>
      </c>
    </row>
    <row r="20" spans="1:12" ht="30" customHeight="1" x14ac:dyDescent="0.25"/>
    <row r="21" spans="1:12" ht="277.95" customHeight="1" x14ac:dyDescent="0.25"/>
    <row r="22" spans="1:12" ht="277.95" customHeight="1" x14ac:dyDescent="0.25"/>
  </sheetData>
  <mergeCells count="22"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  <mergeCell ref="A5:A11"/>
    <mergeCell ref="B5:B11"/>
    <mergeCell ref="C5:C11"/>
    <mergeCell ref="A12:A13"/>
    <mergeCell ref="B12:B13"/>
    <mergeCell ref="C12:C13"/>
    <mergeCell ref="A14:A15"/>
    <mergeCell ref="B14:B15"/>
    <mergeCell ref="C14:C15"/>
    <mergeCell ref="A16:A17"/>
    <mergeCell ref="B16:B17"/>
    <mergeCell ref="C16:C1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7"/>
  <sheetViews>
    <sheetView topLeftCell="A5" workbookViewId="0">
      <selection activeCell="A5" sqref="A5:L24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7" width="15.109375" customWidth="1"/>
    <col min="8" max="8" width="15.33203125" customWidth="1"/>
    <col min="9" max="9" width="15.109375" customWidth="1"/>
    <col min="10" max="10" width="12.88671875" customWidth="1"/>
    <col min="11" max="11" width="12.6640625" customWidth="1"/>
    <col min="12" max="12" width="12.88671875" customWidth="1"/>
  </cols>
  <sheetData>
    <row r="1" spans="1:12" ht="34.799999999999997" customHeight="1" x14ac:dyDescent="0.25">
      <c r="A1" s="76" t="s">
        <v>88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</row>
    <row r="2" spans="1:12" ht="18" customHeight="1" x14ac:dyDescent="0.25">
      <c r="A2" s="79" t="s">
        <v>1</v>
      </c>
      <c r="B2" s="82" t="s">
        <v>2</v>
      </c>
      <c r="C2" s="82" t="s">
        <v>3</v>
      </c>
      <c r="D2" s="85" t="s">
        <v>4</v>
      </c>
      <c r="E2" s="88" t="s">
        <v>5</v>
      </c>
      <c r="F2" s="91" t="s">
        <v>6</v>
      </c>
      <c r="G2" s="92"/>
      <c r="H2" s="92"/>
      <c r="I2" s="92"/>
      <c r="J2" s="93"/>
      <c r="K2" s="94" t="s">
        <v>7</v>
      </c>
      <c r="L2" s="97" t="s">
        <v>8</v>
      </c>
    </row>
    <row r="3" spans="1:12" ht="29.7" customHeight="1" x14ac:dyDescent="0.25">
      <c r="A3" s="80"/>
      <c r="B3" s="83"/>
      <c r="C3" s="83"/>
      <c r="D3" s="86"/>
      <c r="E3" s="89"/>
      <c r="F3" s="1" t="s">
        <v>9</v>
      </c>
      <c r="G3" s="2" t="s">
        <v>10</v>
      </c>
      <c r="H3" s="1" t="s">
        <v>11</v>
      </c>
      <c r="I3" s="1" t="s">
        <v>12</v>
      </c>
      <c r="J3" s="100" t="s">
        <v>13</v>
      </c>
      <c r="K3" s="95"/>
      <c r="L3" s="98"/>
    </row>
    <row r="4" spans="1:12" ht="28.2" customHeight="1" x14ac:dyDescent="0.25">
      <c r="A4" s="81"/>
      <c r="B4" s="84"/>
      <c r="C4" s="84"/>
      <c r="D4" s="87"/>
      <c r="E4" s="90"/>
      <c r="F4" s="3"/>
      <c r="G4" s="3"/>
      <c r="H4" s="3"/>
      <c r="I4" s="3"/>
      <c r="J4" s="101"/>
      <c r="K4" s="96"/>
      <c r="L4" s="99"/>
    </row>
    <row r="5" spans="1:12" ht="17.25" customHeight="1" x14ac:dyDescent="0.25">
      <c r="A5" s="105">
        <v>32</v>
      </c>
      <c r="B5" s="111" t="s">
        <v>89</v>
      </c>
      <c r="C5" s="61" t="s">
        <v>90</v>
      </c>
      <c r="D5" s="12">
        <v>1</v>
      </c>
      <c r="E5" s="7">
        <v>274</v>
      </c>
      <c r="F5" s="7">
        <v>21</v>
      </c>
      <c r="G5" s="20">
        <v>2</v>
      </c>
      <c r="H5" s="7">
        <v>99</v>
      </c>
      <c r="I5" s="7">
        <v>141</v>
      </c>
      <c r="J5" s="17">
        <v>263</v>
      </c>
      <c r="K5" s="7">
        <v>11</v>
      </c>
      <c r="L5" s="18">
        <v>0</v>
      </c>
    </row>
    <row r="6" spans="1:12" ht="17.25" customHeight="1" x14ac:dyDescent="0.25">
      <c r="A6" s="106"/>
      <c r="B6" s="112"/>
      <c r="C6" s="62"/>
      <c r="D6" s="12">
        <v>2</v>
      </c>
      <c r="E6" s="7">
        <v>353</v>
      </c>
      <c r="F6" s="7">
        <v>28</v>
      </c>
      <c r="G6" s="20">
        <v>2</v>
      </c>
      <c r="H6" s="7">
        <v>164</v>
      </c>
      <c r="I6" s="7">
        <v>154</v>
      </c>
      <c r="J6" s="17">
        <v>348</v>
      </c>
      <c r="K6" s="7">
        <v>5</v>
      </c>
      <c r="L6" s="18">
        <v>0</v>
      </c>
    </row>
    <row r="7" spans="1:12" ht="17.25" customHeight="1" x14ac:dyDescent="0.25">
      <c r="A7" s="106"/>
      <c r="B7" s="112"/>
      <c r="C7" s="62"/>
      <c r="D7" s="12">
        <v>3</v>
      </c>
      <c r="E7" s="7">
        <v>517</v>
      </c>
      <c r="F7" s="7">
        <v>70</v>
      </c>
      <c r="G7" s="20">
        <v>3</v>
      </c>
      <c r="H7" s="7">
        <v>168</v>
      </c>
      <c r="I7" s="7">
        <v>265</v>
      </c>
      <c r="J7" s="17">
        <v>506</v>
      </c>
      <c r="K7" s="7">
        <v>10</v>
      </c>
      <c r="L7" s="18">
        <v>1</v>
      </c>
    </row>
    <row r="8" spans="1:12" ht="17.25" customHeight="1" x14ac:dyDescent="0.25">
      <c r="A8" s="106"/>
      <c r="B8" s="112"/>
      <c r="C8" s="62"/>
      <c r="D8" s="12">
        <v>4</v>
      </c>
      <c r="E8" s="7">
        <v>487</v>
      </c>
      <c r="F8" s="7">
        <v>92</v>
      </c>
      <c r="G8" s="20">
        <v>2</v>
      </c>
      <c r="H8" s="7">
        <v>139</v>
      </c>
      <c r="I8" s="7">
        <v>248</v>
      </c>
      <c r="J8" s="17">
        <v>481</v>
      </c>
      <c r="K8" s="7">
        <v>6</v>
      </c>
      <c r="L8" s="18">
        <v>0</v>
      </c>
    </row>
    <row r="9" spans="1:12" ht="17.25" customHeight="1" x14ac:dyDescent="0.25">
      <c r="A9" s="107"/>
      <c r="B9" s="113"/>
      <c r="C9" s="63"/>
      <c r="D9" s="12">
        <v>5</v>
      </c>
      <c r="E9" s="7">
        <v>528</v>
      </c>
      <c r="F9" s="7">
        <v>129</v>
      </c>
      <c r="G9" s="20">
        <v>0</v>
      </c>
      <c r="H9" s="7">
        <v>176</v>
      </c>
      <c r="I9" s="7">
        <v>221</v>
      </c>
      <c r="J9" s="17">
        <v>526</v>
      </c>
      <c r="K9" s="7">
        <v>2</v>
      </c>
      <c r="L9" s="18">
        <v>0</v>
      </c>
    </row>
    <row r="10" spans="1:12" ht="17.25" customHeight="1" x14ac:dyDescent="0.25">
      <c r="A10" s="105">
        <v>33</v>
      </c>
      <c r="B10" s="111" t="s">
        <v>91</v>
      </c>
      <c r="C10" s="61" t="s">
        <v>92</v>
      </c>
      <c r="D10" s="12">
        <v>1</v>
      </c>
      <c r="E10" s="7">
        <v>332</v>
      </c>
      <c r="F10" s="7">
        <v>35</v>
      </c>
      <c r="G10" s="20">
        <v>4</v>
      </c>
      <c r="H10" s="7">
        <v>229</v>
      </c>
      <c r="I10" s="7">
        <v>57</v>
      </c>
      <c r="J10" s="17">
        <v>325</v>
      </c>
      <c r="K10" s="7">
        <v>7</v>
      </c>
      <c r="L10" s="18">
        <v>0</v>
      </c>
    </row>
    <row r="11" spans="1:12" ht="17.25" customHeight="1" x14ac:dyDescent="0.25">
      <c r="A11" s="106"/>
      <c r="B11" s="112"/>
      <c r="C11" s="62"/>
      <c r="D11" s="12">
        <v>2</v>
      </c>
      <c r="E11" s="7">
        <v>347</v>
      </c>
      <c r="F11" s="7">
        <v>54</v>
      </c>
      <c r="G11" s="20">
        <v>3</v>
      </c>
      <c r="H11" s="7">
        <v>217</v>
      </c>
      <c r="I11" s="7">
        <v>70</v>
      </c>
      <c r="J11" s="17">
        <v>344</v>
      </c>
      <c r="K11" s="7">
        <v>3</v>
      </c>
      <c r="L11" s="18">
        <v>0</v>
      </c>
    </row>
    <row r="12" spans="1:12" ht="17.25" customHeight="1" x14ac:dyDescent="0.25">
      <c r="A12" s="106"/>
      <c r="B12" s="112"/>
      <c r="C12" s="62"/>
      <c r="D12" s="12">
        <v>3</v>
      </c>
      <c r="E12" s="7">
        <v>436</v>
      </c>
      <c r="F12" s="7">
        <v>188</v>
      </c>
      <c r="G12" s="20">
        <v>4</v>
      </c>
      <c r="H12" s="7">
        <v>174</v>
      </c>
      <c r="I12" s="7">
        <v>66</v>
      </c>
      <c r="J12" s="17">
        <v>432</v>
      </c>
      <c r="K12" s="7">
        <v>4</v>
      </c>
      <c r="L12" s="18">
        <v>0</v>
      </c>
    </row>
    <row r="13" spans="1:12" ht="17.25" customHeight="1" x14ac:dyDescent="0.25">
      <c r="A13" s="106"/>
      <c r="B13" s="112"/>
      <c r="C13" s="62"/>
      <c r="D13" s="12">
        <v>4</v>
      </c>
      <c r="E13" s="7">
        <v>417</v>
      </c>
      <c r="F13" s="7">
        <v>193</v>
      </c>
      <c r="G13" s="20">
        <v>1</v>
      </c>
      <c r="H13" s="7">
        <v>166</v>
      </c>
      <c r="I13" s="7">
        <v>52</v>
      </c>
      <c r="J13" s="17">
        <v>412</v>
      </c>
      <c r="K13" s="7">
        <v>5</v>
      </c>
      <c r="L13" s="18">
        <v>0</v>
      </c>
    </row>
    <row r="14" spans="1:12" ht="17.25" customHeight="1" x14ac:dyDescent="0.25">
      <c r="A14" s="107"/>
      <c r="B14" s="113"/>
      <c r="C14" s="63"/>
      <c r="D14" s="12">
        <v>5</v>
      </c>
      <c r="E14" s="7">
        <v>422</v>
      </c>
      <c r="F14" s="7">
        <v>200</v>
      </c>
      <c r="G14" s="20">
        <v>3</v>
      </c>
      <c r="H14" s="7">
        <v>160</v>
      </c>
      <c r="I14" s="7">
        <v>57</v>
      </c>
      <c r="J14" s="17">
        <v>420</v>
      </c>
      <c r="K14" s="7">
        <v>2</v>
      </c>
      <c r="L14" s="18">
        <v>0</v>
      </c>
    </row>
    <row r="15" spans="1:12" ht="17.25" customHeight="1" x14ac:dyDescent="0.25">
      <c r="A15" s="105">
        <v>34</v>
      </c>
      <c r="B15" s="111" t="s">
        <v>93</v>
      </c>
      <c r="C15" s="61" t="s">
        <v>94</v>
      </c>
      <c r="D15" s="12">
        <v>1</v>
      </c>
      <c r="E15" s="7">
        <v>354</v>
      </c>
      <c r="F15" s="7">
        <v>44</v>
      </c>
      <c r="G15" s="20">
        <v>3</v>
      </c>
      <c r="H15" s="7">
        <v>272</v>
      </c>
      <c r="I15" s="7">
        <v>29</v>
      </c>
      <c r="J15" s="17">
        <v>348</v>
      </c>
      <c r="K15" s="7">
        <v>6</v>
      </c>
      <c r="L15" s="18">
        <v>0</v>
      </c>
    </row>
    <row r="16" spans="1:12" ht="17.25" customHeight="1" x14ac:dyDescent="0.25">
      <c r="A16" s="106"/>
      <c r="B16" s="112"/>
      <c r="C16" s="62"/>
      <c r="D16" s="12">
        <v>2</v>
      </c>
      <c r="E16" s="7">
        <v>450</v>
      </c>
      <c r="F16" s="7">
        <v>135</v>
      </c>
      <c r="G16" s="20">
        <v>4</v>
      </c>
      <c r="H16" s="7">
        <v>233</v>
      </c>
      <c r="I16" s="7">
        <v>77</v>
      </c>
      <c r="J16" s="17">
        <v>449</v>
      </c>
      <c r="K16" s="7">
        <v>1</v>
      </c>
      <c r="L16" s="18">
        <v>0</v>
      </c>
    </row>
    <row r="17" spans="1:12" ht="17.25" customHeight="1" x14ac:dyDescent="0.25">
      <c r="A17" s="106"/>
      <c r="B17" s="112"/>
      <c r="C17" s="62"/>
      <c r="D17" s="12">
        <v>3</v>
      </c>
      <c r="E17" s="7">
        <v>435</v>
      </c>
      <c r="F17" s="7">
        <v>181</v>
      </c>
      <c r="G17" s="20">
        <v>6</v>
      </c>
      <c r="H17" s="7">
        <v>189</v>
      </c>
      <c r="I17" s="7">
        <v>54</v>
      </c>
      <c r="J17" s="17">
        <v>430</v>
      </c>
      <c r="K17" s="7">
        <v>5</v>
      </c>
      <c r="L17" s="18">
        <v>0</v>
      </c>
    </row>
    <row r="18" spans="1:12" ht="17.25" customHeight="1" x14ac:dyDescent="0.25">
      <c r="A18" s="107"/>
      <c r="B18" s="113"/>
      <c r="C18" s="63"/>
      <c r="D18" s="12">
        <v>4</v>
      </c>
      <c r="E18" s="7">
        <v>420</v>
      </c>
      <c r="F18" s="7">
        <v>166</v>
      </c>
      <c r="G18" s="20">
        <v>4</v>
      </c>
      <c r="H18" s="7">
        <v>185</v>
      </c>
      <c r="I18" s="7">
        <v>65</v>
      </c>
      <c r="J18" s="17">
        <v>420</v>
      </c>
      <c r="K18" s="7">
        <v>0</v>
      </c>
      <c r="L18" s="18">
        <v>0</v>
      </c>
    </row>
    <row r="19" spans="1:12" ht="32.700000000000003" customHeight="1" x14ac:dyDescent="0.25">
      <c r="A19" s="10">
        <v>35</v>
      </c>
      <c r="B19" s="13" t="s">
        <v>95</v>
      </c>
      <c r="C19" s="13" t="s">
        <v>96</v>
      </c>
      <c r="D19" s="12">
        <v>1</v>
      </c>
      <c r="E19" s="7">
        <v>408</v>
      </c>
      <c r="F19" s="7">
        <v>110</v>
      </c>
      <c r="G19" s="20">
        <v>5</v>
      </c>
      <c r="H19" s="7">
        <v>235</v>
      </c>
      <c r="I19" s="7">
        <v>55</v>
      </c>
      <c r="J19" s="17">
        <v>405</v>
      </c>
      <c r="K19" s="7">
        <v>3</v>
      </c>
      <c r="L19" s="18">
        <v>0</v>
      </c>
    </row>
    <row r="20" spans="1:12" ht="17.25" customHeight="1" x14ac:dyDescent="0.25">
      <c r="A20" s="105">
        <v>36</v>
      </c>
      <c r="B20" s="58" t="s">
        <v>97</v>
      </c>
      <c r="C20" s="108" t="s">
        <v>98</v>
      </c>
      <c r="D20" s="12">
        <v>1</v>
      </c>
      <c r="E20" s="7">
        <v>317</v>
      </c>
      <c r="F20" s="7">
        <v>48</v>
      </c>
      <c r="G20" s="20">
        <v>5</v>
      </c>
      <c r="H20" s="7">
        <v>153</v>
      </c>
      <c r="I20" s="7">
        <v>107</v>
      </c>
      <c r="J20" s="17">
        <v>313</v>
      </c>
      <c r="K20" s="7">
        <v>4</v>
      </c>
      <c r="L20" s="18">
        <v>0</v>
      </c>
    </row>
    <row r="21" spans="1:12" ht="17.25" customHeight="1" x14ac:dyDescent="0.25">
      <c r="A21" s="106"/>
      <c r="B21" s="59"/>
      <c r="C21" s="109"/>
      <c r="D21" s="12">
        <v>2</v>
      </c>
      <c r="E21" s="7">
        <v>519</v>
      </c>
      <c r="F21" s="7">
        <v>173</v>
      </c>
      <c r="G21" s="21">
        <v>14</v>
      </c>
      <c r="H21" s="7">
        <v>213</v>
      </c>
      <c r="I21" s="7">
        <v>113</v>
      </c>
      <c r="J21" s="17">
        <v>513</v>
      </c>
      <c r="K21" s="7">
        <v>6</v>
      </c>
      <c r="L21" s="18">
        <v>0</v>
      </c>
    </row>
    <row r="22" spans="1:12" ht="17.25" customHeight="1" x14ac:dyDescent="0.25">
      <c r="A22" s="106"/>
      <c r="B22" s="59"/>
      <c r="C22" s="109"/>
      <c r="D22" s="12">
        <v>3</v>
      </c>
      <c r="E22" s="7">
        <v>504</v>
      </c>
      <c r="F22" s="7">
        <v>191</v>
      </c>
      <c r="G22" s="21">
        <v>11</v>
      </c>
      <c r="H22" s="7">
        <v>202</v>
      </c>
      <c r="I22" s="7">
        <v>97</v>
      </c>
      <c r="J22" s="17">
        <v>501</v>
      </c>
      <c r="K22" s="7">
        <v>3</v>
      </c>
      <c r="L22" s="18">
        <v>0</v>
      </c>
    </row>
    <row r="23" spans="1:12" ht="17.25" customHeight="1" x14ac:dyDescent="0.25">
      <c r="A23" s="107"/>
      <c r="B23" s="60"/>
      <c r="C23" s="110"/>
      <c r="D23" s="12">
        <v>4</v>
      </c>
      <c r="E23" s="7">
        <v>527</v>
      </c>
      <c r="F23" s="7">
        <v>209</v>
      </c>
      <c r="G23" s="21">
        <v>10</v>
      </c>
      <c r="H23" s="7">
        <v>181</v>
      </c>
      <c r="I23" s="7">
        <v>124</v>
      </c>
      <c r="J23" s="17">
        <v>524</v>
      </c>
      <c r="K23" s="7">
        <v>3</v>
      </c>
      <c r="L23" s="18">
        <v>0</v>
      </c>
    </row>
    <row r="24" spans="1:12" ht="23.55" customHeight="1" x14ac:dyDescent="0.25">
      <c r="A24" s="4">
        <v>37</v>
      </c>
      <c r="B24" s="14" t="s">
        <v>99</v>
      </c>
      <c r="C24" s="13" t="s">
        <v>100</v>
      </c>
      <c r="D24" s="12">
        <v>1</v>
      </c>
      <c r="E24" s="7">
        <v>504</v>
      </c>
      <c r="F24" s="7">
        <v>146</v>
      </c>
      <c r="G24" s="21">
        <v>15</v>
      </c>
      <c r="H24" s="7">
        <v>260</v>
      </c>
      <c r="I24" s="7">
        <v>79</v>
      </c>
      <c r="J24" s="17">
        <v>500</v>
      </c>
      <c r="K24" s="7">
        <v>4</v>
      </c>
      <c r="L24" s="18">
        <v>0</v>
      </c>
    </row>
    <row r="25" spans="1:12" ht="30" customHeight="1" x14ac:dyDescent="0.25"/>
    <row r="26" spans="1:12" ht="349.95" customHeight="1" x14ac:dyDescent="0.25"/>
    <row r="27" spans="1:12" ht="349.95" customHeight="1" x14ac:dyDescent="0.25"/>
  </sheetData>
  <mergeCells count="22"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  <mergeCell ref="A5:A9"/>
    <mergeCell ref="B5:B9"/>
    <mergeCell ref="C5:C9"/>
    <mergeCell ref="A10:A14"/>
    <mergeCell ref="B10:B14"/>
    <mergeCell ref="C10:C14"/>
    <mergeCell ref="A15:A18"/>
    <mergeCell ref="B15:B18"/>
    <mergeCell ref="C15:C18"/>
    <mergeCell ref="A20:A23"/>
    <mergeCell ref="B20:B23"/>
    <mergeCell ref="C20:C2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5"/>
  <sheetViews>
    <sheetView topLeftCell="A5" workbookViewId="0">
      <selection activeCell="A5" sqref="A5:L22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7" width="15.109375" customWidth="1"/>
    <col min="8" max="8" width="15.33203125" customWidth="1"/>
    <col min="9" max="9" width="15.109375" customWidth="1"/>
    <col min="10" max="10" width="12.88671875" customWidth="1"/>
    <col min="11" max="11" width="12.6640625" customWidth="1"/>
    <col min="12" max="12" width="12.88671875" customWidth="1"/>
  </cols>
  <sheetData>
    <row r="1" spans="1:12" ht="34.799999999999997" customHeight="1" x14ac:dyDescent="0.25">
      <c r="A1" s="76" t="s">
        <v>101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</row>
    <row r="2" spans="1:12" ht="18" customHeight="1" x14ac:dyDescent="0.25">
      <c r="A2" s="79" t="s">
        <v>1</v>
      </c>
      <c r="B2" s="82" t="s">
        <v>2</v>
      </c>
      <c r="C2" s="82" t="s">
        <v>3</v>
      </c>
      <c r="D2" s="85" t="s">
        <v>4</v>
      </c>
      <c r="E2" s="88" t="s">
        <v>5</v>
      </c>
      <c r="F2" s="91" t="s">
        <v>6</v>
      </c>
      <c r="G2" s="92"/>
      <c r="H2" s="92"/>
      <c r="I2" s="92"/>
      <c r="J2" s="93"/>
      <c r="K2" s="94" t="s">
        <v>7</v>
      </c>
      <c r="L2" s="97" t="s">
        <v>8</v>
      </c>
    </row>
    <row r="3" spans="1:12" ht="29.7" customHeight="1" x14ac:dyDescent="0.25">
      <c r="A3" s="80"/>
      <c r="B3" s="83"/>
      <c r="C3" s="83"/>
      <c r="D3" s="86"/>
      <c r="E3" s="89"/>
      <c r="F3" s="1" t="s">
        <v>9</v>
      </c>
      <c r="G3" s="2" t="s">
        <v>10</v>
      </c>
      <c r="H3" s="1" t="s">
        <v>11</v>
      </c>
      <c r="I3" s="1" t="s">
        <v>12</v>
      </c>
      <c r="J3" s="100" t="s">
        <v>13</v>
      </c>
      <c r="K3" s="95"/>
      <c r="L3" s="98"/>
    </row>
    <row r="4" spans="1:12" ht="28.2" customHeight="1" x14ac:dyDescent="0.25">
      <c r="A4" s="81"/>
      <c r="B4" s="84"/>
      <c r="C4" s="84"/>
      <c r="D4" s="87"/>
      <c r="E4" s="90"/>
      <c r="F4" s="3"/>
      <c r="G4" s="3"/>
      <c r="H4" s="3"/>
      <c r="I4" s="3"/>
      <c r="J4" s="101"/>
      <c r="K4" s="96"/>
      <c r="L4" s="99"/>
    </row>
    <row r="5" spans="1:12" ht="17.25" customHeight="1" x14ac:dyDescent="0.25">
      <c r="A5" s="105">
        <v>38</v>
      </c>
      <c r="B5" s="61" t="s">
        <v>102</v>
      </c>
      <c r="C5" s="61" t="s">
        <v>103</v>
      </c>
      <c r="D5" s="12">
        <v>1</v>
      </c>
      <c r="E5" s="7">
        <v>335</v>
      </c>
      <c r="F5" s="7">
        <v>73</v>
      </c>
      <c r="G5" s="20">
        <v>2</v>
      </c>
      <c r="H5" s="7">
        <v>216</v>
      </c>
      <c r="I5" s="7">
        <v>37</v>
      </c>
      <c r="J5" s="17">
        <v>328</v>
      </c>
      <c r="K5" s="7">
        <v>7</v>
      </c>
      <c r="L5" s="18">
        <v>0</v>
      </c>
    </row>
    <row r="6" spans="1:12" ht="17.25" customHeight="1" x14ac:dyDescent="0.25">
      <c r="A6" s="106"/>
      <c r="B6" s="62"/>
      <c r="C6" s="62"/>
      <c r="D6" s="12">
        <v>2</v>
      </c>
      <c r="E6" s="7">
        <v>411</v>
      </c>
      <c r="F6" s="7">
        <v>145</v>
      </c>
      <c r="G6" s="20">
        <v>1</v>
      </c>
      <c r="H6" s="7">
        <v>205</v>
      </c>
      <c r="I6" s="7">
        <v>59</v>
      </c>
      <c r="J6" s="17">
        <v>410</v>
      </c>
      <c r="K6" s="7">
        <v>1</v>
      </c>
      <c r="L6" s="18">
        <v>0</v>
      </c>
    </row>
    <row r="7" spans="1:12" ht="17.25" customHeight="1" x14ac:dyDescent="0.25">
      <c r="A7" s="106"/>
      <c r="B7" s="62"/>
      <c r="C7" s="62"/>
      <c r="D7" s="12">
        <v>3</v>
      </c>
      <c r="E7" s="7">
        <v>371</v>
      </c>
      <c r="F7" s="7">
        <v>183</v>
      </c>
      <c r="G7" s="21">
        <v>11</v>
      </c>
      <c r="H7" s="7">
        <v>133</v>
      </c>
      <c r="I7" s="7">
        <v>42</v>
      </c>
      <c r="J7" s="17">
        <v>369</v>
      </c>
      <c r="K7" s="7">
        <v>2</v>
      </c>
      <c r="L7" s="18">
        <v>0</v>
      </c>
    </row>
    <row r="8" spans="1:12" ht="17.25" customHeight="1" x14ac:dyDescent="0.25">
      <c r="A8" s="107"/>
      <c r="B8" s="63"/>
      <c r="C8" s="63"/>
      <c r="D8" s="12">
        <v>4</v>
      </c>
      <c r="E8" s="7">
        <v>424</v>
      </c>
      <c r="F8" s="7">
        <v>208</v>
      </c>
      <c r="G8" s="20">
        <v>8</v>
      </c>
      <c r="H8" s="7">
        <v>124</v>
      </c>
      <c r="I8" s="7">
        <v>83</v>
      </c>
      <c r="J8" s="17">
        <v>423</v>
      </c>
      <c r="K8" s="7">
        <v>1</v>
      </c>
      <c r="L8" s="18">
        <v>0</v>
      </c>
    </row>
    <row r="9" spans="1:12" ht="32.700000000000003" customHeight="1" x14ac:dyDescent="0.25">
      <c r="A9" s="19">
        <v>39</v>
      </c>
      <c r="B9" s="15" t="s">
        <v>104</v>
      </c>
      <c r="C9" s="13" t="s">
        <v>105</v>
      </c>
      <c r="D9" s="12">
        <v>1</v>
      </c>
      <c r="E9" s="7">
        <v>159</v>
      </c>
      <c r="F9" s="7">
        <v>37</v>
      </c>
      <c r="G9" s="20">
        <v>0</v>
      </c>
      <c r="H9" s="7">
        <v>96</v>
      </c>
      <c r="I9" s="7">
        <v>26</v>
      </c>
      <c r="J9" s="17">
        <v>159</v>
      </c>
      <c r="K9" s="7">
        <v>0</v>
      </c>
      <c r="L9" s="18">
        <v>0</v>
      </c>
    </row>
    <row r="10" spans="1:12" ht="17.25" customHeight="1" x14ac:dyDescent="0.25">
      <c r="A10" s="105">
        <v>40</v>
      </c>
      <c r="B10" s="117" t="s">
        <v>106</v>
      </c>
      <c r="C10" s="102" t="s">
        <v>107</v>
      </c>
      <c r="D10" s="12">
        <v>1</v>
      </c>
      <c r="E10" s="7">
        <v>316</v>
      </c>
      <c r="F10" s="7">
        <v>17</v>
      </c>
      <c r="G10" s="20">
        <v>1</v>
      </c>
      <c r="H10" s="7">
        <v>83</v>
      </c>
      <c r="I10" s="7">
        <v>211</v>
      </c>
      <c r="J10" s="17">
        <v>312</v>
      </c>
      <c r="K10" s="7">
        <v>4</v>
      </c>
      <c r="L10" s="18">
        <v>0</v>
      </c>
    </row>
    <row r="11" spans="1:12" ht="17.25" customHeight="1" x14ac:dyDescent="0.25">
      <c r="A11" s="106"/>
      <c r="B11" s="118"/>
      <c r="C11" s="103"/>
      <c r="D11" s="12">
        <v>2</v>
      </c>
      <c r="E11" s="7">
        <v>355</v>
      </c>
      <c r="F11" s="7">
        <v>24</v>
      </c>
      <c r="G11" s="20">
        <v>3</v>
      </c>
      <c r="H11" s="7">
        <v>98</v>
      </c>
      <c r="I11" s="7">
        <v>227</v>
      </c>
      <c r="J11" s="17">
        <v>352</v>
      </c>
      <c r="K11" s="7">
        <v>3</v>
      </c>
      <c r="L11" s="18">
        <v>0</v>
      </c>
    </row>
    <row r="12" spans="1:12" ht="17.25" customHeight="1" x14ac:dyDescent="0.25">
      <c r="A12" s="106"/>
      <c r="B12" s="118"/>
      <c r="C12" s="103"/>
      <c r="D12" s="12">
        <v>3</v>
      </c>
      <c r="E12" s="7">
        <v>533</v>
      </c>
      <c r="F12" s="7">
        <v>57</v>
      </c>
      <c r="G12" s="20">
        <v>4</v>
      </c>
      <c r="H12" s="7">
        <v>100</v>
      </c>
      <c r="I12" s="7">
        <v>362</v>
      </c>
      <c r="J12" s="17">
        <v>523</v>
      </c>
      <c r="K12" s="7">
        <v>10</v>
      </c>
      <c r="L12" s="18">
        <v>0</v>
      </c>
    </row>
    <row r="13" spans="1:12" ht="17.25" customHeight="1" x14ac:dyDescent="0.25">
      <c r="A13" s="106"/>
      <c r="B13" s="118"/>
      <c r="C13" s="103"/>
      <c r="D13" s="12">
        <v>4</v>
      </c>
      <c r="E13" s="7">
        <v>489</v>
      </c>
      <c r="F13" s="7">
        <v>72</v>
      </c>
      <c r="G13" s="20">
        <v>4</v>
      </c>
      <c r="H13" s="7">
        <v>73</v>
      </c>
      <c r="I13" s="7">
        <v>336</v>
      </c>
      <c r="J13" s="17">
        <v>485</v>
      </c>
      <c r="K13" s="7">
        <v>4</v>
      </c>
      <c r="L13" s="18">
        <v>0</v>
      </c>
    </row>
    <row r="14" spans="1:12" ht="17.25" customHeight="1" x14ac:dyDescent="0.25">
      <c r="A14" s="106"/>
      <c r="B14" s="118"/>
      <c r="C14" s="103"/>
      <c r="D14" s="12">
        <v>5</v>
      </c>
      <c r="E14" s="7">
        <v>491</v>
      </c>
      <c r="F14" s="7">
        <v>81</v>
      </c>
      <c r="G14" s="20">
        <v>2</v>
      </c>
      <c r="H14" s="7">
        <v>74</v>
      </c>
      <c r="I14" s="7">
        <v>333</v>
      </c>
      <c r="J14" s="17">
        <v>490</v>
      </c>
      <c r="K14" s="7">
        <v>1</v>
      </c>
      <c r="L14" s="18">
        <v>0</v>
      </c>
    </row>
    <row r="15" spans="1:12" ht="17.25" customHeight="1" x14ac:dyDescent="0.25">
      <c r="A15" s="107"/>
      <c r="B15" s="119"/>
      <c r="C15" s="104"/>
      <c r="D15" s="12">
        <v>6</v>
      </c>
      <c r="E15" s="7">
        <v>565</v>
      </c>
      <c r="F15" s="7">
        <v>123</v>
      </c>
      <c r="G15" s="20">
        <v>1</v>
      </c>
      <c r="H15" s="7">
        <v>99</v>
      </c>
      <c r="I15" s="7">
        <v>338</v>
      </c>
      <c r="J15" s="17">
        <v>561</v>
      </c>
      <c r="K15" s="7">
        <v>4</v>
      </c>
      <c r="L15" s="18">
        <v>0</v>
      </c>
    </row>
    <row r="16" spans="1:12" ht="17.25" customHeight="1" x14ac:dyDescent="0.25">
      <c r="A16" s="105">
        <v>41</v>
      </c>
      <c r="B16" s="114" t="s">
        <v>108</v>
      </c>
      <c r="C16" s="102" t="s">
        <v>109</v>
      </c>
      <c r="D16" s="12">
        <v>1</v>
      </c>
      <c r="E16" s="7">
        <v>316</v>
      </c>
      <c r="F16" s="7">
        <v>10</v>
      </c>
      <c r="G16" s="20">
        <v>2</v>
      </c>
      <c r="H16" s="7">
        <v>51</v>
      </c>
      <c r="I16" s="7">
        <v>248</v>
      </c>
      <c r="J16" s="17">
        <v>311</v>
      </c>
      <c r="K16" s="7">
        <v>5</v>
      </c>
      <c r="L16" s="18">
        <v>0</v>
      </c>
    </row>
    <row r="17" spans="1:12" ht="17.25" customHeight="1" x14ac:dyDescent="0.25">
      <c r="A17" s="106"/>
      <c r="B17" s="115"/>
      <c r="C17" s="103"/>
      <c r="D17" s="12">
        <v>2</v>
      </c>
      <c r="E17" s="7">
        <v>349</v>
      </c>
      <c r="F17" s="7">
        <v>4</v>
      </c>
      <c r="G17" s="20">
        <v>2</v>
      </c>
      <c r="H17" s="7">
        <v>33</v>
      </c>
      <c r="I17" s="7">
        <v>305</v>
      </c>
      <c r="J17" s="17">
        <v>344</v>
      </c>
      <c r="K17" s="7">
        <v>5</v>
      </c>
      <c r="L17" s="18">
        <v>0</v>
      </c>
    </row>
    <row r="18" spans="1:12" ht="17.25" customHeight="1" x14ac:dyDescent="0.25">
      <c r="A18" s="106"/>
      <c r="B18" s="115"/>
      <c r="C18" s="103"/>
      <c r="D18" s="12">
        <v>3</v>
      </c>
      <c r="E18" s="7">
        <v>490</v>
      </c>
      <c r="F18" s="7">
        <v>10</v>
      </c>
      <c r="G18" s="20">
        <v>0</v>
      </c>
      <c r="H18" s="7">
        <v>38</v>
      </c>
      <c r="I18" s="7">
        <v>437</v>
      </c>
      <c r="J18" s="17">
        <v>485</v>
      </c>
      <c r="K18" s="7">
        <v>5</v>
      </c>
      <c r="L18" s="18">
        <v>0</v>
      </c>
    </row>
    <row r="19" spans="1:12" ht="17.25" customHeight="1" x14ac:dyDescent="0.25">
      <c r="A19" s="106"/>
      <c r="B19" s="115"/>
      <c r="C19" s="103"/>
      <c r="D19" s="12">
        <v>4</v>
      </c>
      <c r="E19" s="7">
        <v>460</v>
      </c>
      <c r="F19" s="7">
        <v>11</v>
      </c>
      <c r="G19" s="20">
        <v>1</v>
      </c>
      <c r="H19" s="7">
        <v>38</v>
      </c>
      <c r="I19" s="7">
        <v>404</v>
      </c>
      <c r="J19" s="17">
        <v>454</v>
      </c>
      <c r="K19" s="7">
        <v>6</v>
      </c>
      <c r="L19" s="18">
        <v>0</v>
      </c>
    </row>
    <row r="20" spans="1:12" ht="17.25" customHeight="1" x14ac:dyDescent="0.25">
      <c r="A20" s="106"/>
      <c r="B20" s="115"/>
      <c r="C20" s="103"/>
      <c r="D20" s="12">
        <v>5</v>
      </c>
      <c r="E20" s="7">
        <v>435</v>
      </c>
      <c r="F20" s="7">
        <v>21</v>
      </c>
      <c r="G20" s="20">
        <v>4</v>
      </c>
      <c r="H20" s="7">
        <v>24</v>
      </c>
      <c r="I20" s="7">
        <v>381</v>
      </c>
      <c r="J20" s="17">
        <v>430</v>
      </c>
      <c r="K20" s="7">
        <v>5</v>
      </c>
      <c r="L20" s="18">
        <v>0</v>
      </c>
    </row>
    <row r="21" spans="1:12" ht="17.25" customHeight="1" x14ac:dyDescent="0.25">
      <c r="A21" s="106"/>
      <c r="B21" s="115"/>
      <c r="C21" s="103"/>
      <c r="D21" s="12">
        <v>6</v>
      </c>
      <c r="E21" s="7">
        <v>425</v>
      </c>
      <c r="F21" s="7">
        <v>21</v>
      </c>
      <c r="G21" s="20">
        <v>0</v>
      </c>
      <c r="H21" s="7">
        <v>27</v>
      </c>
      <c r="I21" s="7">
        <v>375</v>
      </c>
      <c r="J21" s="17">
        <v>423</v>
      </c>
      <c r="K21" s="7">
        <v>2</v>
      </c>
      <c r="L21" s="18">
        <v>0</v>
      </c>
    </row>
    <row r="22" spans="1:12" ht="17.25" customHeight="1" x14ac:dyDescent="0.25">
      <c r="A22" s="107"/>
      <c r="B22" s="116"/>
      <c r="C22" s="104"/>
      <c r="D22" s="12">
        <v>7</v>
      </c>
      <c r="E22" s="7">
        <v>494</v>
      </c>
      <c r="F22" s="7">
        <v>25</v>
      </c>
      <c r="G22" s="20">
        <v>0</v>
      </c>
      <c r="H22" s="7">
        <v>36</v>
      </c>
      <c r="I22" s="7">
        <v>430</v>
      </c>
      <c r="J22" s="17">
        <v>491</v>
      </c>
      <c r="K22" s="7">
        <v>3</v>
      </c>
      <c r="L22" s="18">
        <v>0</v>
      </c>
    </row>
    <row r="23" spans="1:12" ht="30" customHeight="1" x14ac:dyDescent="0.25"/>
    <row r="24" spans="1:12" ht="310.05" customHeight="1" x14ac:dyDescent="0.25"/>
    <row r="25" spans="1:12" ht="310.05" customHeight="1" x14ac:dyDescent="0.25"/>
  </sheetData>
  <mergeCells count="19"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  <mergeCell ref="A16:A22"/>
    <mergeCell ref="B16:B22"/>
    <mergeCell ref="C16:C22"/>
    <mergeCell ref="A5:A8"/>
    <mergeCell ref="B5:B8"/>
    <mergeCell ref="C5:C8"/>
    <mergeCell ref="A10:A15"/>
    <mergeCell ref="B10:B15"/>
    <mergeCell ref="C10:C1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9"/>
  <sheetViews>
    <sheetView topLeftCell="A5" workbookViewId="0">
      <selection activeCell="A5" sqref="A5:L26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7" width="15.109375" customWidth="1"/>
    <col min="8" max="8" width="15.33203125" customWidth="1"/>
    <col min="9" max="9" width="15.109375" customWidth="1"/>
    <col min="10" max="10" width="12.88671875" customWidth="1"/>
    <col min="11" max="11" width="12.6640625" customWidth="1"/>
    <col min="12" max="12" width="12.88671875" customWidth="1"/>
  </cols>
  <sheetData>
    <row r="1" spans="1:12" ht="34.799999999999997" customHeight="1" x14ac:dyDescent="0.25">
      <c r="A1" s="76" t="s">
        <v>110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</row>
    <row r="2" spans="1:12" ht="18" customHeight="1" x14ac:dyDescent="0.25">
      <c r="A2" s="79" t="s">
        <v>1</v>
      </c>
      <c r="B2" s="82" t="s">
        <v>2</v>
      </c>
      <c r="C2" s="82" t="s">
        <v>3</v>
      </c>
      <c r="D2" s="85" t="s">
        <v>4</v>
      </c>
      <c r="E2" s="88" t="s">
        <v>5</v>
      </c>
      <c r="F2" s="91" t="s">
        <v>6</v>
      </c>
      <c r="G2" s="92"/>
      <c r="H2" s="92"/>
      <c r="I2" s="92"/>
      <c r="J2" s="93"/>
      <c r="K2" s="94" t="s">
        <v>7</v>
      </c>
      <c r="L2" s="97" t="s">
        <v>8</v>
      </c>
    </row>
    <row r="3" spans="1:12" ht="29.7" customHeight="1" x14ac:dyDescent="0.25">
      <c r="A3" s="80"/>
      <c r="B3" s="83"/>
      <c r="C3" s="83"/>
      <c r="D3" s="86"/>
      <c r="E3" s="89"/>
      <c r="F3" s="1" t="s">
        <v>9</v>
      </c>
      <c r="G3" s="2" t="s">
        <v>10</v>
      </c>
      <c r="H3" s="1" t="s">
        <v>11</v>
      </c>
      <c r="I3" s="1" t="s">
        <v>12</v>
      </c>
      <c r="J3" s="100" t="s">
        <v>13</v>
      </c>
      <c r="K3" s="95"/>
      <c r="L3" s="98"/>
    </row>
    <row r="4" spans="1:12" ht="28.2" customHeight="1" x14ac:dyDescent="0.25">
      <c r="A4" s="81"/>
      <c r="B4" s="84"/>
      <c r="C4" s="84"/>
      <c r="D4" s="87"/>
      <c r="E4" s="90"/>
      <c r="F4" s="3"/>
      <c r="G4" s="3"/>
      <c r="H4" s="3"/>
      <c r="I4" s="3"/>
      <c r="J4" s="101"/>
      <c r="K4" s="96"/>
      <c r="L4" s="99"/>
    </row>
    <row r="5" spans="1:12" ht="17.25" customHeight="1" x14ac:dyDescent="0.25">
      <c r="A5" s="105">
        <v>42</v>
      </c>
      <c r="B5" s="61" t="s">
        <v>111</v>
      </c>
      <c r="C5" s="61" t="s">
        <v>112</v>
      </c>
      <c r="D5" s="7">
        <v>1</v>
      </c>
      <c r="E5" s="7">
        <v>251</v>
      </c>
      <c r="F5" s="7">
        <v>7</v>
      </c>
      <c r="G5" s="7">
        <v>2</v>
      </c>
      <c r="H5" s="7">
        <v>31</v>
      </c>
      <c r="I5" s="7">
        <v>204</v>
      </c>
      <c r="J5" s="9">
        <v>244</v>
      </c>
      <c r="K5" s="7">
        <v>7</v>
      </c>
      <c r="L5" s="9">
        <v>0</v>
      </c>
    </row>
    <row r="6" spans="1:12" ht="17.25" customHeight="1" x14ac:dyDescent="0.25">
      <c r="A6" s="106"/>
      <c r="B6" s="62"/>
      <c r="C6" s="62"/>
      <c r="D6" s="7">
        <v>2</v>
      </c>
      <c r="E6" s="7">
        <v>306</v>
      </c>
      <c r="F6" s="7">
        <v>5</v>
      </c>
      <c r="G6" s="7">
        <v>2</v>
      </c>
      <c r="H6" s="7">
        <v>41</v>
      </c>
      <c r="I6" s="7">
        <v>252</v>
      </c>
      <c r="J6" s="9">
        <v>300</v>
      </c>
      <c r="K6" s="7">
        <v>6</v>
      </c>
      <c r="L6" s="9">
        <v>0</v>
      </c>
    </row>
    <row r="7" spans="1:12" ht="17.25" customHeight="1" x14ac:dyDescent="0.25">
      <c r="A7" s="106"/>
      <c r="B7" s="62"/>
      <c r="C7" s="62"/>
      <c r="D7" s="7">
        <v>3</v>
      </c>
      <c r="E7" s="7">
        <v>321</v>
      </c>
      <c r="F7" s="7">
        <v>8</v>
      </c>
      <c r="G7" s="7">
        <v>4</v>
      </c>
      <c r="H7" s="7">
        <v>32</v>
      </c>
      <c r="I7" s="7">
        <v>273</v>
      </c>
      <c r="J7" s="9">
        <v>317</v>
      </c>
      <c r="K7" s="7">
        <v>4</v>
      </c>
      <c r="L7" s="9">
        <v>0</v>
      </c>
    </row>
    <row r="8" spans="1:12" ht="17.25" customHeight="1" x14ac:dyDescent="0.25">
      <c r="A8" s="106"/>
      <c r="B8" s="62"/>
      <c r="C8" s="62"/>
      <c r="D8" s="7">
        <v>4</v>
      </c>
      <c r="E8" s="7">
        <v>389</v>
      </c>
      <c r="F8" s="7">
        <v>10</v>
      </c>
      <c r="G8" s="7">
        <v>1</v>
      </c>
      <c r="H8" s="7">
        <v>27</v>
      </c>
      <c r="I8" s="7">
        <v>349</v>
      </c>
      <c r="J8" s="9">
        <v>387</v>
      </c>
      <c r="K8" s="7">
        <v>2</v>
      </c>
      <c r="L8" s="9">
        <v>0</v>
      </c>
    </row>
    <row r="9" spans="1:12" ht="17.25" customHeight="1" x14ac:dyDescent="0.25">
      <c r="A9" s="107"/>
      <c r="B9" s="63"/>
      <c r="C9" s="63"/>
      <c r="D9" s="7">
        <v>5</v>
      </c>
      <c r="E9" s="7">
        <v>380</v>
      </c>
      <c r="F9" s="7">
        <v>34</v>
      </c>
      <c r="G9" s="7">
        <v>1</v>
      </c>
      <c r="H9" s="7">
        <v>29</v>
      </c>
      <c r="I9" s="7">
        <v>312</v>
      </c>
      <c r="J9" s="9">
        <v>376</v>
      </c>
      <c r="K9" s="7">
        <v>4</v>
      </c>
      <c r="L9" s="9">
        <v>0</v>
      </c>
    </row>
    <row r="10" spans="1:12" ht="17.25" customHeight="1" x14ac:dyDescent="0.25">
      <c r="A10" s="105">
        <v>43</v>
      </c>
      <c r="B10" s="61" t="s">
        <v>113</v>
      </c>
      <c r="C10" s="55" t="s">
        <v>114</v>
      </c>
      <c r="D10" s="7">
        <v>1</v>
      </c>
      <c r="E10" s="7">
        <v>283</v>
      </c>
      <c r="F10" s="7">
        <v>3</v>
      </c>
      <c r="G10" s="7">
        <v>3</v>
      </c>
      <c r="H10" s="7">
        <v>51</v>
      </c>
      <c r="I10" s="7">
        <v>221</v>
      </c>
      <c r="J10" s="9">
        <v>278</v>
      </c>
      <c r="K10" s="7">
        <v>5</v>
      </c>
      <c r="L10" s="9">
        <v>0</v>
      </c>
    </row>
    <row r="11" spans="1:12" ht="17.25" customHeight="1" x14ac:dyDescent="0.25">
      <c r="A11" s="106"/>
      <c r="B11" s="62"/>
      <c r="C11" s="56"/>
      <c r="D11" s="7">
        <v>2</v>
      </c>
      <c r="E11" s="7">
        <v>344</v>
      </c>
      <c r="F11" s="7">
        <v>1</v>
      </c>
      <c r="G11" s="7">
        <v>1</v>
      </c>
      <c r="H11" s="7">
        <v>34</v>
      </c>
      <c r="I11" s="7">
        <v>308</v>
      </c>
      <c r="J11" s="9">
        <v>344</v>
      </c>
      <c r="K11" s="7">
        <v>0</v>
      </c>
      <c r="L11" s="9">
        <v>0</v>
      </c>
    </row>
    <row r="12" spans="1:12" ht="17.25" customHeight="1" x14ac:dyDescent="0.25">
      <c r="A12" s="106"/>
      <c r="B12" s="62"/>
      <c r="C12" s="56"/>
      <c r="D12" s="7">
        <v>3</v>
      </c>
      <c r="E12" s="7">
        <v>361</v>
      </c>
      <c r="F12" s="7">
        <v>1</v>
      </c>
      <c r="G12" s="7">
        <v>0</v>
      </c>
      <c r="H12" s="7">
        <v>26</v>
      </c>
      <c r="I12" s="7">
        <v>328</v>
      </c>
      <c r="J12" s="9">
        <v>355</v>
      </c>
      <c r="K12" s="7">
        <v>6</v>
      </c>
      <c r="L12" s="9">
        <v>0</v>
      </c>
    </row>
    <row r="13" spans="1:12" ht="17.25" customHeight="1" x14ac:dyDescent="0.25">
      <c r="A13" s="106"/>
      <c r="B13" s="62"/>
      <c r="C13" s="56"/>
      <c r="D13" s="7">
        <v>4</v>
      </c>
      <c r="E13" s="7">
        <v>340</v>
      </c>
      <c r="F13" s="7">
        <v>6</v>
      </c>
      <c r="G13" s="7">
        <v>0</v>
      </c>
      <c r="H13" s="7">
        <v>35</v>
      </c>
      <c r="I13" s="7">
        <v>296</v>
      </c>
      <c r="J13" s="9">
        <v>337</v>
      </c>
      <c r="K13" s="7">
        <v>3</v>
      </c>
      <c r="L13" s="9">
        <v>0</v>
      </c>
    </row>
    <row r="14" spans="1:12" ht="17.25" customHeight="1" x14ac:dyDescent="0.25">
      <c r="A14" s="107"/>
      <c r="B14" s="63"/>
      <c r="C14" s="57"/>
      <c r="D14" s="7">
        <v>5</v>
      </c>
      <c r="E14" s="7">
        <v>342</v>
      </c>
      <c r="F14" s="7">
        <v>12</v>
      </c>
      <c r="G14" s="7">
        <v>0</v>
      </c>
      <c r="H14" s="7">
        <v>37</v>
      </c>
      <c r="I14" s="7">
        <v>291</v>
      </c>
      <c r="J14" s="9">
        <v>340</v>
      </c>
      <c r="K14" s="7">
        <v>2</v>
      </c>
      <c r="L14" s="9">
        <v>0</v>
      </c>
    </row>
    <row r="15" spans="1:12" ht="17.25" customHeight="1" x14ac:dyDescent="0.25">
      <c r="A15" s="105">
        <v>44</v>
      </c>
      <c r="B15" s="117" t="s">
        <v>115</v>
      </c>
      <c r="C15" s="61" t="s">
        <v>116</v>
      </c>
      <c r="D15" s="7">
        <v>1</v>
      </c>
      <c r="E15" s="7">
        <v>311</v>
      </c>
      <c r="F15" s="7">
        <v>9</v>
      </c>
      <c r="G15" s="7">
        <v>1</v>
      </c>
      <c r="H15" s="7">
        <v>62</v>
      </c>
      <c r="I15" s="7">
        <v>233</v>
      </c>
      <c r="J15" s="9">
        <v>305</v>
      </c>
      <c r="K15" s="7">
        <v>6</v>
      </c>
      <c r="L15" s="9">
        <v>0</v>
      </c>
    </row>
    <row r="16" spans="1:12" ht="17.25" customHeight="1" x14ac:dyDescent="0.25">
      <c r="A16" s="106"/>
      <c r="B16" s="118"/>
      <c r="C16" s="62"/>
      <c r="D16" s="7">
        <v>2</v>
      </c>
      <c r="E16" s="7">
        <v>566</v>
      </c>
      <c r="F16" s="7">
        <v>20</v>
      </c>
      <c r="G16" s="7">
        <v>4</v>
      </c>
      <c r="H16" s="7">
        <v>93</v>
      </c>
      <c r="I16" s="7">
        <v>443</v>
      </c>
      <c r="J16" s="9">
        <v>560</v>
      </c>
      <c r="K16" s="7">
        <v>5</v>
      </c>
      <c r="L16" s="9">
        <v>1</v>
      </c>
    </row>
    <row r="17" spans="1:12" ht="17.25" customHeight="1" x14ac:dyDescent="0.25">
      <c r="A17" s="106"/>
      <c r="B17" s="118"/>
      <c r="C17" s="62"/>
      <c r="D17" s="7">
        <v>3</v>
      </c>
      <c r="E17" s="7">
        <v>511</v>
      </c>
      <c r="F17" s="7">
        <v>21</v>
      </c>
      <c r="G17" s="7">
        <v>3</v>
      </c>
      <c r="H17" s="7">
        <v>47</v>
      </c>
      <c r="I17" s="7">
        <v>429</v>
      </c>
      <c r="J17" s="9">
        <v>500</v>
      </c>
      <c r="K17" s="7">
        <v>11</v>
      </c>
      <c r="L17" s="9">
        <v>0</v>
      </c>
    </row>
    <row r="18" spans="1:12" ht="17.25" customHeight="1" x14ac:dyDescent="0.25">
      <c r="A18" s="106"/>
      <c r="B18" s="118"/>
      <c r="C18" s="62"/>
      <c r="D18" s="7">
        <v>4</v>
      </c>
      <c r="E18" s="7">
        <v>448</v>
      </c>
      <c r="F18" s="7">
        <v>31</v>
      </c>
      <c r="G18" s="7">
        <v>2</v>
      </c>
      <c r="H18" s="7">
        <v>39</v>
      </c>
      <c r="I18" s="7">
        <v>372</v>
      </c>
      <c r="J18" s="9">
        <v>444</v>
      </c>
      <c r="K18" s="7">
        <v>4</v>
      </c>
      <c r="L18" s="9">
        <v>0</v>
      </c>
    </row>
    <row r="19" spans="1:12" ht="17.25" customHeight="1" x14ac:dyDescent="0.25">
      <c r="A19" s="106"/>
      <c r="B19" s="118"/>
      <c r="C19" s="62"/>
      <c r="D19" s="7">
        <v>5</v>
      </c>
      <c r="E19" s="7">
        <v>480</v>
      </c>
      <c r="F19" s="7">
        <v>26</v>
      </c>
      <c r="G19" s="7">
        <v>2</v>
      </c>
      <c r="H19" s="7">
        <v>34</v>
      </c>
      <c r="I19" s="7">
        <v>415</v>
      </c>
      <c r="J19" s="9">
        <v>477</v>
      </c>
      <c r="K19" s="7">
        <v>3</v>
      </c>
      <c r="L19" s="9">
        <v>0</v>
      </c>
    </row>
    <row r="20" spans="1:12" ht="17.25" customHeight="1" x14ac:dyDescent="0.25">
      <c r="A20" s="106"/>
      <c r="B20" s="118"/>
      <c r="C20" s="63"/>
      <c r="D20" s="7">
        <v>6</v>
      </c>
      <c r="E20" s="7">
        <v>538</v>
      </c>
      <c r="F20" s="7">
        <v>32</v>
      </c>
      <c r="G20" s="7">
        <v>0</v>
      </c>
      <c r="H20" s="7">
        <v>45</v>
      </c>
      <c r="I20" s="7">
        <v>459</v>
      </c>
      <c r="J20" s="9">
        <v>536</v>
      </c>
      <c r="K20" s="7">
        <v>2</v>
      </c>
      <c r="L20" s="9">
        <v>0</v>
      </c>
    </row>
    <row r="21" spans="1:12" ht="17.25" customHeight="1" x14ac:dyDescent="0.25">
      <c r="A21" s="106"/>
      <c r="B21" s="118"/>
      <c r="C21" s="61" t="s">
        <v>117</v>
      </c>
      <c r="D21" s="7">
        <v>1</v>
      </c>
      <c r="E21" s="7">
        <v>272</v>
      </c>
      <c r="F21" s="7">
        <v>3</v>
      </c>
      <c r="G21" s="7">
        <v>3</v>
      </c>
      <c r="H21" s="7">
        <v>31</v>
      </c>
      <c r="I21" s="7">
        <v>230</v>
      </c>
      <c r="J21" s="9">
        <v>267</v>
      </c>
      <c r="K21" s="7">
        <v>5</v>
      </c>
      <c r="L21" s="9">
        <v>0</v>
      </c>
    </row>
    <row r="22" spans="1:12" ht="17.25" customHeight="1" x14ac:dyDescent="0.25">
      <c r="A22" s="106"/>
      <c r="B22" s="118"/>
      <c r="C22" s="62"/>
      <c r="D22" s="7">
        <v>2</v>
      </c>
      <c r="E22" s="7">
        <v>343</v>
      </c>
      <c r="F22" s="7">
        <v>5</v>
      </c>
      <c r="G22" s="7">
        <v>0</v>
      </c>
      <c r="H22" s="7">
        <v>28</v>
      </c>
      <c r="I22" s="7">
        <v>307</v>
      </c>
      <c r="J22" s="9">
        <v>340</v>
      </c>
      <c r="K22" s="7">
        <v>3</v>
      </c>
      <c r="L22" s="9">
        <v>0</v>
      </c>
    </row>
    <row r="23" spans="1:12" ht="17.25" customHeight="1" x14ac:dyDescent="0.25">
      <c r="A23" s="106"/>
      <c r="B23" s="118"/>
      <c r="C23" s="62"/>
      <c r="D23" s="7">
        <v>3</v>
      </c>
      <c r="E23" s="7">
        <v>422</v>
      </c>
      <c r="F23" s="7">
        <v>2</v>
      </c>
      <c r="G23" s="7">
        <v>1</v>
      </c>
      <c r="H23" s="7">
        <v>30</v>
      </c>
      <c r="I23" s="7">
        <v>385</v>
      </c>
      <c r="J23" s="9">
        <v>418</v>
      </c>
      <c r="K23" s="7">
        <v>4</v>
      </c>
      <c r="L23" s="9">
        <v>0</v>
      </c>
    </row>
    <row r="24" spans="1:12" ht="17.25" customHeight="1" x14ac:dyDescent="0.25">
      <c r="A24" s="106"/>
      <c r="B24" s="118"/>
      <c r="C24" s="62"/>
      <c r="D24" s="7">
        <v>4</v>
      </c>
      <c r="E24" s="7">
        <v>364</v>
      </c>
      <c r="F24" s="7">
        <v>0</v>
      </c>
      <c r="G24" s="7">
        <v>1</v>
      </c>
      <c r="H24" s="7">
        <v>27</v>
      </c>
      <c r="I24" s="7">
        <v>331</v>
      </c>
      <c r="J24" s="9">
        <v>359</v>
      </c>
      <c r="K24" s="7">
        <v>5</v>
      </c>
      <c r="L24" s="9">
        <v>0</v>
      </c>
    </row>
    <row r="25" spans="1:12" ht="17.25" customHeight="1" x14ac:dyDescent="0.25">
      <c r="A25" s="107"/>
      <c r="B25" s="119"/>
      <c r="C25" s="63"/>
      <c r="D25" s="7">
        <v>5</v>
      </c>
      <c r="E25" s="7">
        <v>382</v>
      </c>
      <c r="F25" s="7">
        <v>9</v>
      </c>
      <c r="G25" s="7">
        <v>0</v>
      </c>
      <c r="H25" s="7">
        <v>26</v>
      </c>
      <c r="I25" s="7">
        <v>345</v>
      </c>
      <c r="J25" s="9">
        <v>380</v>
      </c>
      <c r="K25" s="7">
        <v>2</v>
      </c>
      <c r="L25" s="9">
        <v>0</v>
      </c>
    </row>
    <row r="26" spans="1:12" ht="19.2" customHeight="1" x14ac:dyDescent="0.25">
      <c r="A26" s="120" t="s">
        <v>118</v>
      </c>
      <c r="B26" s="121"/>
      <c r="C26" s="122"/>
      <c r="D26" s="22">
        <v>177</v>
      </c>
      <c r="E26" s="23">
        <v>72808</v>
      </c>
      <c r="F26" s="23">
        <v>16722</v>
      </c>
      <c r="G26" s="22">
        <v>654</v>
      </c>
      <c r="H26" s="23">
        <v>30138</v>
      </c>
      <c r="I26" s="23">
        <v>24281</v>
      </c>
      <c r="J26" s="23">
        <v>71795</v>
      </c>
      <c r="K26" s="22">
        <v>834</v>
      </c>
      <c r="L26" s="22">
        <v>179</v>
      </c>
    </row>
    <row r="27" spans="1:12" ht="30" customHeight="1" x14ac:dyDescent="0.25"/>
    <row r="28" spans="1:12" ht="342" customHeight="1" x14ac:dyDescent="0.25"/>
    <row r="29" spans="1:12" ht="342" customHeight="1" x14ac:dyDescent="0.25"/>
  </sheetData>
  <mergeCells count="21"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  <mergeCell ref="A5:A9"/>
    <mergeCell ref="B5:B9"/>
    <mergeCell ref="C5:C9"/>
    <mergeCell ref="A10:A14"/>
    <mergeCell ref="B10:B14"/>
    <mergeCell ref="C10:C14"/>
    <mergeCell ref="A15:A25"/>
    <mergeCell ref="B15:B25"/>
    <mergeCell ref="C15:C20"/>
    <mergeCell ref="C21:C25"/>
    <mergeCell ref="A26:C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RaceWorksheet</vt:lpstr>
      <vt:lpstr>P127Jempol</vt:lpstr>
      <vt:lpstr>N8Bahau</vt:lpstr>
      <vt:lpstr>Race&amp;Age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Kian Ming Ong</cp:lastModifiedBy>
  <dcterms:created xsi:type="dcterms:W3CDTF">2023-01-24T06:46:57Z</dcterms:created>
  <dcterms:modified xsi:type="dcterms:W3CDTF">2023-12-20T01:42:34Z</dcterms:modified>
</cp:coreProperties>
</file>